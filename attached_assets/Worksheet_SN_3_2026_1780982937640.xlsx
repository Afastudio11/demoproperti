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Nisa\WORK\S Group\SN 3\2026\"/>
    </mc:Choice>
  </mc:AlternateContent>
  <xr:revisionPtr revIDLastSave="0" documentId="13_ncr:1_{7FF5DB6C-E7EF-40C6-8A80-885DA43EC85F}" xr6:coauthVersionLast="47" xr6:coauthVersionMax="47" xr10:uidLastSave="{00000000-0000-0000-0000-000000000000}"/>
  <bookViews>
    <workbookView xWindow="-110" yWindow="-110" windowWidth="19420" windowHeight="10300" firstSheet="1" activeTab="3" xr2:uid="{00000000-000D-0000-FFFF-FFFF00000000}"/>
  </bookViews>
  <sheets>
    <sheet name="COA" sheetId="1" r:id="rId1"/>
    <sheet name="WS" sheetId="2" r:id="rId2"/>
    <sheet name="JU" sheetId="3" r:id="rId3"/>
    <sheet name="Control Utang" sheetId="12" r:id="rId4"/>
    <sheet name="Forecasting" sheetId="13" r:id="rId5"/>
    <sheet name="GL" sheetId="4" r:id="rId6"/>
    <sheet name="Data Rumah" sheetId="11" r:id="rId7"/>
    <sheet name="FH" sheetId="9" r:id="rId8"/>
    <sheet name="PL" sheetId="5" r:id="rId9"/>
    <sheet name="BS" sheetId="6" r:id="rId10"/>
    <sheet name="Data" sheetId="7" r:id="rId11"/>
    <sheet name="BS MR" sheetId="8" r:id="rId12"/>
    <sheet name="Diagram" sheetId="10" r:id="rId13"/>
  </sheets>
  <definedNames>
    <definedName name="_xlnm._FilterDatabase" localSheetId="5" hidden="1">GL!$B$10:$H$3001</definedName>
    <definedName name="_xlnm._FilterDatabase" localSheetId="2" hidden="1">JU!$A$4:$K$3073</definedName>
    <definedName name="_xlnm.Print_Area" localSheetId="9">BS!$A$1:$G$55</definedName>
    <definedName name="_xlnm.Print_Area" localSheetId="11">'BS MR'!$A$1:$F$44</definedName>
    <definedName name="_xlnm.Print_Area" localSheetId="5">GL!$A$1:$I$200</definedName>
    <definedName name="_xlnm.Print_Area" localSheetId="2">JU!$A$1:$K$565</definedName>
    <definedName name="_xlnm.Print_Area" localSheetId="8">PL!$A$1:$G$47</definedName>
  </definedNames>
  <calcPr calcId="181029"/>
</workbook>
</file>

<file path=xl/calcChain.xml><?xml version="1.0" encoding="utf-8"?>
<calcChain xmlns="http://schemas.openxmlformats.org/spreadsheetml/2006/main">
  <c r="H1472" i="3" l="1"/>
  <c r="H1401" i="3"/>
  <c r="A1401" i="3"/>
  <c r="F1401" i="3"/>
  <c r="I1401" i="3"/>
  <c r="K1401" i="3"/>
  <c r="A1458" i="3"/>
  <c r="F1458" i="3"/>
  <c r="I1458" i="3"/>
  <c r="K1458" i="3"/>
  <c r="A1456" i="3"/>
  <c r="F1456" i="3"/>
  <c r="I1456" i="3"/>
  <c r="K1456" i="3"/>
  <c r="A1449" i="3"/>
  <c r="F1449" i="3"/>
  <c r="I1449" i="3"/>
  <c r="K1449" i="3"/>
  <c r="A1416" i="3"/>
  <c r="F1416" i="3"/>
  <c r="I1416" i="3"/>
  <c r="K1416" i="3"/>
  <c r="A1414" i="3"/>
  <c r="F1414" i="3"/>
  <c r="I1414" i="3"/>
  <c r="K1414" i="3"/>
  <c r="A1412" i="3"/>
  <c r="F1412" i="3"/>
  <c r="I1412" i="3"/>
  <c r="K1412" i="3"/>
  <c r="A1403" i="3"/>
  <c r="F1403" i="3"/>
  <c r="I1403" i="3"/>
  <c r="K1403" i="3"/>
  <c r="F1419" i="3"/>
  <c r="A1469" i="3"/>
  <c r="A1470" i="3"/>
  <c r="A1471" i="3"/>
  <c r="A1386" i="3"/>
  <c r="A1387" i="3"/>
  <c r="A1388" i="3"/>
  <c r="A1389" i="3"/>
  <c r="A1390" i="3"/>
  <c r="A1391" i="3"/>
  <c r="A1392" i="3"/>
  <c r="A1393" i="3"/>
  <c r="A1394" i="3"/>
  <c r="A1395" i="3"/>
  <c r="A1396" i="3"/>
  <c r="A1397" i="3"/>
  <c r="A1398" i="3"/>
  <c r="A1399" i="3"/>
  <c r="A1400" i="3"/>
  <c r="A1402" i="3"/>
  <c r="A1404" i="3"/>
  <c r="A1405" i="3"/>
  <c r="A1406" i="3"/>
  <c r="A1407" i="3"/>
  <c r="A1408" i="3"/>
  <c r="A1409" i="3"/>
  <c r="A1410" i="3"/>
  <c r="A1411" i="3"/>
  <c r="A1413" i="3"/>
  <c r="A1415"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50" i="3"/>
  <c r="A1451" i="3"/>
  <c r="A1452" i="3"/>
  <c r="A1453" i="3"/>
  <c r="A1454" i="3"/>
  <c r="A1455" i="3"/>
  <c r="A1457" i="3"/>
  <c r="A1459" i="3"/>
  <c r="A1460" i="3"/>
  <c r="A1461" i="3"/>
  <c r="A1462" i="3"/>
  <c r="A1463" i="3"/>
  <c r="A1464" i="3"/>
  <c r="A1465" i="3"/>
  <c r="A1466" i="3"/>
  <c r="A1467" i="3"/>
  <c r="A1468" i="3"/>
  <c r="AN92" i="2"/>
  <c r="AN101" i="2"/>
  <c r="AN114" i="2"/>
  <c r="AN128" i="2"/>
  <c r="AN134" i="2"/>
  <c r="AN139" i="2"/>
  <c r="AN144" i="2"/>
  <c r="B15" i="4"/>
  <c r="C15" i="4"/>
  <c r="D15" i="4"/>
  <c r="E15" i="4"/>
  <c r="F15" i="4"/>
  <c r="G15" i="4"/>
  <c r="F1422" i="4"/>
  <c r="F1799" i="4"/>
  <c r="F2203" i="4"/>
  <c r="F2526" i="4"/>
  <c r="F2960" i="4"/>
  <c r="B2969" i="4"/>
  <c r="C2969" i="4"/>
  <c r="D2969" i="4"/>
  <c r="E2969" i="4"/>
  <c r="F2969" i="4"/>
  <c r="G2969" i="4"/>
  <c r="B2970" i="4"/>
  <c r="C2970" i="4"/>
  <c r="D2970" i="4"/>
  <c r="E2970" i="4"/>
  <c r="F2970" i="4"/>
  <c r="G2970" i="4"/>
  <c r="B2971" i="4"/>
  <c r="C2971" i="4"/>
  <c r="D2971" i="4"/>
  <c r="E2971" i="4"/>
  <c r="F2971" i="4"/>
  <c r="G2971" i="4"/>
  <c r="B2972" i="4"/>
  <c r="C2972" i="4"/>
  <c r="D2972" i="4"/>
  <c r="E2972" i="4"/>
  <c r="F2972" i="4"/>
  <c r="G2972" i="4"/>
  <c r="B2973" i="4"/>
  <c r="C2973" i="4"/>
  <c r="D2973" i="4"/>
  <c r="E2973" i="4"/>
  <c r="F2973" i="4"/>
  <c r="G2973" i="4"/>
  <c r="B2974" i="4"/>
  <c r="C2974" i="4"/>
  <c r="D2974" i="4"/>
  <c r="E2974" i="4"/>
  <c r="F2974" i="4"/>
  <c r="G2974" i="4"/>
  <c r="B2975" i="4"/>
  <c r="C2975" i="4"/>
  <c r="D2975" i="4"/>
  <c r="E2975" i="4"/>
  <c r="F2975" i="4"/>
  <c r="G2975" i="4"/>
  <c r="B2976" i="4"/>
  <c r="C2976" i="4"/>
  <c r="D2976" i="4"/>
  <c r="E2976" i="4"/>
  <c r="F2976" i="4"/>
  <c r="G2976" i="4"/>
  <c r="B2977" i="4"/>
  <c r="C2977" i="4"/>
  <c r="D2977" i="4"/>
  <c r="E2977" i="4"/>
  <c r="F2977" i="4"/>
  <c r="G2977" i="4"/>
  <c r="B2978" i="4"/>
  <c r="C2978" i="4"/>
  <c r="D2978" i="4"/>
  <c r="E2978" i="4"/>
  <c r="F2978" i="4"/>
  <c r="G2978" i="4"/>
  <c r="B2979" i="4"/>
  <c r="C2979" i="4"/>
  <c r="D2979" i="4"/>
  <c r="E2979" i="4"/>
  <c r="F2979" i="4"/>
  <c r="G2979" i="4"/>
  <c r="B2980" i="4"/>
  <c r="C2980" i="4"/>
  <c r="D2980" i="4"/>
  <c r="E2980" i="4"/>
  <c r="F2980" i="4"/>
  <c r="G2980" i="4"/>
  <c r="B2981" i="4"/>
  <c r="C2981" i="4"/>
  <c r="D2981" i="4"/>
  <c r="E2981" i="4"/>
  <c r="F2981" i="4"/>
  <c r="G2981" i="4"/>
  <c r="B2982" i="4"/>
  <c r="C2982" i="4"/>
  <c r="D2982" i="4"/>
  <c r="E2982" i="4"/>
  <c r="F2982" i="4"/>
  <c r="G2982" i="4"/>
  <c r="B2983" i="4"/>
  <c r="C2983" i="4"/>
  <c r="D2983" i="4"/>
  <c r="E2983" i="4"/>
  <c r="F2983" i="4"/>
  <c r="G2983" i="4"/>
  <c r="B2984" i="4"/>
  <c r="C2984" i="4"/>
  <c r="D2984" i="4"/>
  <c r="E2984" i="4"/>
  <c r="F2984" i="4"/>
  <c r="G2984" i="4"/>
  <c r="B2985" i="4"/>
  <c r="C2985" i="4"/>
  <c r="D2985" i="4"/>
  <c r="E2985" i="4"/>
  <c r="F2985" i="4"/>
  <c r="G2985" i="4"/>
  <c r="B2986" i="4"/>
  <c r="C2986" i="4"/>
  <c r="D2986" i="4"/>
  <c r="E2986" i="4"/>
  <c r="F2986" i="4"/>
  <c r="G2986" i="4"/>
  <c r="B2987" i="4"/>
  <c r="C2987" i="4"/>
  <c r="D2987" i="4"/>
  <c r="E2987" i="4"/>
  <c r="F2987" i="4"/>
  <c r="G2987" i="4"/>
  <c r="B2988" i="4"/>
  <c r="C2988" i="4"/>
  <c r="D2988" i="4"/>
  <c r="E2988" i="4"/>
  <c r="F2988" i="4"/>
  <c r="G2988" i="4"/>
  <c r="B2989" i="4"/>
  <c r="C2989" i="4"/>
  <c r="D2989" i="4"/>
  <c r="E2989" i="4"/>
  <c r="F2989" i="4"/>
  <c r="G2989" i="4"/>
  <c r="B2990" i="4"/>
  <c r="C2990" i="4"/>
  <c r="D2990" i="4"/>
  <c r="E2990" i="4"/>
  <c r="F2990" i="4"/>
  <c r="G2990" i="4"/>
  <c r="B2991" i="4"/>
  <c r="C2991" i="4"/>
  <c r="D2991" i="4"/>
  <c r="E2991" i="4"/>
  <c r="F2991" i="4"/>
  <c r="G2991" i="4"/>
  <c r="B2992" i="4"/>
  <c r="C2992" i="4"/>
  <c r="D2992" i="4"/>
  <c r="E2992" i="4"/>
  <c r="F2992" i="4"/>
  <c r="G2992" i="4"/>
  <c r="B2993" i="4"/>
  <c r="C2993" i="4"/>
  <c r="D2993" i="4"/>
  <c r="E2993" i="4"/>
  <c r="F2993" i="4"/>
  <c r="G2993" i="4"/>
  <c r="B2994" i="4"/>
  <c r="C2994" i="4"/>
  <c r="D2994" i="4"/>
  <c r="E2994" i="4"/>
  <c r="F2994" i="4"/>
  <c r="G2994" i="4"/>
  <c r="B2995" i="4"/>
  <c r="C2995" i="4"/>
  <c r="D2995" i="4"/>
  <c r="E2995" i="4"/>
  <c r="F2995" i="4"/>
  <c r="G2995" i="4"/>
  <c r="B2996" i="4"/>
  <c r="C2996" i="4"/>
  <c r="D2996" i="4"/>
  <c r="E2996" i="4"/>
  <c r="F2996" i="4"/>
  <c r="G2996" i="4"/>
  <c r="B2997" i="4"/>
  <c r="C2997" i="4"/>
  <c r="D2997" i="4"/>
  <c r="E2997" i="4"/>
  <c r="F2997" i="4"/>
  <c r="G2997" i="4"/>
  <c r="B2998" i="4"/>
  <c r="C2998" i="4"/>
  <c r="D2998" i="4"/>
  <c r="E2998" i="4"/>
  <c r="F2998" i="4"/>
  <c r="G2998" i="4"/>
  <c r="B2999" i="4"/>
  <c r="C2999" i="4"/>
  <c r="D2999" i="4"/>
  <c r="E2999" i="4"/>
  <c r="F2999" i="4"/>
  <c r="G2999" i="4"/>
  <c r="B3000" i="4"/>
  <c r="C3000" i="4"/>
  <c r="D3000" i="4"/>
  <c r="E3000" i="4"/>
  <c r="F3000" i="4"/>
  <c r="G3000" i="4"/>
  <c r="F1377" i="3"/>
  <c r="A1381" i="3"/>
  <c r="F1381" i="3"/>
  <c r="I1381" i="3"/>
  <c r="G1388" i="4" s="1"/>
  <c r="K1381" i="3"/>
  <c r="K1378" i="3"/>
  <c r="I1378" i="3"/>
  <c r="G1385" i="4" s="1"/>
  <c r="F1378" i="3"/>
  <c r="A1378" i="3"/>
  <c r="A1377" i="3"/>
  <c r="I1377" i="3"/>
  <c r="G1384" i="4" s="1"/>
  <c r="K1377" i="3"/>
  <c r="A1366" i="3"/>
  <c r="A1367" i="3"/>
  <c r="A1368" i="3"/>
  <c r="A1369" i="3"/>
  <c r="A1370" i="3"/>
  <c r="A1371" i="3"/>
  <c r="A1372" i="3"/>
  <c r="A1373" i="3"/>
  <c r="A1374" i="3"/>
  <c r="A1375" i="3"/>
  <c r="A1376" i="3"/>
  <c r="A1379" i="3"/>
  <c r="A1380" i="3"/>
  <c r="A1382" i="3"/>
  <c r="A1383" i="3"/>
  <c r="A1384" i="3"/>
  <c r="A1385" i="3"/>
  <c r="B7" i="13"/>
  <c r="H675" i="3"/>
  <c r="K675" i="3" s="1"/>
  <c r="A675" i="3"/>
  <c r="F675" i="3"/>
  <c r="I675" i="3"/>
  <c r="G682" i="4" s="1"/>
  <c r="A676" i="3"/>
  <c r="F676" i="3"/>
  <c r="I676" i="3"/>
  <c r="G683" i="4" s="1"/>
  <c r="K676" i="3"/>
  <c r="B11" i="13"/>
  <c r="K10" i="13"/>
  <c r="B10" i="13" s="1"/>
  <c r="BD5" i="12"/>
  <c r="BD6" i="12" s="1"/>
  <c r="BD7" i="12" s="1"/>
  <c r="BD8" i="12" s="1"/>
  <c r="BD9" i="12" s="1"/>
  <c r="BD10" i="12" s="1"/>
  <c r="BD11" i="12" s="1"/>
  <c r="BD12" i="12" s="1"/>
  <c r="BD13" i="12" s="1"/>
  <c r="BD14" i="12" s="1"/>
  <c r="AV5" i="12"/>
  <c r="AV6" i="12" s="1"/>
  <c r="AV7" i="12" s="1"/>
  <c r="AV8" i="12" s="1"/>
  <c r="AV9" i="12" s="1"/>
  <c r="AV10" i="12" s="1"/>
  <c r="AV11" i="12" s="1"/>
  <c r="AV12" i="12" s="1"/>
  <c r="AV13" i="12" s="1"/>
  <c r="AV14" i="12" s="1"/>
  <c r="AN5" i="12"/>
  <c r="AN6" i="12" s="1"/>
  <c r="AN7" i="12" s="1"/>
  <c r="AN8" i="12" s="1"/>
  <c r="AN9" i="12" s="1"/>
  <c r="AN10" i="12" s="1"/>
  <c r="AN11" i="12" s="1"/>
  <c r="AN12" i="12" s="1"/>
  <c r="AN13" i="12" s="1"/>
  <c r="AN14" i="12" s="1"/>
  <c r="O2" i="12"/>
  <c r="P7" i="12"/>
  <c r="P8" i="12" s="1"/>
  <c r="P9" i="12" s="1"/>
  <c r="P10" i="12" s="1"/>
  <c r="P11" i="12" s="1"/>
  <c r="P12" i="12" s="1"/>
  <c r="P13" i="12" s="1"/>
  <c r="P14" i="12" s="1"/>
  <c r="P15" i="12" s="1"/>
  <c r="P16" i="12" s="1"/>
  <c r="P6" i="12"/>
  <c r="AF5" i="12"/>
  <c r="AF6" i="12" s="1"/>
  <c r="AF7" i="12" s="1"/>
  <c r="AF8" i="12" s="1"/>
  <c r="AF9" i="12" s="1"/>
  <c r="AF10" i="12" s="1"/>
  <c r="AF11" i="12" s="1"/>
  <c r="AF12" i="12" s="1"/>
  <c r="AF13" i="12" s="1"/>
  <c r="AF14" i="12" s="1"/>
  <c r="K11" i="13"/>
  <c r="G7" i="13"/>
  <c r="G27" i="13"/>
  <c r="F27" i="13"/>
  <c r="B15" i="13"/>
  <c r="B12" i="13"/>
  <c r="B8" i="13"/>
  <c r="F28" i="13"/>
  <c r="E19" i="13"/>
  <c r="K209" i="3"/>
  <c r="I209" i="3"/>
  <c r="G216" i="4" s="1"/>
  <c r="F209" i="3"/>
  <c r="A209" i="3"/>
  <c r="K88" i="3"/>
  <c r="I88" i="3"/>
  <c r="G95" i="4" s="1"/>
  <c r="F88" i="3"/>
  <c r="A88" i="3"/>
  <c r="A1042" i="3"/>
  <c r="F1042" i="3"/>
  <c r="I1042" i="3"/>
  <c r="G1049" i="4" s="1"/>
  <c r="K1042" i="3"/>
  <c r="H41" i="13"/>
  <c r="I31" i="13"/>
  <c r="A807" i="3"/>
  <c r="F807" i="3"/>
  <c r="I807" i="3"/>
  <c r="G814" i="4" s="1"/>
  <c r="K807" i="3"/>
  <c r="A808" i="3"/>
  <c r="F808" i="3"/>
  <c r="I808" i="3"/>
  <c r="G815" i="4" s="1"/>
  <c r="K808" i="3"/>
  <c r="A1117" i="3"/>
  <c r="F1117" i="3"/>
  <c r="I1117" i="3"/>
  <c r="G1124" i="4" s="1"/>
  <c r="K1117" i="3"/>
  <c r="A1148" i="3"/>
  <c r="F1148" i="3"/>
  <c r="I1148" i="3"/>
  <c r="G1155" i="4" s="1"/>
  <c r="K1148" i="3"/>
  <c r="A1147" i="3"/>
  <c r="F1147" i="3"/>
  <c r="I1147" i="3"/>
  <c r="G1154" i="4" s="1"/>
  <c r="K1147" i="3"/>
  <c r="K1146" i="3"/>
  <c r="I1146" i="3"/>
  <c r="G1153" i="4" s="1"/>
  <c r="F1146" i="3"/>
  <c r="A1146" i="3"/>
  <c r="K613" i="3"/>
  <c r="I613" i="3"/>
  <c r="G620" i="4" s="1"/>
  <c r="F613" i="3"/>
  <c r="A613" i="3"/>
  <c r="K595" i="3"/>
  <c r="I595" i="3"/>
  <c r="G602" i="4" s="1"/>
  <c r="F595" i="3"/>
  <c r="A595" i="3"/>
  <c r="K607" i="3"/>
  <c r="I607" i="3"/>
  <c r="G614" i="4" s="1"/>
  <c r="F607" i="3"/>
  <c r="A607" i="3"/>
  <c r="E1049" i="4" l="1"/>
  <c r="F1049" i="4"/>
  <c r="B1049" i="4"/>
  <c r="C1049" i="4"/>
  <c r="D1049" i="4"/>
  <c r="E95" i="4"/>
  <c r="B95" i="4"/>
  <c r="F95" i="4"/>
  <c r="D95" i="4"/>
  <c r="C95" i="4"/>
  <c r="E216" i="4"/>
  <c r="C216" i="4"/>
  <c r="D216" i="4"/>
  <c r="F216" i="4"/>
  <c r="B216" i="4"/>
  <c r="B683" i="4"/>
  <c r="F683" i="4"/>
  <c r="C683" i="4"/>
  <c r="E683" i="4"/>
  <c r="D683" i="4"/>
  <c r="B1385" i="4"/>
  <c r="F1385" i="4"/>
  <c r="C1385" i="4"/>
  <c r="D1385" i="4"/>
  <c r="E1385" i="4"/>
  <c r="D1384" i="4"/>
  <c r="C1384" i="4"/>
  <c r="E1384" i="4"/>
  <c r="F1384" i="4"/>
  <c r="B1384" i="4"/>
  <c r="D1388" i="4"/>
  <c r="F1388" i="4"/>
  <c r="B1388" i="4"/>
  <c r="C1388" i="4"/>
  <c r="E1388" i="4"/>
  <c r="D614" i="4"/>
  <c r="F614" i="4"/>
  <c r="B614" i="4"/>
  <c r="C614" i="4"/>
  <c r="E614" i="4"/>
  <c r="D602" i="4"/>
  <c r="C602" i="4"/>
  <c r="F602" i="4"/>
  <c r="B602" i="4"/>
  <c r="E602" i="4"/>
  <c r="D620" i="4"/>
  <c r="B620" i="4"/>
  <c r="F620" i="4"/>
  <c r="C620" i="4"/>
  <c r="E620" i="4"/>
  <c r="E1153" i="4"/>
  <c r="F1153" i="4"/>
  <c r="B1153" i="4"/>
  <c r="C1153" i="4"/>
  <c r="C1154" i="4"/>
  <c r="E1154" i="4"/>
  <c r="B1154" i="4"/>
  <c r="D1154" i="4"/>
  <c r="F1154" i="4"/>
  <c r="E1155" i="4"/>
  <c r="D1155" i="4"/>
  <c r="C1155" i="4"/>
  <c r="F1155" i="4"/>
  <c r="B1155" i="4"/>
  <c r="C1124" i="4"/>
  <c r="D1124" i="4"/>
  <c r="E1124" i="4"/>
  <c r="F1124" i="4"/>
  <c r="B1124" i="4"/>
  <c r="E815" i="4"/>
  <c r="B815" i="4"/>
  <c r="C815" i="4"/>
  <c r="D815" i="4"/>
  <c r="F815" i="4"/>
  <c r="C814" i="4"/>
  <c r="B814" i="4"/>
  <c r="D814" i="4"/>
  <c r="E814" i="4"/>
  <c r="F814" i="4"/>
  <c r="D682" i="4"/>
  <c r="C682" i="4"/>
  <c r="E682" i="4"/>
  <c r="B682" i="4"/>
  <c r="F682" i="4"/>
  <c r="D1153" i="4"/>
  <c r="K1472" i="3"/>
  <c r="I1472" i="3"/>
  <c r="G1393" i="4" s="1"/>
  <c r="F1472" i="3"/>
  <c r="A1472" i="3"/>
  <c r="A1348" i="3"/>
  <c r="F1348" i="3"/>
  <c r="I1348" i="3"/>
  <c r="G1355" i="4" s="1"/>
  <c r="K1348" i="3"/>
  <c r="A1346" i="3"/>
  <c r="F1346" i="3"/>
  <c r="I1346" i="3"/>
  <c r="G1353" i="4" s="1"/>
  <c r="K1346" i="3"/>
  <c r="A1327" i="3"/>
  <c r="F1327" i="3"/>
  <c r="I1327" i="3"/>
  <c r="G1334" i="4" s="1"/>
  <c r="K1327" i="3"/>
  <c r="A1325" i="3"/>
  <c r="F1325" i="3"/>
  <c r="I1325" i="3"/>
  <c r="G1332" i="4" s="1"/>
  <c r="K1325" i="3"/>
  <c r="A1323" i="3"/>
  <c r="F1323" i="3"/>
  <c r="I1323" i="3"/>
  <c r="G1330" i="4" s="1"/>
  <c r="K1323" i="3"/>
  <c r="A1315" i="3"/>
  <c r="F1315" i="3"/>
  <c r="I1315" i="3"/>
  <c r="G1322" i="4" s="1"/>
  <c r="K1315" i="3"/>
  <c r="A1311" i="3"/>
  <c r="F1311" i="3"/>
  <c r="I1311" i="3"/>
  <c r="G1318" i="4" s="1"/>
  <c r="K1311" i="3"/>
  <c r="A1309" i="3"/>
  <c r="F1309" i="3"/>
  <c r="I1309" i="3"/>
  <c r="G1316" i="4" s="1"/>
  <c r="K1309" i="3"/>
  <c r="A1292" i="3"/>
  <c r="F1292" i="3"/>
  <c r="I1292" i="3"/>
  <c r="G1299" i="4" s="1"/>
  <c r="K1292" i="3"/>
  <c r="A1293" i="3"/>
  <c r="F1293" i="3"/>
  <c r="I1293" i="3"/>
  <c r="G1300" i="4" s="1"/>
  <c r="K1293" i="3"/>
  <c r="A1289" i="3"/>
  <c r="F1289" i="3"/>
  <c r="I1289" i="3"/>
  <c r="G1296" i="4" s="1"/>
  <c r="K1289" i="3"/>
  <c r="A1290" i="3"/>
  <c r="F1290" i="3"/>
  <c r="I1290" i="3"/>
  <c r="G1297" i="4" s="1"/>
  <c r="K1290" i="3"/>
  <c r="A1262" i="3"/>
  <c r="F1262" i="3"/>
  <c r="I1262" i="3"/>
  <c r="G1269" i="4" s="1"/>
  <c r="K1262" i="3"/>
  <c r="A1263" i="3"/>
  <c r="F1263" i="3"/>
  <c r="I1263" i="3"/>
  <c r="G1270" i="4" s="1"/>
  <c r="K1263" i="3"/>
  <c r="K1256" i="3"/>
  <c r="I1256" i="3"/>
  <c r="G1263" i="4" s="1"/>
  <c r="F1256" i="3"/>
  <c r="A1256" i="3"/>
  <c r="K1249" i="3"/>
  <c r="I1249" i="3"/>
  <c r="G1256" i="4" s="1"/>
  <c r="F1249" i="3"/>
  <c r="A1249" i="3"/>
  <c r="A1239" i="3"/>
  <c r="F1239" i="3"/>
  <c r="I1239" i="3"/>
  <c r="G1246" i="4" s="1"/>
  <c r="K1239" i="3"/>
  <c r="A1229" i="3"/>
  <c r="F1229" i="3"/>
  <c r="I1229" i="3"/>
  <c r="G1236" i="4" s="1"/>
  <c r="K1229" i="3"/>
  <c r="H1205" i="3"/>
  <c r="A1205" i="3"/>
  <c r="F1205" i="3"/>
  <c r="I1205" i="3"/>
  <c r="G1212" i="4" s="1"/>
  <c r="K1205" i="3"/>
  <c r="A1192" i="3"/>
  <c r="F1192" i="3"/>
  <c r="I1192" i="3"/>
  <c r="G1199" i="4" s="1"/>
  <c r="K1192" i="3"/>
  <c r="A1190" i="3"/>
  <c r="F1190" i="3"/>
  <c r="I1190" i="3"/>
  <c r="G1197" i="4" s="1"/>
  <c r="K1190" i="3"/>
  <c r="A1176" i="3"/>
  <c r="F1176" i="3"/>
  <c r="I1176" i="3"/>
  <c r="G1183" i="4" s="1"/>
  <c r="K1176" i="3"/>
  <c r="A1174" i="3"/>
  <c r="F1174" i="3"/>
  <c r="I1174" i="3"/>
  <c r="G1181" i="4" s="1"/>
  <c r="K1174" i="3"/>
  <c r="A1161" i="3"/>
  <c r="F1161" i="3"/>
  <c r="I1161" i="3"/>
  <c r="G1168" i="4" s="1"/>
  <c r="K1161" i="3"/>
  <c r="A1158" i="3"/>
  <c r="F1158" i="3"/>
  <c r="I1158" i="3"/>
  <c r="G1165" i="4" s="1"/>
  <c r="K1158" i="3"/>
  <c r="A1128" i="3"/>
  <c r="F1128" i="3"/>
  <c r="I1128" i="3"/>
  <c r="G1135" i="4" s="1"/>
  <c r="K1128" i="3"/>
  <c r="A1121" i="3"/>
  <c r="F1121" i="3"/>
  <c r="I1121" i="3"/>
  <c r="G1128" i="4" s="1"/>
  <c r="K1121" i="3"/>
  <c r="K1093" i="3"/>
  <c r="I1093" i="3"/>
  <c r="G1100" i="4" s="1"/>
  <c r="F1093" i="3"/>
  <c r="A1093" i="3"/>
  <c r="A1364" i="3"/>
  <c r="A1365" i="3"/>
  <c r="A1225" i="3"/>
  <c r="A1226" i="3"/>
  <c r="A1227" i="3"/>
  <c r="A1228" i="3"/>
  <c r="A1230" i="3"/>
  <c r="A1231" i="3"/>
  <c r="A1232" i="3"/>
  <c r="A1233" i="3"/>
  <c r="A1234" i="3"/>
  <c r="A1235" i="3"/>
  <c r="A1236" i="3"/>
  <c r="A1237" i="3"/>
  <c r="A1238" i="3"/>
  <c r="A1240" i="3"/>
  <c r="A1241" i="3"/>
  <c r="A1242" i="3"/>
  <c r="A1243" i="3"/>
  <c r="A1244" i="3"/>
  <c r="A1245" i="3"/>
  <c r="A1246" i="3"/>
  <c r="A1247" i="3"/>
  <c r="A1248" i="3"/>
  <c r="A1250" i="3"/>
  <c r="A1251" i="3"/>
  <c r="A1252" i="3"/>
  <c r="A1253" i="3"/>
  <c r="A1254" i="3"/>
  <c r="A1255" i="3"/>
  <c r="A1257" i="3"/>
  <c r="A1258" i="3"/>
  <c r="A1259" i="3"/>
  <c r="A1260" i="3"/>
  <c r="A1261"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91" i="3"/>
  <c r="A1294" i="3"/>
  <c r="A1295" i="3"/>
  <c r="A1296" i="3"/>
  <c r="A1297" i="3"/>
  <c r="A1298" i="3"/>
  <c r="A1299" i="3"/>
  <c r="A1300" i="3"/>
  <c r="A1301" i="3"/>
  <c r="A1302" i="3"/>
  <c r="A1303" i="3"/>
  <c r="A1304" i="3"/>
  <c r="A1305" i="3"/>
  <c r="A1306" i="3"/>
  <c r="A1307" i="3"/>
  <c r="A1308" i="3"/>
  <c r="A1310" i="3"/>
  <c r="A1312" i="3"/>
  <c r="A1313" i="3"/>
  <c r="A1314" i="3"/>
  <c r="A1316" i="3"/>
  <c r="A1317" i="3"/>
  <c r="A1318" i="3"/>
  <c r="A1319" i="3"/>
  <c r="A1320" i="3"/>
  <c r="A1321" i="3"/>
  <c r="A1322" i="3"/>
  <c r="A1324" i="3"/>
  <c r="A1326" i="3"/>
  <c r="A1328" i="3"/>
  <c r="A1329" i="3"/>
  <c r="A1330" i="3"/>
  <c r="A1331" i="3"/>
  <c r="A1332" i="3"/>
  <c r="A1333" i="3"/>
  <c r="A1334" i="3"/>
  <c r="A1335" i="3"/>
  <c r="A1336" i="3"/>
  <c r="A1337" i="3"/>
  <c r="A1338" i="3"/>
  <c r="A1339" i="3"/>
  <c r="A1340" i="3"/>
  <c r="A1341" i="3"/>
  <c r="A1342" i="3"/>
  <c r="A1343" i="3"/>
  <c r="A1344" i="3"/>
  <c r="A1345" i="3"/>
  <c r="A1347" i="3"/>
  <c r="A1349" i="3"/>
  <c r="A1350" i="3"/>
  <c r="A1351" i="3"/>
  <c r="A1352" i="3"/>
  <c r="A1353" i="3"/>
  <c r="A1354" i="3"/>
  <c r="A1355" i="3"/>
  <c r="A1356" i="3"/>
  <c r="A1357" i="3"/>
  <c r="A1358" i="3"/>
  <c r="A1359" i="3"/>
  <c r="A1360" i="3"/>
  <c r="A1361" i="3"/>
  <c r="A1362" i="3"/>
  <c r="A1363" i="3"/>
  <c r="H1061" i="3"/>
  <c r="A1053" i="3"/>
  <c r="F1053" i="3"/>
  <c r="I1053" i="3"/>
  <c r="G1060" i="4" s="1"/>
  <c r="K1053" i="3"/>
  <c r="A1029" i="3"/>
  <c r="F1029" i="3"/>
  <c r="I1029" i="3"/>
  <c r="G1036" i="4" s="1"/>
  <c r="K1029" i="3"/>
  <c r="A1030" i="3"/>
  <c r="F1030" i="3"/>
  <c r="I1030" i="3"/>
  <c r="G1037" i="4" s="1"/>
  <c r="K1030" i="3"/>
  <c r="A1025" i="3"/>
  <c r="F1025" i="3"/>
  <c r="I1025" i="3"/>
  <c r="G1032" i="4" s="1"/>
  <c r="K1025" i="3"/>
  <c r="H1021" i="3"/>
  <c r="K1021" i="3" s="1"/>
  <c r="H1020" i="3"/>
  <c r="A1021" i="3"/>
  <c r="F1021" i="3"/>
  <c r="I1021" i="3"/>
  <c r="G1028" i="4" s="1"/>
  <c r="A1013" i="3"/>
  <c r="F1013" i="3"/>
  <c r="I1013" i="3"/>
  <c r="G1020" i="4" s="1"/>
  <c r="K1013" i="3"/>
  <c r="A1017" i="3"/>
  <c r="F1017" i="3"/>
  <c r="I1017" i="3"/>
  <c r="G1024" i="4" s="1"/>
  <c r="K1017" i="3"/>
  <c r="A1015" i="3"/>
  <c r="F1015" i="3"/>
  <c r="I1015" i="3"/>
  <c r="G1022" i="4" s="1"/>
  <c r="K1015" i="3"/>
  <c r="H975" i="3"/>
  <c r="K975" i="3" s="1"/>
  <c r="H974" i="3"/>
  <c r="A975" i="3"/>
  <c r="F975" i="3"/>
  <c r="I975" i="3"/>
  <c r="G982" i="4" s="1"/>
  <c r="A972" i="3"/>
  <c r="F972" i="3"/>
  <c r="I972" i="3"/>
  <c r="G979" i="4" s="1"/>
  <c r="K972" i="3"/>
  <c r="A961" i="3"/>
  <c r="F961" i="3"/>
  <c r="I961" i="3"/>
  <c r="G968" i="4" s="1"/>
  <c r="K961" i="3"/>
  <c r="H946" i="3"/>
  <c r="K946" i="3" s="1"/>
  <c r="A946" i="3"/>
  <c r="F946" i="3"/>
  <c r="I946" i="3"/>
  <c r="G953" i="4" s="1"/>
  <c r="A932" i="3"/>
  <c r="F932" i="3"/>
  <c r="I932" i="3"/>
  <c r="G939" i="4" s="1"/>
  <c r="K932" i="3"/>
  <c r="A929" i="3"/>
  <c r="F929" i="3"/>
  <c r="I929" i="3"/>
  <c r="G936" i="4" s="1"/>
  <c r="K929" i="3"/>
  <c r="A930" i="3"/>
  <c r="F930" i="3"/>
  <c r="I930" i="3"/>
  <c r="G937" i="4" s="1"/>
  <c r="K930" i="3"/>
  <c r="A931" i="3"/>
  <c r="F931" i="3"/>
  <c r="I931" i="3"/>
  <c r="G938" i="4" s="1"/>
  <c r="K931" i="3"/>
  <c r="A927" i="3"/>
  <c r="F927" i="3"/>
  <c r="I927" i="3"/>
  <c r="G934" i="4" s="1"/>
  <c r="K927" i="3"/>
  <c r="A917" i="3"/>
  <c r="F917" i="3"/>
  <c r="I917" i="3"/>
  <c r="G924" i="4" s="1"/>
  <c r="K917" i="3"/>
  <c r="A911" i="3"/>
  <c r="F911" i="3"/>
  <c r="I911" i="3"/>
  <c r="G918" i="4" s="1"/>
  <c r="K911" i="3"/>
  <c r="A894" i="3"/>
  <c r="F894" i="3"/>
  <c r="I894" i="3"/>
  <c r="G901" i="4" s="1"/>
  <c r="K894" i="3"/>
  <c r="A872" i="3"/>
  <c r="F872" i="3"/>
  <c r="I872" i="3"/>
  <c r="G879" i="4" s="1"/>
  <c r="K872" i="3"/>
  <c r="A874" i="3"/>
  <c r="F874" i="3"/>
  <c r="I874" i="3"/>
  <c r="G881" i="4" s="1"/>
  <c r="K874" i="3"/>
  <c r="A867" i="3"/>
  <c r="F867" i="3"/>
  <c r="I867" i="3"/>
  <c r="G874" i="4" s="1"/>
  <c r="K867" i="3"/>
  <c r="H862" i="3"/>
  <c r="A863" i="3"/>
  <c r="F863" i="3"/>
  <c r="I863" i="3"/>
  <c r="G870" i="4" s="1"/>
  <c r="K863" i="3"/>
  <c r="A832" i="3"/>
  <c r="F832" i="3"/>
  <c r="I832" i="3"/>
  <c r="G839" i="4" s="1"/>
  <c r="K832" i="3"/>
  <c r="A822" i="3"/>
  <c r="F822" i="3"/>
  <c r="I822" i="3"/>
  <c r="G829" i="4" s="1"/>
  <c r="K822" i="3"/>
  <c r="A818" i="3"/>
  <c r="F818" i="3"/>
  <c r="I818" i="3"/>
  <c r="G825" i="4" s="1"/>
  <c r="K818" i="3"/>
  <c r="K780" i="3"/>
  <c r="I780" i="3"/>
  <c r="G787" i="4" s="1"/>
  <c r="F780" i="3"/>
  <c r="A780" i="3"/>
  <c r="A746" i="3"/>
  <c r="F746" i="3"/>
  <c r="I746" i="3"/>
  <c r="G753" i="4" s="1"/>
  <c r="K746" i="3"/>
  <c r="A734" i="3"/>
  <c r="F734" i="3"/>
  <c r="I734" i="3"/>
  <c r="G741" i="4" s="1"/>
  <c r="K734" i="3"/>
  <c r="A741" i="3"/>
  <c r="F741" i="3"/>
  <c r="I741" i="3"/>
  <c r="G748" i="4" s="1"/>
  <c r="K741" i="3"/>
  <c r="H699" i="3"/>
  <c r="K699" i="3" s="1"/>
  <c r="H698" i="3"/>
  <c r="K698" i="3" s="1"/>
  <c r="H697" i="3"/>
  <c r="A698" i="3"/>
  <c r="F698" i="3"/>
  <c r="I698" i="3"/>
  <c r="G705" i="4" s="1"/>
  <c r="A699" i="3"/>
  <c r="F699" i="3"/>
  <c r="I699" i="3"/>
  <c r="G706" i="4" s="1"/>
  <c r="H694" i="3"/>
  <c r="A666" i="3"/>
  <c r="F666" i="3"/>
  <c r="I666" i="3"/>
  <c r="G673" i="4" s="1"/>
  <c r="K666" i="3"/>
  <c r="A667" i="3"/>
  <c r="F667" i="3"/>
  <c r="I667" i="3"/>
  <c r="G674" i="4" s="1"/>
  <c r="K667" i="3"/>
  <c r="A662" i="3"/>
  <c r="F662" i="3"/>
  <c r="I662" i="3"/>
  <c r="G669" i="4" s="1"/>
  <c r="K662" i="3"/>
  <c r="K616" i="3"/>
  <c r="I616" i="3"/>
  <c r="G623" i="4" s="1"/>
  <c r="F616" i="3"/>
  <c r="A616" i="3"/>
  <c r="A524" i="3"/>
  <c r="F524" i="3"/>
  <c r="I524" i="3"/>
  <c r="G531" i="4" s="1"/>
  <c r="K524" i="3"/>
  <c r="A518" i="3"/>
  <c r="F518" i="3"/>
  <c r="I518" i="3"/>
  <c r="G525" i="4" s="1"/>
  <c r="K518" i="3"/>
  <c r="A507" i="3"/>
  <c r="F507" i="3"/>
  <c r="I507" i="3"/>
  <c r="G514" i="4" s="1"/>
  <c r="K507" i="3"/>
  <c r="A508" i="3"/>
  <c r="F508" i="3"/>
  <c r="I508" i="3"/>
  <c r="G515" i="4" s="1"/>
  <c r="K508" i="3"/>
  <c r="K506" i="3"/>
  <c r="I506" i="3"/>
  <c r="G513" i="4" s="1"/>
  <c r="F506" i="3"/>
  <c r="A506" i="3"/>
  <c r="K498" i="3"/>
  <c r="I498" i="3"/>
  <c r="G505" i="4" s="1"/>
  <c r="F498" i="3"/>
  <c r="A498" i="3"/>
  <c r="H439" i="3"/>
  <c r="A435" i="3"/>
  <c r="F435" i="3"/>
  <c r="I435" i="3"/>
  <c r="G442" i="4" s="1"/>
  <c r="K435" i="3"/>
  <c r="A338" i="3"/>
  <c r="F338" i="3"/>
  <c r="I338" i="3"/>
  <c r="G345" i="4" s="1"/>
  <c r="K338" i="3"/>
  <c r="A331" i="3"/>
  <c r="F331" i="3"/>
  <c r="I331" i="3"/>
  <c r="G338" i="4" s="1"/>
  <c r="K331" i="3"/>
  <c r="K297" i="3"/>
  <c r="A297" i="3"/>
  <c r="F297" i="3"/>
  <c r="I297" i="3"/>
  <c r="G304" i="4" s="1"/>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2" i="3"/>
  <c r="A333" i="3"/>
  <c r="A334" i="3"/>
  <c r="A335" i="3"/>
  <c r="A336" i="3"/>
  <c r="A337"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6" i="3"/>
  <c r="A437" i="3"/>
  <c r="A438" i="3"/>
  <c r="A439" i="3"/>
  <c r="A180" i="3"/>
  <c r="K163" i="3"/>
  <c r="I163" i="3"/>
  <c r="G170" i="4" s="1"/>
  <c r="F163" i="3"/>
  <c r="A163" i="3"/>
  <c r="A133" i="3"/>
  <c r="F133" i="3"/>
  <c r="I133" i="3"/>
  <c r="G140" i="4" s="1"/>
  <c r="K133" i="3"/>
  <c r="A131" i="3"/>
  <c r="F131" i="3"/>
  <c r="I131" i="3"/>
  <c r="G138" i="4" s="1"/>
  <c r="K131"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2"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4" i="3"/>
  <c r="A165" i="3"/>
  <c r="A166" i="3"/>
  <c r="A167" i="3"/>
  <c r="A168" i="3"/>
  <c r="A169" i="3"/>
  <c r="A170" i="3"/>
  <c r="A171" i="3"/>
  <c r="A172" i="3"/>
  <c r="A173" i="3"/>
  <c r="A174" i="3"/>
  <c r="A175" i="3"/>
  <c r="A176" i="3"/>
  <c r="A177" i="3"/>
  <c r="D177" i="3" s="1"/>
  <c r="A178" i="3"/>
  <c r="D178" i="3" s="1"/>
  <c r="A9" i="3"/>
  <c r="B1" i="2"/>
  <c r="X5" i="12"/>
  <c r="X6" i="12" s="1"/>
  <c r="X7" i="12" s="1"/>
  <c r="X8" i="12" s="1"/>
  <c r="X9" i="12" s="1"/>
  <c r="X10" i="12" s="1"/>
  <c r="X11" i="12" s="1"/>
  <c r="X12" i="12" s="1"/>
  <c r="X13" i="12" s="1"/>
  <c r="X14" i="12" s="1"/>
  <c r="F6" i="3"/>
  <c r="I6" i="3"/>
  <c r="K6" i="3"/>
  <c r="F7" i="3"/>
  <c r="I7" i="3"/>
  <c r="G14" i="4" s="1"/>
  <c r="K7" i="3"/>
  <c r="K5" i="3"/>
  <c r="I5" i="3"/>
  <c r="F5" i="3"/>
  <c r="C1128" i="4" l="1"/>
  <c r="F1128" i="4"/>
  <c r="B1128" i="4"/>
  <c r="D1128" i="4"/>
  <c r="E1128" i="4"/>
  <c r="E1135" i="4"/>
  <c r="B1135" i="4"/>
  <c r="C1135" i="4"/>
  <c r="D1135" i="4"/>
  <c r="F1135" i="4"/>
  <c r="E1165" i="4"/>
  <c r="C1165" i="4"/>
  <c r="B1165" i="4"/>
  <c r="D1165" i="4"/>
  <c r="F1165" i="4"/>
  <c r="C1168" i="4"/>
  <c r="F1168" i="4"/>
  <c r="D1168" i="4"/>
  <c r="E1168" i="4"/>
  <c r="B1168" i="4"/>
  <c r="E1181" i="4"/>
  <c r="C1181" i="4"/>
  <c r="D1181" i="4"/>
  <c r="F1181" i="4"/>
  <c r="B1181" i="4"/>
  <c r="E1183" i="4"/>
  <c r="B1183" i="4"/>
  <c r="F1183" i="4"/>
  <c r="C1183" i="4"/>
  <c r="D1183" i="4"/>
  <c r="E1197" i="4"/>
  <c r="C1197" i="4"/>
  <c r="B1197" i="4"/>
  <c r="D1197" i="4"/>
  <c r="F1197" i="4"/>
  <c r="E1199" i="4"/>
  <c r="B1199" i="4"/>
  <c r="C1199" i="4"/>
  <c r="D1199" i="4"/>
  <c r="F1199" i="4"/>
  <c r="C1212" i="4"/>
  <c r="D1212" i="4"/>
  <c r="B1212" i="4"/>
  <c r="E1212" i="4"/>
  <c r="F1212" i="4"/>
  <c r="C1256" i="4"/>
  <c r="F1256" i="4"/>
  <c r="B1256" i="4"/>
  <c r="D1256" i="4"/>
  <c r="E1256" i="4"/>
  <c r="E1263" i="4"/>
  <c r="B1263" i="4"/>
  <c r="C1263" i="4"/>
  <c r="D1263" i="4"/>
  <c r="F1263" i="4"/>
  <c r="B1393" i="4"/>
  <c r="F1393" i="4"/>
  <c r="C1393" i="4"/>
  <c r="D1393" i="4"/>
  <c r="E1393" i="4"/>
  <c r="D748" i="4"/>
  <c r="B748" i="4"/>
  <c r="F748" i="4"/>
  <c r="C748" i="4"/>
  <c r="E748" i="4"/>
  <c r="B741" i="4"/>
  <c r="F741" i="4"/>
  <c r="E741" i="4"/>
  <c r="C741" i="4"/>
  <c r="D741" i="4"/>
  <c r="B753" i="4"/>
  <c r="F753" i="4"/>
  <c r="D753" i="4"/>
  <c r="E753" i="4"/>
  <c r="C753" i="4"/>
  <c r="E825" i="4"/>
  <c r="F825" i="4"/>
  <c r="B825" i="4"/>
  <c r="C825" i="4"/>
  <c r="D825" i="4"/>
  <c r="E829" i="4"/>
  <c r="C829" i="4"/>
  <c r="D829" i="4"/>
  <c r="F829" i="4"/>
  <c r="B829" i="4"/>
  <c r="E839" i="4"/>
  <c r="B839" i="4"/>
  <c r="C839" i="4"/>
  <c r="D839" i="4"/>
  <c r="F839" i="4"/>
  <c r="C870" i="4"/>
  <c r="B870" i="4"/>
  <c r="F870" i="4"/>
  <c r="D870" i="4"/>
  <c r="E870" i="4"/>
  <c r="E953" i="4"/>
  <c r="F953" i="4"/>
  <c r="B953" i="4"/>
  <c r="C953" i="4"/>
  <c r="D953" i="4"/>
  <c r="C982" i="4"/>
  <c r="B982" i="4"/>
  <c r="D982" i="4"/>
  <c r="E982" i="4"/>
  <c r="F982" i="4"/>
  <c r="C1236" i="4"/>
  <c r="D1236" i="4"/>
  <c r="B1236" i="4"/>
  <c r="E1236" i="4"/>
  <c r="F1236" i="4"/>
  <c r="C1246" i="4"/>
  <c r="B1246" i="4"/>
  <c r="E1246" i="4"/>
  <c r="F1246" i="4"/>
  <c r="D1246" i="4"/>
  <c r="C1270" i="4"/>
  <c r="B1270" i="4"/>
  <c r="D1270" i="4"/>
  <c r="E1270" i="4"/>
  <c r="F1270" i="4"/>
  <c r="E1269" i="4"/>
  <c r="C1269" i="4"/>
  <c r="B1269" i="4"/>
  <c r="D1269" i="4"/>
  <c r="F1269" i="4"/>
  <c r="B1297" i="4"/>
  <c r="F1297" i="4"/>
  <c r="C1297" i="4"/>
  <c r="D1297" i="4"/>
  <c r="E1297" i="4"/>
  <c r="D1296" i="4"/>
  <c r="C1296" i="4"/>
  <c r="E1296" i="4"/>
  <c r="B1296" i="4"/>
  <c r="F1296" i="4"/>
  <c r="D1300" i="4"/>
  <c r="F1300" i="4"/>
  <c r="B1300" i="4"/>
  <c r="C1300" i="4"/>
  <c r="E1300" i="4"/>
  <c r="B1299" i="4"/>
  <c r="F1299" i="4"/>
  <c r="C1299" i="4"/>
  <c r="D1299" i="4"/>
  <c r="E1299" i="4"/>
  <c r="D1316" i="4"/>
  <c r="F1316" i="4"/>
  <c r="B1316" i="4"/>
  <c r="C1316" i="4"/>
  <c r="E1316" i="4"/>
  <c r="D1318" i="4"/>
  <c r="E1318" i="4"/>
  <c r="F1318" i="4"/>
  <c r="B1318" i="4"/>
  <c r="C1318" i="4"/>
  <c r="D1322" i="4"/>
  <c r="B1322" i="4"/>
  <c r="C1322" i="4"/>
  <c r="E1322" i="4"/>
  <c r="F1322" i="4"/>
  <c r="D1330" i="4"/>
  <c r="B1330" i="4"/>
  <c r="C1330" i="4"/>
  <c r="E1330" i="4"/>
  <c r="F1330" i="4"/>
  <c r="D1332" i="4"/>
  <c r="F1332" i="4"/>
  <c r="B1332" i="4"/>
  <c r="C1332" i="4"/>
  <c r="E1332" i="4"/>
  <c r="D1334" i="4"/>
  <c r="E1334" i="4"/>
  <c r="F1334" i="4"/>
  <c r="B1334" i="4"/>
  <c r="C1334" i="4"/>
  <c r="B1353" i="4"/>
  <c r="F1353" i="4"/>
  <c r="C1353" i="4"/>
  <c r="D1353" i="4"/>
  <c r="E1353" i="4"/>
  <c r="B1355" i="4"/>
  <c r="F1355" i="4"/>
  <c r="C1355" i="4"/>
  <c r="D1355" i="4"/>
  <c r="E1355" i="4"/>
  <c r="B787" i="4"/>
  <c r="F787" i="4"/>
  <c r="C787" i="4"/>
  <c r="E787" i="4"/>
  <c r="D787" i="4"/>
  <c r="C1032" i="4"/>
  <c r="F1032" i="4"/>
  <c r="B1032" i="4"/>
  <c r="D1032" i="4"/>
  <c r="E1032" i="4"/>
  <c r="C1036" i="4"/>
  <c r="D1036" i="4"/>
  <c r="F1036" i="4"/>
  <c r="B1036" i="4"/>
  <c r="E1036" i="4"/>
  <c r="E170" i="4"/>
  <c r="B170" i="4"/>
  <c r="C170" i="4"/>
  <c r="D170" i="4"/>
  <c r="F170" i="4"/>
  <c r="B338" i="4"/>
  <c r="F338" i="4"/>
  <c r="D338" i="4"/>
  <c r="C338" i="4"/>
  <c r="E338" i="4"/>
  <c r="D345" i="4"/>
  <c r="E345" i="4"/>
  <c r="C345" i="4"/>
  <c r="B345" i="4"/>
  <c r="F345" i="4"/>
  <c r="B442" i="4"/>
  <c r="F442" i="4"/>
  <c r="D442" i="4"/>
  <c r="E442" i="4"/>
  <c r="C442" i="4"/>
  <c r="D505" i="4"/>
  <c r="E505" i="4"/>
  <c r="C505" i="4"/>
  <c r="B505" i="4"/>
  <c r="F505" i="4"/>
  <c r="D513" i="4"/>
  <c r="E513" i="4"/>
  <c r="F513" i="4"/>
  <c r="B513" i="4"/>
  <c r="C513" i="4"/>
  <c r="B623" i="4"/>
  <c r="F623" i="4"/>
  <c r="E623" i="4"/>
  <c r="C623" i="4"/>
  <c r="D623" i="4"/>
  <c r="B705" i="4"/>
  <c r="F705" i="4"/>
  <c r="D705" i="4"/>
  <c r="E705" i="4"/>
  <c r="C705" i="4"/>
  <c r="C874" i="4"/>
  <c r="E874" i="4"/>
  <c r="D874" i="4"/>
  <c r="B874" i="4"/>
  <c r="F874" i="4"/>
  <c r="E881" i="4"/>
  <c r="F881" i="4"/>
  <c r="D881" i="4"/>
  <c r="C881" i="4"/>
  <c r="B881" i="4"/>
  <c r="E879" i="4"/>
  <c r="B879" i="4"/>
  <c r="C879" i="4"/>
  <c r="F879" i="4"/>
  <c r="D879" i="4"/>
  <c r="E901" i="4"/>
  <c r="C901" i="4"/>
  <c r="F901" i="4"/>
  <c r="B901" i="4"/>
  <c r="D901" i="4"/>
  <c r="C918" i="4"/>
  <c r="B918" i="4"/>
  <c r="D918" i="4"/>
  <c r="E918" i="4"/>
  <c r="F918" i="4"/>
  <c r="C924" i="4"/>
  <c r="D924" i="4"/>
  <c r="B924" i="4"/>
  <c r="E924" i="4"/>
  <c r="F924" i="4"/>
  <c r="C934" i="4"/>
  <c r="B934" i="4"/>
  <c r="F934" i="4"/>
  <c r="D934" i="4"/>
  <c r="E934" i="4"/>
  <c r="C938" i="4"/>
  <c r="E938" i="4"/>
  <c r="D938" i="4"/>
  <c r="B938" i="4"/>
  <c r="F938" i="4"/>
  <c r="E937" i="4"/>
  <c r="F937" i="4"/>
  <c r="C937" i="4"/>
  <c r="B937" i="4"/>
  <c r="D937" i="4"/>
  <c r="C936" i="4"/>
  <c r="F936" i="4"/>
  <c r="B936" i="4"/>
  <c r="E936" i="4"/>
  <c r="D936" i="4"/>
  <c r="E939" i="4"/>
  <c r="D939" i="4"/>
  <c r="F939" i="4"/>
  <c r="B939" i="4"/>
  <c r="C939" i="4"/>
  <c r="C968" i="4"/>
  <c r="F968" i="4"/>
  <c r="B968" i="4"/>
  <c r="D968" i="4"/>
  <c r="E968" i="4"/>
  <c r="E979" i="4"/>
  <c r="D979" i="4"/>
  <c r="C979" i="4"/>
  <c r="F979" i="4"/>
  <c r="B979" i="4"/>
  <c r="C1028" i="4"/>
  <c r="D1028" i="4"/>
  <c r="E1028" i="4"/>
  <c r="F1028" i="4"/>
  <c r="B1028" i="4"/>
  <c r="E1037" i="4"/>
  <c r="C1037" i="4"/>
  <c r="B1037" i="4"/>
  <c r="D1037" i="4"/>
  <c r="F1037" i="4"/>
  <c r="C1060" i="4"/>
  <c r="D1060" i="4"/>
  <c r="E1060" i="4"/>
  <c r="F1060" i="4"/>
  <c r="B1060" i="4"/>
  <c r="B14" i="4"/>
  <c r="F14" i="4"/>
  <c r="C14" i="4"/>
  <c r="E14" i="4"/>
  <c r="D14" i="4"/>
  <c r="B304" i="4"/>
  <c r="F304" i="4"/>
  <c r="E304" i="4"/>
  <c r="C304" i="4"/>
  <c r="D304" i="4"/>
  <c r="E138" i="4"/>
  <c r="B138" i="4"/>
  <c r="C138" i="4"/>
  <c r="D138" i="4"/>
  <c r="F138" i="4"/>
  <c r="E140" i="4"/>
  <c r="F140" i="4"/>
  <c r="D140" i="4"/>
  <c r="B140" i="4"/>
  <c r="C140" i="4"/>
  <c r="D515" i="4"/>
  <c r="C515" i="4"/>
  <c r="E515" i="4"/>
  <c r="B515" i="4"/>
  <c r="F515" i="4"/>
  <c r="B514" i="4"/>
  <c r="F514" i="4"/>
  <c r="D514" i="4"/>
  <c r="C514" i="4"/>
  <c r="E514" i="4"/>
  <c r="D525" i="4"/>
  <c r="B525" i="4"/>
  <c r="E525" i="4"/>
  <c r="F525" i="4"/>
  <c r="C525" i="4"/>
  <c r="D531" i="4"/>
  <c r="C531" i="4"/>
  <c r="E531" i="4"/>
  <c r="B531" i="4"/>
  <c r="F531" i="4"/>
  <c r="B669" i="4"/>
  <c r="F669" i="4"/>
  <c r="D669" i="4"/>
  <c r="C669" i="4"/>
  <c r="E669" i="4"/>
  <c r="D674" i="4"/>
  <c r="C674" i="4"/>
  <c r="B674" i="4"/>
  <c r="E674" i="4"/>
  <c r="F674" i="4"/>
  <c r="B673" i="4"/>
  <c r="F673" i="4"/>
  <c r="D673" i="4"/>
  <c r="C673" i="4"/>
  <c r="E673" i="4"/>
  <c r="D706" i="4"/>
  <c r="C706" i="4"/>
  <c r="B706" i="4"/>
  <c r="E706" i="4"/>
  <c r="F706" i="4"/>
  <c r="C1022" i="4"/>
  <c r="B1022" i="4"/>
  <c r="E1022" i="4"/>
  <c r="F1022" i="4"/>
  <c r="D1022" i="4"/>
  <c r="C1024" i="4"/>
  <c r="F1024" i="4"/>
  <c r="B1024" i="4"/>
  <c r="D1024" i="4"/>
  <c r="E1024" i="4"/>
  <c r="C1020" i="4"/>
  <c r="D1020" i="4"/>
  <c r="B1020" i="4"/>
  <c r="E1020" i="4"/>
  <c r="F1020" i="4"/>
  <c r="C1100" i="4"/>
  <c r="D1100" i="4"/>
  <c r="F1100" i="4"/>
  <c r="B1100" i="4"/>
  <c r="E1100" i="4"/>
  <c r="B9" i="13"/>
  <c r="P5" i="12"/>
  <c r="H7" i="13"/>
  <c r="H1" i="13" s="1"/>
  <c r="I7" i="13"/>
  <c r="I1" i="13" s="1"/>
  <c r="J7" i="13"/>
  <c r="K7" i="13"/>
  <c r="L7" i="13"/>
  <c r="L1" i="13" s="1"/>
  <c r="M7" i="13"/>
  <c r="M1" i="13" s="1"/>
  <c r="N7" i="13"/>
  <c r="N1" i="13" s="1"/>
  <c r="B6" i="13"/>
  <c r="B5" i="13"/>
  <c r="D1" i="13"/>
  <c r="E1" i="13"/>
  <c r="F1" i="13"/>
  <c r="G1" i="13"/>
  <c r="K1" i="13"/>
  <c r="C1" i="13"/>
  <c r="K439" i="3"/>
  <c r="I439" i="3"/>
  <c r="G446" i="4" s="1"/>
  <c r="F439" i="3"/>
  <c r="H5" i="12"/>
  <c r="Q2" i="9"/>
  <c r="R2" i="9" s="1"/>
  <c r="A693" i="3"/>
  <c r="F693" i="3"/>
  <c r="I693" i="3"/>
  <c r="G700" i="4" s="1"/>
  <c r="K693" i="3"/>
  <c r="K610" i="3"/>
  <c r="I610" i="3"/>
  <c r="G617" i="4" s="1"/>
  <c r="F610" i="3"/>
  <c r="A610" i="3"/>
  <c r="K502" i="3"/>
  <c r="I502" i="3"/>
  <c r="G509" i="4" s="1"/>
  <c r="F502" i="3"/>
  <c r="A502" i="3"/>
  <c r="K497" i="3"/>
  <c r="I497" i="3"/>
  <c r="G504" i="4" s="1"/>
  <c r="F497" i="3"/>
  <c r="A497" i="3"/>
  <c r="K469" i="3"/>
  <c r="I469" i="3"/>
  <c r="G476" i="4" s="1"/>
  <c r="F469" i="3"/>
  <c r="A469" i="3"/>
  <c r="K461" i="3"/>
  <c r="I461" i="3"/>
  <c r="G468" i="4" s="1"/>
  <c r="F461" i="3"/>
  <c r="A461" i="3"/>
  <c r="K463" i="3"/>
  <c r="I463" i="3"/>
  <c r="G470" i="4" s="1"/>
  <c r="F463" i="3"/>
  <c r="A463" i="3"/>
  <c r="K457" i="3"/>
  <c r="I457" i="3"/>
  <c r="G464" i="4" s="1"/>
  <c r="F457" i="3"/>
  <c r="A457" i="3"/>
  <c r="K418" i="3"/>
  <c r="I418" i="3"/>
  <c r="G425" i="4" s="1"/>
  <c r="F418" i="3"/>
  <c r="F320" i="3"/>
  <c r="I320" i="3"/>
  <c r="G327" i="4" s="1"/>
  <c r="K320" i="3"/>
  <c r="F215" i="3"/>
  <c r="I215" i="3"/>
  <c r="G222" i="4" s="1"/>
  <c r="K215" i="3"/>
  <c r="A444" i="3"/>
  <c r="F444" i="3"/>
  <c r="I444" i="3"/>
  <c r="G451" i="4" s="1"/>
  <c r="K444" i="3"/>
  <c r="A443" i="3"/>
  <c r="F443" i="3"/>
  <c r="I443" i="3"/>
  <c r="G450" i="4" s="1"/>
  <c r="K443" i="3"/>
  <c r="K441" i="3"/>
  <c r="I441" i="3"/>
  <c r="G448" i="4" s="1"/>
  <c r="F441" i="3"/>
  <c r="A44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8" i="3"/>
  <c r="A1119" i="3"/>
  <c r="A1120" i="3"/>
  <c r="A1122" i="3"/>
  <c r="A1123" i="3"/>
  <c r="A1124" i="3"/>
  <c r="A1125" i="3"/>
  <c r="A1126" i="3"/>
  <c r="A1127" i="3"/>
  <c r="A1129" i="3"/>
  <c r="A1130" i="3"/>
  <c r="A1131" i="3"/>
  <c r="A1132" i="3"/>
  <c r="A1133" i="3"/>
  <c r="A1134" i="3"/>
  <c r="A1135" i="3"/>
  <c r="A1136" i="3"/>
  <c r="A1137" i="3"/>
  <c r="A1138" i="3"/>
  <c r="A1139" i="3"/>
  <c r="A1140" i="3"/>
  <c r="A1141" i="3"/>
  <c r="A1142" i="3"/>
  <c r="A1143" i="3"/>
  <c r="A1144" i="3"/>
  <c r="A1145" i="3"/>
  <c r="A1149" i="3"/>
  <c r="A1150" i="3"/>
  <c r="A1151" i="3"/>
  <c r="A1152" i="3"/>
  <c r="A1153" i="3"/>
  <c r="A1154" i="3"/>
  <c r="A1155" i="3"/>
  <c r="A1156" i="3"/>
  <c r="A1157" i="3"/>
  <c r="A1159" i="3"/>
  <c r="A1160" i="3"/>
  <c r="A1162" i="3"/>
  <c r="A1163" i="3"/>
  <c r="A1164" i="3"/>
  <c r="A1165" i="3"/>
  <c r="A1166" i="3"/>
  <c r="A1167" i="3"/>
  <c r="A1168" i="3"/>
  <c r="A1169" i="3"/>
  <c r="A1170" i="3"/>
  <c r="A1171" i="3"/>
  <c r="A1172" i="3"/>
  <c r="A1173" i="3"/>
  <c r="A1175" i="3"/>
  <c r="A1177" i="3"/>
  <c r="A1178" i="3"/>
  <c r="A1179" i="3"/>
  <c r="A1180" i="3"/>
  <c r="A1181" i="3"/>
  <c r="A1182" i="3"/>
  <c r="A1183" i="3"/>
  <c r="A1184" i="3"/>
  <c r="A1185" i="3"/>
  <c r="A1186" i="3"/>
  <c r="A1187" i="3"/>
  <c r="A1188" i="3"/>
  <c r="A1189" i="3"/>
  <c r="A1191" i="3"/>
  <c r="A1193" i="3"/>
  <c r="A1194" i="3"/>
  <c r="A1195" i="3"/>
  <c r="A1196" i="3"/>
  <c r="A1197" i="3"/>
  <c r="A1198" i="3"/>
  <c r="A1199" i="3"/>
  <c r="A1200" i="3"/>
  <c r="A1201" i="3"/>
  <c r="A1202" i="3"/>
  <c r="A1203" i="3"/>
  <c r="A1204" i="3"/>
  <c r="A1206" i="3"/>
  <c r="A1207" i="3"/>
  <c r="A1208" i="3"/>
  <c r="A1209" i="3"/>
  <c r="A1210" i="3"/>
  <c r="A1211" i="3"/>
  <c r="A1212" i="3"/>
  <c r="A1213" i="3"/>
  <c r="A1214" i="3"/>
  <c r="A1215" i="3"/>
  <c r="A1216" i="3"/>
  <c r="A1217" i="3"/>
  <c r="A1218" i="3"/>
  <c r="A1219" i="3"/>
  <c r="A1220" i="3"/>
  <c r="A1221" i="3"/>
  <c r="A1222" i="3"/>
  <c r="A1223" i="3"/>
  <c r="A1224"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8" i="3"/>
  <c r="K1119" i="3"/>
  <c r="K1120" i="3"/>
  <c r="K1122" i="3"/>
  <c r="K1123" i="3"/>
  <c r="K1124" i="3"/>
  <c r="K1125" i="3"/>
  <c r="K1126" i="3"/>
  <c r="K1127" i="3"/>
  <c r="K1129" i="3"/>
  <c r="K1130" i="3"/>
  <c r="K1131" i="3"/>
  <c r="K1132" i="3"/>
  <c r="K1133" i="3"/>
  <c r="K1134" i="3"/>
  <c r="K1135" i="3"/>
  <c r="K1136" i="3"/>
  <c r="K1137" i="3"/>
  <c r="K1138" i="3"/>
  <c r="K1139" i="3"/>
  <c r="K1140" i="3"/>
  <c r="K1141" i="3"/>
  <c r="K1142" i="3"/>
  <c r="K1143" i="3"/>
  <c r="K1144" i="3"/>
  <c r="K1145" i="3"/>
  <c r="K1149" i="3"/>
  <c r="K1150" i="3"/>
  <c r="K1151" i="3"/>
  <c r="K1152" i="3"/>
  <c r="K1153" i="3"/>
  <c r="K1154" i="3"/>
  <c r="K1155" i="3"/>
  <c r="K1156" i="3"/>
  <c r="K1157" i="3"/>
  <c r="K1159" i="3"/>
  <c r="K1160" i="3"/>
  <c r="K1162" i="3"/>
  <c r="K1163" i="3"/>
  <c r="K1164" i="3"/>
  <c r="K1165" i="3"/>
  <c r="K1166" i="3"/>
  <c r="K1167" i="3"/>
  <c r="K1168" i="3"/>
  <c r="K1169" i="3"/>
  <c r="K1170" i="3"/>
  <c r="K1171" i="3"/>
  <c r="K1172" i="3"/>
  <c r="K1173" i="3"/>
  <c r="K1175" i="3"/>
  <c r="K1177" i="3"/>
  <c r="K1178" i="3"/>
  <c r="K1179" i="3"/>
  <c r="K1180" i="3"/>
  <c r="K1181" i="3"/>
  <c r="K1182" i="3"/>
  <c r="K1183" i="3"/>
  <c r="K1184" i="3"/>
  <c r="K1185" i="3"/>
  <c r="K1186" i="3"/>
  <c r="K1187" i="3"/>
  <c r="K1188" i="3"/>
  <c r="K1189" i="3"/>
  <c r="K1191" i="3"/>
  <c r="K1193" i="3"/>
  <c r="K1194" i="3"/>
  <c r="K1195" i="3"/>
  <c r="K1196" i="3"/>
  <c r="K1197" i="3"/>
  <c r="K1198" i="3"/>
  <c r="K1199" i="3"/>
  <c r="K1200" i="3"/>
  <c r="K1201" i="3"/>
  <c r="K1202" i="3"/>
  <c r="K1203" i="3"/>
  <c r="K1204"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30" i="3"/>
  <c r="K1231" i="3"/>
  <c r="K1232" i="3"/>
  <c r="K1233" i="3"/>
  <c r="K1234" i="3"/>
  <c r="K1235" i="3"/>
  <c r="K1236" i="3"/>
  <c r="K1237" i="3"/>
  <c r="K1238" i="3"/>
  <c r="K1240" i="3"/>
  <c r="K1241" i="3"/>
  <c r="K1242" i="3"/>
  <c r="K1243" i="3"/>
  <c r="K1244" i="3"/>
  <c r="K1245" i="3"/>
  <c r="K1246" i="3"/>
  <c r="K1247" i="3"/>
  <c r="K1248" i="3"/>
  <c r="K1250" i="3"/>
  <c r="K1251" i="3"/>
  <c r="K1252" i="3"/>
  <c r="K1253" i="3"/>
  <c r="K1254" i="3"/>
  <c r="K1255" i="3"/>
  <c r="K1257" i="3"/>
  <c r="K1258" i="3"/>
  <c r="K1259" i="3"/>
  <c r="K1260" i="3"/>
  <c r="K1261"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91" i="3"/>
  <c r="K1294" i="3"/>
  <c r="K1295" i="3"/>
  <c r="K1296" i="3"/>
  <c r="K1297" i="3"/>
  <c r="K1298" i="3"/>
  <c r="K1299" i="3"/>
  <c r="K1300" i="3"/>
  <c r="K1301" i="3"/>
  <c r="K1302" i="3"/>
  <c r="K1303" i="3"/>
  <c r="K1304" i="3"/>
  <c r="K1305" i="3"/>
  <c r="K1306" i="3"/>
  <c r="K1307" i="3"/>
  <c r="K1308" i="3"/>
  <c r="K1310" i="3"/>
  <c r="K1312" i="3"/>
  <c r="K1313" i="3"/>
  <c r="K1314" i="3"/>
  <c r="K1316" i="3"/>
  <c r="K1317" i="3"/>
  <c r="K1318" i="3"/>
  <c r="K1319" i="3"/>
  <c r="K1320" i="3"/>
  <c r="K1321" i="3"/>
  <c r="K1322" i="3"/>
  <c r="K1324" i="3"/>
  <c r="K1326" i="3"/>
  <c r="K1328" i="3"/>
  <c r="K1329" i="3"/>
  <c r="K1330" i="3"/>
  <c r="K1331" i="3"/>
  <c r="K1332" i="3"/>
  <c r="K1333" i="3"/>
  <c r="K1334" i="3"/>
  <c r="K1335" i="3"/>
  <c r="K1336" i="3"/>
  <c r="K1337" i="3"/>
  <c r="K1338" i="3"/>
  <c r="K1339" i="3"/>
  <c r="K1340" i="3"/>
  <c r="K1341" i="3"/>
  <c r="K1342" i="3"/>
  <c r="K1343" i="3"/>
  <c r="K1344" i="3"/>
  <c r="K1345" i="3"/>
  <c r="K1347"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9" i="3"/>
  <c r="K1380" i="3"/>
  <c r="K1382" i="3"/>
  <c r="K1383" i="3"/>
  <c r="K1384" i="3"/>
  <c r="K1385" i="3"/>
  <c r="K1386" i="3"/>
  <c r="K1387" i="3"/>
  <c r="K1388" i="3"/>
  <c r="K1389" i="3"/>
  <c r="K1390" i="3"/>
  <c r="K1391" i="3"/>
  <c r="K1392" i="3"/>
  <c r="K1393" i="3"/>
  <c r="K1394" i="3"/>
  <c r="K1395" i="3"/>
  <c r="K1396" i="3"/>
  <c r="K1397" i="3"/>
  <c r="K1398" i="3"/>
  <c r="K1399" i="3"/>
  <c r="K1400" i="3"/>
  <c r="K1402" i="3"/>
  <c r="K1404" i="3"/>
  <c r="K1405" i="3"/>
  <c r="K1406" i="3"/>
  <c r="K1407" i="3"/>
  <c r="K1408" i="3"/>
  <c r="K1409" i="3"/>
  <c r="K1410" i="3"/>
  <c r="K1411" i="3"/>
  <c r="K1413" i="3"/>
  <c r="K1415"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50" i="3"/>
  <c r="K1451" i="3"/>
  <c r="K1452" i="3"/>
  <c r="K1453" i="3"/>
  <c r="K1454" i="3"/>
  <c r="K1455" i="3"/>
  <c r="K1457" i="3"/>
  <c r="K1459" i="3"/>
  <c r="K1460" i="3"/>
  <c r="K1461" i="3"/>
  <c r="K1462" i="3"/>
  <c r="K1463" i="3"/>
  <c r="K1464" i="3"/>
  <c r="K1465" i="3"/>
  <c r="K1466" i="3"/>
  <c r="K1467" i="3"/>
  <c r="K1468" i="3"/>
  <c r="K1469" i="3"/>
  <c r="K1470" i="3"/>
  <c r="K1471"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8" i="3"/>
  <c r="F1119" i="3"/>
  <c r="F1120" i="3"/>
  <c r="F1122" i="3"/>
  <c r="F1123" i="3"/>
  <c r="F1124" i="3"/>
  <c r="F1125" i="3"/>
  <c r="F1126" i="3"/>
  <c r="F1127" i="3"/>
  <c r="F1129" i="3"/>
  <c r="F1130" i="3"/>
  <c r="F1131" i="3"/>
  <c r="F1132" i="3"/>
  <c r="F1133" i="3"/>
  <c r="F1134" i="3"/>
  <c r="F1135" i="3"/>
  <c r="F1136" i="3"/>
  <c r="F1137" i="3"/>
  <c r="F1138" i="3"/>
  <c r="F1139" i="3"/>
  <c r="F1140" i="3"/>
  <c r="F1141" i="3"/>
  <c r="F1142" i="3"/>
  <c r="F1143" i="3"/>
  <c r="F1144" i="3"/>
  <c r="F1145" i="3"/>
  <c r="F1149" i="3"/>
  <c r="F1150" i="3"/>
  <c r="F1151" i="3"/>
  <c r="F1152" i="3"/>
  <c r="F1153" i="3"/>
  <c r="F1154" i="3"/>
  <c r="F1155" i="3"/>
  <c r="F1156" i="3"/>
  <c r="F1157" i="3"/>
  <c r="F1159" i="3"/>
  <c r="F1160" i="3"/>
  <c r="F1162" i="3"/>
  <c r="F1163" i="3"/>
  <c r="F1164" i="3"/>
  <c r="F1165" i="3"/>
  <c r="F1166" i="3"/>
  <c r="F1167" i="3"/>
  <c r="F1168" i="3"/>
  <c r="F1169" i="3"/>
  <c r="F1170" i="3"/>
  <c r="F1171" i="3"/>
  <c r="F1172" i="3"/>
  <c r="F1173" i="3"/>
  <c r="F1175" i="3"/>
  <c r="F1177" i="3"/>
  <c r="F1178" i="3"/>
  <c r="F1179" i="3"/>
  <c r="F1180" i="3"/>
  <c r="F1181" i="3"/>
  <c r="F1182" i="3"/>
  <c r="F1183" i="3"/>
  <c r="F1184" i="3"/>
  <c r="F1185" i="3"/>
  <c r="F1186" i="3"/>
  <c r="F1187" i="3"/>
  <c r="F1188" i="3"/>
  <c r="F1189" i="3"/>
  <c r="F1191" i="3"/>
  <c r="F1193" i="3"/>
  <c r="F1194" i="3"/>
  <c r="F1195" i="3"/>
  <c r="F1196" i="3"/>
  <c r="F1197" i="3"/>
  <c r="F1198" i="3"/>
  <c r="F1199" i="3"/>
  <c r="F1200" i="3"/>
  <c r="F1201" i="3"/>
  <c r="F1202" i="3"/>
  <c r="F1203" i="3"/>
  <c r="F1204"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30" i="3"/>
  <c r="F1231" i="3"/>
  <c r="F1232" i="3"/>
  <c r="F1233" i="3"/>
  <c r="F1234" i="3"/>
  <c r="F1235" i="3"/>
  <c r="F1236" i="3"/>
  <c r="F1237" i="3"/>
  <c r="F1238" i="3"/>
  <c r="F1240" i="3"/>
  <c r="F1241" i="3"/>
  <c r="F1242" i="3"/>
  <c r="F1243" i="3"/>
  <c r="F1244" i="3"/>
  <c r="F1245" i="3"/>
  <c r="F1246" i="3"/>
  <c r="F1247" i="3"/>
  <c r="F1248" i="3"/>
  <c r="F1250" i="3"/>
  <c r="F1251" i="3"/>
  <c r="F1252" i="3"/>
  <c r="F1253" i="3"/>
  <c r="F1254" i="3"/>
  <c r="F1255" i="3"/>
  <c r="F1257" i="3"/>
  <c r="F1258" i="3"/>
  <c r="F1259" i="3"/>
  <c r="F1260" i="3"/>
  <c r="F1261"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91" i="3"/>
  <c r="F1294" i="3"/>
  <c r="F1295" i="3"/>
  <c r="F1296" i="3"/>
  <c r="F1297" i="3"/>
  <c r="F1298" i="3"/>
  <c r="F1299" i="3"/>
  <c r="F1300" i="3"/>
  <c r="F1301" i="3"/>
  <c r="F1302" i="3"/>
  <c r="F1303" i="3"/>
  <c r="F1304" i="3"/>
  <c r="F1305" i="3"/>
  <c r="F1306" i="3"/>
  <c r="F1307" i="3"/>
  <c r="F1308" i="3"/>
  <c r="F1310" i="3"/>
  <c r="F1312" i="3"/>
  <c r="F1313" i="3"/>
  <c r="F1314" i="3"/>
  <c r="F1316" i="3"/>
  <c r="F1317" i="3"/>
  <c r="F1318" i="3"/>
  <c r="F1319" i="3"/>
  <c r="F1320" i="3"/>
  <c r="F1321" i="3"/>
  <c r="F1322" i="3"/>
  <c r="F1324" i="3"/>
  <c r="F1326" i="3"/>
  <c r="F1328" i="3"/>
  <c r="F1329" i="3"/>
  <c r="F1330" i="3"/>
  <c r="F1331" i="3"/>
  <c r="F1332" i="3"/>
  <c r="F1333" i="3"/>
  <c r="F1334" i="3"/>
  <c r="F1335" i="3"/>
  <c r="F1336" i="3"/>
  <c r="F1337" i="3"/>
  <c r="F1338" i="3"/>
  <c r="F1339" i="3"/>
  <c r="F1340" i="3"/>
  <c r="F1341" i="3"/>
  <c r="F1342" i="3"/>
  <c r="F1343" i="3"/>
  <c r="F1344" i="3"/>
  <c r="F1345" i="3"/>
  <c r="F1347"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9" i="3"/>
  <c r="F1380" i="3"/>
  <c r="F1382" i="3"/>
  <c r="F1383" i="3"/>
  <c r="F1384" i="3"/>
  <c r="F1385" i="3"/>
  <c r="F1386" i="3"/>
  <c r="F1387" i="3"/>
  <c r="F1388" i="3"/>
  <c r="F1389" i="3"/>
  <c r="F1390" i="3"/>
  <c r="F1391" i="3"/>
  <c r="F1392" i="3"/>
  <c r="F1393" i="3"/>
  <c r="F1394" i="3"/>
  <c r="F1395" i="3"/>
  <c r="F1396" i="3"/>
  <c r="F1397" i="3"/>
  <c r="F1398" i="3"/>
  <c r="F1399" i="3"/>
  <c r="F1400" i="3"/>
  <c r="F1402" i="3"/>
  <c r="F1404" i="3"/>
  <c r="F1405" i="3"/>
  <c r="F1406" i="3"/>
  <c r="F1407" i="3"/>
  <c r="F1408" i="3"/>
  <c r="F1409" i="3"/>
  <c r="F1410" i="3"/>
  <c r="F1411" i="3"/>
  <c r="F1413" i="3"/>
  <c r="F1415" i="3"/>
  <c r="F1417" i="3"/>
  <c r="F1418" i="3"/>
  <c r="I1064" i="3"/>
  <c r="G1071" i="4" s="1"/>
  <c r="I1065" i="3"/>
  <c r="G1072" i="4" s="1"/>
  <c r="I1066" i="3"/>
  <c r="G1073" i="4" s="1"/>
  <c r="I1067" i="3"/>
  <c r="G1074" i="4" s="1"/>
  <c r="I1068" i="3"/>
  <c r="G1075" i="4" s="1"/>
  <c r="I1069" i="3"/>
  <c r="G1076" i="4" s="1"/>
  <c r="I1070" i="3"/>
  <c r="G1077" i="4" s="1"/>
  <c r="I1071" i="3"/>
  <c r="G1078" i="4" s="1"/>
  <c r="I1072" i="3"/>
  <c r="G1079" i="4" s="1"/>
  <c r="I1073" i="3"/>
  <c r="G1080" i="4" s="1"/>
  <c r="I1074" i="3"/>
  <c r="G1081" i="4" s="1"/>
  <c r="I1075" i="3"/>
  <c r="G1082" i="4" s="1"/>
  <c r="I1076" i="3"/>
  <c r="G1083" i="4" s="1"/>
  <c r="I1077" i="3"/>
  <c r="G1084" i="4" s="1"/>
  <c r="I1078" i="3"/>
  <c r="G1085" i="4" s="1"/>
  <c r="I1079" i="3"/>
  <c r="G1086" i="4" s="1"/>
  <c r="I1080" i="3"/>
  <c r="G1087" i="4" s="1"/>
  <c r="I1081" i="3"/>
  <c r="G1088" i="4" s="1"/>
  <c r="I1082" i="3"/>
  <c r="G1089" i="4" s="1"/>
  <c r="I1083" i="3"/>
  <c r="G1090" i="4" s="1"/>
  <c r="I1084" i="3"/>
  <c r="G1091" i="4" s="1"/>
  <c r="I1085" i="3"/>
  <c r="G1092" i="4" s="1"/>
  <c r="I1086" i="3"/>
  <c r="G1093" i="4" s="1"/>
  <c r="I1087" i="3"/>
  <c r="G1094" i="4" s="1"/>
  <c r="I1088" i="3"/>
  <c r="G1095" i="4" s="1"/>
  <c r="I1089" i="3"/>
  <c r="G1096" i="4" s="1"/>
  <c r="I1090" i="3"/>
  <c r="G1097" i="4" s="1"/>
  <c r="I1091" i="3"/>
  <c r="G1098" i="4" s="1"/>
  <c r="I1092" i="3"/>
  <c r="G1099" i="4" s="1"/>
  <c r="I1094" i="3"/>
  <c r="G1101" i="4" s="1"/>
  <c r="I1095" i="3"/>
  <c r="G1102" i="4" s="1"/>
  <c r="I1096" i="3"/>
  <c r="G1103" i="4" s="1"/>
  <c r="I1097" i="3"/>
  <c r="G1104" i="4" s="1"/>
  <c r="I1098" i="3"/>
  <c r="G1105" i="4" s="1"/>
  <c r="I1099" i="3"/>
  <c r="G1106" i="4" s="1"/>
  <c r="I1100" i="3"/>
  <c r="G1107" i="4" s="1"/>
  <c r="I1101" i="3"/>
  <c r="G1108" i="4" s="1"/>
  <c r="I1102" i="3"/>
  <c r="G1109" i="4" s="1"/>
  <c r="I1103" i="3"/>
  <c r="G1110" i="4" s="1"/>
  <c r="I1104" i="3"/>
  <c r="G1111" i="4" s="1"/>
  <c r="I1105" i="3"/>
  <c r="G1112" i="4" s="1"/>
  <c r="I1106" i="3"/>
  <c r="G1113" i="4" s="1"/>
  <c r="I1107" i="3"/>
  <c r="G1114" i="4" s="1"/>
  <c r="I1108" i="3"/>
  <c r="G1115" i="4" s="1"/>
  <c r="I1109" i="3"/>
  <c r="G1116" i="4" s="1"/>
  <c r="I1110" i="3"/>
  <c r="G1117" i="4" s="1"/>
  <c r="I1111" i="3"/>
  <c r="G1118" i="4" s="1"/>
  <c r="I1112" i="3"/>
  <c r="G1119" i="4" s="1"/>
  <c r="I1113" i="3"/>
  <c r="G1120" i="4" s="1"/>
  <c r="I1114" i="3"/>
  <c r="G1121" i="4" s="1"/>
  <c r="I1115" i="3"/>
  <c r="G1122" i="4" s="1"/>
  <c r="I1116" i="3"/>
  <c r="G1123" i="4" s="1"/>
  <c r="I1118" i="3"/>
  <c r="G1125" i="4" s="1"/>
  <c r="I1119" i="3"/>
  <c r="G1126" i="4" s="1"/>
  <c r="I1120" i="3"/>
  <c r="G1127" i="4" s="1"/>
  <c r="I1122" i="3"/>
  <c r="G1129" i="4" s="1"/>
  <c r="I1123" i="3"/>
  <c r="G1130" i="4" s="1"/>
  <c r="I1124" i="3"/>
  <c r="G1131" i="4" s="1"/>
  <c r="I1125" i="3"/>
  <c r="G1132" i="4" s="1"/>
  <c r="I1126" i="3"/>
  <c r="G1133" i="4" s="1"/>
  <c r="I1127" i="3"/>
  <c r="G1134" i="4" s="1"/>
  <c r="I1129" i="3"/>
  <c r="G1136" i="4" s="1"/>
  <c r="I1130" i="3"/>
  <c r="G1137" i="4" s="1"/>
  <c r="I1131" i="3"/>
  <c r="G1138" i="4" s="1"/>
  <c r="I1132" i="3"/>
  <c r="G1139" i="4" s="1"/>
  <c r="I1133" i="3"/>
  <c r="G1140" i="4" s="1"/>
  <c r="I1134" i="3"/>
  <c r="G1141" i="4" s="1"/>
  <c r="I1135" i="3"/>
  <c r="G1142" i="4" s="1"/>
  <c r="I1136" i="3"/>
  <c r="G1143" i="4" s="1"/>
  <c r="I1137" i="3"/>
  <c r="G1144" i="4" s="1"/>
  <c r="I1138" i="3"/>
  <c r="G1145" i="4" s="1"/>
  <c r="I1139" i="3"/>
  <c r="G1146" i="4" s="1"/>
  <c r="I1140" i="3"/>
  <c r="G1147" i="4" s="1"/>
  <c r="I1141" i="3"/>
  <c r="G1148" i="4" s="1"/>
  <c r="I1142" i="3"/>
  <c r="G1149" i="4" s="1"/>
  <c r="I1143" i="3"/>
  <c r="G1150" i="4" s="1"/>
  <c r="I1144" i="3"/>
  <c r="G1151" i="4" s="1"/>
  <c r="I1145" i="3"/>
  <c r="G1152" i="4" s="1"/>
  <c r="I1149" i="3"/>
  <c r="G1156" i="4" s="1"/>
  <c r="I1150" i="3"/>
  <c r="G1157" i="4" s="1"/>
  <c r="I1151" i="3"/>
  <c r="G1158" i="4" s="1"/>
  <c r="I1152" i="3"/>
  <c r="G1159" i="4" s="1"/>
  <c r="I1153" i="3"/>
  <c r="G1160" i="4" s="1"/>
  <c r="I1154" i="3"/>
  <c r="G1161" i="4" s="1"/>
  <c r="I1155" i="3"/>
  <c r="G1162" i="4" s="1"/>
  <c r="I1156" i="3"/>
  <c r="G1163" i="4" s="1"/>
  <c r="I1157" i="3"/>
  <c r="G1164" i="4" s="1"/>
  <c r="I1159" i="3"/>
  <c r="G1166" i="4" s="1"/>
  <c r="I1160" i="3"/>
  <c r="G1167" i="4" s="1"/>
  <c r="I1162" i="3"/>
  <c r="G1169" i="4" s="1"/>
  <c r="I1163" i="3"/>
  <c r="G1170" i="4" s="1"/>
  <c r="I1164" i="3"/>
  <c r="G1171" i="4" s="1"/>
  <c r="I1165" i="3"/>
  <c r="G1172" i="4" s="1"/>
  <c r="I1166" i="3"/>
  <c r="G1173" i="4" s="1"/>
  <c r="I1167" i="3"/>
  <c r="G1174" i="4" s="1"/>
  <c r="I1168" i="3"/>
  <c r="G1175" i="4" s="1"/>
  <c r="I1169" i="3"/>
  <c r="G1176" i="4" s="1"/>
  <c r="I1170" i="3"/>
  <c r="G1177" i="4" s="1"/>
  <c r="I1171" i="3"/>
  <c r="G1178" i="4" s="1"/>
  <c r="I1172" i="3"/>
  <c r="G1179" i="4" s="1"/>
  <c r="I1173" i="3"/>
  <c r="G1180" i="4" s="1"/>
  <c r="I1175" i="3"/>
  <c r="G1182" i="4" s="1"/>
  <c r="I1177" i="3"/>
  <c r="G1184" i="4" s="1"/>
  <c r="I1178" i="3"/>
  <c r="G1185" i="4" s="1"/>
  <c r="I1179" i="3"/>
  <c r="G1186" i="4" s="1"/>
  <c r="I1180" i="3"/>
  <c r="G1187" i="4" s="1"/>
  <c r="I1181" i="3"/>
  <c r="G1188" i="4" s="1"/>
  <c r="I1182" i="3"/>
  <c r="G1189" i="4" s="1"/>
  <c r="I1183" i="3"/>
  <c r="G1190" i="4" s="1"/>
  <c r="I1184" i="3"/>
  <c r="G1191" i="4" s="1"/>
  <c r="I1185" i="3"/>
  <c r="G1192" i="4" s="1"/>
  <c r="I1186" i="3"/>
  <c r="G1193" i="4" s="1"/>
  <c r="I1187" i="3"/>
  <c r="G1194" i="4" s="1"/>
  <c r="I1188" i="3"/>
  <c r="G1195" i="4" s="1"/>
  <c r="I1189" i="3"/>
  <c r="G1196" i="4" s="1"/>
  <c r="I1191" i="3"/>
  <c r="G1198" i="4" s="1"/>
  <c r="I1193" i="3"/>
  <c r="G1200" i="4" s="1"/>
  <c r="I1194" i="3"/>
  <c r="G1201" i="4" s="1"/>
  <c r="I1195" i="3"/>
  <c r="G1202" i="4" s="1"/>
  <c r="I1196" i="3"/>
  <c r="G1203" i="4" s="1"/>
  <c r="I1197" i="3"/>
  <c r="G1204" i="4" s="1"/>
  <c r="I1198" i="3"/>
  <c r="G1205" i="4" s="1"/>
  <c r="I1199" i="3"/>
  <c r="G1206" i="4" s="1"/>
  <c r="I1200" i="3"/>
  <c r="G1207" i="4" s="1"/>
  <c r="I1201" i="3"/>
  <c r="G1208" i="4" s="1"/>
  <c r="I1202" i="3"/>
  <c r="G1209" i="4" s="1"/>
  <c r="I1203" i="3"/>
  <c r="G1210" i="4" s="1"/>
  <c r="I1204" i="3"/>
  <c r="G1211" i="4" s="1"/>
  <c r="I1206" i="3"/>
  <c r="G1213" i="4" s="1"/>
  <c r="I1207" i="3"/>
  <c r="G1214" i="4" s="1"/>
  <c r="I1208" i="3"/>
  <c r="G1215" i="4" s="1"/>
  <c r="I1209" i="3"/>
  <c r="G1216" i="4" s="1"/>
  <c r="I1210" i="3"/>
  <c r="G1217" i="4" s="1"/>
  <c r="I1211" i="3"/>
  <c r="G1218" i="4" s="1"/>
  <c r="I1212" i="3"/>
  <c r="G1219" i="4" s="1"/>
  <c r="I1213" i="3"/>
  <c r="G1220" i="4" s="1"/>
  <c r="I1214" i="3"/>
  <c r="G1221" i="4" s="1"/>
  <c r="I1215" i="3"/>
  <c r="G1222" i="4" s="1"/>
  <c r="I1216" i="3"/>
  <c r="G1223" i="4" s="1"/>
  <c r="I1217" i="3"/>
  <c r="G1224" i="4" s="1"/>
  <c r="I1218" i="3"/>
  <c r="G1225" i="4" s="1"/>
  <c r="I1219" i="3"/>
  <c r="G1226" i="4" s="1"/>
  <c r="I1220" i="3"/>
  <c r="G1227" i="4" s="1"/>
  <c r="I1221" i="3"/>
  <c r="G1228" i="4" s="1"/>
  <c r="I1222" i="3"/>
  <c r="G1229" i="4" s="1"/>
  <c r="I1223" i="3"/>
  <c r="G1230" i="4" s="1"/>
  <c r="I1224" i="3"/>
  <c r="G1231" i="4" s="1"/>
  <c r="I1225" i="3"/>
  <c r="G1232" i="4" s="1"/>
  <c r="I1226" i="3"/>
  <c r="G1233" i="4" s="1"/>
  <c r="I1227" i="3"/>
  <c r="G1234" i="4" s="1"/>
  <c r="I1228" i="3"/>
  <c r="G1235" i="4" s="1"/>
  <c r="I1230" i="3"/>
  <c r="G1237" i="4" s="1"/>
  <c r="I1231" i="3"/>
  <c r="G1238" i="4" s="1"/>
  <c r="I1232" i="3"/>
  <c r="G1239" i="4" s="1"/>
  <c r="I1233" i="3"/>
  <c r="G1240" i="4" s="1"/>
  <c r="I1234" i="3"/>
  <c r="G1241" i="4" s="1"/>
  <c r="I1235" i="3"/>
  <c r="G1242" i="4" s="1"/>
  <c r="I1236" i="3"/>
  <c r="G1243" i="4" s="1"/>
  <c r="I1237" i="3"/>
  <c r="G1244" i="4" s="1"/>
  <c r="I1238" i="3"/>
  <c r="G1245" i="4" s="1"/>
  <c r="I1240" i="3"/>
  <c r="G1247" i="4" s="1"/>
  <c r="I1241" i="3"/>
  <c r="G1248" i="4" s="1"/>
  <c r="I1242" i="3"/>
  <c r="G1249" i="4" s="1"/>
  <c r="I1243" i="3"/>
  <c r="G1250" i="4" s="1"/>
  <c r="I1244" i="3"/>
  <c r="G1251" i="4" s="1"/>
  <c r="I1245" i="3"/>
  <c r="G1252" i="4" s="1"/>
  <c r="I1246" i="3"/>
  <c r="G1253" i="4" s="1"/>
  <c r="I1247" i="3"/>
  <c r="G1254" i="4" s="1"/>
  <c r="I1248" i="3"/>
  <c r="G1255" i="4" s="1"/>
  <c r="I1250" i="3"/>
  <c r="G1257" i="4" s="1"/>
  <c r="I1251" i="3"/>
  <c r="G1258" i="4" s="1"/>
  <c r="I1252" i="3"/>
  <c r="G1259" i="4" s="1"/>
  <c r="I1253" i="3"/>
  <c r="G1260" i="4" s="1"/>
  <c r="I1254" i="3"/>
  <c r="G1261" i="4" s="1"/>
  <c r="I1255" i="3"/>
  <c r="G1262" i="4" s="1"/>
  <c r="I1257" i="3"/>
  <c r="G1264" i="4" s="1"/>
  <c r="I1258" i="3"/>
  <c r="G1265" i="4" s="1"/>
  <c r="I1259" i="3"/>
  <c r="G1266" i="4" s="1"/>
  <c r="I1260" i="3"/>
  <c r="G1267" i="4" s="1"/>
  <c r="I1261" i="3"/>
  <c r="G1268" i="4" s="1"/>
  <c r="I1264" i="3"/>
  <c r="G1271" i="4" s="1"/>
  <c r="I1265" i="3"/>
  <c r="G1272" i="4" s="1"/>
  <c r="I1266" i="3"/>
  <c r="G1273" i="4" s="1"/>
  <c r="I1267" i="3"/>
  <c r="G1274" i="4" s="1"/>
  <c r="I1268" i="3"/>
  <c r="G1275" i="4" s="1"/>
  <c r="I1269" i="3"/>
  <c r="G1276" i="4" s="1"/>
  <c r="I1270" i="3"/>
  <c r="G1277" i="4" s="1"/>
  <c r="I1271" i="3"/>
  <c r="G1278" i="4" s="1"/>
  <c r="I1272" i="3"/>
  <c r="G1279" i="4" s="1"/>
  <c r="I1273" i="3"/>
  <c r="G1280" i="4" s="1"/>
  <c r="I1274" i="3"/>
  <c r="G1281" i="4" s="1"/>
  <c r="I1275" i="3"/>
  <c r="G1282" i="4" s="1"/>
  <c r="I1276" i="3"/>
  <c r="G1283" i="4" s="1"/>
  <c r="I1277" i="3"/>
  <c r="G1284" i="4" s="1"/>
  <c r="I1278" i="3"/>
  <c r="G1285" i="4" s="1"/>
  <c r="I1279" i="3"/>
  <c r="G1286" i="4" s="1"/>
  <c r="I1280" i="3"/>
  <c r="G1287" i="4" s="1"/>
  <c r="I1281" i="3"/>
  <c r="G1288" i="4" s="1"/>
  <c r="I1282" i="3"/>
  <c r="G1289" i="4" s="1"/>
  <c r="I1283" i="3"/>
  <c r="G1290" i="4" s="1"/>
  <c r="I1284" i="3"/>
  <c r="G1291" i="4" s="1"/>
  <c r="I1285" i="3"/>
  <c r="G1292" i="4" s="1"/>
  <c r="I1286" i="3"/>
  <c r="G1293" i="4" s="1"/>
  <c r="I1287" i="3"/>
  <c r="G1294" i="4" s="1"/>
  <c r="I1288" i="3"/>
  <c r="G1295" i="4" s="1"/>
  <c r="I1291" i="3"/>
  <c r="G1298" i="4" s="1"/>
  <c r="I1294" i="3"/>
  <c r="G1301" i="4" s="1"/>
  <c r="I1295" i="3"/>
  <c r="G1302" i="4" s="1"/>
  <c r="I1296" i="3"/>
  <c r="G1303" i="4" s="1"/>
  <c r="I1297" i="3"/>
  <c r="G1304" i="4" s="1"/>
  <c r="I1298" i="3"/>
  <c r="G1305" i="4" s="1"/>
  <c r="I1299" i="3"/>
  <c r="G1306" i="4" s="1"/>
  <c r="I1300" i="3"/>
  <c r="G1307" i="4" s="1"/>
  <c r="I1301" i="3"/>
  <c r="G1308" i="4" s="1"/>
  <c r="I1302" i="3"/>
  <c r="G1309" i="4" s="1"/>
  <c r="I1303" i="3"/>
  <c r="G1310" i="4" s="1"/>
  <c r="I1304" i="3"/>
  <c r="G1311" i="4" s="1"/>
  <c r="I1305" i="3"/>
  <c r="G1312" i="4" s="1"/>
  <c r="I1306" i="3"/>
  <c r="G1313" i="4" s="1"/>
  <c r="I1307" i="3"/>
  <c r="G1314" i="4" s="1"/>
  <c r="I1308" i="3"/>
  <c r="G1315" i="4" s="1"/>
  <c r="I1310" i="3"/>
  <c r="G1317" i="4" s="1"/>
  <c r="I1312" i="3"/>
  <c r="G1319" i="4" s="1"/>
  <c r="I1313" i="3"/>
  <c r="G1320" i="4" s="1"/>
  <c r="I1314" i="3"/>
  <c r="G1321" i="4" s="1"/>
  <c r="I1316" i="3"/>
  <c r="G1323" i="4" s="1"/>
  <c r="I1317" i="3"/>
  <c r="G1324" i="4" s="1"/>
  <c r="I1318" i="3"/>
  <c r="G1325" i="4" s="1"/>
  <c r="I1319" i="3"/>
  <c r="G1326" i="4" s="1"/>
  <c r="I1320" i="3"/>
  <c r="G1327" i="4" s="1"/>
  <c r="I1321" i="3"/>
  <c r="G1328" i="4" s="1"/>
  <c r="I1322" i="3"/>
  <c r="G1329" i="4" s="1"/>
  <c r="I1324" i="3"/>
  <c r="G1331" i="4" s="1"/>
  <c r="I1326" i="3"/>
  <c r="G1333" i="4" s="1"/>
  <c r="I1328" i="3"/>
  <c r="G1335" i="4" s="1"/>
  <c r="I1329" i="3"/>
  <c r="G1336" i="4" s="1"/>
  <c r="I1330" i="3"/>
  <c r="G1337" i="4" s="1"/>
  <c r="I1331" i="3"/>
  <c r="G1338" i="4" s="1"/>
  <c r="I1332" i="3"/>
  <c r="G1339" i="4" s="1"/>
  <c r="I1333" i="3"/>
  <c r="G1340" i="4" s="1"/>
  <c r="I1334" i="3"/>
  <c r="G1341" i="4" s="1"/>
  <c r="I1335" i="3"/>
  <c r="G1342" i="4" s="1"/>
  <c r="I1336" i="3"/>
  <c r="G1343" i="4" s="1"/>
  <c r="I1337" i="3"/>
  <c r="G1344" i="4" s="1"/>
  <c r="I1338" i="3"/>
  <c r="G1345" i="4" s="1"/>
  <c r="I1339" i="3"/>
  <c r="G1346" i="4" s="1"/>
  <c r="I1340" i="3"/>
  <c r="G1347" i="4" s="1"/>
  <c r="I1341" i="3"/>
  <c r="G1348" i="4" s="1"/>
  <c r="I1342" i="3"/>
  <c r="G1349" i="4" s="1"/>
  <c r="I1343" i="3"/>
  <c r="G1350" i="4" s="1"/>
  <c r="I1344" i="3"/>
  <c r="G1351" i="4" s="1"/>
  <c r="I1345" i="3"/>
  <c r="G1352" i="4" s="1"/>
  <c r="I1347" i="3"/>
  <c r="G1354" i="4" s="1"/>
  <c r="I1349" i="3"/>
  <c r="G1356" i="4" s="1"/>
  <c r="I1350" i="3"/>
  <c r="G1357" i="4" s="1"/>
  <c r="I1351" i="3"/>
  <c r="G1358" i="4" s="1"/>
  <c r="I1352" i="3"/>
  <c r="G1359" i="4" s="1"/>
  <c r="I1353" i="3"/>
  <c r="G1360" i="4" s="1"/>
  <c r="I1354" i="3"/>
  <c r="G1361" i="4" s="1"/>
  <c r="I1355" i="3"/>
  <c r="G1362" i="4" s="1"/>
  <c r="I1356" i="3"/>
  <c r="G1363" i="4" s="1"/>
  <c r="I1357" i="3"/>
  <c r="G1364" i="4" s="1"/>
  <c r="I1358" i="3"/>
  <c r="G1365" i="4" s="1"/>
  <c r="I1359" i="3"/>
  <c r="G1366" i="4" s="1"/>
  <c r="I1360" i="3"/>
  <c r="G1367" i="4" s="1"/>
  <c r="I1361" i="3"/>
  <c r="G1368" i="4" s="1"/>
  <c r="I1362" i="3"/>
  <c r="G1369" i="4" s="1"/>
  <c r="I1363" i="3"/>
  <c r="G1370" i="4" s="1"/>
  <c r="I1364" i="3"/>
  <c r="G1371" i="4" s="1"/>
  <c r="I1365" i="3"/>
  <c r="G1372" i="4" s="1"/>
  <c r="I1366" i="3"/>
  <c r="G1373" i="4" s="1"/>
  <c r="I1367" i="3"/>
  <c r="G1374" i="4" s="1"/>
  <c r="I1368" i="3"/>
  <c r="G1375" i="4" s="1"/>
  <c r="I1369" i="3"/>
  <c r="G1376" i="4" s="1"/>
  <c r="I1370" i="3"/>
  <c r="G1377" i="4" s="1"/>
  <c r="I1371" i="3"/>
  <c r="G1378" i="4" s="1"/>
  <c r="I1372" i="3"/>
  <c r="G1379" i="4" s="1"/>
  <c r="I1373" i="3"/>
  <c r="G1380" i="4" s="1"/>
  <c r="I1374" i="3"/>
  <c r="G1381" i="4" s="1"/>
  <c r="I1375" i="3"/>
  <c r="G1382" i="4" s="1"/>
  <c r="I1376" i="3"/>
  <c r="G1383" i="4" s="1"/>
  <c r="I1379" i="3"/>
  <c r="G1386" i="4" s="1"/>
  <c r="I1380" i="3"/>
  <c r="G1387" i="4" s="1"/>
  <c r="I1382" i="3"/>
  <c r="G1389" i="4" s="1"/>
  <c r="I1383" i="3"/>
  <c r="G1390" i="4" s="1"/>
  <c r="I1384" i="3"/>
  <c r="G1391" i="4" s="1"/>
  <c r="I1385" i="3"/>
  <c r="G1392" i="4" s="1"/>
  <c r="I1386" i="3"/>
  <c r="G1394" i="4" s="1"/>
  <c r="I1387" i="3"/>
  <c r="G1395" i="4" s="1"/>
  <c r="I1388" i="3"/>
  <c r="G1396" i="4" s="1"/>
  <c r="I1389" i="3"/>
  <c r="G1397" i="4" s="1"/>
  <c r="I1390" i="3"/>
  <c r="G1398" i="4" s="1"/>
  <c r="I1391" i="3"/>
  <c r="G1399" i="4" s="1"/>
  <c r="I1392" i="3"/>
  <c r="G1400" i="4" s="1"/>
  <c r="I1393" i="3"/>
  <c r="G1401" i="4" s="1"/>
  <c r="I1394" i="3"/>
  <c r="G1402" i="4" s="1"/>
  <c r="I1395" i="3"/>
  <c r="G1403" i="4" s="1"/>
  <c r="I1396" i="3"/>
  <c r="G1404" i="4" s="1"/>
  <c r="I1397" i="3"/>
  <c r="G1405" i="4" s="1"/>
  <c r="I1398" i="3"/>
  <c r="G1406" i="4" s="1"/>
  <c r="I1399" i="3"/>
  <c r="G1407" i="4" s="1"/>
  <c r="I1400" i="3"/>
  <c r="G1408" i="4" s="1"/>
  <c r="I1402" i="3"/>
  <c r="G1409" i="4" s="1"/>
  <c r="I1404" i="3"/>
  <c r="G1410" i="4" s="1"/>
  <c r="I1405" i="3"/>
  <c r="G1411" i="4" s="1"/>
  <c r="I1406" i="3"/>
  <c r="G1412" i="4" s="1"/>
  <c r="I1407" i="3"/>
  <c r="G1413" i="4" s="1"/>
  <c r="I1408" i="3"/>
  <c r="G1414" i="4" s="1"/>
  <c r="I1409" i="3"/>
  <c r="G1415" i="4" s="1"/>
  <c r="I1410" i="3"/>
  <c r="G1416" i="4" s="1"/>
  <c r="I1411" i="3"/>
  <c r="G1417" i="4" s="1"/>
  <c r="I1413" i="3"/>
  <c r="G1418" i="4" s="1"/>
  <c r="I1415" i="3"/>
  <c r="G1419" i="4" s="1"/>
  <c r="I1417" i="3"/>
  <c r="G1420" i="4" s="1"/>
  <c r="I1418" i="3"/>
  <c r="G1421" i="4" s="1"/>
  <c r="I1419" i="3"/>
  <c r="I1420" i="3"/>
  <c r="G1423" i="4" s="1"/>
  <c r="I1421" i="3"/>
  <c r="G1424" i="4" s="1"/>
  <c r="I1422" i="3"/>
  <c r="G1425" i="4" s="1"/>
  <c r="I1423" i="3"/>
  <c r="G1426" i="4" s="1"/>
  <c r="I1424" i="3"/>
  <c r="G1427" i="4" s="1"/>
  <c r="I1425" i="3"/>
  <c r="G1428" i="4" s="1"/>
  <c r="I1426" i="3"/>
  <c r="G1429" i="4" s="1"/>
  <c r="I1427" i="3"/>
  <c r="G1430" i="4" s="1"/>
  <c r="I1428" i="3"/>
  <c r="G1431" i="4" s="1"/>
  <c r="I1429" i="3"/>
  <c r="G1432" i="4" s="1"/>
  <c r="I1430" i="3"/>
  <c r="G1433" i="4" s="1"/>
  <c r="I1431" i="3"/>
  <c r="G1434" i="4" s="1"/>
  <c r="I1432" i="3"/>
  <c r="G1435" i="4" s="1"/>
  <c r="I1433" i="3"/>
  <c r="G1436" i="4" s="1"/>
  <c r="I1434" i="3"/>
  <c r="G1437" i="4" s="1"/>
  <c r="I1435" i="3"/>
  <c r="G1438" i="4" s="1"/>
  <c r="I1436" i="3"/>
  <c r="G1439" i="4" s="1"/>
  <c r="I1437" i="3"/>
  <c r="G1440" i="4" s="1"/>
  <c r="I1438" i="3"/>
  <c r="G1441" i="4" s="1"/>
  <c r="I1439" i="3"/>
  <c r="G1442" i="4" s="1"/>
  <c r="I1440" i="3"/>
  <c r="G1443" i="4" s="1"/>
  <c r="I1441" i="3"/>
  <c r="G1444" i="4" s="1"/>
  <c r="I1442" i="3"/>
  <c r="G1445" i="4" s="1"/>
  <c r="I1443" i="3"/>
  <c r="G1446" i="4" s="1"/>
  <c r="I1444" i="3"/>
  <c r="G1447" i="4" s="1"/>
  <c r="I1445" i="3"/>
  <c r="G1448" i="4" s="1"/>
  <c r="I1446" i="3"/>
  <c r="G1449" i="4" s="1"/>
  <c r="I1447" i="3"/>
  <c r="G1450" i="4" s="1"/>
  <c r="I1448" i="3"/>
  <c r="G1451" i="4" s="1"/>
  <c r="I1450" i="3"/>
  <c r="G1452" i="4" s="1"/>
  <c r="I1451" i="3"/>
  <c r="G1453" i="4" s="1"/>
  <c r="I1452" i="3"/>
  <c r="G1454" i="4" s="1"/>
  <c r="I1453" i="3"/>
  <c r="G1455" i="4" s="1"/>
  <c r="I1454" i="3"/>
  <c r="G1456" i="4" s="1"/>
  <c r="I1455" i="3"/>
  <c r="G1457" i="4" s="1"/>
  <c r="I1457" i="3"/>
  <c r="G1458" i="4" s="1"/>
  <c r="I1459" i="3"/>
  <c r="G1459" i="4" s="1"/>
  <c r="I1460" i="3"/>
  <c r="G1460" i="4" s="1"/>
  <c r="I1461" i="3"/>
  <c r="G1461" i="4" s="1"/>
  <c r="I1462" i="3"/>
  <c r="G1462" i="4" s="1"/>
  <c r="I1463" i="3"/>
  <c r="G1463" i="4" s="1"/>
  <c r="I1464" i="3"/>
  <c r="G1464" i="4" s="1"/>
  <c r="I1465" i="3"/>
  <c r="G1465" i="4" s="1"/>
  <c r="I1466" i="3"/>
  <c r="G1466" i="4" s="1"/>
  <c r="I1467" i="3"/>
  <c r="G1467" i="4" s="1"/>
  <c r="I1468" i="3"/>
  <c r="G1468" i="4" s="1"/>
  <c r="I1469" i="3"/>
  <c r="G1469" i="4" s="1"/>
  <c r="I1470" i="3"/>
  <c r="G1470" i="4" s="1"/>
  <c r="I1471" i="3"/>
  <c r="G1471" i="4" s="1"/>
  <c r="G1472" i="4"/>
  <c r="I1473" i="3"/>
  <c r="G1473" i="4" s="1"/>
  <c r="I1474" i="3"/>
  <c r="G1474" i="4" s="1"/>
  <c r="I1475" i="3"/>
  <c r="G1475" i="4" s="1"/>
  <c r="I1476" i="3"/>
  <c r="G1476" i="4" s="1"/>
  <c r="I1477" i="3"/>
  <c r="G1477" i="4" s="1"/>
  <c r="I1478" i="3"/>
  <c r="G1478" i="4" s="1"/>
  <c r="I1479" i="3"/>
  <c r="G1479" i="4" s="1"/>
  <c r="I1480" i="3"/>
  <c r="G1480" i="4" s="1"/>
  <c r="I1481" i="3"/>
  <c r="G1481" i="4" s="1"/>
  <c r="I1482" i="3"/>
  <c r="G1482" i="4" s="1"/>
  <c r="I1483" i="3"/>
  <c r="G1483" i="4" s="1"/>
  <c r="I1484" i="3"/>
  <c r="G1484" i="4" s="1"/>
  <c r="I1485" i="3"/>
  <c r="G1485" i="4" s="1"/>
  <c r="I1486" i="3"/>
  <c r="G1486" i="4" s="1"/>
  <c r="I1487" i="3"/>
  <c r="G1487" i="4" s="1"/>
  <c r="I1488" i="3"/>
  <c r="G1488" i="4" s="1"/>
  <c r="I1489" i="3"/>
  <c r="G1489" i="4" s="1"/>
  <c r="I1490" i="3"/>
  <c r="G1490" i="4" s="1"/>
  <c r="I1491" i="3"/>
  <c r="G1491" i="4" s="1"/>
  <c r="I1492" i="3"/>
  <c r="G1492" i="4" s="1"/>
  <c r="I1493" i="3"/>
  <c r="G1493" i="4" s="1"/>
  <c r="I1494" i="3"/>
  <c r="G1494" i="4" s="1"/>
  <c r="I1495" i="3"/>
  <c r="G1495" i="4" s="1"/>
  <c r="I1496" i="3"/>
  <c r="G1496" i="4" s="1"/>
  <c r="I1497" i="3"/>
  <c r="G1497" i="4" s="1"/>
  <c r="I1498" i="3"/>
  <c r="G1498" i="4" s="1"/>
  <c r="I1499" i="3"/>
  <c r="G1499" i="4" s="1"/>
  <c r="I1500" i="3"/>
  <c r="G1500" i="4" s="1"/>
  <c r="I1501" i="3"/>
  <c r="G1501" i="4" s="1"/>
  <c r="I1502" i="3"/>
  <c r="G1502" i="4" s="1"/>
  <c r="I1503" i="3"/>
  <c r="G1503" i="4" s="1"/>
  <c r="I1504" i="3"/>
  <c r="G1504" i="4" s="1"/>
  <c r="I1505" i="3"/>
  <c r="G1505" i="4" s="1"/>
  <c r="I1506" i="3"/>
  <c r="G1506" i="4" s="1"/>
  <c r="I1507" i="3"/>
  <c r="G1507" i="4" s="1"/>
  <c r="I1508" i="3"/>
  <c r="G1508" i="4" s="1"/>
  <c r="I1509" i="3"/>
  <c r="G1509" i="4" s="1"/>
  <c r="I1510" i="3"/>
  <c r="G1510" i="4" s="1"/>
  <c r="I1511" i="3"/>
  <c r="G1511" i="4" s="1"/>
  <c r="I1512" i="3"/>
  <c r="G1512" i="4" s="1"/>
  <c r="I1513" i="3"/>
  <c r="G1513" i="4" s="1"/>
  <c r="I1514" i="3"/>
  <c r="G1514" i="4" s="1"/>
  <c r="I1515" i="3"/>
  <c r="G1515" i="4" s="1"/>
  <c r="I1516" i="3"/>
  <c r="G1516" i="4" s="1"/>
  <c r="I1517" i="3"/>
  <c r="G1517" i="4" s="1"/>
  <c r="I1518" i="3"/>
  <c r="G1518" i="4" s="1"/>
  <c r="I1519" i="3"/>
  <c r="G1519" i="4" s="1"/>
  <c r="I1520" i="3"/>
  <c r="G1520" i="4" s="1"/>
  <c r="I1521" i="3"/>
  <c r="G1521" i="4" s="1"/>
  <c r="I1522" i="3"/>
  <c r="G1522" i="4" s="1"/>
  <c r="I1523" i="3"/>
  <c r="G1523" i="4" s="1"/>
  <c r="I1524" i="3"/>
  <c r="G1524" i="4" s="1"/>
  <c r="I1525" i="3"/>
  <c r="G1525" i="4" s="1"/>
  <c r="I1526" i="3"/>
  <c r="G1526" i="4" s="1"/>
  <c r="I1527" i="3"/>
  <c r="G1527" i="4" s="1"/>
  <c r="I1528" i="3"/>
  <c r="G1528" i="4" s="1"/>
  <c r="I1529" i="3"/>
  <c r="G1529" i="4" s="1"/>
  <c r="I1530" i="3"/>
  <c r="G1530" i="4" s="1"/>
  <c r="I1531" i="3"/>
  <c r="G1531" i="4" s="1"/>
  <c r="I1532" i="3"/>
  <c r="G1532" i="4" s="1"/>
  <c r="I1533" i="3"/>
  <c r="G1533" i="4" s="1"/>
  <c r="I1534" i="3"/>
  <c r="G1534" i="4" s="1"/>
  <c r="I1535" i="3"/>
  <c r="G1535" i="4" s="1"/>
  <c r="I1536" i="3"/>
  <c r="G1536" i="4" s="1"/>
  <c r="I1537" i="3"/>
  <c r="G1537" i="4" s="1"/>
  <c r="I1538" i="3"/>
  <c r="G1538" i="4" s="1"/>
  <c r="I1539" i="3"/>
  <c r="G1539" i="4" s="1"/>
  <c r="I1540" i="3"/>
  <c r="G1540" i="4" s="1"/>
  <c r="I1541" i="3"/>
  <c r="G1541" i="4" s="1"/>
  <c r="I1542" i="3"/>
  <c r="G1542" i="4" s="1"/>
  <c r="I1543" i="3"/>
  <c r="G1543" i="4" s="1"/>
  <c r="I1544" i="3"/>
  <c r="G1544" i="4" s="1"/>
  <c r="I1545" i="3"/>
  <c r="G1545" i="4" s="1"/>
  <c r="I1546" i="3"/>
  <c r="G1546" i="4" s="1"/>
  <c r="I1547" i="3"/>
  <c r="G1547" i="4" s="1"/>
  <c r="I1548" i="3"/>
  <c r="G1548" i="4" s="1"/>
  <c r="I1549" i="3"/>
  <c r="G1549" i="4" s="1"/>
  <c r="I1550" i="3"/>
  <c r="G1550" i="4" s="1"/>
  <c r="I1551" i="3"/>
  <c r="G1551" i="4" s="1"/>
  <c r="I1552" i="3"/>
  <c r="G1552" i="4" s="1"/>
  <c r="I1553" i="3"/>
  <c r="G1553" i="4" s="1"/>
  <c r="I1554" i="3"/>
  <c r="G1554" i="4" s="1"/>
  <c r="I1555" i="3"/>
  <c r="G1555" i="4" s="1"/>
  <c r="I1556" i="3"/>
  <c r="G1556" i="4" s="1"/>
  <c r="I1557" i="3"/>
  <c r="G1557" i="4" s="1"/>
  <c r="I1558" i="3"/>
  <c r="G1558" i="4" s="1"/>
  <c r="I1559" i="3"/>
  <c r="G1559" i="4" s="1"/>
  <c r="I1560" i="3"/>
  <c r="G1560" i="4" s="1"/>
  <c r="I1561" i="3"/>
  <c r="G1561" i="4" s="1"/>
  <c r="I1562" i="3"/>
  <c r="G1562" i="4" s="1"/>
  <c r="I1563" i="3"/>
  <c r="G1563" i="4" s="1"/>
  <c r="I1564" i="3"/>
  <c r="G1564" i="4" s="1"/>
  <c r="I1565" i="3"/>
  <c r="G1565" i="4" s="1"/>
  <c r="I1566" i="3"/>
  <c r="G1566" i="4" s="1"/>
  <c r="I1567" i="3"/>
  <c r="G1567" i="4" s="1"/>
  <c r="I1568" i="3"/>
  <c r="G1568" i="4" s="1"/>
  <c r="I1569" i="3"/>
  <c r="G1569" i="4" s="1"/>
  <c r="I1570" i="3"/>
  <c r="G1570" i="4" s="1"/>
  <c r="I1571" i="3"/>
  <c r="G1571" i="4" s="1"/>
  <c r="I1572" i="3"/>
  <c r="G1572" i="4" s="1"/>
  <c r="I1573" i="3"/>
  <c r="G1573" i="4" s="1"/>
  <c r="I1574" i="3"/>
  <c r="G1574" i="4" s="1"/>
  <c r="I1575" i="3"/>
  <c r="G1575" i="4" s="1"/>
  <c r="I1576" i="3"/>
  <c r="G1576" i="4" s="1"/>
  <c r="I1577" i="3"/>
  <c r="G1577" i="4" s="1"/>
  <c r="I1578" i="3"/>
  <c r="G1578" i="4" s="1"/>
  <c r="I1579" i="3"/>
  <c r="G1579" i="4" s="1"/>
  <c r="I1580" i="3"/>
  <c r="G1580" i="4" s="1"/>
  <c r="I1581" i="3"/>
  <c r="G1581" i="4" s="1"/>
  <c r="I1582" i="3"/>
  <c r="G1582" i="4" s="1"/>
  <c r="I1583" i="3"/>
  <c r="G1583" i="4" s="1"/>
  <c r="I1584" i="3"/>
  <c r="G1584" i="4" s="1"/>
  <c r="I1585" i="3"/>
  <c r="G1585" i="4" s="1"/>
  <c r="I1586" i="3"/>
  <c r="G1586" i="4" s="1"/>
  <c r="I1587" i="3"/>
  <c r="G1587" i="4" s="1"/>
  <c r="I1588" i="3"/>
  <c r="G1588" i="4" s="1"/>
  <c r="I1589" i="3"/>
  <c r="G1589" i="4" s="1"/>
  <c r="I1590" i="3"/>
  <c r="G1590" i="4" s="1"/>
  <c r="I1591" i="3"/>
  <c r="G1591" i="4" s="1"/>
  <c r="I1592" i="3"/>
  <c r="G1592" i="4" s="1"/>
  <c r="I1593" i="3"/>
  <c r="G1593" i="4" s="1"/>
  <c r="I1594" i="3"/>
  <c r="G1594" i="4" s="1"/>
  <c r="I1595" i="3"/>
  <c r="G1595" i="4" s="1"/>
  <c r="I1596" i="3"/>
  <c r="G1596" i="4" s="1"/>
  <c r="I1597" i="3"/>
  <c r="G1597" i="4" s="1"/>
  <c r="I1598" i="3"/>
  <c r="G1598" i="4" s="1"/>
  <c r="I1599" i="3"/>
  <c r="G1599" i="4" s="1"/>
  <c r="I1600" i="3"/>
  <c r="G1600" i="4" s="1"/>
  <c r="I1601" i="3"/>
  <c r="G1601" i="4" s="1"/>
  <c r="I1602" i="3"/>
  <c r="G1602" i="4" s="1"/>
  <c r="I1603" i="3"/>
  <c r="G1603" i="4" s="1"/>
  <c r="I1604" i="3"/>
  <c r="G1604" i="4" s="1"/>
  <c r="I1605" i="3"/>
  <c r="G1605" i="4" s="1"/>
  <c r="I1606" i="3"/>
  <c r="G1606" i="4" s="1"/>
  <c r="I1607" i="3"/>
  <c r="G1607" i="4" s="1"/>
  <c r="I1608" i="3"/>
  <c r="G1608" i="4" s="1"/>
  <c r="I1609" i="3"/>
  <c r="G1609" i="4" s="1"/>
  <c r="I1610" i="3"/>
  <c r="G1610" i="4" s="1"/>
  <c r="I1611" i="3"/>
  <c r="G1611" i="4" s="1"/>
  <c r="I1612" i="3"/>
  <c r="G1612" i="4" s="1"/>
  <c r="I1613" i="3"/>
  <c r="G1613" i="4" s="1"/>
  <c r="I1614" i="3"/>
  <c r="G1614" i="4" s="1"/>
  <c r="I1615" i="3"/>
  <c r="G1615" i="4" s="1"/>
  <c r="I1616" i="3"/>
  <c r="G1616" i="4" s="1"/>
  <c r="I1617" i="3"/>
  <c r="G1617" i="4" s="1"/>
  <c r="I1618" i="3"/>
  <c r="G1618" i="4" s="1"/>
  <c r="I1619" i="3"/>
  <c r="G1619" i="4" s="1"/>
  <c r="I1620" i="3"/>
  <c r="G1620" i="4" s="1"/>
  <c r="I1621" i="3"/>
  <c r="G1621" i="4" s="1"/>
  <c r="I1622" i="3"/>
  <c r="G1622" i="4" s="1"/>
  <c r="I1623" i="3"/>
  <c r="G1623" i="4" s="1"/>
  <c r="I1624" i="3"/>
  <c r="G1624" i="4" s="1"/>
  <c r="I1625" i="3"/>
  <c r="G1625" i="4" s="1"/>
  <c r="I1626" i="3"/>
  <c r="G1626" i="4" s="1"/>
  <c r="I1627" i="3"/>
  <c r="G1627" i="4" s="1"/>
  <c r="I1628" i="3"/>
  <c r="G1628" i="4" s="1"/>
  <c r="I1629" i="3"/>
  <c r="G1629" i="4" s="1"/>
  <c r="I1630" i="3"/>
  <c r="G1630" i="4" s="1"/>
  <c r="I1631" i="3"/>
  <c r="G1631" i="4" s="1"/>
  <c r="I1632" i="3"/>
  <c r="G1632" i="4" s="1"/>
  <c r="I1633" i="3"/>
  <c r="G1633" i="4" s="1"/>
  <c r="I1634" i="3"/>
  <c r="G1634" i="4" s="1"/>
  <c r="I1635" i="3"/>
  <c r="G1635" i="4" s="1"/>
  <c r="I1636" i="3"/>
  <c r="G1636" i="4" s="1"/>
  <c r="I1637" i="3"/>
  <c r="G1637" i="4" s="1"/>
  <c r="I1638" i="3"/>
  <c r="G1638" i="4" s="1"/>
  <c r="I1639" i="3"/>
  <c r="G1639" i="4" s="1"/>
  <c r="I1640" i="3"/>
  <c r="G1640" i="4" s="1"/>
  <c r="I1641" i="3"/>
  <c r="G1641" i="4" s="1"/>
  <c r="I1642" i="3"/>
  <c r="G1642" i="4" s="1"/>
  <c r="I1643" i="3"/>
  <c r="G1643" i="4" s="1"/>
  <c r="I1644" i="3"/>
  <c r="G1644" i="4" s="1"/>
  <c r="I1645" i="3"/>
  <c r="G1645" i="4" s="1"/>
  <c r="I1646" i="3"/>
  <c r="G1646" i="4" s="1"/>
  <c r="I1647" i="3"/>
  <c r="G1647" i="4" s="1"/>
  <c r="I1648" i="3"/>
  <c r="G1648" i="4" s="1"/>
  <c r="I1649" i="3"/>
  <c r="G1649" i="4" s="1"/>
  <c r="I1650" i="3"/>
  <c r="G1650" i="4" s="1"/>
  <c r="I1651" i="3"/>
  <c r="G1651" i="4" s="1"/>
  <c r="I1652" i="3"/>
  <c r="G1652" i="4" s="1"/>
  <c r="I1653" i="3"/>
  <c r="G1653" i="4" s="1"/>
  <c r="I1654" i="3"/>
  <c r="G1654" i="4" s="1"/>
  <c r="I1655" i="3"/>
  <c r="G1655" i="4" s="1"/>
  <c r="I1656" i="3"/>
  <c r="G1656" i="4" s="1"/>
  <c r="I1657" i="3"/>
  <c r="G1657" i="4" s="1"/>
  <c r="I1658" i="3"/>
  <c r="G1658" i="4" s="1"/>
  <c r="I1659" i="3"/>
  <c r="G1659" i="4" s="1"/>
  <c r="I1660" i="3"/>
  <c r="G1660" i="4" s="1"/>
  <c r="I1661" i="3"/>
  <c r="G1661" i="4" s="1"/>
  <c r="I1662" i="3"/>
  <c r="G1662" i="4" s="1"/>
  <c r="I1663" i="3"/>
  <c r="G1663" i="4" s="1"/>
  <c r="I1664" i="3"/>
  <c r="G1664" i="4" s="1"/>
  <c r="I1665" i="3"/>
  <c r="G1665" i="4" s="1"/>
  <c r="I1666" i="3"/>
  <c r="G1666" i="4" s="1"/>
  <c r="I1667" i="3"/>
  <c r="G1667" i="4" s="1"/>
  <c r="I1668" i="3"/>
  <c r="G1668" i="4" s="1"/>
  <c r="I1669" i="3"/>
  <c r="G1669" i="4" s="1"/>
  <c r="I1670" i="3"/>
  <c r="G1670" i="4" s="1"/>
  <c r="I1671" i="3"/>
  <c r="G1671" i="4" s="1"/>
  <c r="I1672" i="3"/>
  <c r="G1672" i="4" s="1"/>
  <c r="I1673" i="3"/>
  <c r="G1673" i="4" s="1"/>
  <c r="I1674" i="3"/>
  <c r="G1674" i="4" s="1"/>
  <c r="I1675" i="3"/>
  <c r="G1675" i="4" s="1"/>
  <c r="I1676" i="3"/>
  <c r="G1676" i="4" s="1"/>
  <c r="I1677" i="3"/>
  <c r="G1677" i="4" s="1"/>
  <c r="I1678" i="3"/>
  <c r="G1678" i="4" s="1"/>
  <c r="I1679" i="3"/>
  <c r="G1679" i="4" s="1"/>
  <c r="I1680" i="3"/>
  <c r="G1680" i="4" s="1"/>
  <c r="I1681" i="3"/>
  <c r="G1681" i="4" s="1"/>
  <c r="I1682" i="3"/>
  <c r="G1682" i="4" s="1"/>
  <c r="I1683" i="3"/>
  <c r="G1683" i="4" s="1"/>
  <c r="I1684" i="3"/>
  <c r="G1684" i="4" s="1"/>
  <c r="I1685" i="3"/>
  <c r="G1685" i="4" s="1"/>
  <c r="I1686" i="3"/>
  <c r="G1686" i="4" s="1"/>
  <c r="I1687" i="3"/>
  <c r="G1687" i="4" s="1"/>
  <c r="I1688" i="3"/>
  <c r="G1688" i="4" s="1"/>
  <c r="I1689" i="3"/>
  <c r="G1689" i="4" s="1"/>
  <c r="I1690" i="3"/>
  <c r="G1690" i="4" s="1"/>
  <c r="I1691" i="3"/>
  <c r="G1691" i="4" s="1"/>
  <c r="I1692" i="3"/>
  <c r="G1692" i="4" s="1"/>
  <c r="I1693" i="3"/>
  <c r="G1693" i="4" s="1"/>
  <c r="I1694" i="3"/>
  <c r="G1694" i="4" s="1"/>
  <c r="I1695" i="3"/>
  <c r="G1695" i="4" s="1"/>
  <c r="I1696" i="3"/>
  <c r="G1696" i="4" s="1"/>
  <c r="I1697" i="3"/>
  <c r="G1697" i="4" s="1"/>
  <c r="I1698" i="3"/>
  <c r="G1698" i="4" s="1"/>
  <c r="I1699" i="3"/>
  <c r="G1699" i="4" s="1"/>
  <c r="I1700" i="3"/>
  <c r="G1700" i="4" s="1"/>
  <c r="I1701" i="3"/>
  <c r="G1701" i="4" s="1"/>
  <c r="I1702" i="3"/>
  <c r="G1702" i="4" s="1"/>
  <c r="I1703" i="3"/>
  <c r="G1703" i="4" s="1"/>
  <c r="I1704" i="3"/>
  <c r="G1704" i="4" s="1"/>
  <c r="I1705" i="3"/>
  <c r="G1705" i="4" s="1"/>
  <c r="I1706" i="3"/>
  <c r="G1706" i="4" s="1"/>
  <c r="I1707" i="3"/>
  <c r="G1707" i="4" s="1"/>
  <c r="I1708" i="3"/>
  <c r="G1708" i="4" s="1"/>
  <c r="I1709" i="3"/>
  <c r="G1709" i="4" s="1"/>
  <c r="I1710" i="3"/>
  <c r="G1710" i="4" s="1"/>
  <c r="I1711" i="3"/>
  <c r="G1711" i="4" s="1"/>
  <c r="I1712" i="3"/>
  <c r="G1712" i="4" s="1"/>
  <c r="I1713" i="3"/>
  <c r="G1713" i="4" s="1"/>
  <c r="I1714" i="3"/>
  <c r="G1714" i="4" s="1"/>
  <c r="I1715" i="3"/>
  <c r="G1715" i="4" s="1"/>
  <c r="I1716" i="3"/>
  <c r="G1716" i="4" s="1"/>
  <c r="I1717" i="3"/>
  <c r="G1717" i="4" s="1"/>
  <c r="I1718" i="3"/>
  <c r="G1718" i="4" s="1"/>
  <c r="I1719" i="3"/>
  <c r="G1719" i="4" s="1"/>
  <c r="I1720" i="3"/>
  <c r="G1720" i="4" s="1"/>
  <c r="I1721" i="3"/>
  <c r="G1721" i="4" s="1"/>
  <c r="I1722" i="3"/>
  <c r="G1722" i="4" s="1"/>
  <c r="I1723" i="3"/>
  <c r="G1723" i="4" s="1"/>
  <c r="I1724" i="3"/>
  <c r="G1724" i="4" s="1"/>
  <c r="I1725" i="3"/>
  <c r="G1725" i="4" s="1"/>
  <c r="I1726" i="3"/>
  <c r="G1726" i="4" s="1"/>
  <c r="I1727" i="3"/>
  <c r="G1727" i="4" s="1"/>
  <c r="I1728" i="3"/>
  <c r="G1728" i="4" s="1"/>
  <c r="I1729" i="3"/>
  <c r="G1729" i="4" s="1"/>
  <c r="I1730" i="3"/>
  <c r="G1730" i="4" s="1"/>
  <c r="I1731" i="3"/>
  <c r="G1731" i="4" s="1"/>
  <c r="I1732" i="3"/>
  <c r="G1732" i="4" s="1"/>
  <c r="I1733" i="3"/>
  <c r="G1733" i="4" s="1"/>
  <c r="I1734" i="3"/>
  <c r="G1734" i="4" s="1"/>
  <c r="I1735" i="3"/>
  <c r="G1735" i="4" s="1"/>
  <c r="I1736" i="3"/>
  <c r="G1736" i="4" s="1"/>
  <c r="I1737" i="3"/>
  <c r="G1737" i="4" s="1"/>
  <c r="I1738" i="3"/>
  <c r="G1738" i="4" s="1"/>
  <c r="I1739" i="3"/>
  <c r="G1739" i="4" s="1"/>
  <c r="I1740" i="3"/>
  <c r="G1740" i="4" s="1"/>
  <c r="I1741" i="3"/>
  <c r="G1741" i="4" s="1"/>
  <c r="I1742" i="3"/>
  <c r="G1742" i="4" s="1"/>
  <c r="I1743" i="3"/>
  <c r="G1743" i="4" s="1"/>
  <c r="I1744" i="3"/>
  <c r="G1744" i="4" s="1"/>
  <c r="I1745" i="3"/>
  <c r="G1745" i="4" s="1"/>
  <c r="I1746" i="3"/>
  <c r="G1746" i="4" s="1"/>
  <c r="I1747" i="3"/>
  <c r="G1747" i="4" s="1"/>
  <c r="I1748" i="3"/>
  <c r="G1748" i="4" s="1"/>
  <c r="I1749" i="3"/>
  <c r="G1749" i="4" s="1"/>
  <c r="I1750" i="3"/>
  <c r="G1750" i="4" s="1"/>
  <c r="I1751" i="3"/>
  <c r="G1751" i="4" s="1"/>
  <c r="I1752" i="3"/>
  <c r="G1752" i="4" s="1"/>
  <c r="I1753" i="3"/>
  <c r="G1753" i="4" s="1"/>
  <c r="I1754" i="3"/>
  <c r="G1754" i="4" s="1"/>
  <c r="I1755" i="3"/>
  <c r="G1755" i="4" s="1"/>
  <c r="I1756" i="3"/>
  <c r="G1756" i="4" s="1"/>
  <c r="I1757" i="3"/>
  <c r="G1757" i="4" s="1"/>
  <c r="I1758" i="3"/>
  <c r="G1758" i="4" s="1"/>
  <c r="I1759" i="3"/>
  <c r="G1759" i="4" s="1"/>
  <c r="I1760" i="3"/>
  <c r="G1760" i="4" s="1"/>
  <c r="I1761" i="3"/>
  <c r="G1761" i="4" s="1"/>
  <c r="I1762" i="3"/>
  <c r="G1762" i="4" s="1"/>
  <c r="I1763" i="3"/>
  <c r="G1763" i="4" s="1"/>
  <c r="I1764" i="3"/>
  <c r="G1764" i="4" s="1"/>
  <c r="I1765" i="3"/>
  <c r="G1765" i="4" s="1"/>
  <c r="I1766" i="3"/>
  <c r="G1766" i="4" s="1"/>
  <c r="I1767" i="3"/>
  <c r="G1767" i="4" s="1"/>
  <c r="I1768" i="3"/>
  <c r="G1768" i="4" s="1"/>
  <c r="I1769" i="3"/>
  <c r="G1769" i="4" s="1"/>
  <c r="I1770" i="3"/>
  <c r="G1770" i="4" s="1"/>
  <c r="I1771" i="3"/>
  <c r="G1771" i="4" s="1"/>
  <c r="I1772" i="3"/>
  <c r="G1772" i="4" s="1"/>
  <c r="I1773" i="3"/>
  <c r="G1773" i="4" s="1"/>
  <c r="I1774" i="3"/>
  <c r="G1774" i="4" s="1"/>
  <c r="I1775" i="3"/>
  <c r="G1775" i="4" s="1"/>
  <c r="I1776" i="3"/>
  <c r="G1776" i="4" s="1"/>
  <c r="I1777" i="3"/>
  <c r="G1777" i="4" s="1"/>
  <c r="I1778" i="3"/>
  <c r="G1778" i="4" s="1"/>
  <c r="I1779" i="3"/>
  <c r="G1779" i="4" s="1"/>
  <c r="I1780" i="3"/>
  <c r="G1780" i="4" s="1"/>
  <c r="I1781" i="3"/>
  <c r="G1781" i="4" s="1"/>
  <c r="I1782" i="3"/>
  <c r="G1782" i="4" s="1"/>
  <c r="I1783" i="3"/>
  <c r="G1783" i="4" s="1"/>
  <c r="I1784" i="3"/>
  <c r="G1784" i="4" s="1"/>
  <c r="I1785" i="3"/>
  <c r="G1785" i="4" s="1"/>
  <c r="I1786" i="3"/>
  <c r="G1786" i="4" s="1"/>
  <c r="I1787" i="3"/>
  <c r="G1787" i="4" s="1"/>
  <c r="I1788" i="3"/>
  <c r="G1788" i="4" s="1"/>
  <c r="I1789" i="3"/>
  <c r="G1789" i="4" s="1"/>
  <c r="I1790" i="3"/>
  <c r="G1790" i="4" s="1"/>
  <c r="I1791" i="3"/>
  <c r="G1791" i="4" s="1"/>
  <c r="I1792" i="3"/>
  <c r="G1792" i="4" s="1"/>
  <c r="I1793" i="3"/>
  <c r="G1793" i="4" s="1"/>
  <c r="I1794" i="3"/>
  <c r="G1794" i="4" s="1"/>
  <c r="I1795" i="3"/>
  <c r="G1795" i="4" s="1"/>
  <c r="I1796" i="3"/>
  <c r="G1796" i="4" s="1"/>
  <c r="I1797" i="3"/>
  <c r="G1797" i="4" s="1"/>
  <c r="I1798" i="3"/>
  <c r="G1798" i="4" s="1"/>
  <c r="I1799" i="3"/>
  <c r="I1800" i="3"/>
  <c r="G1800" i="4" s="1"/>
  <c r="I1801" i="3"/>
  <c r="G1801" i="4" s="1"/>
  <c r="I1802" i="3"/>
  <c r="G1802" i="4" s="1"/>
  <c r="I1803" i="3"/>
  <c r="G1803" i="4" s="1"/>
  <c r="I1804" i="3"/>
  <c r="G1804" i="4" s="1"/>
  <c r="I1805" i="3"/>
  <c r="G1805" i="4" s="1"/>
  <c r="I1806" i="3"/>
  <c r="G1806" i="4" s="1"/>
  <c r="I1807" i="3"/>
  <c r="G1807" i="4" s="1"/>
  <c r="I1808" i="3"/>
  <c r="G1808" i="4" s="1"/>
  <c r="I1809" i="3"/>
  <c r="G1809" i="4" s="1"/>
  <c r="I1810" i="3"/>
  <c r="G1810" i="4" s="1"/>
  <c r="I1811" i="3"/>
  <c r="G1811" i="4" s="1"/>
  <c r="I1812" i="3"/>
  <c r="G1812" i="4" s="1"/>
  <c r="I1813" i="3"/>
  <c r="G1813" i="4" s="1"/>
  <c r="I1814" i="3"/>
  <c r="G1814" i="4" s="1"/>
  <c r="I1815" i="3"/>
  <c r="G1815" i="4" s="1"/>
  <c r="I1816" i="3"/>
  <c r="G1816" i="4" s="1"/>
  <c r="I1817" i="3"/>
  <c r="G1817" i="4" s="1"/>
  <c r="I1818" i="3"/>
  <c r="G1818" i="4" s="1"/>
  <c r="I1819" i="3"/>
  <c r="G1819" i="4" s="1"/>
  <c r="I1820" i="3"/>
  <c r="G1820" i="4" s="1"/>
  <c r="I1821" i="3"/>
  <c r="G1821" i="4" s="1"/>
  <c r="I1822" i="3"/>
  <c r="G1822" i="4" s="1"/>
  <c r="I1823" i="3"/>
  <c r="G1823" i="4" s="1"/>
  <c r="I1824" i="3"/>
  <c r="G1824" i="4" s="1"/>
  <c r="I1825" i="3"/>
  <c r="G1825" i="4" s="1"/>
  <c r="I1826" i="3"/>
  <c r="G1826" i="4" s="1"/>
  <c r="I1827" i="3"/>
  <c r="G1827" i="4" s="1"/>
  <c r="I1828" i="3"/>
  <c r="G1828" i="4" s="1"/>
  <c r="I1829" i="3"/>
  <c r="G1829" i="4" s="1"/>
  <c r="I1830" i="3"/>
  <c r="G1830" i="4" s="1"/>
  <c r="I1831" i="3"/>
  <c r="G1831" i="4" s="1"/>
  <c r="I1832" i="3"/>
  <c r="G1832" i="4" s="1"/>
  <c r="I1833" i="3"/>
  <c r="G1833" i="4" s="1"/>
  <c r="I1834" i="3"/>
  <c r="G1834" i="4" s="1"/>
  <c r="I1835" i="3"/>
  <c r="G1835" i="4" s="1"/>
  <c r="I1836" i="3"/>
  <c r="G1836" i="4" s="1"/>
  <c r="I1837" i="3"/>
  <c r="G1837" i="4" s="1"/>
  <c r="I1838" i="3"/>
  <c r="G1838" i="4" s="1"/>
  <c r="I1839" i="3"/>
  <c r="G1839" i="4" s="1"/>
  <c r="I1840" i="3"/>
  <c r="G1840" i="4" s="1"/>
  <c r="I1841" i="3"/>
  <c r="G1841" i="4" s="1"/>
  <c r="I1842" i="3"/>
  <c r="G1842" i="4" s="1"/>
  <c r="I1843" i="3"/>
  <c r="G1843" i="4" s="1"/>
  <c r="I1844" i="3"/>
  <c r="G1844" i="4" s="1"/>
  <c r="I1845" i="3"/>
  <c r="G1845" i="4" s="1"/>
  <c r="I1846" i="3"/>
  <c r="G1846" i="4" s="1"/>
  <c r="I1847" i="3"/>
  <c r="G1847" i="4" s="1"/>
  <c r="I1848" i="3"/>
  <c r="G1848" i="4" s="1"/>
  <c r="I1849" i="3"/>
  <c r="G1849" i="4" s="1"/>
  <c r="I1850" i="3"/>
  <c r="G1850" i="4" s="1"/>
  <c r="I1851" i="3"/>
  <c r="G1851" i="4" s="1"/>
  <c r="I1852" i="3"/>
  <c r="G1852" i="4" s="1"/>
  <c r="I1853" i="3"/>
  <c r="G1853" i="4" s="1"/>
  <c r="I1854" i="3"/>
  <c r="G1854" i="4" s="1"/>
  <c r="I1855" i="3"/>
  <c r="G1855" i="4" s="1"/>
  <c r="I1856" i="3"/>
  <c r="G1856" i="4" s="1"/>
  <c r="I1857" i="3"/>
  <c r="G1857" i="4" s="1"/>
  <c r="I1858" i="3"/>
  <c r="G1858" i="4" s="1"/>
  <c r="I1859" i="3"/>
  <c r="G1859" i="4" s="1"/>
  <c r="I1860" i="3"/>
  <c r="G1860" i="4" s="1"/>
  <c r="I1861" i="3"/>
  <c r="G1861" i="4" s="1"/>
  <c r="I1862" i="3"/>
  <c r="G1862" i="4" s="1"/>
  <c r="I1863" i="3"/>
  <c r="G1863" i="4" s="1"/>
  <c r="I1864" i="3"/>
  <c r="G1864" i="4" s="1"/>
  <c r="I1865" i="3"/>
  <c r="G1865" i="4" s="1"/>
  <c r="I1866" i="3"/>
  <c r="G1866" i="4" s="1"/>
  <c r="I1867" i="3"/>
  <c r="G1867" i="4" s="1"/>
  <c r="I1868" i="3"/>
  <c r="G1868" i="4" s="1"/>
  <c r="I1869" i="3"/>
  <c r="G1869" i="4" s="1"/>
  <c r="I1870" i="3"/>
  <c r="G1870" i="4" s="1"/>
  <c r="I1871" i="3"/>
  <c r="G1871" i="4" s="1"/>
  <c r="I1872" i="3"/>
  <c r="G1872" i="4" s="1"/>
  <c r="I1873" i="3"/>
  <c r="G1873" i="4" s="1"/>
  <c r="I1874" i="3"/>
  <c r="G1874" i="4" s="1"/>
  <c r="I1875" i="3"/>
  <c r="G1875" i="4" s="1"/>
  <c r="I1876" i="3"/>
  <c r="G1876" i="4" s="1"/>
  <c r="I1877" i="3"/>
  <c r="G1877" i="4" s="1"/>
  <c r="I1878" i="3"/>
  <c r="G1878" i="4" s="1"/>
  <c r="I1879" i="3"/>
  <c r="G1879" i="4" s="1"/>
  <c r="I1880" i="3"/>
  <c r="G1880" i="4" s="1"/>
  <c r="I1881" i="3"/>
  <c r="G1881" i="4" s="1"/>
  <c r="I1882" i="3"/>
  <c r="G1882" i="4" s="1"/>
  <c r="I1883" i="3"/>
  <c r="G1883" i="4" s="1"/>
  <c r="I1884" i="3"/>
  <c r="G1884" i="4" s="1"/>
  <c r="I1885" i="3"/>
  <c r="G1885" i="4" s="1"/>
  <c r="I1886" i="3"/>
  <c r="G1886" i="4" s="1"/>
  <c r="I1887" i="3"/>
  <c r="G1887" i="4" s="1"/>
  <c r="I1888" i="3"/>
  <c r="G1888" i="4" s="1"/>
  <c r="I1889" i="3"/>
  <c r="G1889" i="4" s="1"/>
  <c r="I1890" i="3"/>
  <c r="G1890" i="4" s="1"/>
  <c r="I1891" i="3"/>
  <c r="G1891" i="4" s="1"/>
  <c r="I1892" i="3"/>
  <c r="G1892" i="4" s="1"/>
  <c r="I1893" i="3"/>
  <c r="G1893" i="4" s="1"/>
  <c r="I1894" i="3"/>
  <c r="G1894" i="4" s="1"/>
  <c r="I1895" i="3"/>
  <c r="G1895" i="4" s="1"/>
  <c r="I1896" i="3"/>
  <c r="G1896" i="4" s="1"/>
  <c r="I1897" i="3"/>
  <c r="G1897" i="4" s="1"/>
  <c r="I1898" i="3"/>
  <c r="G1898" i="4" s="1"/>
  <c r="I1899" i="3"/>
  <c r="G1899" i="4" s="1"/>
  <c r="I1900" i="3"/>
  <c r="G1900" i="4" s="1"/>
  <c r="I1901" i="3"/>
  <c r="G1901" i="4" s="1"/>
  <c r="I1902" i="3"/>
  <c r="G1902" i="4" s="1"/>
  <c r="I1903" i="3"/>
  <c r="G1903" i="4" s="1"/>
  <c r="I1904" i="3"/>
  <c r="G1904" i="4" s="1"/>
  <c r="I1905" i="3"/>
  <c r="G1905" i="4" s="1"/>
  <c r="I1906" i="3"/>
  <c r="G1906" i="4" s="1"/>
  <c r="I1907" i="3"/>
  <c r="G1907" i="4" s="1"/>
  <c r="I1908" i="3"/>
  <c r="G1908" i="4" s="1"/>
  <c r="I1909" i="3"/>
  <c r="G1909" i="4" s="1"/>
  <c r="I1910" i="3"/>
  <c r="G1910" i="4" s="1"/>
  <c r="I1911" i="3"/>
  <c r="G1911" i="4" s="1"/>
  <c r="I1912" i="3"/>
  <c r="G1912" i="4" s="1"/>
  <c r="I1913" i="3"/>
  <c r="G1913" i="4" s="1"/>
  <c r="I1914" i="3"/>
  <c r="G1914" i="4" s="1"/>
  <c r="I1915" i="3"/>
  <c r="G1915" i="4" s="1"/>
  <c r="I1916" i="3"/>
  <c r="G1916" i="4" s="1"/>
  <c r="I1917" i="3"/>
  <c r="G1917" i="4" s="1"/>
  <c r="I1918" i="3"/>
  <c r="G1918" i="4" s="1"/>
  <c r="I1919" i="3"/>
  <c r="G1919" i="4" s="1"/>
  <c r="I1920" i="3"/>
  <c r="G1920" i="4" s="1"/>
  <c r="I1921" i="3"/>
  <c r="G1921" i="4" s="1"/>
  <c r="I1922" i="3"/>
  <c r="G1922" i="4" s="1"/>
  <c r="I1923" i="3"/>
  <c r="G1923" i="4" s="1"/>
  <c r="I1924" i="3"/>
  <c r="G1924" i="4" s="1"/>
  <c r="I1925" i="3"/>
  <c r="G1925" i="4" s="1"/>
  <c r="I1926" i="3"/>
  <c r="G1926" i="4" s="1"/>
  <c r="I1927" i="3"/>
  <c r="G1927" i="4" s="1"/>
  <c r="I1928" i="3"/>
  <c r="G1928" i="4" s="1"/>
  <c r="I1929" i="3"/>
  <c r="G1929" i="4" s="1"/>
  <c r="I1930" i="3"/>
  <c r="G1930" i="4" s="1"/>
  <c r="I1931" i="3"/>
  <c r="G1931" i="4" s="1"/>
  <c r="I1932" i="3"/>
  <c r="G1932" i="4" s="1"/>
  <c r="I1933" i="3"/>
  <c r="G1933" i="4" s="1"/>
  <c r="I1934" i="3"/>
  <c r="G1934" i="4" s="1"/>
  <c r="I1935" i="3"/>
  <c r="G1935" i="4" s="1"/>
  <c r="I1936" i="3"/>
  <c r="G1936" i="4" s="1"/>
  <c r="I1937" i="3"/>
  <c r="G1937" i="4" s="1"/>
  <c r="I1938" i="3"/>
  <c r="G1938" i="4" s="1"/>
  <c r="I1939" i="3"/>
  <c r="G1939" i="4" s="1"/>
  <c r="I1940" i="3"/>
  <c r="G1940" i="4" s="1"/>
  <c r="I1941" i="3"/>
  <c r="G1941" i="4" s="1"/>
  <c r="I1942" i="3"/>
  <c r="G1942" i="4" s="1"/>
  <c r="I1943" i="3"/>
  <c r="G1943" i="4" s="1"/>
  <c r="I1944" i="3"/>
  <c r="G1944" i="4" s="1"/>
  <c r="I1945" i="3"/>
  <c r="G1945" i="4" s="1"/>
  <c r="I1946" i="3"/>
  <c r="G1946" i="4" s="1"/>
  <c r="I1947" i="3"/>
  <c r="G1947" i="4" s="1"/>
  <c r="I1948" i="3"/>
  <c r="G1948" i="4" s="1"/>
  <c r="I1949" i="3"/>
  <c r="G1949" i="4" s="1"/>
  <c r="I1950" i="3"/>
  <c r="G1950" i="4" s="1"/>
  <c r="I1951" i="3"/>
  <c r="G1951" i="4" s="1"/>
  <c r="I1952" i="3"/>
  <c r="G1952" i="4" s="1"/>
  <c r="I1953" i="3"/>
  <c r="G1953" i="4" s="1"/>
  <c r="I1954" i="3"/>
  <c r="G1954" i="4" s="1"/>
  <c r="I1955" i="3"/>
  <c r="G1955" i="4" s="1"/>
  <c r="I1956" i="3"/>
  <c r="G1956" i="4" s="1"/>
  <c r="I1957" i="3"/>
  <c r="G1957" i="4" s="1"/>
  <c r="I1958" i="3"/>
  <c r="G1958" i="4" s="1"/>
  <c r="I1959" i="3"/>
  <c r="G1959" i="4" s="1"/>
  <c r="I1960" i="3"/>
  <c r="G1960" i="4" s="1"/>
  <c r="I1961" i="3"/>
  <c r="G1961" i="4" s="1"/>
  <c r="I1962" i="3"/>
  <c r="G1962" i="4" s="1"/>
  <c r="I1963" i="3"/>
  <c r="G1963" i="4" s="1"/>
  <c r="I1964" i="3"/>
  <c r="G1964" i="4" s="1"/>
  <c r="I1965" i="3"/>
  <c r="G1965" i="4" s="1"/>
  <c r="I1966" i="3"/>
  <c r="G1966" i="4" s="1"/>
  <c r="I1967" i="3"/>
  <c r="G1967" i="4" s="1"/>
  <c r="I1968" i="3"/>
  <c r="G1968" i="4" s="1"/>
  <c r="I1969" i="3"/>
  <c r="G1969" i="4" s="1"/>
  <c r="I1970" i="3"/>
  <c r="G1970" i="4" s="1"/>
  <c r="I1971" i="3"/>
  <c r="G1971" i="4" s="1"/>
  <c r="I1972" i="3"/>
  <c r="G1972" i="4" s="1"/>
  <c r="I1973" i="3"/>
  <c r="G1973" i="4" s="1"/>
  <c r="I1974" i="3"/>
  <c r="G1974" i="4" s="1"/>
  <c r="I1975" i="3"/>
  <c r="G1975" i="4" s="1"/>
  <c r="I1976" i="3"/>
  <c r="G1976" i="4" s="1"/>
  <c r="I1977" i="3"/>
  <c r="G1977" i="4" s="1"/>
  <c r="I1978" i="3"/>
  <c r="G1978" i="4" s="1"/>
  <c r="I1979" i="3"/>
  <c r="G1979" i="4" s="1"/>
  <c r="I1980" i="3"/>
  <c r="G1980" i="4" s="1"/>
  <c r="I1981" i="3"/>
  <c r="G1981" i="4" s="1"/>
  <c r="I1982" i="3"/>
  <c r="G1982" i="4" s="1"/>
  <c r="I1983" i="3"/>
  <c r="G1983" i="4" s="1"/>
  <c r="I1984" i="3"/>
  <c r="G1984" i="4" s="1"/>
  <c r="I1985" i="3"/>
  <c r="G1985" i="4" s="1"/>
  <c r="I1986" i="3"/>
  <c r="G1986" i="4" s="1"/>
  <c r="I1987" i="3"/>
  <c r="G1987" i="4" s="1"/>
  <c r="I1988" i="3"/>
  <c r="G1988" i="4" s="1"/>
  <c r="I1989" i="3"/>
  <c r="G1989" i="4" s="1"/>
  <c r="I1990" i="3"/>
  <c r="G1990" i="4" s="1"/>
  <c r="I1991" i="3"/>
  <c r="G1991" i="4" s="1"/>
  <c r="I1992" i="3"/>
  <c r="G1992" i="4" s="1"/>
  <c r="I1993" i="3"/>
  <c r="G1993" i="4" s="1"/>
  <c r="I1994" i="3"/>
  <c r="G1994" i="4" s="1"/>
  <c r="I1995" i="3"/>
  <c r="G1995" i="4" s="1"/>
  <c r="I1996" i="3"/>
  <c r="G1996" i="4" s="1"/>
  <c r="I1997" i="3"/>
  <c r="G1997" i="4" s="1"/>
  <c r="I1998" i="3"/>
  <c r="G1998" i="4" s="1"/>
  <c r="I1999" i="3"/>
  <c r="G1999" i="4" s="1"/>
  <c r="I2000" i="3"/>
  <c r="G2000" i="4" s="1"/>
  <c r="I2001" i="3"/>
  <c r="G2001" i="4" s="1"/>
  <c r="I2002" i="3"/>
  <c r="G2002" i="4" s="1"/>
  <c r="I2003" i="3"/>
  <c r="G2003" i="4" s="1"/>
  <c r="I2004" i="3"/>
  <c r="G2004" i="4" s="1"/>
  <c r="I2005" i="3"/>
  <c r="G2005" i="4" s="1"/>
  <c r="I2006" i="3"/>
  <c r="G2006" i="4" s="1"/>
  <c r="I2007" i="3"/>
  <c r="G2007" i="4" s="1"/>
  <c r="I2008" i="3"/>
  <c r="G2008" i="4" s="1"/>
  <c r="I2009" i="3"/>
  <c r="G2009" i="4" s="1"/>
  <c r="I2010" i="3"/>
  <c r="G2010" i="4" s="1"/>
  <c r="I2011" i="3"/>
  <c r="G2011" i="4" s="1"/>
  <c r="I2012" i="3"/>
  <c r="G2012" i="4" s="1"/>
  <c r="I2013" i="3"/>
  <c r="G2013" i="4" s="1"/>
  <c r="I2014" i="3"/>
  <c r="G2014" i="4" s="1"/>
  <c r="I2015" i="3"/>
  <c r="G2015" i="4" s="1"/>
  <c r="I2016" i="3"/>
  <c r="G2016" i="4" s="1"/>
  <c r="I2017" i="3"/>
  <c r="G2017" i="4" s="1"/>
  <c r="I2018" i="3"/>
  <c r="G2018" i="4" s="1"/>
  <c r="I2019" i="3"/>
  <c r="G2019" i="4" s="1"/>
  <c r="I2020" i="3"/>
  <c r="G2020" i="4" s="1"/>
  <c r="I2021" i="3"/>
  <c r="G2021" i="4" s="1"/>
  <c r="I2022" i="3"/>
  <c r="G2022" i="4" s="1"/>
  <c r="I2023" i="3"/>
  <c r="G2023" i="4" s="1"/>
  <c r="I2024" i="3"/>
  <c r="G2024" i="4" s="1"/>
  <c r="I2025" i="3"/>
  <c r="G2025" i="4" s="1"/>
  <c r="I2026" i="3"/>
  <c r="G2026" i="4" s="1"/>
  <c r="I2027" i="3"/>
  <c r="G2027" i="4" s="1"/>
  <c r="I2028" i="3"/>
  <c r="G2028" i="4" s="1"/>
  <c r="I2029" i="3"/>
  <c r="G2029" i="4" s="1"/>
  <c r="I2030" i="3"/>
  <c r="G2030" i="4" s="1"/>
  <c r="I2031" i="3"/>
  <c r="G2031" i="4" s="1"/>
  <c r="I2032" i="3"/>
  <c r="G2032" i="4" s="1"/>
  <c r="I2033" i="3"/>
  <c r="G2033" i="4" s="1"/>
  <c r="I2034" i="3"/>
  <c r="G2034" i="4" s="1"/>
  <c r="I2035" i="3"/>
  <c r="G2035" i="4" s="1"/>
  <c r="I2036" i="3"/>
  <c r="G2036" i="4" s="1"/>
  <c r="I2037" i="3"/>
  <c r="G2037" i="4" s="1"/>
  <c r="I2038" i="3"/>
  <c r="G2038" i="4" s="1"/>
  <c r="I2039" i="3"/>
  <c r="G2039" i="4" s="1"/>
  <c r="I2040" i="3"/>
  <c r="G2040" i="4" s="1"/>
  <c r="I2041" i="3"/>
  <c r="G2041" i="4" s="1"/>
  <c r="I2042" i="3"/>
  <c r="G2042" i="4" s="1"/>
  <c r="I2043" i="3"/>
  <c r="G2043" i="4" s="1"/>
  <c r="I2044" i="3"/>
  <c r="G2044" i="4" s="1"/>
  <c r="I2045" i="3"/>
  <c r="G2045" i="4" s="1"/>
  <c r="I2046" i="3"/>
  <c r="G2046" i="4" s="1"/>
  <c r="I2047" i="3"/>
  <c r="G2047" i="4" s="1"/>
  <c r="I2048" i="3"/>
  <c r="G2048" i="4" s="1"/>
  <c r="I2049" i="3"/>
  <c r="G2049" i="4" s="1"/>
  <c r="I2050" i="3"/>
  <c r="G2050" i="4" s="1"/>
  <c r="I2051" i="3"/>
  <c r="G2051" i="4" s="1"/>
  <c r="I2052" i="3"/>
  <c r="G2052" i="4" s="1"/>
  <c r="I2053" i="3"/>
  <c r="G2053" i="4" s="1"/>
  <c r="I2054" i="3"/>
  <c r="G2054" i="4" s="1"/>
  <c r="I2055" i="3"/>
  <c r="G2055" i="4" s="1"/>
  <c r="I2056" i="3"/>
  <c r="G2056" i="4" s="1"/>
  <c r="I2057" i="3"/>
  <c r="G2057" i="4" s="1"/>
  <c r="I2058" i="3"/>
  <c r="G2058" i="4" s="1"/>
  <c r="I2059" i="3"/>
  <c r="G2059" i="4" s="1"/>
  <c r="I2060" i="3"/>
  <c r="G2060" i="4" s="1"/>
  <c r="I2061" i="3"/>
  <c r="G2061" i="4" s="1"/>
  <c r="I2062" i="3"/>
  <c r="G2062" i="4" s="1"/>
  <c r="I2063" i="3"/>
  <c r="G2063" i="4" s="1"/>
  <c r="I2064" i="3"/>
  <c r="G2064" i="4" s="1"/>
  <c r="I2065" i="3"/>
  <c r="G2065" i="4" s="1"/>
  <c r="I2066" i="3"/>
  <c r="G2066" i="4" s="1"/>
  <c r="I2067" i="3"/>
  <c r="G2067" i="4" s="1"/>
  <c r="I2068" i="3"/>
  <c r="G2068" i="4" s="1"/>
  <c r="I2069" i="3"/>
  <c r="G2069" i="4" s="1"/>
  <c r="I2070" i="3"/>
  <c r="G2070" i="4" s="1"/>
  <c r="I2071" i="3"/>
  <c r="G2071" i="4" s="1"/>
  <c r="I2072" i="3"/>
  <c r="G2072" i="4" s="1"/>
  <c r="I2073" i="3"/>
  <c r="G2073" i="4" s="1"/>
  <c r="I2074" i="3"/>
  <c r="G2074" i="4" s="1"/>
  <c r="I2075" i="3"/>
  <c r="G2075" i="4" s="1"/>
  <c r="I2076" i="3"/>
  <c r="G2076" i="4" s="1"/>
  <c r="I2077" i="3"/>
  <c r="G2077" i="4" s="1"/>
  <c r="I2078" i="3"/>
  <c r="G2078" i="4" s="1"/>
  <c r="I2079" i="3"/>
  <c r="G2079" i="4" s="1"/>
  <c r="I2080" i="3"/>
  <c r="G2080" i="4" s="1"/>
  <c r="I2081" i="3"/>
  <c r="G2081" i="4" s="1"/>
  <c r="I2082" i="3"/>
  <c r="G2082" i="4" s="1"/>
  <c r="I2083" i="3"/>
  <c r="G2083" i="4" s="1"/>
  <c r="I2084" i="3"/>
  <c r="G2084" i="4" s="1"/>
  <c r="I2085" i="3"/>
  <c r="G2085" i="4" s="1"/>
  <c r="I2086" i="3"/>
  <c r="G2086" i="4" s="1"/>
  <c r="I2087" i="3"/>
  <c r="G2087" i="4" s="1"/>
  <c r="I2088" i="3"/>
  <c r="G2088" i="4" s="1"/>
  <c r="I2089" i="3"/>
  <c r="G2089" i="4" s="1"/>
  <c r="I2090" i="3"/>
  <c r="G2090" i="4" s="1"/>
  <c r="I2091" i="3"/>
  <c r="G2091" i="4" s="1"/>
  <c r="I2092" i="3"/>
  <c r="G2092" i="4" s="1"/>
  <c r="I2093" i="3"/>
  <c r="G2093" i="4" s="1"/>
  <c r="I2094" i="3"/>
  <c r="G2094" i="4" s="1"/>
  <c r="I2095" i="3"/>
  <c r="G2095" i="4" s="1"/>
  <c r="I2096" i="3"/>
  <c r="G2096" i="4" s="1"/>
  <c r="I2097" i="3"/>
  <c r="G2097" i="4" s="1"/>
  <c r="I2098" i="3"/>
  <c r="G2098" i="4" s="1"/>
  <c r="I2099" i="3"/>
  <c r="G2099" i="4" s="1"/>
  <c r="I2100" i="3"/>
  <c r="G2100" i="4" s="1"/>
  <c r="I2101" i="3"/>
  <c r="G2101" i="4" s="1"/>
  <c r="I2102" i="3"/>
  <c r="G2102" i="4" s="1"/>
  <c r="I2103" i="3"/>
  <c r="G2103" i="4" s="1"/>
  <c r="I2104" i="3"/>
  <c r="G2104" i="4" s="1"/>
  <c r="I2105" i="3"/>
  <c r="G2105" i="4" s="1"/>
  <c r="I2106" i="3"/>
  <c r="G2106" i="4" s="1"/>
  <c r="I2107" i="3"/>
  <c r="G2107" i="4" s="1"/>
  <c r="I2108" i="3"/>
  <c r="G2108" i="4" s="1"/>
  <c r="I2109" i="3"/>
  <c r="G2109" i="4" s="1"/>
  <c r="I2110" i="3"/>
  <c r="G2110" i="4" s="1"/>
  <c r="I2111" i="3"/>
  <c r="G2111" i="4" s="1"/>
  <c r="I2112" i="3"/>
  <c r="G2112" i="4" s="1"/>
  <c r="I2113" i="3"/>
  <c r="G2113" i="4" s="1"/>
  <c r="I2114" i="3"/>
  <c r="G2114" i="4" s="1"/>
  <c r="I2115" i="3"/>
  <c r="G2115" i="4" s="1"/>
  <c r="I2116" i="3"/>
  <c r="G2116" i="4" s="1"/>
  <c r="I2117" i="3"/>
  <c r="G2117" i="4" s="1"/>
  <c r="I2118" i="3"/>
  <c r="G2118" i="4" s="1"/>
  <c r="I2119" i="3"/>
  <c r="G2119" i="4" s="1"/>
  <c r="I2120" i="3"/>
  <c r="G2120" i="4" s="1"/>
  <c r="I2121" i="3"/>
  <c r="G2121" i="4" s="1"/>
  <c r="I2122" i="3"/>
  <c r="G2122" i="4" s="1"/>
  <c r="I2123" i="3"/>
  <c r="G2123" i="4" s="1"/>
  <c r="I2124" i="3"/>
  <c r="G2124" i="4" s="1"/>
  <c r="I2125" i="3"/>
  <c r="G2125" i="4" s="1"/>
  <c r="I2126" i="3"/>
  <c r="G2126" i="4" s="1"/>
  <c r="I2127" i="3"/>
  <c r="G2127" i="4" s="1"/>
  <c r="I2128" i="3"/>
  <c r="G2128" i="4" s="1"/>
  <c r="I2129" i="3"/>
  <c r="G2129" i="4" s="1"/>
  <c r="I2130" i="3"/>
  <c r="G2130" i="4" s="1"/>
  <c r="I2131" i="3"/>
  <c r="G2131" i="4" s="1"/>
  <c r="I2132" i="3"/>
  <c r="G2132" i="4" s="1"/>
  <c r="I2133" i="3"/>
  <c r="G2133" i="4" s="1"/>
  <c r="I2134" i="3"/>
  <c r="G2134" i="4" s="1"/>
  <c r="I2135" i="3"/>
  <c r="G2135" i="4" s="1"/>
  <c r="I2136" i="3"/>
  <c r="G2136" i="4" s="1"/>
  <c r="I2137" i="3"/>
  <c r="G2137" i="4" s="1"/>
  <c r="I2138" i="3"/>
  <c r="G2138" i="4" s="1"/>
  <c r="I2139" i="3"/>
  <c r="G2139" i="4" s="1"/>
  <c r="I2140" i="3"/>
  <c r="G2140" i="4" s="1"/>
  <c r="I2141" i="3"/>
  <c r="G2141" i="4" s="1"/>
  <c r="I2142" i="3"/>
  <c r="G2142" i="4" s="1"/>
  <c r="I2143" i="3"/>
  <c r="G2143" i="4" s="1"/>
  <c r="I2144" i="3"/>
  <c r="G2144" i="4" s="1"/>
  <c r="I2145" i="3"/>
  <c r="G2145" i="4" s="1"/>
  <c r="I2146" i="3"/>
  <c r="G2146" i="4" s="1"/>
  <c r="I2147" i="3"/>
  <c r="G2147" i="4" s="1"/>
  <c r="I2148" i="3"/>
  <c r="G2148" i="4" s="1"/>
  <c r="I2149" i="3"/>
  <c r="G2149" i="4" s="1"/>
  <c r="I2150" i="3"/>
  <c r="G2150" i="4" s="1"/>
  <c r="I2151" i="3"/>
  <c r="G2151" i="4" s="1"/>
  <c r="I2152" i="3"/>
  <c r="G2152" i="4" s="1"/>
  <c r="I2153" i="3"/>
  <c r="G2153" i="4" s="1"/>
  <c r="I2154" i="3"/>
  <c r="G2154" i="4" s="1"/>
  <c r="I2155" i="3"/>
  <c r="G2155" i="4" s="1"/>
  <c r="I2156" i="3"/>
  <c r="G2156" i="4" s="1"/>
  <c r="I2157" i="3"/>
  <c r="G2157" i="4" s="1"/>
  <c r="I2158" i="3"/>
  <c r="G2158" i="4" s="1"/>
  <c r="I2159" i="3"/>
  <c r="G2159" i="4" s="1"/>
  <c r="I2160" i="3"/>
  <c r="G2160" i="4" s="1"/>
  <c r="I2161" i="3"/>
  <c r="G2161" i="4" s="1"/>
  <c r="I2162" i="3"/>
  <c r="G2162" i="4" s="1"/>
  <c r="I2163" i="3"/>
  <c r="G2163" i="4" s="1"/>
  <c r="I2164" i="3"/>
  <c r="G2164" i="4" s="1"/>
  <c r="I2165" i="3"/>
  <c r="G2165" i="4" s="1"/>
  <c r="I2166" i="3"/>
  <c r="G2166" i="4" s="1"/>
  <c r="I2167" i="3"/>
  <c r="G2167" i="4" s="1"/>
  <c r="I2168" i="3"/>
  <c r="G2168" i="4" s="1"/>
  <c r="I2169" i="3"/>
  <c r="G2169" i="4" s="1"/>
  <c r="I2170" i="3"/>
  <c r="G2170" i="4" s="1"/>
  <c r="I2171" i="3"/>
  <c r="G2171" i="4" s="1"/>
  <c r="I2172" i="3"/>
  <c r="G2172" i="4" s="1"/>
  <c r="I2173" i="3"/>
  <c r="G2173" i="4" s="1"/>
  <c r="I2174" i="3"/>
  <c r="G2174" i="4" s="1"/>
  <c r="I2175" i="3"/>
  <c r="G2175" i="4" s="1"/>
  <c r="I2176" i="3"/>
  <c r="G2176" i="4" s="1"/>
  <c r="I2177" i="3"/>
  <c r="G2177" i="4" s="1"/>
  <c r="I2178" i="3"/>
  <c r="G2178" i="4" s="1"/>
  <c r="I2179" i="3"/>
  <c r="G2179" i="4" s="1"/>
  <c r="I2180" i="3"/>
  <c r="G2180" i="4" s="1"/>
  <c r="I2181" i="3"/>
  <c r="G2181" i="4" s="1"/>
  <c r="I2182" i="3"/>
  <c r="G2182" i="4" s="1"/>
  <c r="I2183" i="3"/>
  <c r="G2183" i="4" s="1"/>
  <c r="I2184" i="3"/>
  <c r="G2184" i="4" s="1"/>
  <c r="I2185" i="3"/>
  <c r="G2185" i="4" s="1"/>
  <c r="I2186" i="3"/>
  <c r="G2186" i="4" s="1"/>
  <c r="I2187" i="3"/>
  <c r="G2187" i="4" s="1"/>
  <c r="I2188" i="3"/>
  <c r="G2188" i="4" s="1"/>
  <c r="I2189" i="3"/>
  <c r="G2189" i="4" s="1"/>
  <c r="I2190" i="3"/>
  <c r="G2190" i="4" s="1"/>
  <c r="I2191" i="3"/>
  <c r="G2191" i="4" s="1"/>
  <c r="I2192" i="3"/>
  <c r="G2192" i="4" s="1"/>
  <c r="I2193" i="3"/>
  <c r="G2193" i="4" s="1"/>
  <c r="I2194" i="3"/>
  <c r="G2194" i="4" s="1"/>
  <c r="I2195" i="3"/>
  <c r="G2195" i="4" s="1"/>
  <c r="I2196" i="3"/>
  <c r="G2196" i="4" s="1"/>
  <c r="I2197" i="3"/>
  <c r="G2197" i="4" s="1"/>
  <c r="I2198" i="3"/>
  <c r="G2198" i="4" s="1"/>
  <c r="I2199" i="3"/>
  <c r="G2199" i="4" s="1"/>
  <c r="I2200" i="3"/>
  <c r="G2200" i="4" s="1"/>
  <c r="I2201" i="3"/>
  <c r="G2201" i="4" s="1"/>
  <c r="I2202" i="3"/>
  <c r="G2202" i="4" s="1"/>
  <c r="I2203" i="3"/>
  <c r="I2204" i="3"/>
  <c r="G2204" i="4" s="1"/>
  <c r="I2205" i="3"/>
  <c r="G2205" i="4" s="1"/>
  <c r="I2206" i="3"/>
  <c r="G2206" i="4" s="1"/>
  <c r="I2207" i="3"/>
  <c r="G2207" i="4" s="1"/>
  <c r="I2208" i="3"/>
  <c r="G2208" i="4" s="1"/>
  <c r="I2209" i="3"/>
  <c r="G2209" i="4" s="1"/>
  <c r="I2210" i="3"/>
  <c r="G2210" i="4" s="1"/>
  <c r="I2211" i="3"/>
  <c r="G2211" i="4" s="1"/>
  <c r="I2212" i="3"/>
  <c r="G2212" i="4" s="1"/>
  <c r="I2213" i="3"/>
  <c r="G2213" i="4" s="1"/>
  <c r="I2214" i="3"/>
  <c r="G2214" i="4" s="1"/>
  <c r="I2215" i="3"/>
  <c r="G2215" i="4" s="1"/>
  <c r="I2216" i="3"/>
  <c r="G2216" i="4" s="1"/>
  <c r="I2217" i="3"/>
  <c r="G2217" i="4" s="1"/>
  <c r="I2218" i="3"/>
  <c r="G2218" i="4" s="1"/>
  <c r="I2219" i="3"/>
  <c r="G2219" i="4" s="1"/>
  <c r="I2220" i="3"/>
  <c r="G2220" i="4" s="1"/>
  <c r="I2221" i="3"/>
  <c r="G2221" i="4" s="1"/>
  <c r="I2222" i="3"/>
  <c r="G2222" i="4" s="1"/>
  <c r="I2223" i="3"/>
  <c r="G2223" i="4" s="1"/>
  <c r="I2224" i="3"/>
  <c r="G2224" i="4" s="1"/>
  <c r="I2225" i="3"/>
  <c r="G2225" i="4" s="1"/>
  <c r="I2226" i="3"/>
  <c r="G2226" i="4" s="1"/>
  <c r="I2227" i="3"/>
  <c r="G2227" i="4" s="1"/>
  <c r="I2228" i="3"/>
  <c r="G2228" i="4" s="1"/>
  <c r="I2229" i="3"/>
  <c r="G2229" i="4" s="1"/>
  <c r="I2230" i="3"/>
  <c r="G2230" i="4" s="1"/>
  <c r="I2231" i="3"/>
  <c r="G2231" i="4" s="1"/>
  <c r="I2232" i="3"/>
  <c r="G2232" i="4" s="1"/>
  <c r="I2233" i="3"/>
  <c r="G2233" i="4" s="1"/>
  <c r="I2234" i="3"/>
  <c r="G2234" i="4" s="1"/>
  <c r="I2235" i="3"/>
  <c r="G2235" i="4" s="1"/>
  <c r="I2236" i="3"/>
  <c r="G2236" i="4" s="1"/>
  <c r="I2237" i="3"/>
  <c r="G2237" i="4" s="1"/>
  <c r="I2238" i="3"/>
  <c r="G2238" i="4" s="1"/>
  <c r="I2239" i="3"/>
  <c r="G2239" i="4" s="1"/>
  <c r="I2240" i="3"/>
  <c r="G2240" i="4" s="1"/>
  <c r="I2241" i="3"/>
  <c r="G2241" i="4" s="1"/>
  <c r="I2242" i="3"/>
  <c r="G2242" i="4" s="1"/>
  <c r="I2243" i="3"/>
  <c r="G2243" i="4" s="1"/>
  <c r="I2244" i="3"/>
  <c r="G2244" i="4" s="1"/>
  <c r="I2245" i="3"/>
  <c r="G2245" i="4" s="1"/>
  <c r="I2246" i="3"/>
  <c r="G2246" i="4" s="1"/>
  <c r="I2247" i="3"/>
  <c r="G2247" i="4" s="1"/>
  <c r="I2248" i="3"/>
  <c r="G2248" i="4" s="1"/>
  <c r="I2249" i="3"/>
  <c r="G2249" i="4" s="1"/>
  <c r="I2250" i="3"/>
  <c r="G2250" i="4" s="1"/>
  <c r="I2251" i="3"/>
  <c r="G2251" i="4" s="1"/>
  <c r="I2252" i="3"/>
  <c r="G2252" i="4" s="1"/>
  <c r="I2253" i="3"/>
  <c r="G2253" i="4" s="1"/>
  <c r="I2254" i="3"/>
  <c r="G2254" i="4" s="1"/>
  <c r="I2255" i="3"/>
  <c r="G2255" i="4" s="1"/>
  <c r="I2256" i="3"/>
  <c r="G2256" i="4" s="1"/>
  <c r="I2257" i="3"/>
  <c r="G2257" i="4" s="1"/>
  <c r="I2258" i="3"/>
  <c r="G2258" i="4" s="1"/>
  <c r="I2259" i="3"/>
  <c r="G2259" i="4" s="1"/>
  <c r="I2260" i="3"/>
  <c r="G2260" i="4" s="1"/>
  <c r="I2261" i="3"/>
  <c r="G2261" i="4" s="1"/>
  <c r="I2262" i="3"/>
  <c r="G2262" i="4" s="1"/>
  <c r="I2263" i="3"/>
  <c r="G2263" i="4" s="1"/>
  <c r="I2264" i="3"/>
  <c r="G2264" i="4" s="1"/>
  <c r="I2265" i="3"/>
  <c r="G2265" i="4" s="1"/>
  <c r="I2266" i="3"/>
  <c r="G2266" i="4" s="1"/>
  <c r="I2267" i="3"/>
  <c r="G2267" i="4" s="1"/>
  <c r="I2268" i="3"/>
  <c r="G2268" i="4" s="1"/>
  <c r="I2269" i="3"/>
  <c r="G2269" i="4" s="1"/>
  <c r="I2270" i="3"/>
  <c r="G2270" i="4" s="1"/>
  <c r="I2271" i="3"/>
  <c r="G2271" i="4" s="1"/>
  <c r="I2272" i="3"/>
  <c r="G2272" i="4" s="1"/>
  <c r="I2273" i="3"/>
  <c r="G2273" i="4" s="1"/>
  <c r="I2274" i="3"/>
  <c r="G2274" i="4" s="1"/>
  <c r="I2275" i="3"/>
  <c r="G2275" i="4" s="1"/>
  <c r="I2276" i="3"/>
  <c r="G2276" i="4" s="1"/>
  <c r="I2277" i="3"/>
  <c r="G2277" i="4" s="1"/>
  <c r="I2278" i="3"/>
  <c r="G2278" i="4" s="1"/>
  <c r="I2279" i="3"/>
  <c r="G2279" i="4" s="1"/>
  <c r="I2280" i="3"/>
  <c r="G2280" i="4" s="1"/>
  <c r="I2281" i="3"/>
  <c r="G2281" i="4" s="1"/>
  <c r="I2282" i="3"/>
  <c r="G2282" i="4" s="1"/>
  <c r="I2283" i="3"/>
  <c r="G2283" i="4" s="1"/>
  <c r="I2284" i="3"/>
  <c r="G2284" i="4" s="1"/>
  <c r="I2285" i="3"/>
  <c r="G2285" i="4" s="1"/>
  <c r="I2286" i="3"/>
  <c r="G2286" i="4" s="1"/>
  <c r="I2287" i="3"/>
  <c r="G2287" i="4" s="1"/>
  <c r="I2288" i="3"/>
  <c r="G2288" i="4" s="1"/>
  <c r="I2289" i="3"/>
  <c r="G2289" i="4" s="1"/>
  <c r="I2290" i="3"/>
  <c r="G2290" i="4" s="1"/>
  <c r="I2291" i="3"/>
  <c r="G2291" i="4" s="1"/>
  <c r="I2292" i="3"/>
  <c r="G2292" i="4" s="1"/>
  <c r="I2293" i="3"/>
  <c r="G2293" i="4" s="1"/>
  <c r="I2294" i="3"/>
  <c r="G2294" i="4" s="1"/>
  <c r="I2295" i="3"/>
  <c r="G2295" i="4" s="1"/>
  <c r="I2296" i="3"/>
  <c r="G2296" i="4" s="1"/>
  <c r="I2297" i="3"/>
  <c r="G2297" i="4" s="1"/>
  <c r="I2298" i="3"/>
  <c r="G2298" i="4" s="1"/>
  <c r="I2299" i="3"/>
  <c r="G2299" i="4" s="1"/>
  <c r="I2300" i="3"/>
  <c r="G2300" i="4" s="1"/>
  <c r="I2301" i="3"/>
  <c r="G2301" i="4" s="1"/>
  <c r="I2302" i="3"/>
  <c r="G2302" i="4" s="1"/>
  <c r="I2303" i="3"/>
  <c r="G2303" i="4" s="1"/>
  <c r="I2304" i="3"/>
  <c r="G2304" i="4" s="1"/>
  <c r="I2305" i="3"/>
  <c r="G2305" i="4" s="1"/>
  <c r="I2306" i="3"/>
  <c r="G2306" i="4" s="1"/>
  <c r="I2307" i="3"/>
  <c r="G2307" i="4" s="1"/>
  <c r="I2308" i="3"/>
  <c r="G2308" i="4" s="1"/>
  <c r="I2309" i="3"/>
  <c r="G2309" i="4" s="1"/>
  <c r="I2310" i="3"/>
  <c r="G2310" i="4" s="1"/>
  <c r="I2311" i="3"/>
  <c r="G2311" i="4" s="1"/>
  <c r="I2312" i="3"/>
  <c r="G2312" i="4" s="1"/>
  <c r="I2313" i="3"/>
  <c r="G2313" i="4" s="1"/>
  <c r="I2314" i="3"/>
  <c r="G2314" i="4" s="1"/>
  <c r="I2315" i="3"/>
  <c r="G2315" i="4" s="1"/>
  <c r="I2316" i="3"/>
  <c r="G2316" i="4" s="1"/>
  <c r="I2317" i="3"/>
  <c r="G2317" i="4" s="1"/>
  <c r="I2318" i="3"/>
  <c r="G2318" i="4" s="1"/>
  <c r="I2319" i="3"/>
  <c r="G2319" i="4" s="1"/>
  <c r="I2320" i="3"/>
  <c r="G2320" i="4" s="1"/>
  <c r="I2321" i="3"/>
  <c r="G2321" i="4" s="1"/>
  <c r="I2322" i="3"/>
  <c r="G2322" i="4" s="1"/>
  <c r="I2323" i="3"/>
  <c r="G2323" i="4" s="1"/>
  <c r="I2324" i="3"/>
  <c r="G2324" i="4" s="1"/>
  <c r="I2325" i="3"/>
  <c r="G2325" i="4" s="1"/>
  <c r="I2326" i="3"/>
  <c r="G2326" i="4" s="1"/>
  <c r="I2327" i="3"/>
  <c r="G2327" i="4" s="1"/>
  <c r="I2328" i="3"/>
  <c r="G2328" i="4" s="1"/>
  <c r="I2329" i="3"/>
  <c r="G2329" i="4" s="1"/>
  <c r="I2330" i="3"/>
  <c r="G2330" i="4" s="1"/>
  <c r="I2331" i="3"/>
  <c r="G2331" i="4" s="1"/>
  <c r="I2332" i="3"/>
  <c r="G2332" i="4" s="1"/>
  <c r="I2333" i="3"/>
  <c r="G2333" i="4" s="1"/>
  <c r="I2334" i="3"/>
  <c r="G2334" i="4" s="1"/>
  <c r="I2335" i="3"/>
  <c r="G2335" i="4" s="1"/>
  <c r="I2336" i="3"/>
  <c r="G2336" i="4" s="1"/>
  <c r="I2337" i="3"/>
  <c r="G2337" i="4" s="1"/>
  <c r="I2338" i="3"/>
  <c r="G2338" i="4" s="1"/>
  <c r="I2339" i="3"/>
  <c r="G2339" i="4" s="1"/>
  <c r="I2340" i="3"/>
  <c r="G2340" i="4" s="1"/>
  <c r="I2341" i="3"/>
  <c r="G2341" i="4" s="1"/>
  <c r="I2342" i="3"/>
  <c r="G2342" i="4" s="1"/>
  <c r="I2343" i="3"/>
  <c r="G2343" i="4" s="1"/>
  <c r="I2344" i="3"/>
  <c r="G2344" i="4" s="1"/>
  <c r="I2345" i="3"/>
  <c r="G2345" i="4" s="1"/>
  <c r="I2346" i="3"/>
  <c r="G2346" i="4" s="1"/>
  <c r="I2347" i="3"/>
  <c r="G2347" i="4" s="1"/>
  <c r="I2348" i="3"/>
  <c r="G2348" i="4" s="1"/>
  <c r="I2349" i="3"/>
  <c r="G2349" i="4" s="1"/>
  <c r="I2350" i="3"/>
  <c r="G2350" i="4" s="1"/>
  <c r="I2351" i="3"/>
  <c r="G2351" i="4" s="1"/>
  <c r="I2352" i="3"/>
  <c r="G2352" i="4" s="1"/>
  <c r="I2353" i="3"/>
  <c r="G2353" i="4" s="1"/>
  <c r="I2354" i="3"/>
  <c r="G2354" i="4" s="1"/>
  <c r="I2355" i="3"/>
  <c r="G2355" i="4" s="1"/>
  <c r="I2356" i="3"/>
  <c r="G2356" i="4" s="1"/>
  <c r="I2357" i="3"/>
  <c r="G2357" i="4" s="1"/>
  <c r="I2358" i="3"/>
  <c r="G2358" i="4" s="1"/>
  <c r="I2359" i="3"/>
  <c r="G2359" i="4" s="1"/>
  <c r="I2360" i="3"/>
  <c r="G2360" i="4" s="1"/>
  <c r="I2361" i="3"/>
  <c r="G2361" i="4" s="1"/>
  <c r="I2362" i="3"/>
  <c r="G2362" i="4" s="1"/>
  <c r="I2363" i="3"/>
  <c r="G2363" i="4" s="1"/>
  <c r="I2364" i="3"/>
  <c r="G2364" i="4" s="1"/>
  <c r="I2365" i="3"/>
  <c r="G2365" i="4" s="1"/>
  <c r="I2366" i="3"/>
  <c r="G2366" i="4" s="1"/>
  <c r="I2367" i="3"/>
  <c r="G2367" i="4" s="1"/>
  <c r="I2368" i="3"/>
  <c r="G2368" i="4" s="1"/>
  <c r="I2369" i="3"/>
  <c r="G2369" i="4" s="1"/>
  <c r="I2370" i="3"/>
  <c r="G2370" i="4" s="1"/>
  <c r="I2371" i="3"/>
  <c r="G2371" i="4" s="1"/>
  <c r="I2372" i="3"/>
  <c r="G2372" i="4" s="1"/>
  <c r="I2373" i="3"/>
  <c r="G2373" i="4" s="1"/>
  <c r="I2374" i="3"/>
  <c r="G2374" i="4" s="1"/>
  <c r="I2375" i="3"/>
  <c r="G2375" i="4" s="1"/>
  <c r="I2376" i="3"/>
  <c r="G2376" i="4" s="1"/>
  <c r="I2377" i="3"/>
  <c r="G2377" i="4" s="1"/>
  <c r="I2378" i="3"/>
  <c r="G2378" i="4" s="1"/>
  <c r="I2379" i="3"/>
  <c r="G2379" i="4" s="1"/>
  <c r="I2380" i="3"/>
  <c r="G2380" i="4" s="1"/>
  <c r="I2381" i="3"/>
  <c r="G2381" i="4" s="1"/>
  <c r="I2382" i="3"/>
  <c r="G2382" i="4" s="1"/>
  <c r="I2383" i="3"/>
  <c r="G2383" i="4" s="1"/>
  <c r="I2384" i="3"/>
  <c r="G2384" i="4" s="1"/>
  <c r="I2385" i="3"/>
  <c r="G2385" i="4" s="1"/>
  <c r="I2386" i="3"/>
  <c r="G2386" i="4" s="1"/>
  <c r="I2387" i="3"/>
  <c r="G2387" i="4" s="1"/>
  <c r="I2388" i="3"/>
  <c r="G2388" i="4" s="1"/>
  <c r="I2389" i="3"/>
  <c r="G2389" i="4" s="1"/>
  <c r="I2390" i="3"/>
  <c r="G2390" i="4" s="1"/>
  <c r="I2391" i="3"/>
  <c r="G2391" i="4" s="1"/>
  <c r="I2392" i="3"/>
  <c r="G2392" i="4" s="1"/>
  <c r="I2393" i="3"/>
  <c r="G2393" i="4" s="1"/>
  <c r="I2394" i="3"/>
  <c r="G2394" i="4" s="1"/>
  <c r="I2395" i="3"/>
  <c r="G2395" i="4" s="1"/>
  <c r="I2396" i="3"/>
  <c r="G2396" i="4" s="1"/>
  <c r="I2397" i="3"/>
  <c r="G2397" i="4" s="1"/>
  <c r="I2398" i="3"/>
  <c r="G2398" i="4" s="1"/>
  <c r="I2399" i="3"/>
  <c r="G2399" i="4" s="1"/>
  <c r="I2400" i="3"/>
  <c r="G2400" i="4" s="1"/>
  <c r="I2401" i="3"/>
  <c r="G2401" i="4" s="1"/>
  <c r="I2402" i="3"/>
  <c r="G2402" i="4" s="1"/>
  <c r="I2403" i="3"/>
  <c r="G2403" i="4" s="1"/>
  <c r="I2404" i="3"/>
  <c r="G2404" i="4" s="1"/>
  <c r="I2405" i="3"/>
  <c r="G2405" i="4" s="1"/>
  <c r="I2406" i="3"/>
  <c r="G2406" i="4" s="1"/>
  <c r="I2407" i="3"/>
  <c r="G2407" i="4" s="1"/>
  <c r="I2408" i="3"/>
  <c r="G2408" i="4" s="1"/>
  <c r="I2409" i="3"/>
  <c r="G2409" i="4" s="1"/>
  <c r="I2410" i="3"/>
  <c r="G2410" i="4" s="1"/>
  <c r="I2411" i="3"/>
  <c r="G2411" i="4" s="1"/>
  <c r="I2412" i="3"/>
  <c r="G2412" i="4" s="1"/>
  <c r="I2413" i="3"/>
  <c r="G2413" i="4" s="1"/>
  <c r="I2414" i="3"/>
  <c r="G2414" i="4" s="1"/>
  <c r="I2415" i="3"/>
  <c r="G2415" i="4" s="1"/>
  <c r="I2416" i="3"/>
  <c r="G2416" i="4" s="1"/>
  <c r="I2417" i="3"/>
  <c r="G2417" i="4" s="1"/>
  <c r="I2418" i="3"/>
  <c r="G2418" i="4" s="1"/>
  <c r="I2419" i="3"/>
  <c r="G2419" i="4" s="1"/>
  <c r="I2420" i="3"/>
  <c r="G2420" i="4" s="1"/>
  <c r="I2421" i="3"/>
  <c r="G2421" i="4" s="1"/>
  <c r="I2422" i="3"/>
  <c r="G2422" i="4" s="1"/>
  <c r="I2423" i="3"/>
  <c r="G2423" i="4" s="1"/>
  <c r="I2424" i="3"/>
  <c r="G2424" i="4" s="1"/>
  <c r="I2425" i="3"/>
  <c r="G2425" i="4" s="1"/>
  <c r="I2426" i="3"/>
  <c r="G2426" i="4" s="1"/>
  <c r="I2427" i="3"/>
  <c r="G2427" i="4" s="1"/>
  <c r="I2428" i="3"/>
  <c r="G2428" i="4" s="1"/>
  <c r="I2429" i="3"/>
  <c r="G2429" i="4" s="1"/>
  <c r="I2430" i="3"/>
  <c r="G2430" i="4" s="1"/>
  <c r="I2431" i="3"/>
  <c r="G2431" i="4" s="1"/>
  <c r="I2432" i="3"/>
  <c r="G2432" i="4" s="1"/>
  <c r="I2433" i="3"/>
  <c r="G2433" i="4" s="1"/>
  <c r="I2434" i="3"/>
  <c r="G2434" i="4" s="1"/>
  <c r="I2435" i="3"/>
  <c r="G2435" i="4" s="1"/>
  <c r="I2436" i="3"/>
  <c r="G2436" i="4" s="1"/>
  <c r="I2437" i="3"/>
  <c r="G2437" i="4" s="1"/>
  <c r="I2438" i="3"/>
  <c r="G2438" i="4" s="1"/>
  <c r="I2439" i="3"/>
  <c r="G2439" i="4" s="1"/>
  <c r="I2440" i="3"/>
  <c r="G2440" i="4" s="1"/>
  <c r="I2441" i="3"/>
  <c r="G2441" i="4" s="1"/>
  <c r="I2442" i="3"/>
  <c r="G2442" i="4" s="1"/>
  <c r="I2443" i="3"/>
  <c r="G2443" i="4" s="1"/>
  <c r="I2444" i="3"/>
  <c r="G2444" i="4" s="1"/>
  <c r="I2445" i="3"/>
  <c r="G2445" i="4" s="1"/>
  <c r="I2446" i="3"/>
  <c r="G2446" i="4" s="1"/>
  <c r="I2447" i="3"/>
  <c r="G2447" i="4" s="1"/>
  <c r="I2448" i="3"/>
  <c r="G2448" i="4" s="1"/>
  <c r="I2449" i="3"/>
  <c r="G2449" i="4" s="1"/>
  <c r="I2450" i="3"/>
  <c r="G2450" i="4" s="1"/>
  <c r="I2451" i="3"/>
  <c r="G2451" i="4" s="1"/>
  <c r="I2452" i="3"/>
  <c r="G2452" i="4" s="1"/>
  <c r="I2453" i="3"/>
  <c r="G2453" i="4" s="1"/>
  <c r="I2454" i="3"/>
  <c r="G2454" i="4" s="1"/>
  <c r="I2455" i="3"/>
  <c r="G2455" i="4" s="1"/>
  <c r="I2456" i="3"/>
  <c r="G2456" i="4" s="1"/>
  <c r="I2457" i="3"/>
  <c r="G2457" i="4" s="1"/>
  <c r="I2458" i="3"/>
  <c r="G2458" i="4" s="1"/>
  <c r="I2459" i="3"/>
  <c r="G2459" i="4" s="1"/>
  <c r="I2460" i="3"/>
  <c r="G2460" i="4" s="1"/>
  <c r="I2461" i="3"/>
  <c r="G2461" i="4" s="1"/>
  <c r="I2462" i="3"/>
  <c r="G2462" i="4" s="1"/>
  <c r="I2463" i="3"/>
  <c r="G2463" i="4" s="1"/>
  <c r="I2464" i="3"/>
  <c r="G2464" i="4" s="1"/>
  <c r="I2465" i="3"/>
  <c r="G2465" i="4" s="1"/>
  <c r="I2466" i="3"/>
  <c r="G2466" i="4" s="1"/>
  <c r="I2467" i="3"/>
  <c r="G2467" i="4" s="1"/>
  <c r="I2468" i="3"/>
  <c r="G2468" i="4" s="1"/>
  <c r="I2469" i="3"/>
  <c r="G2469" i="4" s="1"/>
  <c r="I2470" i="3"/>
  <c r="G2470" i="4" s="1"/>
  <c r="I2471" i="3"/>
  <c r="G2471" i="4" s="1"/>
  <c r="I2472" i="3"/>
  <c r="G2472" i="4" s="1"/>
  <c r="I2473" i="3"/>
  <c r="G2473" i="4" s="1"/>
  <c r="I2474" i="3"/>
  <c r="G2474" i="4" s="1"/>
  <c r="I2475" i="3"/>
  <c r="G2475" i="4" s="1"/>
  <c r="I2476" i="3"/>
  <c r="G2476" i="4" s="1"/>
  <c r="I2477" i="3"/>
  <c r="G2477" i="4" s="1"/>
  <c r="I2478" i="3"/>
  <c r="G2478" i="4" s="1"/>
  <c r="I2479" i="3"/>
  <c r="G2479" i="4" s="1"/>
  <c r="I2480" i="3"/>
  <c r="G2480" i="4" s="1"/>
  <c r="I2481" i="3"/>
  <c r="G2481" i="4" s="1"/>
  <c r="I2482" i="3"/>
  <c r="G2482" i="4" s="1"/>
  <c r="I2483" i="3"/>
  <c r="G2483" i="4" s="1"/>
  <c r="I2484" i="3"/>
  <c r="G2484" i="4" s="1"/>
  <c r="I2485" i="3"/>
  <c r="G2485" i="4" s="1"/>
  <c r="I2486" i="3"/>
  <c r="G2486" i="4" s="1"/>
  <c r="I2487" i="3"/>
  <c r="G2487" i="4" s="1"/>
  <c r="I2488" i="3"/>
  <c r="G2488" i="4" s="1"/>
  <c r="I2489" i="3"/>
  <c r="G2489" i="4" s="1"/>
  <c r="I2490" i="3"/>
  <c r="G2490" i="4" s="1"/>
  <c r="I2491" i="3"/>
  <c r="G2491" i="4" s="1"/>
  <c r="I2492" i="3"/>
  <c r="G2492" i="4" s="1"/>
  <c r="I2493" i="3"/>
  <c r="G2493" i="4" s="1"/>
  <c r="I2494" i="3"/>
  <c r="G2494" i="4" s="1"/>
  <c r="I2495" i="3"/>
  <c r="G2495" i="4" s="1"/>
  <c r="I2496" i="3"/>
  <c r="G2496" i="4" s="1"/>
  <c r="I2497" i="3"/>
  <c r="G2497" i="4" s="1"/>
  <c r="I2498" i="3"/>
  <c r="G2498" i="4" s="1"/>
  <c r="I2499" i="3"/>
  <c r="G2499" i="4" s="1"/>
  <c r="I2500" i="3"/>
  <c r="G2500" i="4" s="1"/>
  <c r="I2501" i="3"/>
  <c r="G2501" i="4" s="1"/>
  <c r="I2502" i="3"/>
  <c r="G2502" i="4" s="1"/>
  <c r="I2503" i="3"/>
  <c r="G2503" i="4" s="1"/>
  <c r="I2504" i="3"/>
  <c r="G2504" i="4" s="1"/>
  <c r="I2505" i="3"/>
  <c r="G2505" i="4" s="1"/>
  <c r="I2506" i="3"/>
  <c r="G2506" i="4" s="1"/>
  <c r="I2507" i="3"/>
  <c r="G2507" i="4" s="1"/>
  <c r="I2508" i="3"/>
  <c r="G2508" i="4" s="1"/>
  <c r="I2509" i="3"/>
  <c r="G2509" i="4" s="1"/>
  <c r="I2510" i="3"/>
  <c r="G2510" i="4" s="1"/>
  <c r="I2511" i="3"/>
  <c r="G2511" i="4" s="1"/>
  <c r="I2512" i="3"/>
  <c r="G2512" i="4" s="1"/>
  <c r="I2513" i="3"/>
  <c r="G2513" i="4" s="1"/>
  <c r="I2514" i="3"/>
  <c r="G2514" i="4" s="1"/>
  <c r="I2515" i="3"/>
  <c r="G2515" i="4" s="1"/>
  <c r="I2516" i="3"/>
  <c r="G2516" i="4" s="1"/>
  <c r="I2517" i="3"/>
  <c r="G2517" i="4" s="1"/>
  <c r="I2518" i="3"/>
  <c r="G2518" i="4" s="1"/>
  <c r="I2519" i="3"/>
  <c r="G2519" i="4" s="1"/>
  <c r="I2520" i="3"/>
  <c r="G2520" i="4" s="1"/>
  <c r="I2521" i="3"/>
  <c r="G2521" i="4" s="1"/>
  <c r="I2522" i="3"/>
  <c r="G2522" i="4" s="1"/>
  <c r="I2523" i="3"/>
  <c r="G2523" i="4" s="1"/>
  <c r="I2524" i="3"/>
  <c r="G2524" i="4" s="1"/>
  <c r="I2525" i="3"/>
  <c r="G2525" i="4" s="1"/>
  <c r="I2526" i="3"/>
  <c r="I2527" i="3"/>
  <c r="G2527" i="4" s="1"/>
  <c r="I2528" i="3"/>
  <c r="G2528" i="4" s="1"/>
  <c r="I2529" i="3"/>
  <c r="G2529" i="4" s="1"/>
  <c r="I2530" i="3"/>
  <c r="G2530" i="4" s="1"/>
  <c r="I2531" i="3"/>
  <c r="G2531" i="4" s="1"/>
  <c r="I2532" i="3"/>
  <c r="G2532" i="4" s="1"/>
  <c r="I2533" i="3"/>
  <c r="G2533" i="4" s="1"/>
  <c r="I2534" i="3"/>
  <c r="G2534" i="4" s="1"/>
  <c r="I2535" i="3"/>
  <c r="G2535" i="4" s="1"/>
  <c r="I2536" i="3"/>
  <c r="G2536" i="4" s="1"/>
  <c r="I2537" i="3"/>
  <c r="G2537" i="4" s="1"/>
  <c r="I2538" i="3"/>
  <c r="G2538" i="4" s="1"/>
  <c r="I2539" i="3"/>
  <c r="G2539" i="4" s="1"/>
  <c r="I2540" i="3"/>
  <c r="G2540" i="4" s="1"/>
  <c r="I2541" i="3"/>
  <c r="G2541" i="4" s="1"/>
  <c r="I2542" i="3"/>
  <c r="G2542" i="4" s="1"/>
  <c r="I2543" i="3"/>
  <c r="G2543" i="4" s="1"/>
  <c r="I2544" i="3"/>
  <c r="G2544" i="4" s="1"/>
  <c r="I2545" i="3"/>
  <c r="G2545" i="4" s="1"/>
  <c r="I2546" i="3"/>
  <c r="G2546" i="4" s="1"/>
  <c r="I2547" i="3"/>
  <c r="G2547" i="4" s="1"/>
  <c r="I2548" i="3"/>
  <c r="G2548" i="4" s="1"/>
  <c r="I2549" i="3"/>
  <c r="G2549" i="4" s="1"/>
  <c r="I2550" i="3"/>
  <c r="G2550" i="4" s="1"/>
  <c r="I2551" i="3"/>
  <c r="G2551" i="4" s="1"/>
  <c r="I2552" i="3"/>
  <c r="G2552" i="4" s="1"/>
  <c r="I2553" i="3"/>
  <c r="G2553" i="4" s="1"/>
  <c r="I2554" i="3"/>
  <c r="G2554" i="4" s="1"/>
  <c r="I2555" i="3"/>
  <c r="G2555" i="4" s="1"/>
  <c r="I2556" i="3"/>
  <c r="G2556" i="4" s="1"/>
  <c r="I2557" i="3"/>
  <c r="G2557" i="4" s="1"/>
  <c r="I2558" i="3"/>
  <c r="G2558" i="4" s="1"/>
  <c r="I2559" i="3"/>
  <c r="G2559" i="4" s="1"/>
  <c r="I2560" i="3"/>
  <c r="G2560" i="4" s="1"/>
  <c r="I2561" i="3"/>
  <c r="G2561" i="4" s="1"/>
  <c r="I2562" i="3"/>
  <c r="G2562" i="4" s="1"/>
  <c r="I2563" i="3"/>
  <c r="G2563" i="4" s="1"/>
  <c r="I2564" i="3"/>
  <c r="G2564" i="4" s="1"/>
  <c r="I2565" i="3"/>
  <c r="G2565" i="4" s="1"/>
  <c r="I2566" i="3"/>
  <c r="G2566" i="4" s="1"/>
  <c r="I2567" i="3"/>
  <c r="G2567" i="4" s="1"/>
  <c r="I2568" i="3"/>
  <c r="G2568" i="4" s="1"/>
  <c r="I2569" i="3"/>
  <c r="G2569" i="4" s="1"/>
  <c r="I2570" i="3"/>
  <c r="G2570" i="4" s="1"/>
  <c r="I2571" i="3"/>
  <c r="G2571" i="4" s="1"/>
  <c r="I2572" i="3"/>
  <c r="G2572" i="4" s="1"/>
  <c r="I2573" i="3"/>
  <c r="G2573" i="4" s="1"/>
  <c r="I2574" i="3"/>
  <c r="G2574" i="4" s="1"/>
  <c r="I2575" i="3"/>
  <c r="G2575" i="4" s="1"/>
  <c r="I2576" i="3"/>
  <c r="G2576" i="4" s="1"/>
  <c r="I2577" i="3"/>
  <c r="G2577" i="4" s="1"/>
  <c r="I2578" i="3"/>
  <c r="G2578" i="4" s="1"/>
  <c r="I2579" i="3"/>
  <c r="G2579" i="4" s="1"/>
  <c r="I2580" i="3"/>
  <c r="G2580" i="4" s="1"/>
  <c r="I2581" i="3"/>
  <c r="G2581" i="4" s="1"/>
  <c r="I2582" i="3"/>
  <c r="G2582" i="4" s="1"/>
  <c r="I2583" i="3"/>
  <c r="G2583" i="4" s="1"/>
  <c r="I2584" i="3"/>
  <c r="G2584" i="4" s="1"/>
  <c r="I2585" i="3"/>
  <c r="G2585" i="4" s="1"/>
  <c r="I2586" i="3"/>
  <c r="G2586" i="4" s="1"/>
  <c r="I2587" i="3"/>
  <c r="G2587" i="4" s="1"/>
  <c r="I2588" i="3"/>
  <c r="G2588" i="4" s="1"/>
  <c r="I2589" i="3"/>
  <c r="G2589" i="4" s="1"/>
  <c r="I2590" i="3"/>
  <c r="G2590" i="4" s="1"/>
  <c r="I2591" i="3"/>
  <c r="G2591" i="4" s="1"/>
  <c r="I2592" i="3"/>
  <c r="G2592" i="4" s="1"/>
  <c r="I2593" i="3"/>
  <c r="G2593" i="4" s="1"/>
  <c r="I2594" i="3"/>
  <c r="G2594" i="4" s="1"/>
  <c r="I2595" i="3"/>
  <c r="G2595" i="4" s="1"/>
  <c r="I2596" i="3"/>
  <c r="G2596" i="4" s="1"/>
  <c r="I2597" i="3"/>
  <c r="G2597" i="4" s="1"/>
  <c r="I2598" i="3"/>
  <c r="G2598" i="4" s="1"/>
  <c r="I2599" i="3"/>
  <c r="G2599" i="4" s="1"/>
  <c r="I2600" i="3"/>
  <c r="G2600" i="4" s="1"/>
  <c r="I2601" i="3"/>
  <c r="G2601" i="4" s="1"/>
  <c r="I2602" i="3"/>
  <c r="G2602" i="4" s="1"/>
  <c r="I2603" i="3"/>
  <c r="G2603" i="4" s="1"/>
  <c r="I2604" i="3"/>
  <c r="G2604" i="4" s="1"/>
  <c r="I2605" i="3"/>
  <c r="G2605" i="4" s="1"/>
  <c r="I2606" i="3"/>
  <c r="G2606" i="4" s="1"/>
  <c r="I2607" i="3"/>
  <c r="G2607" i="4" s="1"/>
  <c r="I2608" i="3"/>
  <c r="G2608" i="4" s="1"/>
  <c r="I2609" i="3"/>
  <c r="G2609" i="4" s="1"/>
  <c r="I2610" i="3"/>
  <c r="G2610" i="4" s="1"/>
  <c r="I2611" i="3"/>
  <c r="G2611" i="4" s="1"/>
  <c r="I2612" i="3"/>
  <c r="G2612" i="4" s="1"/>
  <c r="I2613" i="3"/>
  <c r="G2613" i="4" s="1"/>
  <c r="I2614" i="3"/>
  <c r="G2614" i="4" s="1"/>
  <c r="I2615" i="3"/>
  <c r="G2615" i="4" s="1"/>
  <c r="I2616" i="3"/>
  <c r="G2616" i="4" s="1"/>
  <c r="I2617" i="3"/>
  <c r="G2617" i="4" s="1"/>
  <c r="I2618" i="3"/>
  <c r="G2618" i="4" s="1"/>
  <c r="I2619" i="3"/>
  <c r="G2619" i="4" s="1"/>
  <c r="I2620" i="3"/>
  <c r="G2620" i="4" s="1"/>
  <c r="I2621" i="3"/>
  <c r="G2621" i="4" s="1"/>
  <c r="I2622" i="3"/>
  <c r="G2622" i="4" s="1"/>
  <c r="I2623" i="3"/>
  <c r="G2623" i="4" s="1"/>
  <c r="I2624" i="3"/>
  <c r="G2624" i="4" s="1"/>
  <c r="I2625" i="3"/>
  <c r="G2625" i="4" s="1"/>
  <c r="I2626" i="3"/>
  <c r="G2626" i="4" s="1"/>
  <c r="I2627" i="3"/>
  <c r="G2627" i="4" s="1"/>
  <c r="I2628" i="3"/>
  <c r="G2628" i="4" s="1"/>
  <c r="I2629" i="3"/>
  <c r="G2629" i="4" s="1"/>
  <c r="I2630" i="3"/>
  <c r="G2630" i="4" s="1"/>
  <c r="I2631" i="3"/>
  <c r="G2631" i="4" s="1"/>
  <c r="I2632" i="3"/>
  <c r="G2632" i="4" s="1"/>
  <c r="I2633" i="3"/>
  <c r="G2633" i="4" s="1"/>
  <c r="I2634" i="3"/>
  <c r="G2634" i="4" s="1"/>
  <c r="I2635" i="3"/>
  <c r="G2635" i="4" s="1"/>
  <c r="I2636" i="3"/>
  <c r="G2636" i="4" s="1"/>
  <c r="I2637" i="3"/>
  <c r="G2637" i="4" s="1"/>
  <c r="I2638" i="3"/>
  <c r="G2638" i="4" s="1"/>
  <c r="I2639" i="3"/>
  <c r="G2639" i="4" s="1"/>
  <c r="I2640" i="3"/>
  <c r="G2640" i="4" s="1"/>
  <c r="I2641" i="3"/>
  <c r="G2641" i="4" s="1"/>
  <c r="I2642" i="3"/>
  <c r="G2642" i="4" s="1"/>
  <c r="I2643" i="3"/>
  <c r="G2643" i="4" s="1"/>
  <c r="I2644" i="3"/>
  <c r="G2644" i="4" s="1"/>
  <c r="I2645" i="3"/>
  <c r="G2645" i="4" s="1"/>
  <c r="I2646" i="3"/>
  <c r="G2646" i="4" s="1"/>
  <c r="I2647" i="3"/>
  <c r="G2647" i="4" s="1"/>
  <c r="I2648" i="3"/>
  <c r="G2648" i="4" s="1"/>
  <c r="I2649" i="3"/>
  <c r="G2649" i="4" s="1"/>
  <c r="I2650" i="3"/>
  <c r="G2650" i="4" s="1"/>
  <c r="I2651" i="3"/>
  <c r="G2651" i="4" s="1"/>
  <c r="I2652" i="3"/>
  <c r="G2652" i="4" s="1"/>
  <c r="I2653" i="3"/>
  <c r="G2653" i="4" s="1"/>
  <c r="I2654" i="3"/>
  <c r="G2654" i="4" s="1"/>
  <c r="I2655" i="3"/>
  <c r="G2655" i="4" s="1"/>
  <c r="I2656" i="3"/>
  <c r="G2656" i="4" s="1"/>
  <c r="I2657" i="3"/>
  <c r="G2657" i="4" s="1"/>
  <c r="I2658" i="3"/>
  <c r="G2658" i="4" s="1"/>
  <c r="I2659" i="3"/>
  <c r="G2659" i="4" s="1"/>
  <c r="I2660" i="3"/>
  <c r="G2660" i="4" s="1"/>
  <c r="I2661" i="3"/>
  <c r="G2661" i="4" s="1"/>
  <c r="I2662" i="3"/>
  <c r="G2662" i="4" s="1"/>
  <c r="I2663" i="3"/>
  <c r="G2663" i="4" s="1"/>
  <c r="I2664" i="3"/>
  <c r="G2664" i="4" s="1"/>
  <c r="I2665" i="3"/>
  <c r="G2665" i="4" s="1"/>
  <c r="I2666" i="3"/>
  <c r="G2666" i="4" s="1"/>
  <c r="I2667" i="3"/>
  <c r="G2667" i="4" s="1"/>
  <c r="I2668" i="3"/>
  <c r="G2668" i="4" s="1"/>
  <c r="I2669" i="3"/>
  <c r="G2669" i="4" s="1"/>
  <c r="I2670" i="3"/>
  <c r="G2670" i="4" s="1"/>
  <c r="I2671" i="3"/>
  <c r="G2671" i="4" s="1"/>
  <c r="I2672" i="3"/>
  <c r="G2672" i="4" s="1"/>
  <c r="I2673" i="3"/>
  <c r="G2673" i="4" s="1"/>
  <c r="I2674" i="3"/>
  <c r="G2674" i="4" s="1"/>
  <c r="I2675" i="3"/>
  <c r="G2675" i="4" s="1"/>
  <c r="I2676" i="3"/>
  <c r="G2676" i="4" s="1"/>
  <c r="I2677" i="3"/>
  <c r="G2677" i="4" s="1"/>
  <c r="I2678" i="3"/>
  <c r="G2678" i="4" s="1"/>
  <c r="I2679" i="3"/>
  <c r="G2679" i="4" s="1"/>
  <c r="I2680" i="3"/>
  <c r="G2680" i="4" s="1"/>
  <c r="I2681" i="3"/>
  <c r="G2681" i="4" s="1"/>
  <c r="I2682" i="3"/>
  <c r="G2682" i="4" s="1"/>
  <c r="I2683" i="3"/>
  <c r="G2683" i="4" s="1"/>
  <c r="I2684" i="3"/>
  <c r="G2684" i="4" s="1"/>
  <c r="I2685" i="3"/>
  <c r="G2685" i="4" s="1"/>
  <c r="I2686" i="3"/>
  <c r="G2686" i="4" s="1"/>
  <c r="I2687" i="3"/>
  <c r="G2687" i="4" s="1"/>
  <c r="I2688" i="3"/>
  <c r="G2688" i="4" s="1"/>
  <c r="I2689" i="3"/>
  <c r="G2689" i="4" s="1"/>
  <c r="I2690" i="3"/>
  <c r="G2690" i="4" s="1"/>
  <c r="I2691" i="3"/>
  <c r="G2691" i="4" s="1"/>
  <c r="I2692" i="3"/>
  <c r="G2692" i="4" s="1"/>
  <c r="I2693" i="3"/>
  <c r="G2693" i="4" s="1"/>
  <c r="I2694" i="3"/>
  <c r="G2694" i="4" s="1"/>
  <c r="I2695" i="3"/>
  <c r="G2695" i="4" s="1"/>
  <c r="I2696" i="3"/>
  <c r="G2696" i="4" s="1"/>
  <c r="I2697" i="3"/>
  <c r="G2697" i="4" s="1"/>
  <c r="I2698" i="3"/>
  <c r="G2698" i="4" s="1"/>
  <c r="I2699" i="3"/>
  <c r="G2699" i="4" s="1"/>
  <c r="I2700" i="3"/>
  <c r="G2700" i="4" s="1"/>
  <c r="I2701" i="3"/>
  <c r="G2701" i="4" s="1"/>
  <c r="I2702" i="3"/>
  <c r="G2702" i="4" s="1"/>
  <c r="I2703" i="3"/>
  <c r="G2703" i="4" s="1"/>
  <c r="I2704" i="3"/>
  <c r="G2704" i="4" s="1"/>
  <c r="I2705" i="3"/>
  <c r="G2705" i="4" s="1"/>
  <c r="I2706" i="3"/>
  <c r="G2706" i="4" s="1"/>
  <c r="I2707" i="3"/>
  <c r="G2707" i="4" s="1"/>
  <c r="I2708" i="3"/>
  <c r="G2708" i="4" s="1"/>
  <c r="I2709" i="3"/>
  <c r="G2709" i="4" s="1"/>
  <c r="I2710" i="3"/>
  <c r="G2710" i="4" s="1"/>
  <c r="I2711" i="3"/>
  <c r="G2711" i="4" s="1"/>
  <c r="I2712" i="3"/>
  <c r="G2712" i="4" s="1"/>
  <c r="I2713" i="3"/>
  <c r="G2713" i="4" s="1"/>
  <c r="I2714" i="3"/>
  <c r="G2714" i="4" s="1"/>
  <c r="I2715" i="3"/>
  <c r="G2715" i="4" s="1"/>
  <c r="I2716" i="3"/>
  <c r="G2716" i="4" s="1"/>
  <c r="I2717" i="3"/>
  <c r="G2717" i="4" s="1"/>
  <c r="I2718" i="3"/>
  <c r="G2718" i="4" s="1"/>
  <c r="I2719" i="3"/>
  <c r="G2719" i="4" s="1"/>
  <c r="I2720" i="3"/>
  <c r="G2720" i="4" s="1"/>
  <c r="I2721" i="3"/>
  <c r="G2721" i="4" s="1"/>
  <c r="I2722" i="3"/>
  <c r="G2722" i="4" s="1"/>
  <c r="I2723" i="3"/>
  <c r="G2723" i="4" s="1"/>
  <c r="I2724" i="3"/>
  <c r="G2724" i="4" s="1"/>
  <c r="I2725" i="3"/>
  <c r="G2725" i="4" s="1"/>
  <c r="I2726" i="3"/>
  <c r="G2726" i="4" s="1"/>
  <c r="I2727" i="3"/>
  <c r="G2727" i="4" s="1"/>
  <c r="I2728" i="3"/>
  <c r="G2728" i="4" s="1"/>
  <c r="I2729" i="3"/>
  <c r="G2729" i="4" s="1"/>
  <c r="I2730" i="3"/>
  <c r="G2730" i="4" s="1"/>
  <c r="I2731" i="3"/>
  <c r="G2731" i="4" s="1"/>
  <c r="I2732" i="3"/>
  <c r="G2732" i="4" s="1"/>
  <c r="I2733" i="3"/>
  <c r="G2733" i="4" s="1"/>
  <c r="I2734" i="3"/>
  <c r="G2734" i="4" s="1"/>
  <c r="I2735" i="3"/>
  <c r="G2735" i="4" s="1"/>
  <c r="I2736" i="3"/>
  <c r="G2736" i="4" s="1"/>
  <c r="I2737" i="3"/>
  <c r="G2737" i="4" s="1"/>
  <c r="I2738" i="3"/>
  <c r="G2738" i="4" s="1"/>
  <c r="I2739" i="3"/>
  <c r="G2739" i="4" s="1"/>
  <c r="I2740" i="3"/>
  <c r="G2740" i="4" s="1"/>
  <c r="I2741" i="3"/>
  <c r="G2741" i="4" s="1"/>
  <c r="I2742" i="3"/>
  <c r="G2742" i="4" s="1"/>
  <c r="I2743" i="3"/>
  <c r="G2743" i="4" s="1"/>
  <c r="I2744" i="3"/>
  <c r="G2744" i="4" s="1"/>
  <c r="I2745" i="3"/>
  <c r="G2745" i="4" s="1"/>
  <c r="I2746" i="3"/>
  <c r="G2746" i="4" s="1"/>
  <c r="I2747" i="3"/>
  <c r="G2747" i="4" s="1"/>
  <c r="I2748" i="3"/>
  <c r="G2748" i="4" s="1"/>
  <c r="I2749" i="3"/>
  <c r="G2749" i="4" s="1"/>
  <c r="I2750" i="3"/>
  <c r="G2750" i="4" s="1"/>
  <c r="I2751" i="3"/>
  <c r="G2751" i="4" s="1"/>
  <c r="I2752" i="3"/>
  <c r="G2752" i="4" s="1"/>
  <c r="I2753" i="3"/>
  <c r="G2753" i="4" s="1"/>
  <c r="I2754" i="3"/>
  <c r="G2754" i="4" s="1"/>
  <c r="I2755" i="3"/>
  <c r="G2755" i="4" s="1"/>
  <c r="I2756" i="3"/>
  <c r="G2756" i="4" s="1"/>
  <c r="I2757" i="3"/>
  <c r="G2757" i="4" s="1"/>
  <c r="I2758" i="3"/>
  <c r="G2758" i="4" s="1"/>
  <c r="I2759" i="3"/>
  <c r="G2759" i="4" s="1"/>
  <c r="I2760" i="3"/>
  <c r="G2760" i="4" s="1"/>
  <c r="I2761" i="3"/>
  <c r="G2761" i="4" s="1"/>
  <c r="I2762" i="3"/>
  <c r="G2762" i="4" s="1"/>
  <c r="I2763" i="3"/>
  <c r="G2763" i="4" s="1"/>
  <c r="I2764" i="3"/>
  <c r="G2764" i="4" s="1"/>
  <c r="I2765" i="3"/>
  <c r="G2765" i="4" s="1"/>
  <c r="I2766" i="3"/>
  <c r="G2766" i="4" s="1"/>
  <c r="I2767" i="3"/>
  <c r="G2767" i="4" s="1"/>
  <c r="I2768" i="3"/>
  <c r="G2768" i="4" s="1"/>
  <c r="I2769" i="3"/>
  <c r="G2769" i="4" s="1"/>
  <c r="I2770" i="3"/>
  <c r="G2770" i="4" s="1"/>
  <c r="I2771" i="3"/>
  <c r="G2771" i="4" s="1"/>
  <c r="I2772" i="3"/>
  <c r="G2772" i="4" s="1"/>
  <c r="I2773" i="3"/>
  <c r="G2773" i="4" s="1"/>
  <c r="I2774" i="3"/>
  <c r="G2774" i="4" s="1"/>
  <c r="I2775" i="3"/>
  <c r="G2775" i="4" s="1"/>
  <c r="I2776" i="3"/>
  <c r="G2776" i="4" s="1"/>
  <c r="I2777" i="3"/>
  <c r="G2777" i="4" s="1"/>
  <c r="I2778" i="3"/>
  <c r="G2778" i="4" s="1"/>
  <c r="I2779" i="3"/>
  <c r="G2779" i="4" s="1"/>
  <c r="I2780" i="3"/>
  <c r="G2780" i="4" s="1"/>
  <c r="I2781" i="3"/>
  <c r="G2781" i="4" s="1"/>
  <c r="I2782" i="3"/>
  <c r="G2782" i="4" s="1"/>
  <c r="I2783" i="3"/>
  <c r="G2783" i="4" s="1"/>
  <c r="I2784" i="3"/>
  <c r="G2784" i="4" s="1"/>
  <c r="I2785" i="3"/>
  <c r="G2785" i="4" s="1"/>
  <c r="I2786" i="3"/>
  <c r="G2786" i="4" s="1"/>
  <c r="I2787" i="3"/>
  <c r="G2787" i="4" s="1"/>
  <c r="I2788" i="3"/>
  <c r="G2788" i="4" s="1"/>
  <c r="I2789" i="3"/>
  <c r="G2789" i="4" s="1"/>
  <c r="I2790" i="3"/>
  <c r="G2790" i="4" s="1"/>
  <c r="I2791" i="3"/>
  <c r="G2791" i="4" s="1"/>
  <c r="I2792" i="3"/>
  <c r="G2792" i="4" s="1"/>
  <c r="I2793" i="3"/>
  <c r="G2793" i="4" s="1"/>
  <c r="I2794" i="3"/>
  <c r="G2794" i="4" s="1"/>
  <c r="I2795" i="3"/>
  <c r="G2795" i="4" s="1"/>
  <c r="I2796" i="3"/>
  <c r="G2796" i="4" s="1"/>
  <c r="I2797" i="3"/>
  <c r="G2797" i="4" s="1"/>
  <c r="I2798" i="3"/>
  <c r="G2798" i="4" s="1"/>
  <c r="I2799" i="3"/>
  <c r="G2799" i="4" s="1"/>
  <c r="I2800" i="3"/>
  <c r="G2800" i="4" s="1"/>
  <c r="I2801" i="3"/>
  <c r="G2801" i="4" s="1"/>
  <c r="I2802" i="3"/>
  <c r="G2802" i="4" s="1"/>
  <c r="I2803" i="3"/>
  <c r="G2803" i="4" s="1"/>
  <c r="I2804" i="3"/>
  <c r="G2804" i="4" s="1"/>
  <c r="I2805" i="3"/>
  <c r="G2805" i="4" s="1"/>
  <c r="I2806" i="3"/>
  <c r="G2806" i="4" s="1"/>
  <c r="I2807" i="3"/>
  <c r="G2807" i="4" s="1"/>
  <c r="I2808" i="3"/>
  <c r="G2808" i="4" s="1"/>
  <c r="I2809" i="3"/>
  <c r="G2809" i="4" s="1"/>
  <c r="I2810" i="3"/>
  <c r="G2810" i="4" s="1"/>
  <c r="I2811" i="3"/>
  <c r="G2811" i="4" s="1"/>
  <c r="I2812" i="3"/>
  <c r="G2812" i="4" s="1"/>
  <c r="I2813" i="3"/>
  <c r="G2813" i="4" s="1"/>
  <c r="I2814" i="3"/>
  <c r="G2814" i="4" s="1"/>
  <c r="I2815" i="3"/>
  <c r="G2815" i="4" s="1"/>
  <c r="I2816" i="3"/>
  <c r="G2816" i="4" s="1"/>
  <c r="I2817" i="3"/>
  <c r="G2817" i="4" s="1"/>
  <c r="I2818" i="3"/>
  <c r="G2818" i="4" s="1"/>
  <c r="I2819" i="3"/>
  <c r="G2819" i="4" s="1"/>
  <c r="I2820" i="3"/>
  <c r="G2820" i="4" s="1"/>
  <c r="I2821" i="3"/>
  <c r="G2821" i="4" s="1"/>
  <c r="I2822" i="3"/>
  <c r="G2822" i="4" s="1"/>
  <c r="I2823" i="3"/>
  <c r="G2823" i="4" s="1"/>
  <c r="I2824" i="3"/>
  <c r="G2824" i="4" s="1"/>
  <c r="I2825" i="3"/>
  <c r="G2825" i="4" s="1"/>
  <c r="I2826" i="3"/>
  <c r="G2826" i="4" s="1"/>
  <c r="I2827" i="3"/>
  <c r="G2827" i="4" s="1"/>
  <c r="I2828" i="3"/>
  <c r="G2828" i="4" s="1"/>
  <c r="I2829" i="3"/>
  <c r="G2829" i="4" s="1"/>
  <c r="I2830" i="3"/>
  <c r="G2830" i="4" s="1"/>
  <c r="I2831" i="3"/>
  <c r="G2831" i="4" s="1"/>
  <c r="I2832" i="3"/>
  <c r="G2832" i="4" s="1"/>
  <c r="I2833" i="3"/>
  <c r="G2833" i="4" s="1"/>
  <c r="I2834" i="3"/>
  <c r="G2834" i="4" s="1"/>
  <c r="I2835" i="3"/>
  <c r="G2835" i="4" s="1"/>
  <c r="I2836" i="3"/>
  <c r="G2836" i="4" s="1"/>
  <c r="I2837" i="3"/>
  <c r="G2837" i="4" s="1"/>
  <c r="I2838" i="3"/>
  <c r="G2838" i="4" s="1"/>
  <c r="I2839" i="3"/>
  <c r="G2839" i="4" s="1"/>
  <c r="I2840" i="3"/>
  <c r="G2840" i="4" s="1"/>
  <c r="I2841" i="3"/>
  <c r="G2841" i="4" s="1"/>
  <c r="I2842" i="3"/>
  <c r="G2842" i="4" s="1"/>
  <c r="I2843" i="3"/>
  <c r="G2843" i="4" s="1"/>
  <c r="I2844" i="3"/>
  <c r="G2844" i="4" s="1"/>
  <c r="I2845" i="3"/>
  <c r="G2845" i="4" s="1"/>
  <c r="I2846" i="3"/>
  <c r="G2846" i="4" s="1"/>
  <c r="I2847" i="3"/>
  <c r="G2847" i="4" s="1"/>
  <c r="I2848" i="3"/>
  <c r="G2848" i="4" s="1"/>
  <c r="I2849" i="3"/>
  <c r="G2849" i="4" s="1"/>
  <c r="I2850" i="3"/>
  <c r="G2850" i="4" s="1"/>
  <c r="I2851" i="3"/>
  <c r="G2851" i="4" s="1"/>
  <c r="I2852" i="3"/>
  <c r="G2852" i="4" s="1"/>
  <c r="I2853" i="3"/>
  <c r="G2853" i="4" s="1"/>
  <c r="I2854" i="3"/>
  <c r="G2854" i="4" s="1"/>
  <c r="I2855" i="3"/>
  <c r="G2855" i="4" s="1"/>
  <c r="I2856" i="3"/>
  <c r="G2856" i="4" s="1"/>
  <c r="I2857" i="3"/>
  <c r="G2857" i="4" s="1"/>
  <c r="I2858" i="3"/>
  <c r="G2858" i="4" s="1"/>
  <c r="I2859" i="3"/>
  <c r="G2859" i="4" s="1"/>
  <c r="I2860" i="3"/>
  <c r="G2860" i="4" s="1"/>
  <c r="I2861" i="3"/>
  <c r="G2861" i="4" s="1"/>
  <c r="I2862" i="3"/>
  <c r="G2862" i="4" s="1"/>
  <c r="I2863" i="3"/>
  <c r="G2863" i="4" s="1"/>
  <c r="I2864" i="3"/>
  <c r="G2864" i="4" s="1"/>
  <c r="I2865" i="3"/>
  <c r="G2865" i="4" s="1"/>
  <c r="I2866" i="3"/>
  <c r="G2866" i="4" s="1"/>
  <c r="I2867" i="3"/>
  <c r="G2867" i="4" s="1"/>
  <c r="I2868" i="3"/>
  <c r="G2868" i="4" s="1"/>
  <c r="I2869" i="3"/>
  <c r="G2869" i="4" s="1"/>
  <c r="I2870" i="3"/>
  <c r="G2870" i="4" s="1"/>
  <c r="I2871" i="3"/>
  <c r="G2871" i="4" s="1"/>
  <c r="I2872" i="3"/>
  <c r="G2872" i="4" s="1"/>
  <c r="I2873" i="3"/>
  <c r="G2873" i="4" s="1"/>
  <c r="I2874" i="3"/>
  <c r="G2874" i="4" s="1"/>
  <c r="I2875" i="3"/>
  <c r="G2875" i="4" s="1"/>
  <c r="I2876" i="3"/>
  <c r="G2876" i="4" s="1"/>
  <c r="I2877" i="3"/>
  <c r="G2877" i="4" s="1"/>
  <c r="I2878" i="3"/>
  <c r="G2878" i="4" s="1"/>
  <c r="I2879" i="3"/>
  <c r="G2879" i="4" s="1"/>
  <c r="I2880" i="3"/>
  <c r="G2880" i="4" s="1"/>
  <c r="I2881" i="3"/>
  <c r="G2881" i="4" s="1"/>
  <c r="I2882" i="3"/>
  <c r="G2882" i="4" s="1"/>
  <c r="I2883" i="3"/>
  <c r="G2883" i="4" s="1"/>
  <c r="I2884" i="3"/>
  <c r="G2884" i="4" s="1"/>
  <c r="I2885" i="3"/>
  <c r="G2885" i="4" s="1"/>
  <c r="I2886" i="3"/>
  <c r="G2886" i="4" s="1"/>
  <c r="I2887" i="3"/>
  <c r="G2887" i="4" s="1"/>
  <c r="I2888" i="3"/>
  <c r="G2888" i="4" s="1"/>
  <c r="I2889" i="3"/>
  <c r="G2889" i="4" s="1"/>
  <c r="I2890" i="3"/>
  <c r="G2890" i="4" s="1"/>
  <c r="I2891" i="3"/>
  <c r="G2891" i="4" s="1"/>
  <c r="I2892" i="3"/>
  <c r="G2892" i="4" s="1"/>
  <c r="I2893" i="3"/>
  <c r="G2893" i="4" s="1"/>
  <c r="I2894" i="3"/>
  <c r="G2894" i="4" s="1"/>
  <c r="I2895" i="3"/>
  <c r="G2895" i="4" s="1"/>
  <c r="I2896" i="3"/>
  <c r="G2896" i="4" s="1"/>
  <c r="I2897" i="3"/>
  <c r="G2897" i="4" s="1"/>
  <c r="I2898" i="3"/>
  <c r="G2898" i="4" s="1"/>
  <c r="I2899" i="3"/>
  <c r="G2899" i="4" s="1"/>
  <c r="I2900" i="3"/>
  <c r="G2900" i="4" s="1"/>
  <c r="I2901" i="3"/>
  <c r="G2901" i="4" s="1"/>
  <c r="I2902" i="3"/>
  <c r="G2902" i="4" s="1"/>
  <c r="I2903" i="3"/>
  <c r="G2903" i="4" s="1"/>
  <c r="I2904" i="3"/>
  <c r="G2904" i="4" s="1"/>
  <c r="I2905" i="3"/>
  <c r="G2905" i="4" s="1"/>
  <c r="I2906" i="3"/>
  <c r="G2906" i="4" s="1"/>
  <c r="I2907" i="3"/>
  <c r="G2907" i="4" s="1"/>
  <c r="I2908" i="3"/>
  <c r="G2908" i="4" s="1"/>
  <c r="I2909" i="3"/>
  <c r="G2909" i="4" s="1"/>
  <c r="I2910" i="3"/>
  <c r="G2910" i="4" s="1"/>
  <c r="I2911" i="3"/>
  <c r="G2911" i="4" s="1"/>
  <c r="I2912" i="3"/>
  <c r="G2912" i="4" s="1"/>
  <c r="I2913" i="3"/>
  <c r="G2913" i="4" s="1"/>
  <c r="I2914" i="3"/>
  <c r="G2914" i="4" s="1"/>
  <c r="I2915" i="3"/>
  <c r="G2915" i="4" s="1"/>
  <c r="I2916" i="3"/>
  <c r="G2916" i="4" s="1"/>
  <c r="I2917" i="3"/>
  <c r="G2917" i="4" s="1"/>
  <c r="I2918" i="3"/>
  <c r="G2918" i="4" s="1"/>
  <c r="I2919" i="3"/>
  <c r="G2919" i="4" s="1"/>
  <c r="I2920" i="3"/>
  <c r="G2920" i="4" s="1"/>
  <c r="I2921" i="3"/>
  <c r="G2921" i="4" s="1"/>
  <c r="I2922" i="3"/>
  <c r="G2922" i="4" s="1"/>
  <c r="I2923" i="3"/>
  <c r="G2923" i="4" s="1"/>
  <c r="I2924" i="3"/>
  <c r="G2924" i="4" s="1"/>
  <c r="I2925" i="3"/>
  <c r="G2925" i="4" s="1"/>
  <c r="I2926" i="3"/>
  <c r="G2926" i="4" s="1"/>
  <c r="I2927" i="3"/>
  <c r="G2927" i="4" s="1"/>
  <c r="I2928" i="3"/>
  <c r="G2928" i="4" s="1"/>
  <c r="I2929" i="3"/>
  <c r="G2929" i="4" s="1"/>
  <c r="I2930" i="3"/>
  <c r="G2930" i="4" s="1"/>
  <c r="I2931" i="3"/>
  <c r="G2931" i="4" s="1"/>
  <c r="I2932" i="3"/>
  <c r="G2932" i="4" s="1"/>
  <c r="I2933" i="3"/>
  <c r="G2933" i="4" s="1"/>
  <c r="I2934" i="3"/>
  <c r="G2934" i="4" s="1"/>
  <c r="I2935" i="3"/>
  <c r="G2935" i="4" s="1"/>
  <c r="I2936" i="3"/>
  <c r="G2936" i="4" s="1"/>
  <c r="I2937" i="3"/>
  <c r="G2937" i="4" s="1"/>
  <c r="I2938" i="3"/>
  <c r="G2938" i="4" s="1"/>
  <c r="I2939" i="3"/>
  <c r="G2939" i="4" s="1"/>
  <c r="I2940" i="3"/>
  <c r="G2940" i="4" s="1"/>
  <c r="I2941" i="3"/>
  <c r="G2941" i="4" s="1"/>
  <c r="I2942" i="3"/>
  <c r="G2942" i="4" s="1"/>
  <c r="I2943" i="3"/>
  <c r="G2943" i="4" s="1"/>
  <c r="I2944" i="3"/>
  <c r="G2944" i="4" s="1"/>
  <c r="I2945" i="3"/>
  <c r="G2945" i="4" s="1"/>
  <c r="I2946" i="3"/>
  <c r="G2946" i="4" s="1"/>
  <c r="I2947" i="3"/>
  <c r="G2947" i="4" s="1"/>
  <c r="I2948" i="3"/>
  <c r="G2948" i="4" s="1"/>
  <c r="I2949" i="3"/>
  <c r="G2949" i="4" s="1"/>
  <c r="I2950" i="3"/>
  <c r="G2950" i="4" s="1"/>
  <c r="I2951" i="3"/>
  <c r="G2951" i="4" s="1"/>
  <c r="I2952" i="3"/>
  <c r="G2952" i="4" s="1"/>
  <c r="I2953" i="3"/>
  <c r="G2953" i="4" s="1"/>
  <c r="I2954" i="3"/>
  <c r="G2954" i="4" s="1"/>
  <c r="I2955" i="3"/>
  <c r="G2955" i="4" s="1"/>
  <c r="I2956" i="3"/>
  <c r="G2956" i="4" s="1"/>
  <c r="I2957" i="3"/>
  <c r="G2957" i="4" s="1"/>
  <c r="I2958" i="3"/>
  <c r="G2958" i="4" s="1"/>
  <c r="I2959" i="3"/>
  <c r="G2959" i="4" s="1"/>
  <c r="I2960" i="3"/>
  <c r="I2961" i="3"/>
  <c r="G2961" i="4" s="1"/>
  <c r="A898" i="3"/>
  <c r="F898" i="3"/>
  <c r="I898" i="3"/>
  <c r="G905" i="4" s="1"/>
  <c r="K898" i="3"/>
  <c r="A829" i="3"/>
  <c r="F829" i="3"/>
  <c r="I829" i="3"/>
  <c r="G836" i="4" s="1"/>
  <c r="K829" i="3"/>
  <c r="K697"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5" i="3"/>
  <c r="K736" i="3"/>
  <c r="K737" i="3"/>
  <c r="K738" i="3"/>
  <c r="K739" i="3"/>
  <c r="K740" i="3"/>
  <c r="K742" i="3"/>
  <c r="K743" i="3"/>
  <c r="K744" i="3"/>
  <c r="K745"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9" i="3"/>
  <c r="K810" i="3"/>
  <c r="K811" i="3"/>
  <c r="K812" i="3"/>
  <c r="K813" i="3"/>
  <c r="K814" i="3"/>
  <c r="K815" i="3"/>
  <c r="K816" i="3"/>
  <c r="K817" i="3"/>
  <c r="K819" i="3"/>
  <c r="K820" i="3"/>
  <c r="K821" i="3"/>
  <c r="K823" i="3"/>
  <c r="K824" i="3"/>
  <c r="K825" i="3"/>
  <c r="K826" i="3"/>
  <c r="K827" i="3"/>
  <c r="K828" i="3"/>
  <c r="K830" i="3"/>
  <c r="K831" i="3"/>
  <c r="K833" i="3"/>
  <c r="K834" i="3"/>
  <c r="L834" i="3" s="1"/>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4" i="3"/>
  <c r="K865" i="3"/>
  <c r="K866" i="3"/>
  <c r="K868" i="3"/>
  <c r="K869" i="3"/>
  <c r="K870" i="3"/>
  <c r="K871" i="3"/>
  <c r="K873" i="3"/>
  <c r="K875" i="3"/>
  <c r="K876" i="3"/>
  <c r="K877" i="3"/>
  <c r="K878" i="3"/>
  <c r="K879" i="3"/>
  <c r="K880" i="3"/>
  <c r="K881" i="3"/>
  <c r="K882" i="3"/>
  <c r="K883" i="3"/>
  <c r="K884" i="3"/>
  <c r="K885" i="3"/>
  <c r="K886" i="3"/>
  <c r="K887" i="3"/>
  <c r="K888" i="3"/>
  <c r="K889" i="3"/>
  <c r="K890" i="3"/>
  <c r="K891" i="3"/>
  <c r="K892" i="3"/>
  <c r="K893" i="3"/>
  <c r="K895" i="3"/>
  <c r="K896" i="3"/>
  <c r="K897" i="3"/>
  <c r="K899" i="3"/>
  <c r="K900" i="3"/>
  <c r="K901" i="3"/>
  <c r="K902" i="3"/>
  <c r="K903" i="3"/>
  <c r="K904" i="3"/>
  <c r="K905" i="3"/>
  <c r="K906" i="3"/>
  <c r="K907" i="3"/>
  <c r="K908" i="3"/>
  <c r="K909" i="3"/>
  <c r="K910" i="3"/>
  <c r="K912" i="3"/>
  <c r="K913" i="3"/>
  <c r="K914" i="3"/>
  <c r="K915" i="3"/>
  <c r="K916" i="3"/>
  <c r="K918" i="3"/>
  <c r="K919" i="3"/>
  <c r="K920" i="3"/>
  <c r="K921" i="3"/>
  <c r="K922" i="3"/>
  <c r="K923" i="3"/>
  <c r="K924" i="3"/>
  <c r="K925" i="3"/>
  <c r="K926" i="3"/>
  <c r="K928" i="3"/>
  <c r="K933" i="3"/>
  <c r="K934" i="3"/>
  <c r="K935" i="3"/>
  <c r="K936" i="3"/>
  <c r="K937" i="3"/>
  <c r="K938" i="3"/>
  <c r="K939" i="3"/>
  <c r="K940" i="3"/>
  <c r="K941" i="3"/>
  <c r="K942" i="3"/>
  <c r="K943" i="3"/>
  <c r="K944" i="3"/>
  <c r="K945" i="3"/>
  <c r="K947" i="3"/>
  <c r="K948" i="3"/>
  <c r="K949" i="3"/>
  <c r="K950" i="3"/>
  <c r="K951" i="3"/>
  <c r="K952" i="3"/>
  <c r="K953" i="3"/>
  <c r="K954" i="3"/>
  <c r="K955" i="3"/>
  <c r="K956" i="3"/>
  <c r="K957" i="3"/>
  <c r="K958" i="3"/>
  <c r="K959" i="3"/>
  <c r="K960" i="3"/>
  <c r="K962" i="3"/>
  <c r="K963" i="3"/>
  <c r="K964" i="3"/>
  <c r="K965" i="3"/>
  <c r="K966" i="3"/>
  <c r="K967" i="3"/>
  <c r="K968" i="3"/>
  <c r="K969" i="3"/>
  <c r="K970" i="3"/>
  <c r="K971" i="3"/>
  <c r="K973" i="3"/>
  <c r="K974"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4" i="3"/>
  <c r="K1016" i="3"/>
  <c r="K1018" i="3"/>
  <c r="K1019" i="3"/>
  <c r="K1020" i="3"/>
  <c r="K1022" i="3"/>
  <c r="K1023" i="3"/>
  <c r="K1024" i="3"/>
  <c r="K1026" i="3"/>
  <c r="K1027" i="3"/>
  <c r="K1028" i="3"/>
  <c r="K1031" i="3"/>
  <c r="K1032" i="3"/>
  <c r="K1033" i="3"/>
  <c r="K1034" i="3"/>
  <c r="K1035" i="3"/>
  <c r="K1036" i="3"/>
  <c r="K1037" i="3"/>
  <c r="K1038" i="3"/>
  <c r="K1039" i="3"/>
  <c r="K1040" i="3"/>
  <c r="L1040" i="3" s="1"/>
  <c r="K1041" i="3"/>
  <c r="K1043" i="3"/>
  <c r="K1044" i="3"/>
  <c r="K1045" i="3"/>
  <c r="K1046" i="3"/>
  <c r="K1047" i="3"/>
  <c r="K1048" i="3"/>
  <c r="K1049" i="3"/>
  <c r="K1050" i="3"/>
  <c r="K1051" i="3"/>
  <c r="K1052" i="3"/>
  <c r="K1054" i="3"/>
  <c r="K1055" i="3"/>
  <c r="K1056" i="3"/>
  <c r="K1057" i="3"/>
  <c r="K1058" i="3"/>
  <c r="K1059" i="3"/>
  <c r="K1060" i="3"/>
  <c r="A783" i="3"/>
  <c r="F783" i="3"/>
  <c r="I783" i="3"/>
  <c r="G790" i="4" s="1"/>
  <c r="A720" i="3"/>
  <c r="F720" i="3"/>
  <c r="I720" i="3"/>
  <c r="G727" i="4" s="1"/>
  <c r="A719" i="3"/>
  <c r="F719" i="3"/>
  <c r="I719" i="3"/>
  <c r="G726" i="4" s="1"/>
  <c r="A718" i="3"/>
  <c r="F718" i="3"/>
  <c r="I718" i="3"/>
  <c r="G725" i="4" s="1"/>
  <c r="A717" i="3"/>
  <c r="F717" i="3"/>
  <c r="I717" i="3"/>
  <c r="G724" i="4" s="1"/>
  <c r="A716" i="3"/>
  <c r="F716" i="3"/>
  <c r="I716" i="3"/>
  <c r="G723" i="4" s="1"/>
  <c r="A715" i="3"/>
  <c r="F715" i="3"/>
  <c r="I715" i="3"/>
  <c r="G722" i="4" s="1"/>
  <c r="K1061" i="3"/>
  <c r="I1061" i="3"/>
  <c r="G1068" i="4" s="1"/>
  <c r="F1061" i="3"/>
  <c r="A1061" i="3"/>
  <c r="I1045" i="3"/>
  <c r="G1052" i="4" s="1"/>
  <c r="F1045" i="3"/>
  <c r="A1019" i="3"/>
  <c r="A1020" i="3"/>
  <c r="A1022" i="3"/>
  <c r="A1023" i="3"/>
  <c r="A1024" i="3"/>
  <c r="A1026" i="3"/>
  <c r="A1027" i="3"/>
  <c r="A1028" i="3"/>
  <c r="A1031" i="3"/>
  <c r="A1032" i="3"/>
  <c r="A1033" i="3"/>
  <c r="A1034" i="3"/>
  <c r="A1035" i="3"/>
  <c r="A1036" i="3"/>
  <c r="A1037" i="3"/>
  <c r="A1038" i="3"/>
  <c r="A1039" i="3"/>
  <c r="A1040" i="3"/>
  <c r="A1041" i="3"/>
  <c r="A1043" i="3"/>
  <c r="A1044" i="3"/>
  <c r="A1045" i="3"/>
  <c r="A1046" i="3"/>
  <c r="A1047" i="3"/>
  <c r="A1048" i="3"/>
  <c r="A1049" i="3"/>
  <c r="A1050" i="3"/>
  <c r="A1051" i="3"/>
  <c r="A1052" i="3"/>
  <c r="A1054" i="3"/>
  <c r="A1055" i="3"/>
  <c r="A1056" i="3"/>
  <c r="A1057" i="3"/>
  <c r="A1058" i="3"/>
  <c r="A1059" i="3"/>
  <c r="A1060" i="3"/>
  <c r="I1018" i="3"/>
  <c r="G1025" i="4" s="1"/>
  <c r="F1018" i="3"/>
  <c r="A1018" i="3"/>
  <c r="C1068" i="4" l="1"/>
  <c r="D1068" i="4"/>
  <c r="F1068" i="4"/>
  <c r="B1068" i="4"/>
  <c r="E1068" i="4"/>
  <c r="D1799" i="4"/>
  <c r="E1799" i="4"/>
  <c r="B1799" i="4"/>
  <c r="C1799" i="4"/>
  <c r="G1799" i="4"/>
  <c r="B1389" i="4"/>
  <c r="F1389" i="4"/>
  <c r="E1389" i="4"/>
  <c r="C1389" i="4"/>
  <c r="D1389" i="4"/>
  <c r="D1382" i="4"/>
  <c r="E1382" i="4"/>
  <c r="F1382" i="4"/>
  <c r="B1382" i="4"/>
  <c r="C1382" i="4"/>
  <c r="D1378" i="4"/>
  <c r="B1378" i="4"/>
  <c r="C1378" i="4"/>
  <c r="E1378" i="4"/>
  <c r="F1378" i="4"/>
  <c r="D1374" i="4"/>
  <c r="E1374" i="4"/>
  <c r="F1374" i="4"/>
  <c r="B1374" i="4"/>
  <c r="C1374" i="4"/>
  <c r="D1370" i="4"/>
  <c r="B1370" i="4"/>
  <c r="C1370" i="4"/>
  <c r="E1370" i="4"/>
  <c r="F1370" i="4"/>
  <c r="D1366" i="4"/>
  <c r="E1366" i="4"/>
  <c r="F1366" i="4"/>
  <c r="B1366" i="4"/>
  <c r="C1366" i="4"/>
  <c r="D1362" i="4"/>
  <c r="B1362" i="4"/>
  <c r="C1362" i="4"/>
  <c r="E1362" i="4"/>
  <c r="F1362" i="4"/>
  <c r="D1358" i="4"/>
  <c r="E1358" i="4"/>
  <c r="F1358" i="4"/>
  <c r="B1358" i="4"/>
  <c r="C1358" i="4"/>
  <c r="D1352" i="4"/>
  <c r="C1352" i="4"/>
  <c r="E1352" i="4"/>
  <c r="F1352" i="4"/>
  <c r="B1352" i="4"/>
  <c r="D1348" i="4"/>
  <c r="F1348" i="4"/>
  <c r="B1348" i="4"/>
  <c r="C1348" i="4"/>
  <c r="E1348" i="4"/>
  <c r="D1344" i="4"/>
  <c r="C1344" i="4"/>
  <c r="E1344" i="4"/>
  <c r="B1344" i="4"/>
  <c r="F1344" i="4"/>
  <c r="D1340" i="4"/>
  <c r="F1340" i="4"/>
  <c r="B1340" i="4"/>
  <c r="C1340" i="4"/>
  <c r="E1340" i="4"/>
  <c r="D1336" i="4"/>
  <c r="C1336" i="4"/>
  <c r="E1336" i="4"/>
  <c r="F1336" i="4"/>
  <c r="B1336" i="4"/>
  <c r="B1329" i="4"/>
  <c r="F1329" i="4"/>
  <c r="C1329" i="4"/>
  <c r="D1329" i="4"/>
  <c r="E1329" i="4"/>
  <c r="B1325" i="4"/>
  <c r="F1325" i="4"/>
  <c r="E1325" i="4"/>
  <c r="C1325" i="4"/>
  <c r="D1325" i="4"/>
  <c r="D1320" i="4"/>
  <c r="C1320" i="4"/>
  <c r="E1320" i="4"/>
  <c r="F1320" i="4"/>
  <c r="B1320" i="4"/>
  <c r="D1314" i="4"/>
  <c r="B1314" i="4"/>
  <c r="C1314" i="4"/>
  <c r="E1314" i="4"/>
  <c r="F1314" i="4"/>
  <c r="D1310" i="4"/>
  <c r="E1310" i="4"/>
  <c r="F1310" i="4"/>
  <c r="B1310" i="4"/>
  <c r="C1310" i="4"/>
  <c r="D1306" i="4"/>
  <c r="B1306" i="4"/>
  <c r="C1306" i="4"/>
  <c r="E1306" i="4"/>
  <c r="F1306" i="4"/>
  <c r="D1302" i="4"/>
  <c r="E1302" i="4"/>
  <c r="F1302" i="4"/>
  <c r="B1302" i="4"/>
  <c r="C1302" i="4"/>
  <c r="D1294" i="4"/>
  <c r="E1294" i="4"/>
  <c r="F1294" i="4"/>
  <c r="B1294" i="4"/>
  <c r="C1294" i="4"/>
  <c r="C1290" i="4"/>
  <c r="E1290" i="4"/>
  <c r="D1290" i="4"/>
  <c r="F1290" i="4"/>
  <c r="B1290" i="4"/>
  <c r="C1286" i="4"/>
  <c r="B1286" i="4"/>
  <c r="F1286" i="4"/>
  <c r="D1286" i="4"/>
  <c r="E1286" i="4"/>
  <c r="C1282" i="4"/>
  <c r="E1282" i="4"/>
  <c r="B1282" i="4"/>
  <c r="D1282" i="4"/>
  <c r="F1282" i="4"/>
  <c r="C1278" i="4"/>
  <c r="B1278" i="4"/>
  <c r="E1278" i="4"/>
  <c r="F1278" i="4"/>
  <c r="D1278" i="4"/>
  <c r="C1274" i="4"/>
  <c r="E1274" i="4"/>
  <c r="B1274" i="4"/>
  <c r="D1274" i="4"/>
  <c r="F1274" i="4"/>
  <c r="C1268" i="4"/>
  <c r="D1268" i="4"/>
  <c r="B1268" i="4"/>
  <c r="E1268" i="4"/>
  <c r="F1268" i="4"/>
  <c r="C1264" i="4"/>
  <c r="F1264" i="4"/>
  <c r="D1264" i="4"/>
  <c r="E1264" i="4"/>
  <c r="B1264" i="4"/>
  <c r="E1259" i="4"/>
  <c r="D1259" i="4"/>
  <c r="F1259" i="4"/>
  <c r="B1259" i="4"/>
  <c r="C1259" i="4"/>
  <c r="C1254" i="4"/>
  <c r="B1254" i="4"/>
  <c r="F1254" i="4"/>
  <c r="D1254" i="4"/>
  <c r="E1254" i="4"/>
  <c r="C1250" i="4"/>
  <c r="E1250" i="4"/>
  <c r="B1250" i="4"/>
  <c r="D1250" i="4"/>
  <c r="F1250" i="4"/>
  <c r="E1245" i="4"/>
  <c r="C1245" i="4"/>
  <c r="D1245" i="4"/>
  <c r="F1245" i="4"/>
  <c r="B1245" i="4"/>
  <c r="E1241" i="4"/>
  <c r="F1241" i="4"/>
  <c r="B1241" i="4"/>
  <c r="C1241" i="4"/>
  <c r="D1241" i="4"/>
  <c r="E1237" i="4"/>
  <c r="C1237" i="4"/>
  <c r="B1237" i="4"/>
  <c r="D1237" i="4"/>
  <c r="F1237" i="4"/>
  <c r="C1232" i="4"/>
  <c r="F1232" i="4"/>
  <c r="D1232" i="4"/>
  <c r="E1232" i="4"/>
  <c r="B1232" i="4"/>
  <c r="C1228" i="4"/>
  <c r="D1228" i="4"/>
  <c r="F1228" i="4"/>
  <c r="B1228" i="4"/>
  <c r="E1228" i="4"/>
  <c r="C1224" i="4"/>
  <c r="F1224" i="4"/>
  <c r="B1224" i="4"/>
  <c r="D1224" i="4"/>
  <c r="E1224" i="4"/>
  <c r="C1220" i="4"/>
  <c r="D1220" i="4"/>
  <c r="E1220" i="4"/>
  <c r="F1220" i="4"/>
  <c r="B1220" i="4"/>
  <c r="C1216" i="4"/>
  <c r="F1216" i="4"/>
  <c r="B1216" i="4"/>
  <c r="D1216" i="4"/>
  <c r="E1216" i="4"/>
  <c r="E1211" i="4"/>
  <c r="D1211" i="4"/>
  <c r="B1211" i="4"/>
  <c r="C1211" i="4"/>
  <c r="F1211" i="4"/>
  <c r="E1207" i="4"/>
  <c r="B1207" i="4"/>
  <c r="D1207" i="4"/>
  <c r="F1207" i="4"/>
  <c r="C1207" i="4"/>
  <c r="E1203" i="4"/>
  <c r="D1203" i="4"/>
  <c r="B1203" i="4"/>
  <c r="C1203" i="4"/>
  <c r="F1203" i="4"/>
  <c r="C1198" i="4"/>
  <c r="B1198" i="4"/>
  <c r="D1198" i="4"/>
  <c r="E1198" i="4"/>
  <c r="F1198" i="4"/>
  <c r="E1193" i="4"/>
  <c r="F1193" i="4"/>
  <c r="C1193" i="4"/>
  <c r="D1193" i="4"/>
  <c r="B1193" i="4"/>
  <c r="E1189" i="4"/>
  <c r="C1189" i="4"/>
  <c r="F1189" i="4"/>
  <c r="B1189" i="4"/>
  <c r="D1189" i="4"/>
  <c r="E1185" i="4"/>
  <c r="F1185" i="4"/>
  <c r="B1185" i="4"/>
  <c r="C1185" i="4"/>
  <c r="D1185" i="4"/>
  <c r="E1179" i="4"/>
  <c r="D1179" i="4"/>
  <c r="B1179" i="4"/>
  <c r="C1179" i="4"/>
  <c r="F1179" i="4"/>
  <c r="E1175" i="4"/>
  <c r="B1175" i="4"/>
  <c r="D1175" i="4"/>
  <c r="F1175" i="4"/>
  <c r="C1175" i="4"/>
  <c r="E1171" i="4"/>
  <c r="D1171" i="4"/>
  <c r="B1171" i="4"/>
  <c r="C1171" i="4"/>
  <c r="F1171" i="4"/>
  <c r="C1166" i="4"/>
  <c r="B1166" i="4"/>
  <c r="D1166" i="4"/>
  <c r="E1166" i="4"/>
  <c r="F1166" i="4"/>
  <c r="E1161" i="4"/>
  <c r="F1161" i="4"/>
  <c r="C1161" i="4"/>
  <c r="D1161" i="4"/>
  <c r="B1161" i="4"/>
  <c r="E1157" i="4"/>
  <c r="C1157" i="4"/>
  <c r="F1157" i="4"/>
  <c r="B1157" i="4"/>
  <c r="D1157" i="4"/>
  <c r="C1150" i="4"/>
  <c r="B1150" i="4"/>
  <c r="E1150" i="4"/>
  <c r="F1150" i="4"/>
  <c r="D1150" i="4"/>
  <c r="C1146" i="4"/>
  <c r="E1146" i="4"/>
  <c r="B1146" i="4"/>
  <c r="D1146" i="4"/>
  <c r="F1146" i="4"/>
  <c r="C1142" i="4"/>
  <c r="B1142" i="4"/>
  <c r="D1142" i="4"/>
  <c r="E1142" i="4"/>
  <c r="F1142" i="4"/>
  <c r="C1138" i="4"/>
  <c r="E1138" i="4"/>
  <c r="F1138" i="4"/>
  <c r="B1138" i="4"/>
  <c r="D1138" i="4"/>
  <c r="E1133" i="4"/>
  <c r="C1133" i="4"/>
  <c r="B1133" i="4"/>
  <c r="D1133" i="4"/>
  <c r="F1133" i="4"/>
  <c r="E1129" i="4"/>
  <c r="F1129" i="4"/>
  <c r="C1129" i="4"/>
  <c r="D1129" i="4"/>
  <c r="B1129" i="4"/>
  <c r="E1123" i="4"/>
  <c r="D1123" i="4"/>
  <c r="C1123" i="4"/>
  <c r="F1123" i="4"/>
  <c r="B1123" i="4"/>
  <c r="E1119" i="4"/>
  <c r="B1119" i="4"/>
  <c r="F1119" i="4"/>
  <c r="C1119" i="4"/>
  <c r="D1119" i="4"/>
  <c r="E1115" i="4"/>
  <c r="D1115" i="4"/>
  <c r="B1115" i="4"/>
  <c r="C1115" i="4"/>
  <c r="F1115" i="4"/>
  <c r="E1111" i="4"/>
  <c r="B1111" i="4"/>
  <c r="D1111" i="4"/>
  <c r="F1111" i="4"/>
  <c r="C1111" i="4"/>
  <c r="E1107" i="4"/>
  <c r="D1107" i="4"/>
  <c r="B1107" i="4"/>
  <c r="C1107" i="4"/>
  <c r="F1107" i="4"/>
  <c r="E1103" i="4"/>
  <c r="B1103" i="4"/>
  <c r="C1103" i="4"/>
  <c r="D1103" i="4"/>
  <c r="F1103" i="4"/>
  <c r="C1098" i="4"/>
  <c r="E1098" i="4"/>
  <c r="D1098" i="4"/>
  <c r="F1098" i="4"/>
  <c r="B1098" i="4"/>
  <c r="C1094" i="4"/>
  <c r="B1094" i="4"/>
  <c r="F1094" i="4"/>
  <c r="D1094" i="4"/>
  <c r="E1094" i="4"/>
  <c r="C1090" i="4"/>
  <c r="E1090" i="4"/>
  <c r="B1090" i="4"/>
  <c r="D1090" i="4"/>
  <c r="F1090" i="4"/>
  <c r="C1086" i="4"/>
  <c r="B1086" i="4"/>
  <c r="E1086" i="4"/>
  <c r="F1086" i="4"/>
  <c r="D1086" i="4"/>
  <c r="C1082" i="4"/>
  <c r="E1082" i="4"/>
  <c r="B1082" i="4"/>
  <c r="D1082" i="4"/>
  <c r="F1082" i="4"/>
  <c r="C1078" i="4"/>
  <c r="B1078" i="4"/>
  <c r="D1078" i="4"/>
  <c r="E1078" i="4"/>
  <c r="F1078" i="4"/>
  <c r="C1074" i="4"/>
  <c r="E1074" i="4"/>
  <c r="F1074" i="4"/>
  <c r="B1074" i="4"/>
  <c r="D1074" i="4"/>
  <c r="D700" i="4"/>
  <c r="B700" i="4"/>
  <c r="C700" i="4"/>
  <c r="F700" i="4"/>
  <c r="E700" i="4"/>
  <c r="B446" i="4"/>
  <c r="F446" i="4"/>
  <c r="C446" i="4"/>
  <c r="D446" i="4"/>
  <c r="E446" i="4"/>
  <c r="C1052" i="4"/>
  <c r="D1052" i="4"/>
  <c r="B1052" i="4"/>
  <c r="E1052" i="4"/>
  <c r="F1052" i="4"/>
  <c r="B725" i="4"/>
  <c r="F725" i="4"/>
  <c r="C725" i="4"/>
  <c r="D725" i="4"/>
  <c r="E725" i="4"/>
  <c r="E2526" i="4"/>
  <c r="C2526" i="4"/>
  <c r="B2526" i="4"/>
  <c r="G2526" i="4"/>
  <c r="D2526" i="4"/>
  <c r="D1392" i="4"/>
  <c r="C1392" i="4"/>
  <c r="E1392" i="4"/>
  <c r="B1392" i="4"/>
  <c r="F1392" i="4"/>
  <c r="B1387" i="4"/>
  <c r="F1387" i="4"/>
  <c r="C1387" i="4"/>
  <c r="D1387" i="4"/>
  <c r="E1387" i="4"/>
  <c r="B1381" i="4"/>
  <c r="F1381" i="4"/>
  <c r="E1381" i="4"/>
  <c r="C1381" i="4"/>
  <c r="D1381" i="4"/>
  <c r="B1377" i="4"/>
  <c r="F1377" i="4"/>
  <c r="C1377" i="4"/>
  <c r="D1377" i="4"/>
  <c r="E1377" i="4"/>
  <c r="B1373" i="4"/>
  <c r="F1373" i="4"/>
  <c r="E1373" i="4"/>
  <c r="C1373" i="4"/>
  <c r="D1373" i="4"/>
  <c r="B1369" i="4"/>
  <c r="F1369" i="4"/>
  <c r="C1369" i="4"/>
  <c r="D1369" i="4"/>
  <c r="E1369" i="4"/>
  <c r="B1365" i="4"/>
  <c r="F1365" i="4"/>
  <c r="E1365" i="4"/>
  <c r="C1365" i="4"/>
  <c r="D1365" i="4"/>
  <c r="B1361" i="4"/>
  <c r="F1361" i="4"/>
  <c r="C1361" i="4"/>
  <c r="D1361" i="4"/>
  <c r="E1361" i="4"/>
  <c r="B1357" i="4"/>
  <c r="F1357" i="4"/>
  <c r="E1357" i="4"/>
  <c r="C1357" i="4"/>
  <c r="D1357" i="4"/>
  <c r="B1351" i="4"/>
  <c r="F1351" i="4"/>
  <c r="D1351" i="4"/>
  <c r="E1351" i="4"/>
  <c r="C1351" i="4"/>
  <c r="B1347" i="4"/>
  <c r="F1347" i="4"/>
  <c r="C1347" i="4"/>
  <c r="D1347" i="4"/>
  <c r="E1347" i="4"/>
  <c r="B1343" i="4"/>
  <c r="F1343" i="4"/>
  <c r="D1343" i="4"/>
  <c r="E1343" i="4"/>
  <c r="C1343" i="4"/>
  <c r="B1339" i="4"/>
  <c r="F1339" i="4"/>
  <c r="C1339" i="4"/>
  <c r="D1339" i="4"/>
  <c r="E1339" i="4"/>
  <c r="B1335" i="4"/>
  <c r="F1335" i="4"/>
  <c r="D1335" i="4"/>
  <c r="E1335" i="4"/>
  <c r="C1335" i="4"/>
  <c r="D1328" i="4"/>
  <c r="C1328" i="4"/>
  <c r="E1328" i="4"/>
  <c r="B1328" i="4"/>
  <c r="F1328" i="4"/>
  <c r="D1324" i="4"/>
  <c r="F1324" i="4"/>
  <c r="B1324" i="4"/>
  <c r="C1324" i="4"/>
  <c r="E1324" i="4"/>
  <c r="B1319" i="4"/>
  <c r="F1319" i="4"/>
  <c r="D1319" i="4"/>
  <c r="E1319" i="4"/>
  <c r="C1319" i="4"/>
  <c r="B1313" i="4"/>
  <c r="F1313" i="4"/>
  <c r="C1313" i="4"/>
  <c r="D1313" i="4"/>
  <c r="E1313" i="4"/>
  <c r="B1309" i="4"/>
  <c r="F1309" i="4"/>
  <c r="E1309" i="4"/>
  <c r="C1309" i="4"/>
  <c r="D1309" i="4"/>
  <c r="B1305" i="4"/>
  <c r="F1305" i="4"/>
  <c r="C1305" i="4"/>
  <c r="D1305" i="4"/>
  <c r="E1305" i="4"/>
  <c r="B1301" i="4"/>
  <c r="F1301" i="4"/>
  <c r="E1301" i="4"/>
  <c r="C1301" i="4"/>
  <c r="D1301" i="4"/>
  <c r="B1293" i="4"/>
  <c r="F1293" i="4"/>
  <c r="E1293" i="4"/>
  <c r="C1293" i="4"/>
  <c r="D1293" i="4"/>
  <c r="E1289" i="4"/>
  <c r="F1289" i="4"/>
  <c r="C1289" i="4"/>
  <c r="D1289" i="4"/>
  <c r="B1289" i="4"/>
  <c r="E1285" i="4"/>
  <c r="C1285" i="4"/>
  <c r="F1285" i="4"/>
  <c r="B1285" i="4"/>
  <c r="D1285" i="4"/>
  <c r="E1281" i="4"/>
  <c r="F1281" i="4"/>
  <c r="B1281" i="4"/>
  <c r="C1281" i="4"/>
  <c r="D1281" i="4"/>
  <c r="E1277" i="4"/>
  <c r="C1277" i="4"/>
  <c r="D1277" i="4"/>
  <c r="F1277" i="4"/>
  <c r="B1277" i="4"/>
  <c r="E1273" i="4"/>
  <c r="F1273" i="4"/>
  <c r="B1273" i="4"/>
  <c r="C1273" i="4"/>
  <c r="D1273" i="4"/>
  <c r="E1267" i="4"/>
  <c r="D1267" i="4"/>
  <c r="B1267" i="4"/>
  <c r="C1267" i="4"/>
  <c r="F1267" i="4"/>
  <c r="C1262" i="4"/>
  <c r="B1262" i="4"/>
  <c r="D1262" i="4"/>
  <c r="E1262" i="4"/>
  <c r="F1262" i="4"/>
  <c r="C1258" i="4"/>
  <c r="E1258" i="4"/>
  <c r="D1258" i="4"/>
  <c r="F1258" i="4"/>
  <c r="B1258" i="4"/>
  <c r="E1253" i="4"/>
  <c r="C1253" i="4"/>
  <c r="F1253" i="4"/>
  <c r="B1253" i="4"/>
  <c r="D1253" i="4"/>
  <c r="E1249" i="4"/>
  <c r="F1249" i="4"/>
  <c r="B1249" i="4"/>
  <c r="C1249" i="4"/>
  <c r="D1249" i="4"/>
  <c r="C1244" i="4"/>
  <c r="D1244" i="4"/>
  <c r="B1244" i="4"/>
  <c r="E1244" i="4"/>
  <c r="F1244" i="4"/>
  <c r="C1240" i="4"/>
  <c r="F1240" i="4"/>
  <c r="E1240" i="4"/>
  <c r="B1240" i="4"/>
  <c r="D1240" i="4"/>
  <c r="E1235" i="4"/>
  <c r="D1235" i="4"/>
  <c r="B1235" i="4"/>
  <c r="C1235" i="4"/>
  <c r="F1235" i="4"/>
  <c r="E1231" i="4"/>
  <c r="B1231" i="4"/>
  <c r="C1231" i="4"/>
  <c r="D1231" i="4"/>
  <c r="F1231" i="4"/>
  <c r="E1227" i="4"/>
  <c r="D1227" i="4"/>
  <c r="F1227" i="4"/>
  <c r="B1227" i="4"/>
  <c r="C1227" i="4"/>
  <c r="E1223" i="4"/>
  <c r="B1223" i="4"/>
  <c r="C1223" i="4"/>
  <c r="D1223" i="4"/>
  <c r="F1223" i="4"/>
  <c r="E1219" i="4"/>
  <c r="D1219" i="4"/>
  <c r="C1219" i="4"/>
  <c r="F1219" i="4"/>
  <c r="B1219" i="4"/>
  <c r="E1215" i="4"/>
  <c r="B1215" i="4"/>
  <c r="F1215" i="4"/>
  <c r="C1215" i="4"/>
  <c r="D1215" i="4"/>
  <c r="C1210" i="4"/>
  <c r="E1210" i="4"/>
  <c r="B1210" i="4"/>
  <c r="D1210" i="4"/>
  <c r="F1210" i="4"/>
  <c r="C1206" i="4"/>
  <c r="B1206" i="4"/>
  <c r="D1206" i="4"/>
  <c r="E1206" i="4"/>
  <c r="F1206" i="4"/>
  <c r="C1202" i="4"/>
  <c r="E1202" i="4"/>
  <c r="F1202" i="4"/>
  <c r="B1202" i="4"/>
  <c r="D1202" i="4"/>
  <c r="C1196" i="4"/>
  <c r="D1196" i="4"/>
  <c r="F1196" i="4"/>
  <c r="B1196" i="4"/>
  <c r="E1196" i="4"/>
  <c r="C1192" i="4"/>
  <c r="F1192" i="4"/>
  <c r="B1192" i="4"/>
  <c r="D1192" i="4"/>
  <c r="E1192" i="4"/>
  <c r="C1188" i="4"/>
  <c r="D1188" i="4"/>
  <c r="E1188" i="4"/>
  <c r="F1188" i="4"/>
  <c r="B1188" i="4"/>
  <c r="C1184" i="4"/>
  <c r="F1184" i="4"/>
  <c r="B1184" i="4"/>
  <c r="D1184" i="4"/>
  <c r="E1184" i="4"/>
  <c r="C1178" i="4"/>
  <c r="E1178" i="4"/>
  <c r="B1178" i="4"/>
  <c r="D1178" i="4"/>
  <c r="F1178" i="4"/>
  <c r="C1174" i="4"/>
  <c r="B1174" i="4"/>
  <c r="D1174" i="4"/>
  <c r="E1174" i="4"/>
  <c r="F1174" i="4"/>
  <c r="C1170" i="4"/>
  <c r="E1170" i="4"/>
  <c r="F1170" i="4"/>
  <c r="B1170" i="4"/>
  <c r="D1170" i="4"/>
  <c r="C1164" i="4"/>
  <c r="D1164" i="4"/>
  <c r="F1164" i="4"/>
  <c r="B1164" i="4"/>
  <c r="E1164" i="4"/>
  <c r="C1160" i="4"/>
  <c r="F1160" i="4"/>
  <c r="B1160" i="4"/>
  <c r="D1160" i="4"/>
  <c r="E1160" i="4"/>
  <c r="C1156" i="4"/>
  <c r="D1156" i="4"/>
  <c r="E1156" i="4"/>
  <c r="F1156" i="4"/>
  <c r="B1156" i="4"/>
  <c r="E1149" i="4"/>
  <c r="C1149" i="4"/>
  <c r="D1149" i="4"/>
  <c r="F1149" i="4"/>
  <c r="B1149" i="4"/>
  <c r="E1145" i="4"/>
  <c r="F1145" i="4"/>
  <c r="B1145" i="4"/>
  <c r="C1145" i="4"/>
  <c r="D1145" i="4"/>
  <c r="E1141" i="4"/>
  <c r="C1141" i="4"/>
  <c r="B1141" i="4"/>
  <c r="D1141" i="4"/>
  <c r="F1141" i="4"/>
  <c r="E1137" i="4"/>
  <c r="F1137" i="4"/>
  <c r="D1137" i="4"/>
  <c r="B1137" i="4"/>
  <c r="C1137" i="4"/>
  <c r="C1132" i="4"/>
  <c r="D1132" i="4"/>
  <c r="F1132" i="4"/>
  <c r="B1132" i="4"/>
  <c r="E1132" i="4"/>
  <c r="E1127" i="4"/>
  <c r="B1127" i="4"/>
  <c r="C1127" i="4"/>
  <c r="D1127" i="4"/>
  <c r="F1127" i="4"/>
  <c r="C1122" i="4"/>
  <c r="E1122" i="4"/>
  <c r="B1122" i="4"/>
  <c r="D1122" i="4"/>
  <c r="F1122" i="4"/>
  <c r="C1118" i="4"/>
  <c r="B1118" i="4"/>
  <c r="E1118" i="4"/>
  <c r="F1118" i="4"/>
  <c r="D1118" i="4"/>
  <c r="C1114" i="4"/>
  <c r="E1114" i="4"/>
  <c r="B1114" i="4"/>
  <c r="D1114" i="4"/>
  <c r="F1114" i="4"/>
  <c r="C1110" i="4"/>
  <c r="B1110" i="4"/>
  <c r="D1110" i="4"/>
  <c r="E1110" i="4"/>
  <c r="F1110" i="4"/>
  <c r="C1106" i="4"/>
  <c r="E1106" i="4"/>
  <c r="F1106" i="4"/>
  <c r="B1106" i="4"/>
  <c r="D1106" i="4"/>
  <c r="C1102" i="4"/>
  <c r="B1102" i="4"/>
  <c r="D1102" i="4"/>
  <c r="E1102" i="4"/>
  <c r="F1102" i="4"/>
  <c r="E1097" i="4"/>
  <c r="F1097" i="4"/>
  <c r="C1097" i="4"/>
  <c r="D1097" i="4"/>
  <c r="B1097" i="4"/>
  <c r="E1093" i="4"/>
  <c r="C1093" i="4"/>
  <c r="F1093" i="4"/>
  <c r="B1093" i="4"/>
  <c r="D1093" i="4"/>
  <c r="E1089" i="4"/>
  <c r="F1089" i="4"/>
  <c r="B1089" i="4"/>
  <c r="C1089" i="4"/>
  <c r="D1089" i="4"/>
  <c r="E1085" i="4"/>
  <c r="C1085" i="4"/>
  <c r="D1085" i="4"/>
  <c r="F1085" i="4"/>
  <c r="B1085" i="4"/>
  <c r="E1081" i="4"/>
  <c r="F1081" i="4"/>
  <c r="B1081" i="4"/>
  <c r="C1081" i="4"/>
  <c r="D1081" i="4"/>
  <c r="E1077" i="4"/>
  <c r="C1077" i="4"/>
  <c r="B1077" i="4"/>
  <c r="D1077" i="4"/>
  <c r="F1077" i="4"/>
  <c r="E1073" i="4"/>
  <c r="F1073" i="4"/>
  <c r="D1073" i="4"/>
  <c r="B1073" i="4"/>
  <c r="C1073" i="4"/>
  <c r="D722" i="4"/>
  <c r="C722" i="4"/>
  <c r="F722" i="4"/>
  <c r="B722" i="4"/>
  <c r="E722" i="4"/>
  <c r="E905" i="4"/>
  <c r="F905" i="4"/>
  <c r="C905" i="4"/>
  <c r="B905" i="4"/>
  <c r="D905" i="4"/>
  <c r="D724" i="4"/>
  <c r="B724" i="4"/>
  <c r="E724" i="4"/>
  <c r="F724" i="4"/>
  <c r="C724" i="4"/>
  <c r="D790" i="4"/>
  <c r="F790" i="4"/>
  <c r="C790" i="4"/>
  <c r="B790" i="4"/>
  <c r="E790" i="4"/>
  <c r="B1391" i="4"/>
  <c r="F1391" i="4"/>
  <c r="D1391" i="4"/>
  <c r="E1391" i="4"/>
  <c r="C1391" i="4"/>
  <c r="D1386" i="4"/>
  <c r="B1386" i="4"/>
  <c r="C1386" i="4"/>
  <c r="E1386" i="4"/>
  <c r="F1386" i="4"/>
  <c r="D1380" i="4"/>
  <c r="F1380" i="4"/>
  <c r="B1380" i="4"/>
  <c r="C1380" i="4"/>
  <c r="E1380" i="4"/>
  <c r="D1376" i="4"/>
  <c r="C1376" i="4"/>
  <c r="E1376" i="4"/>
  <c r="B1376" i="4"/>
  <c r="F1376" i="4"/>
  <c r="D1372" i="4"/>
  <c r="F1372" i="4"/>
  <c r="B1372" i="4"/>
  <c r="C1372" i="4"/>
  <c r="E1372" i="4"/>
  <c r="D1368" i="4"/>
  <c r="C1368" i="4"/>
  <c r="E1368" i="4"/>
  <c r="F1368" i="4"/>
  <c r="B1368" i="4"/>
  <c r="D1364" i="4"/>
  <c r="F1364" i="4"/>
  <c r="B1364" i="4"/>
  <c r="C1364" i="4"/>
  <c r="E1364" i="4"/>
  <c r="D1360" i="4"/>
  <c r="C1360" i="4"/>
  <c r="E1360" i="4"/>
  <c r="B1360" i="4"/>
  <c r="F1360" i="4"/>
  <c r="D1356" i="4"/>
  <c r="F1356" i="4"/>
  <c r="B1356" i="4"/>
  <c r="C1356" i="4"/>
  <c r="E1356" i="4"/>
  <c r="D1350" i="4"/>
  <c r="E1350" i="4"/>
  <c r="F1350" i="4"/>
  <c r="B1350" i="4"/>
  <c r="C1350" i="4"/>
  <c r="D1346" i="4"/>
  <c r="B1346" i="4"/>
  <c r="C1346" i="4"/>
  <c r="E1346" i="4"/>
  <c r="F1346" i="4"/>
  <c r="D1342" i="4"/>
  <c r="E1342" i="4"/>
  <c r="F1342" i="4"/>
  <c r="B1342" i="4"/>
  <c r="C1342" i="4"/>
  <c r="D1338" i="4"/>
  <c r="B1338" i="4"/>
  <c r="C1338" i="4"/>
  <c r="E1338" i="4"/>
  <c r="F1338" i="4"/>
  <c r="B1333" i="4"/>
  <c r="F1333" i="4"/>
  <c r="E1333" i="4"/>
  <c r="C1333" i="4"/>
  <c r="D1333" i="4"/>
  <c r="B1327" i="4"/>
  <c r="F1327" i="4"/>
  <c r="D1327" i="4"/>
  <c r="E1327" i="4"/>
  <c r="C1327" i="4"/>
  <c r="B1323" i="4"/>
  <c r="F1323" i="4"/>
  <c r="C1323" i="4"/>
  <c r="D1323" i="4"/>
  <c r="E1323" i="4"/>
  <c r="B1317" i="4"/>
  <c r="F1317" i="4"/>
  <c r="E1317" i="4"/>
  <c r="C1317" i="4"/>
  <c r="D1317" i="4"/>
  <c r="D1312" i="4"/>
  <c r="C1312" i="4"/>
  <c r="E1312" i="4"/>
  <c r="B1312" i="4"/>
  <c r="F1312" i="4"/>
  <c r="D1308" i="4"/>
  <c r="F1308" i="4"/>
  <c r="B1308" i="4"/>
  <c r="C1308" i="4"/>
  <c r="E1308" i="4"/>
  <c r="D1304" i="4"/>
  <c r="C1304" i="4"/>
  <c r="E1304" i="4"/>
  <c r="F1304" i="4"/>
  <c r="B1304" i="4"/>
  <c r="D1298" i="4"/>
  <c r="B1298" i="4"/>
  <c r="C1298" i="4"/>
  <c r="E1298" i="4"/>
  <c r="F1298" i="4"/>
  <c r="C1292" i="4"/>
  <c r="D1292" i="4"/>
  <c r="F1292" i="4"/>
  <c r="B1292" i="4"/>
  <c r="E1292" i="4"/>
  <c r="C1288" i="4"/>
  <c r="F1288" i="4"/>
  <c r="B1288" i="4"/>
  <c r="D1288" i="4"/>
  <c r="E1288" i="4"/>
  <c r="C1284" i="4"/>
  <c r="D1284" i="4"/>
  <c r="E1284" i="4"/>
  <c r="F1284" i="4"/>
  <c r="B1284" i="4"/>
  <c r="C1280" i="4"/>
  <c r="F1280" i="4"/>
  <c r="B1280" i="4"/>
  <c r="D1280" i="4"/>
  <c r="E1280" i="4"/>
  <c r="C1276" i="4"/>
  <c r="D1276" i="4"/>
  <c r="B1276" i="4"/>
  <c r="E1276" i="4"/>
  <c r="F1276" i="4"/>
  <c r="C1272" i="4"/>
  <c r="F1272" i="4"/>
  <c r="E1272" i="4"/>
  <c r="B1272" i="4"/>
  <c r="D1272" i="4"/>
  <c r="C1266" i="4"/>
  <c r="E1266" i="4"/>
  <c r="F1266" i="4"/>
  <c r="B1266" i="4"/>
  <c r="D1266" i="4"/>
  <c r="E1261" i="4"/>
  <c r="C1261" i="4"/>
  <c r="B1261" i="4"/>
  <c r="D1261" i="4"/>
  <c r="F1261" i="4"/>
  <c r="E1257" i="4"/>
  <c r="F1257" i="4"/>
  <c r="C1257" i="4"/>
  <c r="D1257" i="4"/>
  <c r="B1257" i="4"/>
  <c r="C1252" i="4"/>
  <c r="D1252" i="4"/>
  <c r="E1252" i="4"/>
  <c r="F1252" i="4"/>
  <c r="B1252" i="4"/>
  <c r="C1248" i="4"/>
  <c r="F1248" i="4"/>
  <c r="B1248" i="4"/>
  <c r="D1248" i="4"/>
  <c r="E1248" i="4"/>
  <c r="E1243" i="4"/>
  <c r="D1243" i="4"/>
  <c r="B1243" i="4"/>
  <c r="C1243" i="4"/>
  <c r="F1243" i="4"/>
  <c r="E1239" i="4"/>
  <c r="B1239" i="4"/>
  <c r="D1239" i="4"/>
  <c r="F1239" i="4"/>
  <c r="C1239" i="4"/>
  <c r="C1234" i="4"/>
  <c r="E1234" i="4"/>
  <c r="F1234" i="4"/>
  <c r="B1234" i="4"/>
  <c r="D1234" i="4"/>
  <c r="C1230" i="4"/>
  <c r="B1230" i="4"/>
  <c r="D1230" i="4"/>
  <c r="E1230" i="4"/>
  <c r="F1230" i="4"/>
  <c r="C1226" i="4"/>
  <c r="E1226" i="4"/>
  <c r="D1226" i="4"/>
  <c r="F1226" i="4"/>
  <c r="B1226" i="4"/>
  <c r="C1222" i="4"/>
  <c r="B1222" i="4"/>
  <c r="F1222" i="4"/>
  <c r="D1222" i="4"/>
  <c r="E1222" i="4"/>
  <c r="C1218" i="4"/>
  <c r="E1218" i="4"/>
  <c r="B1218" i="4"/>
  <c r="D1218" i="4"/>
  <c r="F1218" i="4"/>
  <c r="C1214" i="4"/>
  <c r="B1214" i="4"/>
  <c r="E1214" i="4"/>
  <c r="F1214" i="4"/>
  <c r="D1214" i="4"/>
  <c r="E1209" i="4"/>
  <c r="F1209" i="4"/>
  <c r="B1209" i="4"/>
  <c r="C1209" i="4"/>
  <c r="D1209" i="4"/>
  <c r="E1205" i="4"/>
  <c r="C1205" i="4"/>
  <c r="B1205" i="4"/>
  <c r="D1205" i="4"/>
  <c r="F1205" i="4"/>
  <c r="E1201" i="4"/>
  <c r="F1201" i="4"/>
  <c r="D1201" i="4"/>
  <c r="B1201" i="4"/>
  <c r="C1201" i="4"/>
  <c r="E1195" i="4"/>
  <c r="D1195" i="4"/>
  <c r="F1195" i="4"/>
  <c r="B1195" i="4"/>
  <c r="C1195" i="4"/>
  <c r="E1191" i="4"/>
  <c r="B1191" i="4"/>
  <c r="C1191" i="4"/>
  <c r="D1191" i="4"/>
  <c r="F1191" i="4"/>
  <c r="E1187" i="4"/>
  <c r="D1187" i="4"/>
  <c r="C1187" i="4"/>
  <c r="F1187" i="4"/>
  <c r="B1187" i="4"/>
  <c r="C1182" i="4"/>
  <c r="B1182" i="4"/>
  <c r="E1182" i="4"/>
  <c r="F1182" i="4"/>
  <c r="D1182" i="4"/>
  <c r="E1177" i="4"/>
  <c r="F1177" i="4"/>
  <c r="B1177" i="4"/>
  <c r="C1177" i="4"/>
  <c r="D1177" i="4"/>
  <c r="E1173" i="4"/>
  <c r="C1173" i="4"/>
  <c r="B1173" i="4"/>
  <c r="D1173" i="4"/>
  <c r="F1173" i="4"/>
  <c r="E1169" i="4"/>
  <c r="F1169" i="4"/>
  <c r="D1169" i="4"/>
  <c r="B1169" i="4"/>
  <c r="C1169" i="4"/>
  <c r="E1163" i="4"/>
  <c r="D1163" i="4"/>
  <c r="F1163" i="4"/>
  <c r="B1163" i="4"/>
  <c r="C1163" i="4"/>
  <c r="E1159" i="4"/>
  <c r="B1159" i="4"/>
  <c r="C1159" i="4"/>
  <c r="D1159" i="4"/>
  <c r="F1159" i="4"/>
  <c r="C1152" i="4"/>
  <c r="F1152" i="4"/>
  <c r="B1152" i="4"/>
  <c r="D1152" i="4"/>
  <c r="E1152" i="4"/>
  <c r="C1148" i="4"/>
  <c r="D1148" i="4"/>
  <c r="B1148" i="4"/>
  <c r="E1148" i="4"/>
  <c r="F1148" i="4"/>
  <c r="C1144" i="4"/>
  <c r="F1144" i="4"/>
  <c r="E1144" i="4"/>
  <c r="B1144" i="4"/>
  <c r="D1144" i="4"/>
  <c r="C1140" i="4"/>
  <c r="D1140" i="4"/>
  <c r="B1140" i="4"/>
  <c r="E1140" i="4"/>
  <c r="F1140" i="4"/>
  <c r="C1136" i="4"/>
  <c r="F1136" i="4"/>
  <c r="D1136" i="4"/>
  <c r="E1136" i="4"/>
  <c r="B1136" i="4"/>
  <c r="E1131" i="4"/>
  <c r="D1131" i="4"/>
  <c r="F1131" i="4"/>
  <c r="B1131" i="4"/>
  <c r="C1131" i="4"/>
  <c r="C1126" i="4"/>
  <c r="B1126" i="4"/>
  <c r="F1126" i="4"/>
  <c r="D1126" i="4"/>
  <c r="E1126" i="4"/>
  <c r="E1121" i="4"/>
  <c r="F1121" i="4"/>
  <c r="B1121" i="4"/>
  <c r="C1121" i="4"/>
  <c r="D1121" i="4"/>
  <c r="E1117" i="4"/>
  <c r="C1117" i="4"/>
  <c r="D1117" i="4"/>
  <c r="F1117" i="4"/>
  <c r="B1117" i="4"/>
  <c r="E1113" i="4"/>
  <c r="F1113" i="4"/>
  <c r="B1113" i="4"/>
  <c r="C1113" i="4"/>
  <c r="D1113" i="4"/>
  <c r="E1109" i="4"/>
  <c r="C1109" i="4"/>
  <c r="B1109" i="4"/>
  <c r="D1109" i="4"/>
  <c r="F1109" i="4"/>
  <c r="E1105" i="4"/>
  <c r="F1105" i="4"/>
  <c r="D1105" i="4"/>
  <c r="B1105" i="4"/>
  <c r="C1105" i="4"/>
  <c r="E1101" i="4"/>
  <c r="C1101" i="4"/>
  <c r="B1101" i="4"/>
  <c r="D1101" i="4"/>
  <c r="F1101" i="4"/>
  <c r="C1096" i="4"/>
  <c r="F1096" i="4"/>
  <c r="B1096" i="4"/>
  <c r="D1096" i="4"/>
  <c r="E1096" i="4"/>
  <c r="C1092" i="4"/>
  <c r="D1092" i="4"/>
  <c r="E1092" i="4"/>
  <c r="F1092" i="4"/>
  <c r="B1092" i="4"/>
  <c r="C1088" i="4"/>
  <c r="F1088" i="4"/>
  <c r="B1088" i="4"/>
  <c r="D1088" i="4"/>
  <c r="E1088" i="4"/>
  <c r="C1084" i="4"/>
  <c r="D1084" i="4"/>
  <c r="B1084" i="4"/>
  <c r="E1084" i="4"/>
  <c r="F1084" i="4"/>
  <c r="C1080" i="4"/>
  <c r="F1080" i="4"/>
  <c r="E1080" i="4"/>
  <c r="B1080" i="4"/>
  <c r="D1080" i="4"/>
  <c r="C1076" i="4"/>
  <c r="D1076" i="4"/>
  <c r="B1076" i="4"/>
  <c r="E1076" i="4"/>
  <c r="F1076" i="4"/>
  <c r="C1072" i="4"/>
  <c r="F1072" i="4"/>
  <c r="D1072" i="4"/>
  <c r="E1072" i="4"/>
  <c r="B1072" i="4"/>
  <c r="B448" i="4"/>
  <c r="F448" i="4"/>
  <c r="E448" i="4"/>
  <c r="D448" i="4"/>
  <c r="C448" i="4"/>
  <c r="D327" i="4"/>
  <c r="F327" i="4"/>
  <c r="E327" i="4"/>
  <c r="C327" i="4"/>
  <c r="B327" i="4"/>
  <c r="D726" i="4"/>
  <c r="F726" i="4"/>
  <c r="C726" i="4"/>
  <c r="B726" i="4"/>
  <c r="E726" i="4"/>
  <c r="C836" i="4"/>
  <c r="D836" i="4"/>
  <c r="E836" i="4"/>
  <c r="F836" i="4"/>
  <c r="B836" i="4"/>
  <c r="D2203" i="4"/>
  <c r="E2203" i="4"/>
  <c r="B2203" i="4"/>
  <c r="C2203" i="4"/>
  <c r="G2203" i="4"/>
  <c r="E1025" i="4"/>
  <c r="F1025" i="4"/>
  <c r="B1025" i="4"/>
  <c r="C1025" i="4"/>
  <c r="D1025" i="4"/>
  <c r="B723" i="4"/>
  <c r="F723" i="4"/>
  <c r="C723" i="4"/>
  <c r="D723" i="4"/>
  <c r="E723" i="4"/>
  <c r="B727" i="4"/>
  <c r="F727" i="4"/>
  <c r="E727" i="4"/>
  <c r="D727" i="4"/>
  <c r="C727" i="4"/>
  <c r="E2960" i="4"/>
  <c r="B2960" i="4"/>
  <c r="G2960" i="4"/>
  <c r="D2960" i="4"/>
  <c r="C2960" i="4"/>
  <c r="D1390" i="4"/>
  <c r="E1390" i="4"/>
  <c r="F1390" i="4"/>
  <c r="B1390" i="4"/>
  <c r="C1390" i="4"/>
  <c r="B1383" i="4"/>
  <c r="F1383" i="4"/>
  <c r="D1383" i="4"/>
  <c r="E1383" i="4"/>
  <c r="C1383" i="4"/>
  <c r="B1379" i="4"/>
  <c r="F1379" i="4"/>
  <c r="C1379" i="4"/>
  <c r="D1379" i="4"/>
  <c r="E1379" i="4"/>
  <c r="B1375" i="4"/>
  <c r="F1375" i="4"/>
  <c r="D1375" i="4"/>
  <c r="E1375" i="4"/>
  <c r="C1375" i="4"/>
  <c r="B1371" i="4"/>
  <c r="F1371" i="4"/>
  <c r="C1371" i="4"/>
  <c r="D1371" i="4"/>
  <c r="E1371" i="4"/>
  <c r="B1367" i="4"/>
  <c r="F1367" i="4"/>
  <c r="D1367" i="4"/>
  <c r="E1367" i="4"/>
  <c r="C1367" i="4"/>
  <c r="B1363" i="4"/>
  <c r="F1363" i="4"/>
  <c r="C1363" i="4"/>
  <c r="D1363" i="4"/>
  <c r="E1363" i="4"/>
  <c r="B1359" i="4"/>
  <c r="F1359" i="4"/>
  <c r="D1359" i="4"/>
  <c r="E1359" i="4"/>
  <c r="C1359" i="4"/>
  <c r="D1354" i="4"/>
  <c r="B1354" i="4"/>
  <c r="C1354" i="4"/>
  <c r="E1354" i="4"/>
  <c r="F1354" i="4"/>
  <c r="B1349" i="4"/>
  <c r="F1349" i="4"/>
  <c r="E1349" i="4"/>
  <c r="C1349" i="4"/>
  <c r="D1349" i="4"/>
  <c r="B1345" i="4"/>
  <c r="F1345" i="4"/>
  <c r="C1345" i="4"/>
  <c r="D1345" i="4"/>
  <c r="E1345" i="4"/>
  <c r="B1341" i="4"/>
  <c r="F1341" i="4"/>
  <c r="E1341" i="4"/>
  <c r="C1341" i="4"/>
  <c r="D1341" i="4"/>
  <c r="B1337" i="4"/>
  <c r="F1337" i="4"/>
  <c r="C1337" i="4"/>
  <c r="D1337" i="4"/>
  <c r="E1337" i="4"/>
  <c r="B1331" i="4"/>
  <c r="F1331" i="4"/>
  <c r="C1331" i="4"/>
  <c r="D1331" i="4"/>
  <c r="E1331" i="4"/>
  <c r="D1326" i="4"/>
  <c r="E1326" i="4"/>
  <c r="F1326" i="4"/>
  <c r="B1326" i="4"/>
  <c r="C1326" i="4"/>
  <c r="B1321" i="4"/>
  <c r="F1321" i="4"/>
  <c r="C1321" i="4"/>
  <c r="D1321" i="4"/>
  <c r="E1321" i="4"/>
  <c r="B1315" i="4"/>
  <c r="F1315" i="4"/>
  <c r="C1315" i="4"/>
  <c r="D1315" i="4"/>
  <c r="E1315" i="4"/>
  <c r="B1311" i="4"/>
  <c r="F1311" i="4"/>
  <c r="D1311" i="4"/>
  <c r="E1311" i="4"/>
  <c r="C1311" i="4"/>
  <c r="B1307" i="4"/>
  <c r="F1307" i="4"/>
  <c r="C1307" i="4"/>
  <c r="D1307" i="4"/>
  <c r="E1307" i="4"/>
  <c r="B1303" i="4"/>
  <c r="F1303" i="4"/>
  <c r="D1303" i="4"/>
  <c r="E1303" i="4"/>
  <c r="C1303" i="4"/>
  <c r="B1295" i="4"/>
  <c r="F1295" i="4"/>
  <c r="D1295" i="4"/>
  <c r="E1295" i="4"/>
  <c r="C1295" i="4"/>
  <c r="E1291" i="4"/>
  <c r="D1291" i="4"/>
  <c r="F1291" i="4"/>
  <c r="B1291" i="4"/>
  <c r="C1291" i="4"/>
  <c r="E1287" i="4"/>
  <c r="B1287" i="4"/>
  <c r="C1287" i="4"/>
  <c r="D1287" i="4"/>
  <c r="F1287" i="4"/>
  <c r="E1283" i="4"/>
  <c r="D1283" i="4"/>
  <c r="C1283" i="4"/>
  <c r="F1283" i="4"/>
  <c r="B1283" i="4"/>
  <c r="E1279" i="4"/>
  <c r="B1279" i="4"/>
  <c r="F1279" i="4"/>
  <c r="C1279" i="4"/>
  <c r="D1279" i="4"/>
  <c r="E1275" i="4"/>
  <c r="D1275" i="4"/>
  <c r="B1275" i="4"/>
  <c r="C1275" i="4"/>
  <c r="F1275" i="4"/>
  <c r="E1271" i="4"/>
  <c r="B1271" i="4"/>
  <c r="D1271" i="4"/>
  <c r="F1271" i="4"/>
  <c r="C1271" i="4"/>
  <c r="E1265" i="4"/>
  <c r="F1265" i="4"/>
  <c r="D1265" i="4"/>
  <c r="B1265" i="4"/>
  <c r="C1265" i="4"/>
  <c r="C1260" i="4"/>
  <c r="D1260" i="4"/>
  <c r="F1260" i="4"/>
  <c r="B1260" i="4"/>
  <c r="E1260" i="4"/>
  <c r="E1255" i="4"/>
  <c r="B1255" i="4"/>
  <c r="C1255" i="4"/>
  <c r="D1255" i="4"/>
  <c r="F1255" i="4"/>
  <c r="E1251" i="4"/>
  <c r="D1251" i="4"/>
  <c r="C1251" i="4"/>
  <c r="F1251" i="4"/>
  <c r="B1251" i="4"/>
  <c r="E1247" i="4"/>
  <c r="B1247" i="4"/>
  <c r="F1247" i="4"/>
  <c r="C1247" i="4"/>
  <c r="D1247" i="4"/>
  <c r="C1242" i="4"/>
  <c r="E1242" i="4"/>
  <c r="B1242" i="4"/>
  <c r="D1242" i="4"/>
  <c r="F1242" i="4"/>
  <c r="C1238" i="4"/>
  <c r="B1238" i="4"/>
  <c r="D1238" i="4"/>
  <c r="E1238" i="4"/>
  <c r="F1238" i="4"/>
  <c r="E1233" i="4"/>
  <c r="F1233" i="4"/>
  <c r="D1233" i="4"/>
  <c r="B1233" i="4"/>
  <c r="C1233" i="4"/>
  <c r="E1229" i="4"/>
  <c r="C1229" i="4"/>
  <c r="B1229" i="4"/>
  <c r="D1229" i="4"/>
  <c r="F1229" i="4"/>
  <c r="E1225" i="4"/>
  <c r="F1225" i="4"/>
  <c r="C1225" i="4"/>
  <c r="D1225" i="4"/>
  <c r="B1225" i="4"/>
  <c r="E1221" i="4"/>
  <c r="C1221" i="4"/>
  <c r="F1221" i="4"/>
  <c r="B1221" i="4"/>
  <c r="D1221" i="4"/>
  <c r="E1217" i="4"/>
  <c r="F1217" i="4"/>
  <c r="B1217" i="4"/>
  <c r="C1217" i="4"/>
  <c r="D1217" i="4"/>
  <c r="E1213" i="4"/>
  <c r="C1213" i="4"/>
  <c r="D1213" i="4"/>
  <c r="F1213" i="4"/>
  <c r="B1213" i="4"/>
  <c r="C1208" i="4"/>
  <c r="F1208" i="4"/>
  <c r="E1208" i="4"/>
  <c r="B1208" i="4"/>
  <c r="D1208" i="4"/>
  <c r="C1204" i="4"/>
  <c r="D1204" i="4"/>
  <c r="B1204" i="4"/>
  <c r="E1204" i="4"/>
  <c r="F1204" i="4"/>
  <c r="C1200" i="4"/>
  <c r="F1200" i="4"/>
  <c r="D1200" i="4"/>
  <c r="E1200" i="4"/>
  <c r="B1200" i="4"/>
  <c r="C1194" i="4"/>
  <c r="E1194" i="4"/>
  <c r="D1194" i="4"/>
  <c r="F1194" i="4"/>
  <c r="B1194" i="4"/>
  <c r="C1190" i="4"/>
  <c r="B1190" i="4"/>
  <c r="F1190" i="4"/>
  <c r="D1190" i="4"/>
  <c r="E1190" i="4"/>
  <c r="C1186" i="4"/>
  <c r="E1186" i="4"/>
  <c r="B1186" i="4"/>
  <c r="D1186" i="4"/>
  <c r="F1186" i="4"/>
  <c r="C1180" i="4"/>
  <c r="D1180" i="4"/>
  <c r="B1180" i="4"/>
  <c r="E1180" i="4"/>
  <c r="F1180" i="4"/>
  <c r="C1176" i="4"/>
  <c r="F1176" i="4"/>
  <c r="E1176" i="4"/>
  <c r="B1176" i="4"/>
  <c r="D1176" i="4"/>
  <c r="C1172" i="4"/>
  <c r="D1172" i="4"/>
  <c r="B1172" i="4"/>
  <c r="E1172" i="4"/>
  <c r="F1172" i="4"/>
  <c r="E1167" i="4"/>
  <c r="B1167" i="4"/>
  <c r="C1167" i="4"/>
  <c r="D1167" i="4"/>
  <c r="F1167" i="4"/>
  <c r="C1162" i="4"/>
  <c r="E1162" i="4"/>
  <c r="D1162" i="4"/>
  <c r="F1162" i="4"/>
  <c r="B1162" i="4"/>
  <c r="C1158" i="4"/>
  <c r="B1158" i="4"/>
  <c r="F1158" i="4"/>
  <c r="D1158" i="4"/>
  <c r="E1158" i="4"/>
  <c r="E1151" i="4"/>
  <c r="B1151" i="4"/>
  <c r="F1151" i="4"/>
  <c r="C1151" i="4"/>
  <c r="D1151" i="4"/>
  <c r="E1147" i="4"/>
  <c r="D1147" i="4"/>
  <c r="B1147" i="4"/>
  <c r="C1147" i="4"/>
  <c r="F1147" i="4"/>
  <c r="E1143" i="4"/>
  <c r="B1143" i="4"/>
  <c r="D1143" i="4"/>
  <c r="F1143" i="4"/>
  <c r="C1143" i="4"/>
  <c r="E1139" i="4"/>
  <c r="D1139" i="4"/>
  <c r="B1139" i="4"/>
  <c r="C1139" i="4"/>
  <c r="F1139" i="4"/>
  <c r="C1134" i="4"/>
  <c r="B1134" i="4"/>
  <c r="D1134" i="4"/>
  <c r="E1134" i="4"/>
  <c r="F1134" i="4"/>
  <c r="C1130" i="4"/>
  <c r="E1130" i="4"/>
  <c r="D1130" i="4"/>
  <c r="F1130" i="4"/>
  <c r="B1130" i="4"/>
  <c r="E1125" i="4"/>
  <c r="C1125" i="4"/>
  <c r="F1125" i="4"/>
  <c r="B1125" i="4"/>
  <c r="D1125" i="4"/>
  <c r="C1120" i="4"/>
  <c r="F1120" i="4"/>
  <c r="B1120" i="4"/>
  <c r="D1120" i="4"/>
  <c r="E1120" i="4"/>
  <c r="C1116" i="4"/>
  <c r="D1116" i="4"/>
  <c r="B1116" i="4"/>
  <c r="E1116" i="4"/>
  <c r="F1116" i="4"/>
  <c r="C1112" i="4"/>
  <c r="F1112" i="4"/>
  <c r="E1112" i="4"/>
  <c r="B1112" i="4"/>
  <c r="D1112" i="4"/>
  <c r="C1108" i="4"/>
  <c r="D1108" i="4"/>
  <c r="B1108" i="4"/>
  <c r="E1108" i="4"/>
  <c r="F1108" i="4"/>
  <c r="C1104" i="4"/>
  <c r="F1104" i="4"/>
  <c r="D1104" i="4"/>
  <c r="E1104" i="4"/>
  <c r="B1104" i="4"/>
  <c r="E1099" i="4"/>
  <c r="D1099" i="4"/>
  <c r="F1099" i="4"/>
  <c r="B1099" i="4"/>
  <c r="C1099" i="4"/>
  <c r="E1095" i="4"/>
  <c r="B1095" i="4"/>
  <c r="C1095" i="4"/>
  <c r="D1095" i="4"/>
  <c r="F1095" i="4"/>
  <c r="E1091" i="4"/>
  <c r="D1091" i="4"/>
  <c r="C1091" i="4"/>
  <c r="F1091" i="4"/>
  <c r="B1091" i="4"/>
  <c r="E1087" i="4"/>
  <c r="B1087" i="4"/>
  <c r="F1087" i="4"/>
  <c r="C1087" i="4"/>
  <c r="D1087" i="4"/>
  <c r="E1083" i="4"/>
  <c r="D1083" i="4"/>
  <c r="B1083" i="4"/>
  <c r="C1083" i="4"/>
  <c r="F1083" i="4"/>
  <c r="E1079" i="4"/>
  <c r="B1079" i="4"/>
  <c r="D1079" i="4"/>
  <c r="F1079" i="4"/>
  <c r="C1079" i="4"/>
  <c r="E1075" i="4"/>
  <c r="D1075" i="4"/>
  <c r="B1075" i="4"/>
  <c r="C1075" i="4"/>
  <c r="F1075" i="4"/>
  <c r="E1071" i="4"/>
  <c r="B1071" i="4"/>
  <c r="C1071" i="4"/>
  <c r="D1071" i="4"/>
  <c r="F1071" i="4"/>
  <c r="B450" i="4"/>
  <c r="F450" i="4"/>
  <c r="D450" i="4"/>
  <c r="E450" i="4"/>
  <c r="C450" i="4"/>
  <c r="D451" i="4"/>
  <c r="C451" i="4"/>
  <c r="F451" i="4"/>
  <c r="B451" i="4"/>
  <c r="E451" i="4"/>
  <c r="E222" i="4"/>
  <c r="D222" i="4"/>
  <c r="C222" i="4"/>
  <c r="B222" i="4"/>
  <c r="F222" i="4"/>
  <c r="D425" i="4"/>
  <c r="E425" i="4"/>
  <c r="C425" i="4"/>
  <c r="B425" i="4"/>
  <c r="F425" i="4"/>
  <c r="B464" i="4"/>
  <c r="F464" i="4"/>
  <c r="E464" i="4"/>
  <c r="D464" i="4"/>
  <c r="C464" i="4"/>
  <c r="B470" i="4"/>
  <c r="F470" i="4"/>
  <c r="E470" i="4"/>
  <c r="C470" i="4"/>
  <c r="D470" i="4"/>
  <c r="B468" i="4"/>
  <c r="F468" i="4"/>
  <c r="C468" i="4"/>
  <c r="E468" i="4"/>
  <c r="D468" i="4"/>
  <c r="B476" i="4"/>
  <c r="F476" i="4"/>
  <c r="C476" i="4"/>
  <c r="D476" i="4"/>
  <c r="E476" i="4"/>
  <c r="B504" i="4"/>
  <c r="F504" i="4"/>
  <c r="E504" i="4"/>
  <c r="C504" i="4"/>
  <c r="D504" i="4"/>
  <c r="D509" i="4"/>
  <c r="B509" i="4"/>
  <c r="C509" i="4"/>
  <c r="E509" i="4"/>
  <c r="F509" i="4"/>
  <c r="B617" i="4"/>
  <c r="F617" i="4"/>
  <c r="D617" i="4"/>
  <c r="C617" i="4"/>
  <c r="E617" i="4"/>
  <c r="C1422" i="4"/>
  <c r="G1422" i="4"/>
  <c r="D1422" i="4"/>
  <c r="B1422" i="4"/>
  <c r="E1422" i="4"/>
  <c r="D1394" i="4"/>
  <c r="E1394" i="4"/>
  <c r="B1394" i="4"/>
  <c r="F1394" i="4"/>
  <c r="C1394" i="4"/>
  <c r="D1420" i="4"/>
  <c r="B1420" i="4"/>
  <c r="F1420" i="4"/>
  <c r="C1420" i="4"/>
  <c r="E1420" i="4"/>
  <c r="D1416" i="4"/>
  <c r="B1416" i="4"/>
  <c r="F1416" i="4"/>
  <c r="C1416" i="4"/>
  <c r="E1416" i="4"/>
  <c r="D1412" i="4"/>
  <c r="B1412" i="4"/>
  <c r="F1412" i="4"/>
  <c r="E1412" i="4"/>
  <c r="C1412" i="4"/>
  <c r="D1408" i="4"/>
  <c r="B1408" i="4"/>
  <c r="F1408" i="4"/>
  <c r="E1408" i="4"/>
  <c r="C1408" i="4"/>
  <c r="D1404" i="4"/>
  <c r="B1404" i="4"/>
  <c r="F1404" i="4"/>
  <c r="E1404" i="4"/>
  <c r="C1404" i="4"/>
  <c r="D1400" i="4"/>
  <c r="B1400" i="4"/>
  <c r="F1400" i="4"/>
  <c r="E1400" i="4"/>
  <c r="C1400" i="4"/>
  <c r="B1419" i="4"/>
  <c r="F1419" i="4"/>
  <c r="D1419" i="4"/>
  <c r="E1419" i="4"/>
  <c r="C1419" i="4"/>
  <c r="B1415" i="4"/>
  <c r="F1415" i="4"/>
  <c r="D1415" i="4"/>
  <c r="E1415" i="4"/>
  <c r="C1415" i="4"/>
  <c r="B1411" i="4"/>
  <c r="F1411" i="4"/>
  <c r="D1411" i="4"/>
  <c r="E1411" i="4"/>
  <c r="C1411" i="4"/>
  <c r="B1407" i="4"/>
  <c r="F1407" i="4"/>
  <c r="D1407" i="4"/>
  <c r="E1407" i="4"/>
  <c r="C1407" i="4"/>
  <c r="B1403" i="4"/>
  <c r="F1403" i="4"/>
  <c r="D1403" i="4"/>
  <c r="E1403" i="4"/>
  <c r="C1403" i="4"/>
  <c r="B1399" i="4"/>
  <c r="F1399" i="4"/>
  <c r="D1399" i="4"/>
  <c r="E1399" i="4"/>
  <c r="C1399" i="4"/>
  <c r="D1418" i="4"/>
  <c r="B1418" i="4"/>
  <c r="F1418" i="4"/>
  <c r="C1418" i="4"/>
  <c r="E1418" i="4"/>
  <c r="D1414" i="4"/>
  <c r="B1414" i="4"/>
  <c r="F1414" i="4"/>
  <c r="C1414" i="4"/>
  <c r="E1414" i="4"/>
  <c r="D1410" i="4"/>
  <c r="B1410" i="4"/>
  <c r="F1410" i="4"/>
  <c r="C1410" i="4"/>
  <c r="E1410" i="4"/>
  <c r="D1406" i="4"/>
  <c r="B1406" i="4"/>
  <c r="F1406" i="4"/>
  <c r="C1406" i="4"/>
  <c r="E1406" i="4"/>
  <c r="D1402" i="4"/>
  <c r="B1402" i="4"/>
  <c r="F1402" i="4"/>
  <c r="C1402" i="4"/>
  <c r="E1402" i="4"/>
  <c r="D1398" i="4"/>
  <c r="B1398" i="4"/>
  <c r="F1398" i="4"/>
  <c r="C1398" i="4"/>
  <c r="E1398" i="4"/>
  <c r="B1421" i="4"/>
  <c r="F1421" i="4"/>
  <c r="D1421" i="4"/>
  <c r="C1421" i="4"/>
  <c r="E1421" i="4"/>
  <c r="B1417" i="4"/>
  <c r="F1417" i="4"/>
  <c r="D1417" i="4"/>
  <c r="C1417" i="4"/>
  <c r="E1417" i="4"/>
  <c r="B1413" i="4"/>
  <c r="F1413" i="4"/>
  <c r="D1413" i="4"/>
  <c r="C1413" i="4"/>
  <c r="E1413" i="4"/>
  <c r="B1409" i="4"/>
  <c r="F1409" i="4"/>
  <c r="D1409" i="4"/>
  <c r="C1409" i="4"/>
  <c r="E1409" i="4"/>
  <c r="B1405" i="4"/>
  <c r="F1405" i="4"/>
  <c r="D1405" i="4"/>
  <c r="C1405" i="4"/>
  <c r="E1405" i="4"/>
  <c r="B1401" i="4"/>
  <c r="F1401" i="4"/>
  <c r="D1401" i="4"/>
  <c r="C1401" i="4"/>
  <c r="E1401" i="4"/>
  <c r="B1397" i="4"/>
  <c r="F1397" i="4"/>
  <c r="D1397" i="4"/>
  <c r="C1397" i="4"/>
  <c r="E1397" i="4"/>
  <c r="D1396" i="4"/>
  <c r="B1396" i="4"/>
  <c r="F1396" i="4"/>
  <c r="E1396" i="4"/>
  <c r="C1396" i="4"/>
  <c r="B1395" i="4"/>
  <c r="F1395" i="4"/>
  <c r="C1395" i="4"/>
  <c r="D1395" i="4"/>
  <c r="E1395" i="4"/>
  <c r="H6" i="12"/>
  <c r="H7" i="12" s="1"/>
  <c r="H8" i="12" s="1"/>
  <c r="H9" i="12" s="1"/>
  <c r="H10" i="12" s="1"/>
  <c r="H11" i="12" s="1"/>
  <c r="H12" i="12" s="1"/>
  <c r="H13" i="12" s="1"/>
  <c r="H14" i="12" s="1"/>
  <c r="H15" i="12" s="1"/>
  <c r="H16" i="12" s="1"/>
  <c r="H17" i="12" s="1"/>
  <c r="H18" i="12" s="1"/>
  <c r="H19" i="12" s="1"/>
  <c r="H20" i="12" s="1"/>
  <c r="H21" i="12" s="1"/>
  <c r="H22" i="12" s="1"/>
  <c r="J1" i="13"/>
  <c r="A790" i="3"/>
  <c r="A791" i="3"/>
  <c r="A792" i="3"/>
  <c r="A793" i="3"/>
  <c r="A794" i="3"/>
  <c r="A795" i="3"/>
  <c r="A796" i="3"/>
  <c r="A797" i="3"/>
  <c r="A798" i="3"/>
  <c r="A799" i="3"/>
  <c r="A800" i="3"/>
  <c r="A801" i="3"/>
  <c r="A802" i="3"/>
  <c r="A803" i="3"/>
  <c r="A804" i="3"/>
  <c r="A805" i="3"/>
  <c r="A806" i="3"/>
  <c r="A809" i="3"/>
  <c r="A810" i="3"/>
  <c r="A811" i="3"/>
  <c r="A812" i="3"/>
  <c r="A813" i="3"/>
  <c r="A814" i="3"/>
  <c r="A815" i="3"/>
  <c r="A816" i="3"/>
  <c r="A817" i="3"/>
  <c r="A819" i="3"/>
  <c r="A820" i="3"/>
  <c r="A821" i="3"/>
  <c r="A823" i="3"/>
  <c r="A824" i="3"/>
  <c r="A825" i="3"/>
  <c r="A826" i="3"/>
  <c r="A827" i="3"/>
  <c r="A828" i="3"/>
  <c r="A830" i="3"/>
  <c r="A831"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4" i="3"/>
  <c r="A865" i="3"/>
  <c r="A866" i="3"/>
  <c r="A868" i="3"/>
  <c r="A869" i="3"/>
  <c r="A870" i="3"/>
  <c r="A871" i="3"/>
  <c r="A873" i="3"/>
  <c r="A875" i="3"/>
  <c r="A876" i="3"/>
  <c r="A877" i="3"/>
  <c r="A878" i="3"/>
  <c r="A879" i="3"/>
  <c r="A880" i="3"/>
  <c r="A881" i="3"/>
  <c r="A882" i="3"/>
  <c r="A883" i="3"/>
  <c r="A884" i="3"/>
  <c r="A885" i="3"/>
  <c r="A886" i="3"/>
  <c r="A887" i="3"/>
  <c r="A888" i="3"/>
  <c r="A889" i="3"/>
  <c r="A890" i="3"/>
  <c r="A891" i="3"/>
  <c r="A892" i="3"/>
  <c r="A893" i="3"/>
  <c r="A895" i="3"/>
  <c r="A896" i="3"/>
  <c r="A897" i="3"/>
  <c r="A899" i="3"/>
  <c r="A900" i="3"/>
  <c r="A901" i="3"/>
  <c r="A902" i="3"/>
  <c r="A903" i="3"/>
  <c r="A904" i="3"/>
  <c r="A905" i="3"/>
  <c r="A906" i="3"/>
  <c r="A907" i="3"/>
  <c r="A908" i="3"/>
  <c r="A909" i="3"/>
  <c r="A910" i="3"/>
  <c r="A912" i="3"/>
  <c r="A913" i="3"/>
  <c r="A914" i="3"/>
  <c r="A915" i="3"/>
  <c r="A916" i="3"/>
  <c r="A918" i="3"/>
  <c r="A919" i="3"/>
  <c r="A920" i="3"/>
  <c r="A921" i="3"/>
  <c r="A922" i="3"/>
  <c r="A923" i="3"/>
  <c r="A924" i="3"/>
  <c r="A925" i="3"/>
  <c r="A926" i="3"/>
  <c r="A928" i="3"/>
  <c r="A933" i="3"/>
  <c r="A934" i="3"/>
  <c r="A935" i="3"/>
  <c r="A936" i="3"/>
  <c r="A937" i="3"/>
  <c r="A938" i="3"/>
  <c r="A939" i="3"/>
  <c r="A940" i="3"/>
  <c r="A941" i="3"/>
  <c r="A942" i="3"/>
  <c r="A943" i="3"/>
  <c r="A944" i="3"/>
  <c r="A945" i="3"/>
  <c r="A947" i="3"/>
  <c r="A948" i="3"/>
  <c r="A949" i="3"/>
  <c r="A950" i="3"/>
  <c r="A951" i="3"/>
  <c r="A952" i="3"/>
  <c r="A953" i="3"/>
  <c r="A954" i="3"/>
  <c r="A955" i="3"/>
  <c r="A956" i="3"/>
  <c r="A957" i="3"/>
  <c r="A958" i="3"/>
  <c r="A959" i="3"/>
  <c r="A960" i="3"/>
  <c r="A962" i="3"/>
  <c r="A963" i="3"/>
  <c r="A964" i="3"/>
  <c r="A965" i="3"/>
  <c r="A966" i="3"/>
  <c r="A967" i="3"/>
  <c r="A968" i="3"/>
  <c r="A969" i="3"/>
  <c r="A970" i="3"/>
  <c r="A971" i="3"/>
  <c r="A973" i="3"/>
  <c r="A974"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4" i="3"/>
  <c r="A1016" i="3"/>
  <c r="I52" i="10"/>
  <c r="I51" i="10"/>
  <c r="I50" i="10"/>
  <c r="K48" i="10"/>
  <c r="K49" i="10" s="1"/>
  <c r="J48" i="10"/>
  <c r="J49" i="10" s="1"/>
  <c r="I46" i="10"/>
  <c r="I45" i="10"/>
  <c r="I47" i="10" s="1"/>
  <c r="I44" i="10"/>
  <c r="I43" i="10"/>
  <c r="I42" i="10"/>
  <c r="I41" i="10"/>
  <c r="I40" i="10"/>
  <c r="I39" i="10"/>
  <c r="I38" i="10"/>
  <c r="I37" i="10"/>
  <c r="K35" i="10"/>
  <c r="K54" i="10" s="1"/>
  <c r="I34" i="10"/>
  <c r="I33" i="10"/>
  <c r="I32" i="10"/>
  <c r="I36" i="10" s="1"/>
  <c r="K30" i="10"/>
  <c r="J30" i="10"/>
  <c r="J35" i="10" s="1"/>
  <c r="J54" i="10" s="1"/>
  <c r="I29" i="10"/>
  <c r="I28" i="10"/>
  <c r="I27" i="10"/>
  <c r="I26" i="10"/>
  <c r="I25" i="10"/>
  <c r="I24" i="10"/>
  <c r="I23" i="10"/>
  <c r="I22" i="10"/>
  <c r="I21" i="10"/>
  <c r="I30" i="10" s="1"/>
  <c r="I20" i="10"/>
  <c r="I18" i="10"/>
  <c r="I17" i="10"/>
  <c r="I16" i="10"/>
  <c r="I15" i="10"/>
  <c r="I14" i="10"/>
  <c r="I13" i="10"/>
  <c r="I12" i="10"/>
  <c r="I11" i="10"/>
  <c r="I19" i="10" s="1"/>
  <c r="I10" i="10"/>
  <c r="I9" i="10"/>
  <c r="I7" i="10"/>
  <c r="I6" i="10"/>
  <c r="I5" i="10"/>
  <c r="L144" i="7"/>
  <c r="K144" i="7"/>
  <c r="J144" i="7"/>
  <c r="I144" i="7"/>
  <c r="H144" i="7"/>
  <c r="G144" i="7"/>
  <c r="F144" i="7"/>
  <c r="E144" i="7"/>
  <c r="D144" i="7"/>
  <c r="L139" i="7"/>
  <c r="K139" i="7"/>
  <c r="J139" i="7"/>
  <c r="I139" i="7"/>
  <c r="H139" i="7"/>
  <c r="G139" i="7"/>
  <c r="F139" i="7"/>
  <c r="E139" i="7"/>
  <c r="D139" i="7"/>
  <c r="L134" i="7"/>
  <c r="K134" i="7"/>
  <c r="J134" i="7"/>
  <c r="I134" i="7"/>
  <c r="H134" i="7"/>
  <c r="G134" i="7"/>
  <c r="F134" i="7"/>
  <c r="E134" i="7"/>
  <c r="D134" i="7"/>
  <c r="L128" i="7"/>
  <c r="K128" i="7"/>
  <c r="J128" i="7"/>
  <c r="I128" i="7"/>
  <c r="H128" i="7"/>
  <c r="G128" i="7"/>
  <c r="F128" i="7"/>
  <c r="E128" i="7"/>
  <c r="D128" i="7"/>
  <c r="L114" i="7"/>
  <c r="K114" i="7"/>
  <c r="J114" i="7"/>
  <c r="I114" i="7"/>
  <c r="H114" i="7"/>
  <c r="G114" i="7"/>
  <c r="F114" i="7"/>
  <c r="E114" i="7"/>
  <c r="D114" i="7"/>
  <c r="L101" i="7"/>
  <c r="K101" i="7"/>
  <c r="J101" i="7"/>
  <c r="I101" i="7"/>
  <c r="H101" i="7"/>
  <c r="G101" i="7"/>
  <c r="F101" i="7"/>
  <c r="E101" i="7"/>
  <c r="D101" i="7"/>
  <c r="L92" i="7"/>
  <c r="K92" i="7"/>
  <c r="J92" i="7"/>
  <c r="I92" i="7"/>
  <c r="H92" i="7"/>
  <c r="G92" i="7"/>
  <c r="F92" i="7"/>
  <c r="E92" i="7"/>
  <c r="D92" i="7"/>
  <c r="L80" i="7"/>
  <c r="K80" i="7"/>
  <c r="J80" i="7"/>
  <c r="I80" i="7"/>
  <c r="H80" i="7"/>
  <c r="G80" i="7"/>
  <c r="F80" i="7"/>
  <c r="E80" i="7"/>
  <c r="D80" i="7"/>
  <c r="L71" i="7"/>
  <c r="K71" i="7"/>
  <c r="J71" i="7"/>
  <c r="I71" i="7"/>
  <c r="H71" i="7"/>
  <c r="G71" i="7"/>
  <c r="F71" i="7"/>
  <c r="E71" i="7"/>
  <c r="D71" i="7"/>
  <c r="L63" i="7"/>
  <c r="K63" i="7"/>
  <c r="J63" i="7"/>
  <c r="I63" i="7"/>
  <c r="H63" i="7"/>
  <c r="G63" i="7"/>
  <c r="F63" i="7"/>
  <c r="E63" i="7"/>
  <c r="D63" i="7"/>
  <c r="L53" i="7"/>
  <c r="K53" i="7"/>
  <c r="J53" i="7"/>
  <c r="I53" i="7"/>
  <c r="H53" i="7"/>
  <c r="G53" i="7"/>
  <c r="F53" i="7"/>
  <c r="E53" i="7"/>
  <c r="D53" i="7"/>
  <c r="L38" i="7"/>
  <c r="K38" i="7"/>
  <c r="J38" i="7"/>
  <c r="I38" i="7"/>
  <c r="H38" i="7"/>
  <c r="G38" i="7"/>
  <c r="F38" i="7"/>
  <c r="E38" i="7"/>
  <c r="D38" i="7"/>
  <c r="L29" i="7"/>
  <c r="K29" i="7"/>
  <c r="J29" i="7"/>
  <c r="I29" i="7"/>
  <c r="H29" i="7"/>
  <c r="G29" i="7"/>
  <c r="F29" i="7"/>
  <c r="E29" i="7"/>
  <c r="D29" i="7"/>
  <c r="L19" i="7"/>
  <c r="K19" i="7"/>
  <c r="J19" i="7"/>
  <c r="I19" i="7"/>
  <c r="H19" i="7"/>
  <c r="G19" i="7"/>
  <c r="F19" i="7"/>
  <c r="E19" i="7"/>
  <c r="D19" i="7"/>
  <c r="D3" i="4" a="1"/>
  <c r="D3" i="4" s="1"/>
  <c r="K2968" i="3"/>
  <c r="I2968" i="3"/>
  <c r="G2968" i="4" s="1"/>
  <c r="F2968" i="3"/>
  <c r="K2967" i="3"/>
  <c r="I2967" i="3"/>
  <c r="G2967" i="4" s="1"/>
  <c r="F2967" i="3"/>
  <c r="K2966" i="3"/>
  <c r="I2966" i="3"/>
  <c r="G2966" i="4" s="1"/>
  <c r="F2966" i="3"/>
  <c r="K2965" i="3"/>
  <c r="I2965" i="3"/>
  <c r="G2965" i="4" s="1"/>
  <c r="F2965" i="3"/>
  <c r="K2964" i="3"/>
  <c r="I2964" i="3"/>
  <c r="G2964" i="4" s="1"/>
  <c r="F2964" i="3"/>
  <c r="K2963" i="3"/>
  <c r="I2963" i="3"/>
  <c r="G2963" i="4" s="1"/>
  <c r="F2963" i="3"/>
  <c r="K2962" i="3"/>
  <c r="I2962" i="3"/>
  <c r="G2962" i="4" s="1"/>
  <c r="F2962" i="3"/>
  <c r="K2961" i="3"/>
  <c r="F2961" i="3"/>
  <c r="K2959" i="3"/>
  <c r="F2959" i="3"/>
  <c r="K2958" i="3"/>
  <c r="F2958" i="3"/>
  <c r="K2957" i="3"/>
  <c r="F2957" i="3"/>
  <c r="K2956" i="3"/>
  <c r="F2956" i="3"/>
  <c r="K2955" i="3"/>
  <c r="F2955" i="3"/>
  <c r="K2954" i="3"/>
  <c r="F2954" i="3"/>
  <c r="K2953" i="3"/>
  <c r="F2953" i="3"/>
  <c r="K2952" i="3"/>
  <c r="F2952" i="3"/>
  <c r="K2951" i="3"/>
  <c r="F2951" i="3"/>
  <c r="K2950" i="3"/>
  <c r="F2950" i="3"/>
  <c r="K2949" i="3"/>
  <c r="F2949" i="3"/>
  <c r="K2948" i="3"/>
  <c r="F2948" i="3"/>
  <c r="K2947" i="3"/>
  <c r="F2947" i="3"/>
  <c r="K2946" i="3"/>
  <c r="F2946" i="3"/>
  <c r="K2945" i="3"/>
  <c r="F2945" i="3"/>
  <c r="K2944" i="3"/>
  <c r="F2944" i="3"/>
  <c r="K2943" i="3"/>
  <c r="F2943" i="3"/>
  <c r="K2942" i="3"/>
  <c r="F2942" i="3"/>
  <c r="K2941" i="3"/>
  <c r="F2941" i="3"/>
  <c r="K2940" i="3"/>
  <c r="F2940" i="3"/>
  <c r="K2939" i="3"/>
  <c r="F2939" i="3"/>
  <c r="K2938" i="3"/>
  <c r="F2938" i="3"/>
  <c r="K2937" i="3"/>
  <c r="F2937" i="3"/>
  <c r="K2936" i="3"/>
  <c r="F2936" i="3"/>
  <c r="K2935" i="3"/>
  <c r="F2935" i="3"/>
  <c r="K2934" i="3"/>
  <c r="F2934" i="3"/>
  <c r="K2933" i="3"/>
  <c r="F2933" i="3"/>
  <c r="K2932" i="3"/>
  <c r="F2932" i="3"/>
  <c r="K2931" i="3"/>
  <c r="F2931" i="3"/>
  <c r="K2930" i="3"/>
  <c r="F2930" i="3"/>
  <c r="K2929" i="3"/>
  <c r="F2929" i="3"/>
  <c r="K2928" i="3"/>
  <c r="F2928" i="3"/>
  <c r="K2927" i="3"/>
  <c r="F2927" i="3"/>
  <c r="K2926" i="3"/>
  <c r="F2926" i="3"/>
  <c r="K2925" i="3"/>
  <c r="F2925" i="3"/>
  <c r="K2924" i="3"/>
  <c r="F2924" i="3"/>
  <c r="K2923" i="3"/>
  <c r="F2923" i="3"/>
  <c r="K2922" i="3"/>
  <c r="F2922" i="3"/>
  <c r="K2921" i="3"/>
  <c r="F2921" i="3"/>
  <c r="K2920" i="3"/>
  <c r="F2920" i="3"/>
  <c r="K2919" i="3"/>
  <c r="F2919" i="3"/>
  <c r="K2918" i="3"/>
  <c r="F2918" i="3"/>
  <c r="K2917" i="3"/>
  <c r="F2917" i="3"/>
  <c r="K2916" i="3"/>
  <c r="F2916" i="3"/>
  <c r="K2915" i="3"/>
  <c r="F2915" i="3"/>
  <c r="K2914" i="3"/>
  <c r="F2914" i="3"/>
  <c r="K2913" i="3"/>
  <c r="F2913" i="3"/>
  <c r="K2912" i="3"/>
  <c r="F2912" i="3"/>
  <c r="K2911" i="3"/>
  <c r="F2911" i="3"/>
  <c r="K2910" i="3"/>
  <c r="F2910" i="3"/>
  <c r="K2909" i="3"/>
  <c r="F2909" i="3"/>
  <c r="K2908" i="3"/>
  <c r="F2908" i="3"/>
  <c r="K2907" i="3"/>
  <c r="F2907" i="3"/>
  <c r="K2906" i="3"/>
  <c r="F2906" i="3"/>
  <c r="K2905" i="3"/>
  <c r="F2905" i="3"/>
  <c r="K2904" i="3"/>
  <c r="F2904" i="3"/>
  <c r="K2903" i="3"/>
  <c r="F2903" i="3"/>
  <c r="K2902" i="3"/>
  <c r="F2902" i="3"/>
  <c r="K2901" i="3"/>
  <c r="F2901" i="3"/>
  <c r="K2900" i="3"/>
  <c r="F2900" i="3"/>
  <c r="K2899" i="3"/>
  <c r="F2899" i="3"/>
  <c r="K2898" i="3"/>
  <c r="F2898" i="3"/>
  <c r="K2897" i="3"/>
  <c r="F2897" i="3"/>
  <c r="K2896" i="3"/>
  <c r="F2896" i="3"/>
  <c r="K2895" i="3"/>
  <c r="F2895" i="3"/>
  <c r="K2894" i="3"/>
  <c r="F2894" i="3"/>
  <c r="K2893" i="3"/>
  <c r="F2893" i="3"/>
  <c r="K2892" i="3"/>
  <c r="F2892" i="3"/>
  <c r="K2891" i="3"/>
  <c r="F2891" i="3"/>
  <c r="K2890" i="3"/>
  <c r="F2890" i="3"/>
  <c r="K2889" i="3"/>
  <c r="F2889" i="3"/>
  <c r="K2888" i="3"/>
  <c r="F2888" i="3"/>
  <c r="K2887" i="3"/>
  <c r="F2887" i="3"/>
  <c r="K2886" i="3"/>
  <c r="F2886" i="3"/>
  <c r="K2885" i="3"/>
  <c r="F2885" i="3"/>
  <c r="K2884" i="3"/>
  <c r="F2884" i="3"/>
  <c r="K2883" i="3"/>
  <c r="F2883" i="3"/>
  <c r="K2882" i="3"/>
  <c r="F2882" i="3"/>
  <c r="K2881" i="3"/>
  <c r="F2881" i="3"/>
  <c r="K2880" i="3"/>
  <c r="F2880" i="3"/>
  <c r="K2879" i="3"/>
  <c r="F2879" i="3"/>
  <c r="K2878" i="3"/>
  <c r="F2878" i="3"/>
  <c r="K2877" i="3"/>
  <c r="F2877" i="3"/>
  <c r="K2876" i="3"/>
  <c r="F2876" i="3"/>
  <c r="K2875" i="3"/>
  <c r="F2875" i="3"/>
  <c r="K2874" i="3"/>
  <c r="F2874" i="3"/>
  <c r="K2873" i="3"/>
  <c r="F2873" i="3"/>
  <c r="K2872" i="3"/>
  <c r="F2872" i="3"/>
  <c r="K2871" i="3"/>
  <c r="F2871" i="3"/>
  <c r="K2870" i="3"/>
  <c r="F2870" i="3"/>
  <c r="K2869" i="3"/>
  <c r="F2869" i="3"/>
  <c r="K2868" i="3"/>
  <c r="F2868" i="3"/>
  <c r="K2867" i="3"/>
  <c r="F2867" i="3"/>
  <c r="K2866" i="3"/>
  <c r="F2866" i="3"/>
  <c r="K2865" i="3"/>
  <c r="F2865" i="3"/>
  <c r="K2864" i="3"/>
  <c r="F2864" i="3"/>
  <c r="K2863" i="3"/>
  <c r="F2863" i="3"/>
  <c r="K2862" i="3"/>
  <c r="F2862" i="3"/>
  <c r="K2861" i="3"/>
  <c r="F2861" i="3"/>
  <c r="K2860" i="3"/>
  <c r="F2860" i="3"/>
  <c r="K2859" i="3"/>
  <c r="F2859" i="3"/>
  <c r="K2858" i="3"/>
  <c r="F2858" i="3"/>
  <c r="K2857" i="3"/>
  <c r="F2857" i="3"/>
  <c r="K2856" i="3"/>
  <c r="F2856" i="3"/>
  <c r="K2855" i="3"/>
  <c r="F2855" i="3"/>
  <c r="K2854" i="3"/>
  <c r="F2854" i="3"/>
  <c r="K2853" i="3"/>
  <c r="F2853" i="3"/>
  <c r="K2852" i="3"/>
  <c r="F2852" i="3"/>
  <c r="K2851" i="3"/>
  <c r="F2851" i="3"/>
  <c r="K2850" i="3"/>
  <c r="F2850" i="3"/>
  <c r="K2849" i="3"/>
  <c r="F2849" i="3"/>
  <c r="K2848" i="3"/>
  <c r="F2848" i="3"/>
  <c r="K2847" i="3"/>
  <c r="F2847" i="3"/>
  <c r="K2846" i="3"/>
  <c r="F2846" i="3"/>
  <c r="K2845" i="3"/>
  <c r="F2845" i="3"/>
  <c r="K2844" i="3"/>
  <c r="F2844" i="3"/>
  <c r="K2843" i="3"/>
  <c r="F2843" i="3"/>
  <c r="K2842" i="3"/>
  <c r="F2842" i="3"/>
  <c r="K2841" i="3"/>
  <c r="F2841" i="3"/>
  <c r="K2840" i="3"/>
  <c r="F2840" i="3"/>
  <c r="K2839" i="3"/>
  <c r="F2839" i="3"/>
  <c r="K2838" i="3"/>
  <c r="F2838" i="3"/>
  <c r="K2837" i="3"/>
  <c r="F2837" i="3"/>
  <c r="K2836" i="3"/>
  <c r="F2836" i="3"/>
  <c r="K2835" i="3"/>
  <c r="F2835" i="3"/>
  <c r="K2834" i="3"/>
  <c r="F2834" i="3"/>
  <c r="K2833" i="3"/>
  <c r="F2833" i="3"/>
  <c r="K2832" i="3"/>
  <c r="F2832" i="3"/>
  <c r="K2831" i="3"/>
  <c r="F2831" i="3"/>
  <c r="K2830" i="3"/>
  <c r="F2830" i="3"/>
  <c r="K2829" i="3"/>
  <c r="F2829" i="3"/>
  <c r="K2828" i="3"/>
  <c r="F2828" i="3"/>
  <c r="K2827" i="3"/>
  <c r="F2827" i="3"/>
  <c r="K2826" i="3"/>
  <c r="F2826" i="3"/>
  <c r="K2825" i="3"/>
  <c r="F2825" i="3"/>
  <c r="K2824" i="3"/>
  <c r="F2824" i="3"/>
  <c r="K2823" i="3"/>
  <c r="F2823" i="3"/>
  <c r="K2822" i="3"/>
  <c r="F2822" i="3"/>
  <c r="K2821" i="3"/>
  <c r="F2821" i="3"/>
  <c r="K2820" i="3"/>
  <c r="F2820" i="3"/>
  <c r="K2819" i="3"/>
  <c r="F2819" i="3"/>
  <c r="K2818" i="3"/>
  <c r="F2818" i="3"/>
  <c r="K2817" i="3"/>
  <c r="F2817" i="3"/>
  <c r="K2816" i="3"/>
  <c r="F2816" i="3"/>
  <c r="K2815" i="3"/>
  <c r="F2815" i="3"/>
  <c r="K2814" i="3"/>
  <c r="F2814" i="3"/>
  <c r="K2813" i="3"/>
  <c r="F2813" i="3"/>
  <c r="K2812" i="3"/>
  <c r="F2812" i="3"/>
  <c r="K2811" i="3"/>
  <c r="F2811" i="3"/>
  <c r="K2810" i="3"/>
  <c r="F2810" i="3"/>
  <c r="K2809" i="3"/>
  <c r="F2809" i="3"/>
  <c r="K2808" i="3"/>
  <c r="F2808" i="3"/>
  <c r="K2807" i="3"/>
  <c r="F2807" i="3"/>
  <c r="K2806" i="3"/>
  <c r="F2806" i="3"/>
  <c r="K2805" i="3"/>
  <c r="F2805" i="3"/>
  <c r="K2804" i="3"/>
  <c r="F2804" i="3"/>
  <c r="K2803" i="3"/>
  <c r="F2803" i="3"/>
  <c r="K2802" i="3"/>
  <c r="F2802" i="3"/>
  <c r="K2801" i="3"/>
  <c r="F2801" i="3"/>
  <c r="K2800" i="3"/>
  <c r="F2800" i="3"/>
  <c r="K2799" i="3"/>
  <c r="F2799" i="3"/>
  <c r="K2798" i="3"/>
  <c r="F2798" i="3"/>
  <c r="K2797" i="3"/>
  <c r="F2797" i="3"/>
  <c r="K2796" i="3"/>
  <c r="F2796" i="3"/>
  <c r="K2795" i="3"/>
  <c r="F2795" i="3"/>
  <c r="K2794" i="3"/>
  <c r="F2794" i="3"/>
  <c r="K2793" i="3"/>
  <c r="F2793" i="3"/>
  <c r="K2792" i="3"/>
  <c r="F2792" i="3"/>
  <c r="K2791" i="3"/>
  <c r="F2791" i="3"/>
  <c r="K2790" i="3"/>
  <c r="F2790" i="3"/>
  <c r="K2789" i="3"/>
  <c r="F2789" i="3"/>
  <c r="K2788" i="3"/>
  <c r="F2788" i="3"/>
  <c r="K2787" i="3"/>
  <c r="F2787" i="3"/>
  <c r="K2786" i="3"/>
  <c r="F2786" i="3"/>
  <c r="K2785" i="3"/>
  <c r="F2785" i="3"/>
  <c r="K2784" i="3"/>
  <c r="F2784" i="3"/>
  <c r="K2783" i="3"/>
  <c r="F2783" i="3"/>
  <c r="K2782" i="3"/>
  <c r="F2782" i="3"/>
  <c r="K2781" i="3"/>
  <c r="F2781" i="3"/>
  <c r="K2780" i="3"/>
  <c r="F2780" i="3"/>
  <c r="K2779" i="3"/>
  <c r="F2779" i="3"/>
  <c r="K2778" i="3"/>
  <c r="F2778" i="3"/>
  <c r="K2777" i="3"/>
  <c r="F2777" i="3"/>
  <c r="K2776" i="3"/>
  <c r="F2776" i="3"/>
  <c r="K2775" i="3"/>
  <c r="F2775" i="3"/>
  <c r="K2774" i="3"/>
  <c r="F2774" i="3"/>
  <c r="K2773" i="3"/>
  <c r="F2773" i="3"/>
  <c r="K2772" i="3"/>
  <c r="F2772" i="3"/>
  <c r="K2771" i="3"/>
  <c r="F2771" i="3"/>
  <c r="K2770" i="3"/>
  <c r="F2770" i="3"/>
  <c r="K2769" i="3"/>
  <c r="F2769" i="3"/>
  <c r="K2768" i="3"/>
  <c r="F2768" i="3"/>
  <c r="K2767" i="3"/>
  <c r="F2767" i="3"/>
  <c r="K2766" i="3"/>
  <c r="F2766" i="3"/>
  <c r="K2765" i="3"/>
  <c r="F2765" i="3"/>
  <c r="K2764" i="3"/>
  <c r="F2764" i="3"/>
  <c r="K2763" i="3"/>
  <c r="F2763" i="3"/>
  <c r="K2762" i="3"/>
  <c r="F2762" i="3"/>
  <c r="K2761" i="3"/>
  <c r="F2761" i="3"/>
  <c r="K2760" i="3"/>
  <c r="F2760" i="3"/>
  <c r="K2759" i="3"/>
  <c r="F2759" i="3"/>
  <c r="K2758" i="3"/>
  <c r="F2758" i="3"/>
  <c r="K2757" i="3"/>
  <c r="F2757" i="3"/>
  <c r="K2756" i="3"/>
  <c r="F2756" i="3"/>
  <c r="K2755" i="3"/>
  <c r="F2755" i="3"/>
  <c r="K2754" i="3"/>
  <c r="F2754" i="3"/>
  <c r="K2753" i="3"/>
  <c r="F2753" i="3"/>
  <c r="K2752" i="3"/>
  <c r="F2752" i="3"/>
  <c r="K2751" i="3"/>
  <c r="F2751" i="3"/>
  <c r="K2750" i="3"/>
  <c r="F2750" i="3"/>
  <c r="K2749" i="3"/>
  <c r="F2749" i="3"/>
  <c r="K2748" i="3"/>
  <c r="F2748" i="3"/>
  <c r="K2747" i="3"/>
  <c r="F2747" i="3"/>
  <c r="K2746" i="3"/>
  <c r="F2746" i="3"/>
  <c r="K2745" i="3"/>
  <c r="F2745" i="3"/>
  <c r="K2744" i="3"/>
  <c r="F2744" i="3"/>
  <c r="K2743" i="3"/>
  <c r="F2743" i="3"/>
  <c r="K2742" i="3"/>
  <c r="F2742" i="3"/>
  <c r="K2741" i="3"/>
  <c r="F2741" i="3"/>
  <c r="K2740" i="3"/>
  <c r="F2740" i="3"/>
  <c r="K2739" i="3"/>
  <c r="F2739" i="3"/>
  <c r="K2738" i="3"/>
  <c r="F2738" i="3"/>
  <c r="K2737" i="3"/>
  <c r="F2737" i="3"/>
  <c r="K2736" i="3"/>
  <c r="F2736" i="3"/>
  <c r="K2735" i="3"/>
  <c r="F2735" i="3"/>
  <c r="K2734" i="3"/>
  <c r="F2734" i="3"/>
  <c r="K2733" i="3"/>
  <c r="F2733" i="3"/>
  <c r="K2732" i="3"/>
  <c r="F2732" i="3"/>
  <c r="K2731" i="3"/>
  <c r="F2731" i="3"/>
  <c r="K2730" i="3"/>
  <c r="F2730" i="3"/>
  <c r="K2729" i="3"/>
  <c r="F2729" i="3"/>
  <c r="K2728" i="3"/>
  <c r="F2728" i="3"/>
  <c r="K2727" i="3"/>
  <c r="F2727" i="3"/>
  <c r="K2726" i="3"/>
  <c r="F2726" i="3"/>
  <c r="K2725" i="3"/>
  <c r="F2725" i="3"/>
  <c r="K2724" i="3"/>
  <c r="F2724" i="3"/>
  <c r="K2723" i="3"/>
  <c r="F2723" i="3"/>
  <c r="K2722" i="3"/>
  <c r="F2722" i="3"/>
  <c r="K2721" i="3"/>
  <c r="F2721" i="3"/>
  <c r="K2720" i="3"/>
  <c r="F2720" i="3"/>
  <c r="K2719" i="3"/>
  <c r="F2719" i="3"/>
  <c r="K2718" i="3"/>
  <c r="F2718" i="3"/>
  <c r="K2717" i="3"/>
  <c r="F2717" i="3"/>
  <c r="K2716" i="3"/>
  <c r="F2716" i="3"/>
  <c r="K2715" i="3"/>
  <c r="F2715" i="3"/>
  <c r="K2714" i="3"/>
  <c r="F2714" i="3"/>
  <c r="K2713" i="3"/>
  <c r="F2713" i="3"/>
  <c r="K2712" i="3"/>
  <c r="F2712" i="3"/>
  <c r="K2711" i="3"/>
  <c r="F2711" i="3"/>
  <c r="K2710" i="3"/>
  <c r="F2710" i="3"/>
  <c r="K2709" i="3"/>
  <c r="F2709" i="3"/>
  <c r="K2708" i="3"/>
  <c r="F2708" i="3"/>
  <c r="K2707" i="3"/>
  <c r="F2707" i="3"/>
  <c r="K2706" i="3"/>
  <c r="F2706" i="3"/>
  <c r="K2705" i="3"/>
  <c r="F2705" i="3"/>
  <c r="K2704" i="3"/>
  <c r="F2704" i="3"/>
  <c r="K2703" i="3"/>
  <c r="F2703" i="3"/>
  <c r="K2702" i="3"/>
  <c r="F2702" i="3"/>
  <c r="K2701" i="3"/>
  <c r="F2701" i="3"/>
  <c r="K2700" i="3"/>
  <c r="F2700" i="3"/>
  <c r="K2699" i="3"/>
  <c r="F2699" i="3"/>
  <c r="K2698" i="3"/>
  <c r="F2698" i="3"/>
  <c r="K2697" i="3"/>
  <c r="F2697" i="3"/>
  <c r="K2696" i="3"/>
  <c r="F2696" i="3"/>
  <c r="K2695" i="3"/>
  <c r="F2695" i="3"/>
  <c r="K2694" i="3"/>
  <c r="F2694" i="3"/>
  <c r="K2693" i="3"/>
  <c r="F2693" i="3"/>
  <c r="K2692" i="3"/>
  <c r="F2692" i="3"/>
  <c r="K2691" i="3"/>
  <c r="F2691" i="3"/>
  <c r="K2690" i="3"/>
  <c r="F2690" i="3"/>
  <c r="K2689" i="3"/>
  <c r="F2689" i="3"/>
  <c r="K2688" i="3"/>
  <c r="F2688" i="3"/>
  <c r="K2687" i="3"/>
  <c r="F2687" i="3"/>
  <c r="K2686" i="3"/>
  <c r="F2686" i="3"/>
  <c r="K2685" i="3"/>
  <c r="F2685" i="3"/>
  <c r="K2684" i="3"/>
  <c r="F2684" i="3"/>
  <c r="K2683" i="3"/>
  <c r="F2683" i="3"/>
  <c r="K2682" i="3"/>
  <c r="F2682" i="3"/>
  <c r="K2681" i="3"/>
  <c r="F2681" i="3"/>
  <c r="K2680" i="3"/>
  <c r="F2680" i="3"/>
  <c r="K2679" i="3"/>
  <c r="F2679" i="3"/>
  <c r="K2678" i="3"/>
  <c r="F2678" i="3"/>
  <c r="K2677" i="3"/>
  <c r="F2677" i="3"/>
  <c r="K2676" i="3"/>
  <c r="F2676" i="3"/>
  <c r="K2675" i="3"/>
  <c r="F2675" i="3"/>
  <c r="K2674" i="3"/>
  <c r="F2674" i="3"/>
  <c r="K2673" i="3"/>
  <c r="F2673" i="3"/>
  <c r="K2672" i="3"/>
  <c r="F2672" i="3"/>
  <c r="K2671" i="3"/>
  <c r="F2671" i="3"/>
  <c r="K2670" i="3"/>
  <c r="F2670" i="3"/>
  <c r="K2669" i="3"/>
  <c r="F2669" i="3"/>
  <c r="K2668" i="3"/>
  <c r="F2668" i="3"/>
  <c r="K2667" i="3"/>
  <c r="F2667" i="3"/>
  <c r="K2666" i="3"/>
  <c r="F2666" i="3"/>
  <c r="K2665" i="3"/>
  <c r="F2665" i="3"/>
  <c r="K2664" i="3"/>
  <c r="F2664" i="3"/>
  <c r="K2663" i="3"/>
  <c r="F2663" i="3"/>
  <c r="K2662" i="3"/>
  <c r="F2662" i="3"/>
  <c r="K2661" i="3"/>
  <c r="F2661" i="3"/>
  <c r="K2660" i="3"/>
  <c r="F2660" i="3"/>
  <c r="K2659" i="3"/>
  <c r="F2659" i="3"/>
  <c r="K2658" i="3"/>
  <c r="F2658" i="3"/>
  <c r="K2657" i="3"/>
  <c r="F2657" i="3"/>
  <c r="K2656" i="3"/>
  <c r="F2656" i="3"/>
  <c r="K2655" i="3"/>
  <c r="F2655" i="3"/>
  <c r="K2654" i="3"/>
  <c r="F2654" i="3"/>
  <c r="K2653" i="3"/>
  <c r="F2653" i="3"/>
  <c r="K2652" i="3"/>
  <c r="F2652" i="3"/>
  <c r="K2651" i="3"/>
  <c r="F2651" i="3"/>
  <c r="K2650" i="3"/>
  <c r="F2650" i="3"/>
  <c r="K2649" i="3"/>
  <c r="F2649" i="3"/>
  <c r="K2648" i="3"/>
  <c r="F2648" i="3"/>
  <c r="K2647" i="3"/>
  <c r="F2647" i="3"/>
  <c r="K2646" i="3"/>
  <c r="F2646" i="3"/>
  <c r="K2645" i="3"/>
  <c r="F2645" i="3"/>
  <c r="K2644" i="3"/>
  <c r="F2644" i="3"/>
  <c r="K2643" i="3"/>
  <c r="F2643" i="3"/>
  <c r="K2642" i="3"/>
  <c r="F2642" i="3"/>
  <c r="K2641" i="3"/>
  <c r="F2641" i="3"/>
  <c r="K2640" i="3"/>
  <c r="F2640" i="3"/>
  <c r="K2639" i="3"/>
  <c r="F2639" i="3"/>
  <c r="K2638" i="3"/>
  <c r="F2638" i="3"/>
  <c r="K2637" i="3"/>
  <c r="F2637" i="3"/>
  <c r="K2636" i="3"/>
  <c r="F2636" i="3"/>
  <c r="K2635" i="3"/>
  <c r="F2635" i="3"/>
  <c r="K2634" i="3"/>
  <c r="F2634" i="3"/>
  <c r="K2633" i="3"/>
  <c r="F2633" i="3"/>
  <c r="K2632" i="3"/>
  <c r="F2632" i="3"/>
  <c r="K2631" i="3"/>
  <c r="F2631" i="3"/>
  <c r="K2630" i="3"/>
  <c r="F2630" i="3"/>
  <c r="K2629" i="3"/>
  <c r="F2629" i="3"/>
  <c r="K2628" i="3"/>
  <c r="F2628" i="3"/>
  <c r="K2627" i="3"/>
  <c r="F2627" i="3"/>
  <c r="K2626" i="3"/>
  <c r="F2626" i="3"/>
  <c r="K2625" i="3"/>
  <c r="F2625" i="3"/>
  <c r="K2624" i="3"/>
  <c r="F2624" i="3"/>
  <c r="K2623" i="3"/>
  <c r="F2623" i="3"/>
  <c r="K2622" i="3"/>
  <c r="F2622" i="3"/>
  <c r="K2621" i="3"/>
  <c r="F2621" i="3"/>
  <c r="K2620" i="3"/>
  <c r="F2620" i="3"/>
  <c r="K2619" i="3"/>
  <c r="F2619" i="3"/>
  <c r="K2618" i="3"/>
  <c r="F2618" i="3"/>
  <c r="K2617" i="3"/>
  <c r="F2617" i="3"/>
  <c r="K2616" i="3"/>
  <c r="F2616" i="3"/>
  <c r="K2615" i="3"/>
  <c r="F2615" i="3"/>
  <c r="K2614" i="3"/>
  <c r="F2614" i="3"/>
  <c r="K2613" i="3"/>
  <c r="F2613" i="3"/>
  <c r="K2612" i="3"/>
  <c r="F2612" i="3"/>
  <c r="K2611" i="3"/>
  <c r="F2611" i="3"/>
  <c r="K2610" i="3"/>
  <c r="F2610" i="3"/>
  <c r="K2609" i="3"/>
  <c r="F2609" i="3"/>
  <c r="K2608" i="3"/>
  <c r="F2608" i="3"/>
  <c r="K2607" i="3"/>
  <c r="F2607" i="3"/>
  <c r="K2606" i="3"/>
  <c r="F2606" i="3"/>
  <c r="K2605" i="3"/>
  <c r="F2605" i="3"/>
  <c r="K2604" i="3"/>
  <c r="F2604" i="3"/>
  <c r="K2603" i="3"/>
  <c r="F2603" i="3"/>
  <c r="K2602" i="3"/>
  <c r="F2602" i="3"/>
  <c r="K2601" i="3"/>
  <c r="F2601" i="3"/>
  <c r="K2600" i="3"/>
  <c r="F2600" i="3"/>
  <c r="K2599" i="3"/>
  <c r="F2599" i="3"/>
  <c r="K2598" i="3"/>
  <c r="F2598" i="3"/>
  <c r="K2597" i="3"/>
  <c r="F2597" i="3"/>
  <c r="K2596" i="3"/>
  <c r="F2596" i="3"/>
  <c r="K2595" i="3"/>
  <c r="F2595" i="3"/>
  <c r="K2594" i="3"/>
  <c r="F2594" i="3"/>
  <c r="K2593" i="3"/>
  <c r="F2593" i="3"/>
  <c r="K2592" i="3"/>
  <c r="F2592" i="3"/>
  <c r="K2591" i="3"/>
  <c r="F2591" i="3"/>
  <c r="K2590" i="3"/>
  <c r="F2590" i="3"/>
  <c r="K2589" i="3"/>
  <c r="F2589" i="3"/>
  <c r="K2588" i="3"/>
  <c r="F2588" i="3"/>
  <c r="K2587" i="3"/>
  <c r="F2587" i="3"/>
  <c r="K2586" i="3"/>
  <c r="F2586" i="3"/>
  <c r="K2585" i="3"/>
  <c r="F2585" i="3"/>
  <c r="K2584" i="3"/>
  <c r="F2584" i="3"/>
  <c r="K2583" i="3"/>
  <c r="F2583" i="3"/>
  <c r="K2582" i="3"/>
  <c r="F2582" i="3"/>
  <c r="K2581" i="3"/>
  <c r="F2581" i="3"/>
  <c r="K2580" i="3"/>
  <c r="F2580" i="3"/>
  <c r="K2579" i="3"/>
  <c r="F2579" i="3"/>
  <c r="K2578" i="3"/>
  <c r="F2578" i="3"/>
  <c r="K2577" i="3"/>
  <c r="F2577" i="3"/>
  <c r="K2576" i="3"/>
  <c r="F2576" i="3"/>
  <c r="K2575" i="3"/>
  <c r="F2575" i="3"/>
  <c r="K2574" i="3"/>
  <c r="F2574" i="3"/>
  <c r="K2573" i="3"/>
  <c r="F2573" i="3"/>
  <c r="K2572" i="3"/>
  <c r="F2572" i="3"/>
  <c r="K2571" i="3"/>
  <c r="F2571" i="3"/>
  <c r="K2570" i="3"/>
  <c r="F2570" i="3"/>
  <c r="K2569" i="3"/>
  <c r="F2569" i="3"/>
  <c r="K2568" i="3"/>
  <c r="F2568" i="3"/>
  <c r="K2567" i="3"/>
  <c r="F2567" i="3"/>
  <c r="K2566" i="3"/>
  <c r="F2566" i="3"/>
  <c r="K2565" i="3"/>
  <c r="F2565" i="3"/>
  <c r="K2564" i="3"/>
  <c r="F2564" i="3"/>
  <c r="K2563" i="3"/>
  <c r="F2563" i="3"/>
  <c r="K2562" i="3"/>
  <c r="F2562" i="3"/>
  <c r="K2561" i="3"/>
  <c r="F2561" i="3"/>
  <c r="K2560" i="3"/>
  <c r="F2560" i="3"/>
  <c r="K2559" i="3"/>
  <c r="F2559" i="3"/>
  <c r="K2558" i="3"/>
  <c r="F2558" i="3"/>
  <c r="K2557" i="3"/>
  <c r="F2557" i="3"/>
  <c r="K2556" i="3"/>
  <c r="F2556" i="3"/>
  <c r="K2555" i="3"/>
  <c r="F2555" i="3"/>
  <c r="K2554" i="3"/>
  <c r="F2554" i="3"/>
  <c r="K2553" i="3"/>
  <c r="F2553" i="3"/>
  <c r="K2552" i="3"/>
  <c r="F2552" i="3"/>
  <c r="K2551" i="3"/>
  <c r="F2551" i="3"/>
  <c r="K2550" i="3"/>
  <c r="F2550" i="3"/>
  <c r="K2549" i="3"/>
  <c r="F2549" i="3"/>
  <c r="K2548" i="3"/>
  <c r="F2548" i="3"/>
  <c r="K2547" i="3"/>
  <c r="F2547" i="3"/>
  <c r="K2546" i="3"/>
  <c r="F2546" i="3"/>
  <c r="K2545" i="3"/>
  <c r="F2545" i="3"/>
  <c r="K2544" i="3"/>
  <c r="F2544" i="3"/>
  <c r="K2543" i="3"/>
  <c r="F2543" i="3"/>
  <c r="K2542" i="3"/>
  <c r="F2542" i="3"/>
  <c r="K2541" i="3"/>
  <c r="F2541" i="3"/>
  <c r="K2540" i="3"/>
  <c r="F2540" i="3"/>
  <c r="K2539" i="3"/>
  <c r="F2539" i="3"/>
  <c r="K2538" i="3"/>
  <c r="F2538" i="3"/>
  <c r="K2537" i="3"/>
  <c r="F2537" i="3"/>
  <c r="K2536" i="3"/>
  <c r="F2536" i="3"/>
  <c r="K2535" i="3"/>
  <c r="F2535" i="3"/>
  <c r="K2534" i="3"/>
  <c r="F2534" i="3"/>
  <c r="K2533" i="3"/>
  <c r="F2533" i="3"/>
  <c r="K2532" i="3"/>
  <c r="F2532" i="3"/>
  <c r="K2531" i="3"/>
  <c r="F2531" i="3"/>
  <c r="K2530" i="3"/>
  <c r="F2530" i="3"/>
  <c r="F2529" i="3"/>
  <c r="K2528" i="3"/>
  <c r="F2528" i="3"/>
  <c r="K2527" i="3"/>
  <c r="F2527" i="3"/>
  <c r="K2525" i="3"/>
  <c r="F2525" i="3"/>
  <c r="K2524" i="3"/>
  <c r="F2524" i="3"/>
  <c r="K2523" i="3"/>
  <c r="F2523" i="3"/>
  <c r="K2522" i="3"/>
  <c r="F2522" i="3"/>
  <c r="K2521" i="3"/>
  <c r="F2521" i="3"/>
  <c r="K2520" i="3"/>
  <c r="F2520" i="3"/>
  <c r="K2519" i="3"/>
  <c r="F2519" i="3"/>
  <c r="K2518" i="3"/>
  <c r="F2518" i="3"/>
  <c r="K2517" i="3"/>
  <c r="F2517" i="3"/>
  <c r="K2516" i="3"/>
  <c r="F2516" i="3"/>
  <c r="K2515" i="3"/>
  <c r="F2515" i="3"/>
  <c r="K2514" i="3"/>
  <c r="F2514" i="3"/>
  <c r="K2513" i="3"/>
  <c r="F2513" i="3"/>
  <c r="K2512" i="3"/>
  <c r="F2512" i="3"/>
  <c r="K2511" i="3"/>
  <c r="F2511" i="3"/>
  <c r="K2510" i="3"/>
  <c r="F2510" i="3"/>
  <c r="K2509" i="3"/>
  <c r="F2509" i="3"/>
  <c r="K2508" i="3"/>
  <c r="F2508" i="3"/>
  <c r="K2507" i="3"/>
  <c r="F2507" i="3"/>
  <c r="K2506" i="3"/>
  <c r="F2506" i="3"/>
  <c r="K2505" i="3"/>
  <c r="F2505" i="3"/>
  <c r="K2504" i="3"/>
  <c r="F2504" i="3"/>
  <c r="K2503" i="3"/>
  <c r="F2503" i="3"/>
  <c r="K2502" i="3"/>
  <c r="F2502" i="3"/>
  <c r="K2501" i="3"/>
  <c r="F2501" i="3"/>
  <c r="K2500" i="3"/>
  <c r="F2500" i="3"/>
  <c r="K2499" i="3"/>
  <c r="F2499" i="3"/>
  <c r="K2498" i="3"/>
  <c r="F2498" i="3"/>
  <c r="K2497" i="3"/>
  <c r="F2497" i="3"/>
  <c r="K2496" i="3"/>
  <c r="F2496" i="3"/>
  <c r="K2495" i="3"/>
  <c r="F2495" i="3"/>
  <c r="K2494" i="3"/>
  <c r="F2494" i="3"/>
  <c r="K2493" i="3"/>
  <c r="F2493" i="3"/>
  <c r="K2492" i="3"/>
  <c r="F2492" i="3"/>
  <c r="K2491" i="3"/>
  <c r="F2491" i="3"/>
  <c r="K2490" i="3"/>
  <c r="F2490" i="3"/>
  <c r="K2489" i="3"/>
  <c r="F2489" i="3"/>
  <c r="K2488" i="3"/>
  <c r="F2488" i="3"/>
  <c r="K2487" i="3"/>
  <c r="F2487" i="3"/>
  <c r="K2486" i="3"/>
  <c r="F2486" i="3"/>
  <c r="K2485" i="3"/>
  <c r="F2485" i="3"/>
  <c r="K2484" i="3"/>
  <c r="F2484" i="3"/>
  <c r="K2483" i="3"/>
  <c r="F2483" i="3"/>
  <c r="K2482" i="3"/>
  <c r="F2482" i="3"/>
  <c r="K2481" i="3"/>
  <c r="F2481" i="3"/>
  <c r="K2480" i="3"/>
  <c r="F2480" i="3"/>
  <c r="K2479" i="3"/>
  <c r="F2479" i="3"/>
  <c r="K2478" i="3"/>
  <c r="F2478" i="3"/>
  <c r="K2477" i="3"/>
  <c r="F2477" i="3"/>
  <c r="K2476" i="3"/>
  <c r="F2476" i="3"/>
  <c r="K2475" i="3"/>
  <c r="F2475" i="3"/>
  <c r="K2474" i="3"/>
  <c r="F2474" i="3"/>
  <c r="K2473" i="3"/>
  <c r="F2473" i="3"/>
  <c r="K2472" i="3"/>
  <c r="F2472" i="3"/>
  <c r="K2471" i="3"/>
  <c r="F2471" i="3"/>
  <c r="K2470" i="3"/>
  <c r="F2470" i="3"/>
  <c r="K2469" i="3"/>
  <c r="F2469" i="3"/>
  <c r="K2468" i="3"/>
  <c r="F2468" i="3"/>
  <c r="K2467" i="3"/>
  <c r="F2467" i="3"/>
  <c r="K2466" i="3"/>
  <c r="F2466" i="3"/>
  <c r="K2465" i="3"/>
  <c r="F2465" i="3"/>
  <c r="K2464" i="3"/>
  <c r="F2464" i="3"/>
  <c r="K2463" i="3"/>
  <c r="F2463" i="3"/>
  <c r="K2462" i="3"/>
  <c r="F2462" i="3"/>
  <c r="K2461" i="3"/>
  <c r="F2461" i="3"/>
  <c r="K2460" i="3"/>
  <c r="F2460" i="3"/>
  <c r="K2459" i="3"/>
  <c r="F2459" i="3"/>
  <c r="K2458" i="3"/>
  <c r="F2458" i="3"/>
  <c r="K2457" i="3"/>
  <c r="F2457" i="3"/>
  <c r="K2456" i="3"/>
  <c r="F2456" i="3"/>
  <c r="K2455" i="3"/>
  <c r="F2455" i="3"/>
  <c r="K2454" i="3"/>
  <c r="F2454" i="3"/>
  <c r="K2453" i="3"/>
  <c r="F2453" i="3"/>
  <c r="K2452" i="3"/>
  <c r="F2452" i="3"/>
  <c r="K2451" i="3"/>
  <c r="F2451" i="3"/>
  <c r="K2450" i="3"/>
  <c r="F2450" i="3"/>
  <c r="K2449" i="3"/>
  <c r="F2449" i="3"/>
  <c r="K2448" i="3"/>
  <c r="F2448" i="3"/>
  <c r="K2447" i="3"/>
  <c r="F2447" i="3"/>
  <c r="K2446" i="3"/>
  <c r="F2446" i="3"/>
  <c r="K2445" i="3"/>
  <c r="F2445" i="3"/>
  <c r="K2444" i="3"/>
  <c r="F2444" i="3"/>
  <c r="K2443" i="3"/>
  <c r="F2443" i="3"/>
  <c r="K2442" i="3"/>
  <c r="F2442" i="3"/>
  <c r="K2441" i="3"/>
  <c r="F2441" i="3"/>
  <c r="K2440" i="3"/>
  <c r="F2440" i="3"/>
  <c r="K2439" i="3"/>
  <c r="F2439" i="3"/>
  <c r="K2438" i="3"/>
  <c r="F2438" i="3"/>
  <c r="K2437" i="3"/>
  <c r="F2437" i="3"/>
  <c r="K2436" i="3"/>
  <c r="F2436" i="3"/>
  <c r="K2435" i="3"/>
  <c r="F2435" i="3"/>
  <c r="K2434" i="3"/>
  <c r="F2434" i="3"/>
  <c r="K2433" i="3"/>
  <c r="F2433" i="3"/>
  <c r="K2432" i="3"/>
  <c r="F2432" i="3"/>
  <c r="K2431" i="3"/>
  <c r="F2431" i="3"/>
  <c r="K2430" i="3"/>
  <c r="F2430" i="3"/>
  <c r="K2429" i="3"/>
  <c r="F2429" i="3"/>
  <c r="K2428" i="3"/>
  <c r="F2428" i="3"/>
  <c r="K2427" i="3"/>
  <c r="F2427" i="3"/>
  <c r="K2426" i="3"/>
  <c r="F2426" i="3"/>
  <c r="K2425" i="3"/>
  <c r="F2425" i="3"/>
  <c r="K2424" i="3"/>
  <c r="F2424" i="3"/>
  <c r="K2423" i="3"/>
  <c r="F2423" i="3"/>
  <c r="K2422" i="3"/>
  <c r="F2422" i="3"/>
  <c r="K2421" i="3"/>
  <c r="F2421" i="3"/>
  <c r="K2420" i="3"/>
  <c r="F2420" i="3"/>
  <c r="K2419" i="3"/>
  <c r="F2419" i="3"/>
  <c r="K2418" i="3"/>
  <c r="F2418" i="3"/>
  <c r="K2417" i="3"/>
  <c r="F2417" i="3"/>
  <c r="K2416" i="3"/>
  <c r="F2416" i="3"/>
  <c r="K2415" i="3"/>
  <c r="F2415" i="3"/>
  <c r="K2414" i="3"/>
  <c r="F2414" i="3"/>
  <c r="K2413" i="3"/>
  <c r="F2413" i="3"/>
  <c r="K2412" i="3"/>
  <c r="F2412" i="3"/>
  <c r="K2411" i="3"/>
  <c r="F2411" i="3"/>
  <c r="K2410" i="3"/>
  <c r="F2410" i="3"/>
  <c r="K2409" i="3"/>
  <c r="F2409" i="3"/>
  <c r="K2408" i="3"/>
  <c r="F2408" i="3"/>
  <c r="K2407" i="3"/>
  <c r="F2407" i="3"/>
  <c r="K2406" i="3"/>
  <c r="F2406" i="3"/>
  <c r="K2405" i="3"/>
  <c r="F2405" i="3"/>
  <c r="K2404" i="3"/>
  <c r="F2404" i="3"/>
  <c r="K2403" i="3"/>
  <c r="F2403" i="3"/>
  <c r="K2402" i="3"/>
  <c r="F2402" i="3"/>
  <c r="K2401" i="3"/>
  <c r="F2401" i="3"/>
  <c r="K2400" i="3"/>
  <c r="F2400" i="3"/>
  <c r="K2399" i="3"/>
  <c r="F2399" i="3"/>
  <c r="K2398" i="3"/>
  <c r="F2398" i="3"/>
  <c r="K2397" i="3"/>
  <c r="F2397" i="3"/>
  <c r="K2396" i="3"/>
  <c r="F2396" i="3"/>
  <c r="K2395" i="3"/>
  <c r="F2395" i="3"/>
  <c r="K2394" i="3"/>
  <c r="F2394" i="3"/>
  <c r="K2393" i="3"/>
  <c r="F2393" i="3"/>
  <c r="K2392" i="3"/>
  <c r="F2392" i="3"/>
  <c r="K2391" i="3"/>
  <c r="F2391" i="3"/>
  <c r="K2390" i="3"/>
  <c r="F2390" i="3"/>
  <c r="K2389" i="3"/>
  <c r="F2389" i="3"/>
  <c r="K2388" i="3"/>
  <c r="F2388" i="3"/>
  <c r="K2387" i="3"/>
  <c r="F2387" i="3"/>
  <c r="K2386" i="3"/>
  <c r="F2386" i="3"/>
  <c r="K2385" i="3"/>
  <c r="F2385" i="3"/>
  <c r="K2384" i="3"/>
  <c r="F2384" i="3"/>
  <c r="K2383" i="3"/>
  <c r="F2383" i="3"/>
  <c r="K2382" i="3"/>
  <c r="F2382" i="3"/>
  <c r="K2381" i="3"/>
  <c r="F2381" i="3"/>
  <c r="K2380" i="3"/>
  <c r="F2380" i="3"/>
  <c r="K2379" i="3"/>
  <c r="F2379" i="3"/>
  <c r="K2378" i="3"/>
  <c r="F2378" i="3"/>
  <c r="K2377" i="3"/>
  <c r="F2377" i="3"/>
  <c r="K2376" i="3"/>
  <c r="F2376" i="3"/>
  <c r="K2375" i="3"/>
  <c r="F2375" i="3"/>
  <c r="K2374" i="3"/>
  <c r="F2374" i="3"/>
  <c r="K2373" i="3"/>
  <c r="F2373" i="3"/>
  <c r="K2372" i="3"/>
  <c r="F2372" i="3"/>
  <c r="K2371" i="3"/>
  <c r="F2371" i="3"/>
  <c r="K2370" i="3"/>
  <c r="F2370" i="3"/>
  <c r="K2369" i="3"/>
  <c r="F2369" i="3"/>
  <c r="K2368" i="3"/>
  <c r="F2368" i="3"/>
  <c r="K2367" i="3"/>
  <c r="F2367" i="3"/>
  <c r="K2366" i="3"/>
  <c r="F2366" i="3"/>
  <c r="K2365" i="3"/>
  <c r="F2365" i="3"/>
  <c r="K2364" i="3"/>
  <c r="F2364" i="3"/>
  <c r="K2363" i="3"/>
  <c r="F2363" i="3"/>
  <c r="K2362" i="3"/>
  <c r="F2362" i="3"/>
  <c r="K2361" i="3"/>
  <c r="F2361" i="3"/>
  <c r="K2360" i="3"/>
  <c r="F2360" i="3"/>
  <c r="K2359" i="3"/>
  <c r="F2359" i="3"/>
  <c r="K2358" i="3"/>
  <c r="F2358" i="3"/>
  <c r="K2357" i="3"/>
  <c r="F2357" i="3"/>
  <c r="K2356" i="3"/>
  <c r="F2356" i="3"/>
  <c r="K2355" i="3"/>
  <c r="F2355" i="3"/>
  <c r="K2354" i="3"/>
  <c r="F2354" i="3"/>
  <c r="K2353" i="3"/>
  <c r="F2353" i="3"/>
  <c r="K2352" i="3"/>
  <c r="F2352" i="3"/>
  <c r="K2351" i="3"/>
  <c r="F2351" i="3"/>
  <c r="K2350" i="3"/>
  <c r="F2350" i="3"/>
  <c r="K2349" i="3"/>
  <c r="F2349" i="3"/>
  <c r="K2348" i="3"/>
  <c r="F2348" i="3"/>
  <c r="K2347" i="3"/>
  <c r="F2347" i="3"/>
  <c r="K2346" i="3"/>
  <c r="F2346" i="3"/>
  <c r="K2345" i="3"/>
  <c r="F2345" i="3"/>
  <c r="K2344" i="3"/>
  <c r="F2344" i="3"/>
  <c r="K2343" i="3"/>
  <c r="F2343" i="3"/>
  <c r="K2342" i="3"/>
  <c r="F2342" i="3"/>
  <c r="K2341" i="3"/>
  <c r="F2341" i="3"/>
  <c r="K2340" i="3"/>
  <c r="F2340" i="3"/>
  <c r="K2339" i="3"/>
  <c r="F2339" i="3"/>
  <c r="K2338" i="3"/>
  <c r="F2338" i="3"/>
  <c r="K2337" i="3"/>
  <c r="F2337" i="3"/>
  <c r="K2336" i="3"/>
  <c r="F2336" i="3"/>
  <c r="K2335" i="3"/>
  <c r="F2335" i="3"/>
  <c r="K2334" i="3"/>
  <c r="F2334" i="3"/>
  <c r="K2333" i="3"/>
  <c r="F2333" i="3"/>
  <c r="K2332" i="3"/>
  <c r="F2332" i="3"/>
  <c r="K2331" i="3"/>
  <c r="F2331" i="3"/>
  <c r="K2330" i="3"/>
  <c r="F2330" i="3"/>
  <c r="K2329" i="3"/>
  <c r="F2329" i="3"/>
  <c r="K2328" i="3"/>
  <c r="F2328" i="3"/>
  <c r="K2327" i="3"/>
  <c r="F2327" i="3"/>
  <c r="K2326" i="3"/>
  <c r="F2326" i="3"/>
  <c r="K2325" i="3"/>
  <c r="F2325" i="3"/>
  <c r="K2324" i="3"/>
  <c r="F2324" i="3"/>
  <c r="K2323" i="3"/>
  <c r="F2323" i="3"/>
  <c r="K2322" i="3"/>
  <c r="F2322" i="3"/>
  <c r="K2321" i="3"/>
  <c r="F2321" i="3"/>
  <c r="K2320" i="3"/>
  <c r="F2320" i="3"/>
  <c r="K2319" i="3"/>
  <c r="F2319" i="3"/>
  <c r="K2318" i="3"/>
  <c r="F2318" i="3"/>
  <c r="K2317" i="3"/>
  <c r="F2317" i="3"/>
  <c r="K2316" i="3"/>
  <c r="F2316" i="3"/>
  <c r="K2315" i="3"/>
  <c r="F2315" i="3"/>
  <c r="K2314" i="3"/>
  <c r="F2314" i="3"/>
  <c r="K2313" i="3"/>
  <c r="F2313" i="3"/>
  <c r="K2312" i="3"/>
  <c r="F2312" i="3"/>
  <c r="K2311" i="3"/>
  <c r="F2311" i="3"/>
  <c r="K2310" i="3"/>
  <c r="F2310" i="3"/>
  <c r="K2309" i="3"/>
  <c r="F2309" i="3"/>
  <c r="K2308" i="3"/>
  <c r="F2308" i="3"/>
  <c r="K2307" i="3"/>
  <c r="F2307" i="3"/>
  <c r="K2306" i="3"/>
  <c r="F2306" i="3"/>
  <c r="K2305" i="3"/>
  <c r="F2305" i="3"/>
  <c r="K2304" i="3"/>
  <c r="F2304" i="3"/>
  <c r="K2303" i="3"/>
  <c r="F2303" i="3"/>
  <c r="K2302" i="3"/>
  <c r="F2302" i="3"/>
  <c r="K2301" i="3"/>
  <c r="F2301" i="3"/>
  <c r="K2300" i="3"/>
  <c r="F2300" i="3"/>
  <c r="K2299" i="3"/>
  <c r="F2299" i="3"/>
  <c r="K2298" i="3"/>
  <c r="F2298" i="3"/>
  <c r="K2297" i="3"/>
  <c r="F2297" i="3"/>
  <c r="K2296" i="3"/>
  <c r="F2296" i="3"/>
  <c r="K2295" i="3"/>
  <c r="F2295" i="3"/>
  <c r="K2294" i="3"/>
  <c r="F2294" i="3"/>
  <c r="K2293" i="3"/>
  <c r="F2293" i="3"/>
  <c r="K2292" i="3"/>
  <c r="F2292" i="3"/>
  <c r="K2291" i="3"/>
  <c r="F2291" i="3"/>
  <c r="K2290" i="3"/>
  <c r="F2290" i="3"/>
  <c r="K2289" i="3"/>
  <c r="F2289" i="3"/>
  <c r="K2288" i="3"/>
  <c r="F2288" i="3"/>
  <c r="K2287" i="3"/>
  <c r="F2287" i="3"/>
  <c r="K2286" i="3"/>
  <c r="F2286" i="3"/>
  <c r="K2285" i="3"/>
  <c r="F2285" i="3"/>
  <c r="K2284" i="3"/>
  <c r="F2284" i="3"/>
  <c r="K2283" i="3"/>
  <c r="F2283" i="3"/>
  <c r="K2282" i="3"/>
  <c r="F2282" i="3"/>
  <c r="K2281" i="3"/>
  <c r="F2281" i="3"/>
  <c r="K2280" i="3"/>
  <c r="F2280" i="3"/>
  <c r="K2279" i="3"/>
  <c r="F2279" i="3"/>
  <c r="K2278" i="3"/>
  <c r="F2278" i="3"/>
  <c r="K2277" i="3"/>
  <c r="F2277" i="3"/>
  <c r="K2276" i="3"/>
  <c r="F2276" i="3"/>
  <c r="K2275" i="3"/>
  <c r="F2275" i="3"/>
  <c r="K2274" i="3"/>
  <c r="F2274" i="3"/>
  <c r="K2273" i="3"/>
  <c r="F2273" i="3"/>
  <c r="K2272" i="3"/>
  <c r="F2272" i="3"/>
  <c r="K2271" i="3"/>
  <c r="F2271" i="3"/>
  <c r="K2270" i="3"/>
  <c r="F2270" i="3"/>
  <c r="K2269" i="3"/>
  <c r="F2269" i="3"/>
  <c r="K2268" i="3"/>
  <c r="F2268" i="3"/>
  <c r="K2267" i="3"/>
  <c r="F2267" i="3"/>
  <c r="K2266" i="3"/>
  <c r="F2266" i="3"/>
  <c r="K2265" i="3"/>
  <c r="F2265" i="3"/>
  <c r="K2264" i="3"/>
  <c r="F2264" i="3"/>
  <c r="K2263" i="3"/>
  <c r="F2263" i="3"/>
  <c r="K2262" i="3"/>
  <c r="F2262" i="3"/>
  <c r="K2261" i="3"/>
  <c r="F2261" i="3"/>
  <c r="K2260" i="3"/>
  <c r="F2260" i="3"/>
  <c r="K2259" i="3"/>
  <c r="F2259" i="3"/>
  <c r="K2258" i="3"/>
  <c r="F2258" i="3"/>
  <c r="K2257" i="3"/>
  <c r="F2257" i="3"/>
  <c r="K2256" i="3"/>
  <c r="F2256" i="3"/>
  <c r="K2255" i="3"/>
  <c r="F2255" i="3"/>
  <c r="K2254" i="3"/>
  <c r="F2254" i="3"/>
  <c r="K2253" i="3"/>
  <c r="F2253" i="3"/>
  <c r="K2252" i="3"/>
  <c r="F2252" i="3"/>
  <c r="K2251" i="3"/>
  <c r="F2251" i="3"/>
  <c r="K2250" i="3"/>
  <c r="F2250" i="3"/>
  <c r="K2249" i="3"/>
  <c r="F2249" i="3"/>
  <c r="K2248" i="3"/>
  <c r="F2248" i="3"/>
  <c r="K2247" i="3"/>
  <c r="F2247" i="3"/>
  <c r="K2246" i="3"/>
  <c r="F2246" i="3"/>
  <c r="K2245" i="3"/>
  <c r="F2245" i="3"/>
  <c r="K2244" i="3"/>
  <c r="F2244" i="3"/>
  <c r="K2243" i="3"/>
  <c r="F2243" i="3"/>
  <c r="K2242" i="3"/>
  <c r="F2242" i="3"/>
  <c r="K2241" i="3"/>
  <c r="F2241" i="3"/>
  <c r="K2240" i="3"/>
  <c r="F2240" i="3"/>
  <c r="K2239" i="3"/>
  <c r="F2239" i="3"/>
  <c r="K2238" i="3"/>
  <c r="F2238" i="3"/>
  <c r="K2237" i="3"/>
  <c r="F2237" i="3"/>
  <c r="K2236" i="3"/>
  <c r="F2236" i="3"/>
  <c r="K2235" i="3"/>
  <c r="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3" i="3"/>
  <c r="F2223" i="3"/>
  <c r="K2222" i="3"/>
  <c r="F2222" i="3"/>
  <c r="K2221" i="3"/>
  <c r="F2221" i="3"/>
  <c r="K2220" i="3"/>
  <c r="F2220" i="3"/>
  <c r="K2219" i="3"/>
  <c r="F2219" i="3"/>
  <c r="K2218" i="3"/>
  <c r="F2218" i="3"/>
  <c r="K2217" i="3"/>
  <c r="F2217" i="3"/>
  <c r="K2216" i="3"/>
  <c r="F2216" i="3"/>
  <c r="K2215" i="3"/>
  <c r="F2215" i="3"/>
  <c r="K2214" i="3"/>
  <c r="F2214" i="3"/>
  <c r="K2213" i="3"/>
  <c r="F2213" i="3"/>
  <c r="K2212" i="3"/>
  <c r="F2212" i="3"/>
  <c r="K2211" i="3"/>
  <c r="F2211" i="3"/>
  <c r="K2210" i="3"/>
  <c r="F2210" i="3"/>
  <c r="K2209" i="3"/>
  <c r="F2209" i="3"/>
  <c r="K2208" i="3"/>
  <c r="F2208" i="3"/>
  <c r="K2207" i="3"/>
  <c r="F2207" i="3"/>
  <c r="K2206" i="3"/>
  <c r="F2206" i="3"/>
  <c r="F2205" i="3"/>
  <c r="K2204" i="3"/>
  <c r="F2204" i="3"/>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7"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8"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8" i="3"/>
  <c r="F2077" i="3"/>
  <c r="F2076" i="3"/>
  <c r="F2075" i="3"/>
  <c r="F2074" i="3"/>
  <c r="F2073" i="3"/>
  <c r="F2072" i="3"/>
  <c r="F2071" i="3"/>
  <c r="F2070"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8"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9" i="3"/>
  <c r="F1998" i="3"/>
  <c r="F1997" i="3"/>
  <c r="F1996" i="3"/>
  <c r="F1995" i="3"/>
  <c r="F1994" i="3"/>
  <c r="F1993" i="3"/>
  <c r="F1992" i="3"/>
  <c r="F1991" i="3"/>
  <c r="F1990" i="3"/>
  <c r="F1989" i="3"/>
  <c r="F1988" i="3"/>
  <c r="F1987" i="3"/>
  <c r="F1986" i="3"/>
  <c r="F1985" i="3"/>
  <c r="F1984" i="3"/>
  <c r="F1983" i="3"/>
  <c r="F1982" i="3"/>
  <c r="F1981" i="3"/>
  <c r="F1980" i="3"/>
  <c r="F1979" i="3"/>
  <c r="F1978" i="3"/>
  <c r="F1977" i="3"/>
  <c r="F1976" i="3"/>
  <c r="F1975" i="3"/>
  <c r="F1974" i="3"/>
  <c r="F1973" i="3"/>
  <c r="F1972" i="3"/>
  <c r="F1971" i="3"/>
  <c r="F1970" i="3"/>
  <c r="F1969" i="3"/>
  <c r="F1968" i="3"/>
  <c r="F1967" i="3"/>
  <c r="F1966" i="3"/>
  <c r="F1965" i="3"/>
  <c r="F1964" i="3"/>
  <c r="F1963" i="3"/>
  <c r="F1962" i="3"/>
  <c r="F1961" i="3"/>
  <c r="F1960" i="3"/>
  <c r="F1959" i="3"/>
  <c r="F1958" i="3"/>
  <c r="F1957" i="3"/>
  <c r="F1956" i="3"/>
  <c r="F1955" i="3"/>
  <c r="F1954" i="3"/>
  <c r="F1953" i="3"/>
  <c r="F1952" i="3"/>
  <c r="F1951" i="3"/>
  <c r="F1950" i="3"/>
  <c r="F1949" i="3"/>
  <c r="F1948" i="3"/>
  <c r="F1947" i="3"/>
  <c r="F1946" i="3"/>
  <c r="F1945" i="3"/>
  <c r="F1944" i="3"/>
  <c r="F1943" i="3"/>
  <c r="F1942" i="3"/>
  <c r="F1941" i="3"/>
  <c r="F1940" i="3"/>
  <c r="F1939" i="3"/>
  <c r="F1938" i="3"/>
  <c r="F1937" i="3"/>
  <c r="F1936" i="3"/>
  <c r="F1935" i="3"/>
  <c r="F1934" i="3"/>
  <c r="F1933" i="3"/>
  <c r="F1932" i="3"/>
  <c r="F1931" i="3"/>
  <c r="F1930" i="3"/>
  <c r="F1929" i="3"/>
  <c r="F1928" i="3"/>
  <c r="F1927" i="3"/>
  <c r="F1926" i="3"/>
  <c r="F1925" i="3"/>
  <c r="F1924" i="3"/>
  <c r="F1923" i="3"/>
  <c r="F1922" i="3"/>
  <c r="F1921" i="3"/>
  <c r="F1920" i="3"/>
  <c r="F1919" i="3"/>
  <c r="F1918" i="3"/>
  <c r="F1917" i="3"/>
  <c r="F1916" i="3"/>
  <c r="F1915" i="3"/>
  <c r="F1914" i="3"/>
  <c r="F1913" i="3"/>
  <c r="F1912" i="3"/>
  <c r="F1911" i="3"/>
  <c r="F1910" i="3"/>
  <c r="F1909" i="3"/>
  <c r="F1908" i="3"/>
  <c r="F1907" i="3"/>
  <c r="F1906" i="3"/>
  <c r="F1905" i="3"/>
  <c r="F1904" i="3"/>
  <c r="F1903" i="3"/>
  <c r="F1902" i="3"/>
  <c r="F1901" i="3"/>
  <c r="F1900" i="3"/>
  <c r="F1899" i="3"/>
  <c r="F1898" i="3"/>
  <c r="F1897" i="3"/>
  <c r="F1896" i="3"/>
  <c r="F1895" i="3"/>
  <c r="F1894" i="3"/>
  <c r="F1893" i="3"/>
  <c r="F1892" i="3"/>
  <c r="F1891" i="3"/>
  <c r="F1890" i="3"/>
  <c r="F1889" i="3"/>
  <c r="F1888" i="3"/>
  <c r="F1887" i="3"/>
  <c r="F1886" i="3"/>
  <c r="F1885" i="3"/>
  <c r="F1884" i="3"/>
  <c r="F1883" i="3"/>
  <c r="F1882" i="3"/>
  <c r="F1881" i="3"/>
  <c r="F1880" i="3"/>
  <c r="F1879" i="3"/>
  <c r="F1878" i="3"/>
  <c r="F1877" i="3"/>
  <c r="F1876" i="3"/>
  <c r="F1875" i="3"/>
  <c r="F1874" i="3"/>
  <c r="F1873" i="3"/>
  <c r="F1872" i="3"/>
  <c r="F1871" i="3"/>
  <c r="F1870" i="3"/>
  <c r="F1869" i="3"/>
  <c r="F1868" i="3"/>
  <c r="F1867" i="3"/>
  <c r="F1866" i="3"/>
  <c r="F1865" i="3"/>
  <c r="F1864" i="3"/>
  <c r="F1863" i="3"/>
  <c r="F1862" i="3"/>
  <c r="F1861" i="3"/>
  <c r="F1860" i="3"/>
  <c r="F1859" i="3"/>
  <c r="F1858" i="3"/>
  <c r="F1857" i="3"/>
  <c r="F1856" i="3"/>
  <c r="F1855" i="3"/>
  <c r="F1854" i="3"/>
  <c r="F1853" i="3"/>
  <c r="F1852" i="3"/>
  <c r="F1851" i="3"/>
  <c r="F1850" i="3"/>
  <c r="F1849" i="3"/>
  <c r="F1848" i="3"/>
  <c r="F1847"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7" i="3"/>
  <c r="F1816" i="3"/>
  <c r="F1815" i="3"/>
  <c r="F1814" i="3"/>
  <c r="F1813" i="3"/>
  <c r="F1812" i="3"/>
  <c r="F1811" i="3"/>
  <c r="F1810" i="3"/>
  <c r="F1809" i="3"/>
  <c r="F1808" i="3"/>
  <c r="F1807" i="3"/>
  <c r="F1806" i="3"/>
  <c r="F1805" i="3"/>
  <c r="F1804" i="3"/>
  <c r="F1803" i="3"/>
  <c r="F1802" i="3"/>
  <c r="F1801" i="3"/>
  <c r="F1800" i="3"/>
  <c r="F1798" i="3"/>
  <c r="F1797" i="3"/>
  <c r="F1796" i="3"/>
  <c r="F1795" i="3"/>
  <c r="F1794" i="3"/>
  <c r="F1793" i="3"/>
  <c r="F1792" i="3"/>
  <c r="F1791" i="3"/>
  <c r="F1790" i="3"/>
  <c r="F1789" i="3"/>
  <c r="F1788" i="3"/>
  <c r="F1787" i="3"/>
  <c r="F1786" i="3"/>
  <c r="F1785" i="3"/>
  <c r="F1784" i="3"/>
  <c r="F1783" i="3"/>
  <c r="F1782" i="3"/>
  <c r="F1781" i="3"/>
  <c r="F1780" i="3"/>
  <c r="F1779" i="3"/>
  <c r="F1778" i="3"/>
  <c r="F1777" i="3"/>
  <c r="F1776" i="3"/>
  <c r="F1775" i="3"/>
  <c r="F1774" i="3"/>
  <c r="F1773" i="3"/>
  <c r="F1772" i="3"/>
  <c r="F1771" i="3"/>
  <c r="F1770" i="3"/>
  <c r="F1769" i="3"/>
  <c r="F1768" i="3"/>
  <c r="F1767" i="3"/>
  <c r="F1766" i="3"/>
  <c r="F1765" i="3"/>
  <c r="F1764" i="3"/>
  <c r="F1763" i="3"/>
  <c r="F1762" i="3"/>
  <c r="F1761"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1" i="3"/>
  <c r="F1730" i="3"/>
  <c r="F1729" i="3"/>
  <c r="F1728" i="3"/>
  <c r="F1727" i="3"/>
  <c r="F1726" i="3"/>
  <c r="F1725" i="3"/>
  <c r="F1724" i="3"/>
  <c r="F1723" i="3"/>
  <c r="F1722" i="3"/>
  <c r="F1721" i="3"/>
  <c r="F1720" i="3"/>
  <c r="F1719" i="3"/>
  <c r="F1718" i="3"/>
  <c r="F1717" i="3"/>
  <c r="F1716" i="3"/>
  <c r="F1715" i="3"/>
  <c r="F1714" i="3"/>
  <c r="F1713" i="3"/>
  <c r="F1712" i="3"/>
  <c r="F1711"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1" i="3"/>
  <c r="F1680" i="3"/>
  <c r="F1679" i="3"/>
  <c r="F1678" i="3"/>
  <c r="F1677" i="3"/>
  <c r="F1676" i="3"/>
  <c r="F1675" i="3"/>
  <c r="F1674" i="3"/>
  <c r="F1673" i="3"/>
  <c r="F1672" i="3"/>
  <c r="F1671" i="3"/>
  <c r="F1670" i="3"/>
  <c r="F1669" i="3"/>
  <c r="F1668" i="3"/>
  <c r="F1667" i="3"/>
  <c r="F1666" i="3"/>
  <c r="F1665" i="3"/>
  <c r="F1664" i="3"/>
  <c r="F1663" i="3"/>
  <c r="F1662" i="3"/>
  <c r="F1661" i="3"/>
  <c r="F1660" i="3"/>
  <c r="F1659" i="3"/>
  <c r="F1658" i="3"/>
  <c r="F1657" i="3"/>
  <c r="F1656" i="3"/>
  <c r="F1655" i="3"/>
  <c r="F1654" i="3"/>
  <c r="F1653" i="3"/>
  <c r="F1652" i="3"/>
  <c r="F1651" i="3"/>
  <c r="F1650" i="3"/>
  <c r="F1649" i="3"/>
  <c r="F1648" i="3"/>
  <c r="F1647" i="3"/>
  <c r="F1646" i="3"/>
  <c r="F1645" i="3"/>
  <c r="F1644" i="3"/>
  <c r="F1643" i="3"/>
  <c r="F1642" i="3"/>
  <c r="F1641" i="3"/>
  <c r="F1640" i="3"/>
  <c r="F1639" i="3"/>
  <c r="F1638" i="3"/>
  <c r="F1637" i="3"/>
  <c r="F1636" i="3"/>
  <c r="F1635" i="3"/>
  <c r="F1634" i="3"/>
  <c r="F1633" i="3"/>
  <c r="F1632" i="3"/>
  <c r="F1631" i="3"/>
  <c r="F1630" i="3"/>
  <c r="F1629" i="3"/>
  <c r="F1628" i="3"/>
  <c r="F1627" i="3"/>
  <c r="F1626" i="3"/>
  <c r="F1625" i="3"/>
  <c r="F1624" i="3"/>
  <c r="F1623" i="3"/>
  <c r="F1622" i="3"/>
  <c r="F1621" i="3"/>
  <c r="F1620" i="3"/>
  <c r="F1619" i="3"/>
  <c r="F1618" i="3"/>
  <c r="F1617" i="3"/>
  <c r="F1616" i="3"/>
  <c r="F1615" i="3"/>
  <c r="F1614" i="3"/>
  <c r="F1613" i="3"/>
  <c r="F1612" i="3"/>
  <c r="F1611" i="3"/>
  <c r="F1610" i="3"/>
  <c r="F1609" i="3"/>
  <c r="F1608" i="3"/>
  <c r="F1607" i="3"/>
  <c r="F1606" i="3"/>
  <c r="F1605" i="3"/>
  <c r="F1604" i="3"/>
  <c r="F1603" i="3"/>
  <c r="F1602" i="3"/>
  <c r="F1601" i="3"/>
  <c r="F1600" i="3"/>
  <c r="F1599" i="3"/>
  <c r="F1598" i="3"/>
  <c r="F1597" i="3"/>
  <c r="F1596" i="3"/>
  <c r="F1595" i="3"/>
  <c r="F1594" i="3"/>
  <c r="F1593" i="3"/>
  <c r="F1592" i="3"/>
  <c r="F1591" i="3"/>
  <c r="F1590" i="3"/>
  <c r="F1589" i="3"/>
  <c r="F1588" i="3"/>
  <c r="F1587" i="3"/>
  <c r="F1586" i="3"/>
  <c r="F1585" i="3"/>
  <c r="F1584" i="3"/>
  <c r="F1583" i="3"/>
  <c r="F1582" i="3"/>
  <c r="F1581" i="3"/>
  <c r="F1580" i="3"/>
  <c r="F1579" i="3"/>
  <c r="F1578" i="3"/>
  <c r="F1577" i="3"/>
  <c r="F1576" i="3"/>
  <c r="F1575" i="3"/>
  <c r="F1574" i="3"/>
  <c r="F1573" i="3"/>
  <c r="F1572" i="3"/>
  <c r="F1571" i="3"/>
  <c r="F1570" i="3"/>
  <c r="F1569" i="3"/>
  <c r="F1568" i="3"/>
  <c r="F1567" i="3"/>
  <c r="F1566" i="3"/>
  <c r="F1565" i="3"/>
  <c r="F1564" i="3"/>
  <c r="F1563" i="3"/>
  <c r="F1562" i="3"/>
  <c r="F1561" i="3"/>
  <c r="F1560" i="3"/>
  <c r="F1559" i="3"/>
  <c r="F1558" i="3"/>
  <c r="F1557" i="3"/>
  <c r="F1556" i="3"/>
  <c r="F1555" i="3"/>
  <c r="F1554" i="3"/>
  <c r="F1553" i="3"/>
  <c r="F1552" i="3"/>
  <c r="F1551" i="3"/>
  <c r="F1550" i="3"/>
  <c r="F1549" i="3"/>
  <c r="F1548" i="3"/>
  <c r="F1547" i="3"/>
  <c r="F1546" i="3"/>
  <c r="F1545" i="3"/>
  <c r="F1544" i="3"/>
  <c r="F1543" i="3"/>
  <c r="F1542" i="3"/>
  <c r="F1541" i="3"/>
  <c r="F1540" i="3"/>
  <c r="F1539" i="3"/>
  <c r="F1538" i="3"/>
  <c r="F1537" i="3"/>
  <c r="F1536" i="3"/>
  <c r="F1535" i="3"/>
  <c r="F1534" i="3"/>
  <c r="F1533" i="3"/>
  <c r="F1532" i="3"/>
  <c r="F1531" i="3"/>
  <c r="F1530" i="3"/>
  <c r="F1529" i="3"/>
  <c r="F1528" i="3"/>
  <c r="F1527" i="3"/>
  <c r="F1526" i="3"/>
  <c r="F1525" i="3"/>
  <c r="F1524" i="3"/>
  <c r="F1523" i="3"/>
  <c r="F1522" i="3"/>
  <c r="F1521" i="3"/>
  <c r="F1520" i="3"/>
  <c r="F1519" i="3"/>
  <c r="F1518" i="3"/>
  <c r="F1517" i="3"/>
  <c r="F1516" i="3"/>
  <c r="F1515" i="3"/>
  <c r="F1514" i="3"/>
  <c r="F1513" i="3"/>
  <c r="F1512" i="3"/>
  <c r="F1511" i="3"/>
  <c r="F1510" i="3"/>
  <c r="F1509" i="3"/>
  <c r="F1508" i="3"/>
  <c r="F1507" i="3"/>
  <c r="F1506" i="3"/>
  <c r="F1505" i="3"/>
  <c r="F1504" i="3"/>
  <c r="F1503" i="3"/>
  <c r="F1502" i="3"/>
  <c r="F1501" i="3"/>
  <c r="F1500" i="3"/>
  <c r="F1499" i="3"/>
  <c r="F1498" i="3"/>
  <c r="F1497" i="3"/>
  <c r="F1496" i="3"/>
  <c r="F1495" i="3"/>
  <c r="F1494" i="3"/>
  <c r="F1493" i="3"/>
  <c r="F1492" i="3"/>
  <c r="F1491" i="3"/>
  <c r="F1490" i="3"/>
  <c r="F1489" i="3"/>
  <c r="F1488" i="3"/>
  <c r="F1487" i="3"/>
  <c r="F1486" i="3"/>
  <c r="F1485" i="3"/>
  <c r="F1484" i="3"/>
  <c r="F1483" i="3"/>
  <c r="F1482" i="3"/>
  <c r="F1481" i="3"/>
  <c r="F1480" i="3"/>
  <c r="F1479" i="3"/>
  <c r="F1478" i="3"/>
  <c r="F1477" i="3"/>
  <c r="F1476" i="3"/>
  <c r="F1475" i="3"/>
  <c r="F1474" i="3"/>
  <c r="F1473" i="3"/>
  <c r="F1471" i="3"/>
  <c r="F1470" i="3"/>
  <c r="F1469" i="3"/>
  <c r="F1468" i="3"/>
  <c r="F1467" i="3"/>
  <c r="F1466" i="3"/>
  <c r="F1465" i="3"/>
  <c r="F1464" i="3"/>
  <c r="F1463" i="3"/>
  <c r="F1462" i="3"/>
  <c r="F1461" i="3"/>
  <c r="F1460" i="3"/>
  <c r="F1459" i="3"/>
  <c r="F1457" i="3"/>
  <c r="F1455" i="3"/>
  <c r="F1454" i="3"/>
  <c r="F1453" i="3"/>
  <c r="F1452" i="3"/>
  <c r="F1451" i="3"/>
  <c r="F1450" i="3"/>
  <c r="F1448" i="3"/>
  <c r="F1447" i="3"/>
  <c r="F1446" i="3"/>
  <c r="F1445" i="3"/>
  <c r="F1444" i="3"/>
  <c r="F1443" i="3"/>
  <c r="F1442" i="3"/>
  <c r="F1441" i="3"/>
  <c r="F1440" i="3"/>
  <c r="F1439" i="3"/>
  <c r="F1438" i="3"/>
  <c r="F1437" i="3"/>
  <c r="F1436" i="3"/>
  <c r="F1435" i="3"/>
  <c r="F1434" i="3"/>
  <c r="F1433" i="3"/>
  <c r="F1432" i="3"/>
  <c r="F1431" i="3"/>
  <c r="F1430" i="3"/>
  <c r="F1429" i="3"/>
  <c r="F1428" i="3"/>
  <c r="F1427" i="3"/>
  <c r="F1426" i="3"/>
  <c r="F1425" i="3"/>
  <c r="F1424" i="3"/>
  <c r="F1423" i="3"/>
  <c r="F1422" i="3"/>
  <c r="F1421" i="3"/>
  <c r="F1420" i="3"/>
  <c r="K1063" i="3"/>
  <c r="I1063" i="3"/>
  <c r="G1070" i="4" s="1"/>
  <c r="F1063" i="3"/>
  <c r="K1062" i="3"/>
  <c r="I1062" i="3"/>
  <c r="G1069" i="4" s="1"/>
  <c r="F1062" i="3"/>
  <c r="I1060" i="3"/>
  <c r="G1067" i="4" s="1"/>
  <c r="F1060" i="3"/>
  <c r="I1059" i="3"/>
  <c r="G1066" i="4" s="1"/>
  <c r="F1059" i="3"/>
  <c r="I1058" i="3"/>
  <c r="G1065" i="4" s="1"/>
  <c r="F1058" i="3"/>
  <c r="I1057" i="3"/>
  <c r="G1064" i="4" s="1"/>
  <c r="F1057" i="3"/>
  <c r="I1056" i="3"/>
  <c r="G1063" i="4" s="1"/>
  <c r="F1056" i="3"/>
  <c r="I1055" i="3"/>
  <c r="G1062" i="4" s="1"/>
  <c r="F1055" i="3"/>
  <c r="I1054" i="3"/>
  <c r="G1061" i="4" s="1"/>
  <c r="F1054" i="3"/>
  <c r="I1052" i="3"/>
  <c r="G1059" i="4" s="1"/>
  <c r="F1052" i="3"/>
  <c r="I1051" i="3"/>
  <c r="G1058" i="4" s="1"/>
  <c r="F1051" i="3"/>
  <c r="I1050" i="3"/>
  <c r="G1057" i="4" s="1"/>
  <c r="F1050" i="3"/>
  <c r="I1049" i="3"/>
  <c r="G1056" i="4" s="1"/>
  <c r="F1049" i="3"/>
  <c r="I1048" i="3"/>
  <c r="G1055" i="4" s="1"/>
  <c r="F1048" i="3"/>
  <c r="I1047" i="3"/>
  <c r="G1054" i="4" s="1"/>
  <c r="F1047" i="3"/>
  <c r="I1046" i="3"/>
  <c r="G1053" i="4" s="1"/>
  <c r="F1046" i="3"/>
  <c r="I1044" i="3"/>
  <c r="G1051" i="4" s="1"/>
  <c r="F1044" i="3"/>
  <c r="I1043" i="3"/>
  <c r="G1050" i="4" s="1"/>
  <c r="F1043" i="3"/>
  <c r="I1041" i="3"/>
  <c r="G1048" i="4" s="1"/>
  <c r="F1041" i="3"/>
  <c r="I1040" i="3"/>
  <c r="G1047" i="4" s="1"/>
  <c r="F1040" i="3"/>
  <c r="I1039" i="3"/>
  <c r="G1046" i="4" s="1"/>
  <c r="F1039" i="3"/>
  <c r="I1038" i="3"/>
  <c r="G1045" i="4" s="1"/>
  <c r="F1038" i="3"/>
  <c r="I1037" i="3"/>
  <c r="G1044" i="4" s="1"/>
  <c r="F1037" i="3"/>
  <c r="I1036" i="3"/>
  <c r="G1043" i="4" s="1"/>
  <c r="F1036" i="3"/>
  <c r="I1035" i="3"/>
  <c r="G1042" i="4" s="1"/>
  <c r="F1035" i="3"/>
  <c r="I1034" i="3"/>
  <c r="G1041" i="4" s="1"/>
  <c r="F1034" i="3"/>
  <c r="I1033" i="3"/>
  <c r="G1040" i="4" s="1"/>
  <c r="F1033" i="3"/>
  <c r="I1032" i="3"/>
  <c r="G1039" i="4" s="1"/>
  <c r="F1032" i="3"/>
  <c r="I1031" i="3"/>
  <c r="G1038" i="4" s="1"/>
  <c r="F1031" i="3"/>
  <c r="I1028" i="3"/>
  <c r="G1035" i="4" s="1"/>
  <c r="F1028" i="3"/>
  <c r="I1027" i="3"/>
  <c r="G1034" i="4" s="1"/>
  <c r="F1027" i="3"/>
  <c r="I1026" i="3"/>
  <c r="G1033" i="4" s="1"/>
  <c r="F1026" i="3"/>
  <c r="I1024" i="3"/>
  <c r="G1031" i="4" s="1"/>
  <c r="F1024" i="3"/>
  <c r="I1023" i="3"/>
  <c r="G1030" i="4" s="1"/>
  <c r="F1023" i="3"/>
  <c r="I1022" i="3"/>
  <c r="G1029" i="4" s="1"/>
  <c r="F1022" i="3"/>
  <c r="I1020" i="3"/>
  <c r="G1027" i="4" s="1"/>
  <c r="F1020" i="3"/>
  <c r="I1019" i="3"/>
  <c r="G1026" i="4" s="1"/>
  <c r="F1019" i="3"/>
  <c r="I1016" i="3"/>
  <c r="G1023" i="4" s="1"/>
  <c r="F1016" i="3"/>
  <c r="I1014" i="3"/>
  <c r="G1021" i="4" s="1"/>
  <c r="F1014" i="3"/>
  <c r="I1012" i="3"/>
  <c r="G1019" i="4" s="1"/>
  <c r="F1012" i="3"/>
  <c r="I1011" i="3"/>
  <c r="G1018" i="4" s="1"/>
  <c r="F1011" i="3"/>
  <c r="I1010" i="3"/>
  <c r="G1017" i="4" s="1"/>
  <c r="F1010" i="3"/>
  <c r="I1009" i="3"/>
  <c r="G1016" i="4" s="1"/>
  <c r="F1009" i="3"/>
  <c r="I1008" i="3"/>
  <c r="G1015" i="4" s="1"/>
  <c r="F1008" i="3"/>
  <c r="I1007" i="3"/>
  <c r="G1014" i="4" s="1"/>
  <c r="F1007" i="3"/>
  <c r="I1006" i="3"/>
  <c r="G1013" i="4" s="1"/>
  <c r="F1006" i="3"/>
  <c r="I1005" i="3"/>
  <c r="G1012" i="4" s="1"/>
  <c r="F1005" i="3"/>
  <c r="I1004" i="3"/>
  <c r="G1011" i="4" s="1"/>
  <c r="F1004" i="3"/>
  <c r="I1003" i="3"/>
  <c r="G1010" i="4" s="1"/>
  <c r="F1003" i="3"/>
  <c r="I1002" i="3"/>
  <c r="G1009" i="4" s="1"/>
  <c r="F1002" i="3"/>
  <c r="I1001" i="3"/>
  <c r="G1008" i="4" s="1"/>
  <c r="F1001" i="3"/>
  <c r="I1000" i="3"/>
  <c r="G1007" i="4" s="1"/>
  <c r="F1000" i="3"/>
  <c r="I999" i="3"/>
  <c r="G1006" i="4" s="1"/>
  <c r="F999" i="3"/>
  <c r="I998" i="3"/>
  <c r="G1005" i="4" s="1"/>
  <c r="F998" i="3"/>
  <c r="I997" i="3"/>
  <c r="G1004" i="4" s="1"/>
  <c r="F997" i="3"/>
  <c r="I996" i="3"/>
  <c r="G1003" i="4" s="1"/>
  <c r="F996" i="3"/>
  <c r="I995" i="3"/>
  <c r="G1002" i="4" s="1"/>
  <c r="F995" i="3"/>
  <c r="I994" i="3"/>
  <c r="G1001" i="4" s="1"/>
  <c r="F994" i="3"/>
  <c r="I993" i="3"/>
  <c r="G1000" i="4" s="1"/>
  <c r="F993" i="3"/>
  <c r="I992" i="3"/>
  <c r="G999" i="4" s="1"/>
  <c r="F992" i="3"/>
  <c r="I991" i="3"/>
  <c r="G998" i="4" s="1"/>
  <c r="F991" i="3"/>
  <c r="I990" i="3"/>
  <c r="G997" i="4" s="1"/>
  <c r="F990" i="3"/>
  <c r="I989" i="3"/>
  <c r="G996" i="4" s="1"/>
  <c r="F989" i="3"/>
  <c r="I988" i="3"/>
  <c r="G995" i="4" s="1"/>
  <c r="F988" i="3"/>
  <c r="I987" i="3"/>
  <c r="G994" i="4" s="1"/>
  <c r="F987" i="3"/>
  <c r="I986" i="3"/>
  <c r="G993" i="4" s="1"/>
  <c r="F986" i="3"/>
  <c r="I985" i="3"/>
  <c r="G992" i="4" s="1"/>
  <c r="F985" i="3"/>
  <c r="I984" i="3"/>
  <c r="G991" i="4" s="1"/>
  <c r="F984" i="3"/>
  <c r="I983" i="3"/>
  <c r="G990" i="4" s="1"/>
  <c r="F983" i="3"/>
  <c r="I982" i="3"/>
  <c r="G989" i="4" s="1"/>
  <c r="F982" i="3"/>
  <c r="I981" i="3"/>
  <c r="G988" i="4" s="1"/>
  <c r="F981" i="3"/>
  <c r="I980" i="3"/>
  <c r="G987" i="4" s="1"/>
  <c r="F980" i="3"/>
  <c r="I979" i="3"/>
  <c r="G986" i="4" s="1"/>
  <c r="F979" i="3"/>
  <c r="I978" i="3"/>
  <c r="G985" i="4" s="1"/>
  <c r="F978" i="3"/>
  <c r="I977" i="3"/>
  <c r="G984" i="4" s="1"/>
  <c r="F977" i="3"/>
  <c r="I976" i="3"/>
  <c r="G983" i="4" s="1"/>
  <c r="F976" i="3"/>
  <c r="I974" i="3"/>
  <c r="G981" i="4" s="1"/>
  <c r="F974" i="3"/>
  <c r="I973" i="3"/>
  <c r="G980" i="4" s="1"/>
  <c r="F973" i="3"/>
  <c r="I971" i="3"/>
  <c r="G978" i="4" s="1"/>
  <c r="F971" i="3"/>
  <c r="I970" i="3"/>
  <c r="G977" i="4" s="1"/>
  <c r="F970" i="3"/>
  <c r="I969" i="3"/>
  <c r="G976" i="4" s="1"/>
  <c r="F969" i="3"/>
  <c r="I968" i="3"/>
  <c r="G975" i="4" s="1"/>
  <c r="F968" i="3"/>
  <c r="I967" i="3"/>
  <c r="G974" i="4" s="1"/>
  <c r="F967" i="3"/>
  <c r="I966" i="3"/>
  <c r="G973" i="4" s="1"/>
  <c r="F966" i="3"/>
  <c r="I965" i="3"/>
  <c r="G972" i="4" s="1"/>
  <c r="F965" i="3"/>
  <c r="I964" i="3"/>
  <c r="G971" i="4" s="1"/>
  <c r="F964" i="3"/>
  <c r="I963" i="3"/>
  <c r="G970" i="4" s="1"/>
  <c r="F963" i="3"/>
  <c r="I962" i="3"/>
  <c r="G969" i="4" s="1"/>
  <c r="F962" i="3"/>
  <c r="I960" i="3"/>
  <c r="G967" i="4" s="1"/>
  <c r="F960" i="3"/>
  <c r="I959" i="3"/>
  <c r="G966" i="4" s="1"/>
  <c r="F959" i="3"/>
  <c r="I958" i="3"/>
  <c r="G965" i="4" s="1"/>
  <c r="F958" i="3"/>
  <c r="I957" i="3"/>
  <c r="G964" i="4" s="1"/>
  <c r="F957" i="3"/>
  <c r="I956" i="3"/>
  <c r="G963" i="4" s="1"/>
  <c r="F956" i="3"/>
  <c r="I955" i="3"/>
  <c r="G962" i="4" s="1"/>
  <c r="F955" i="3"/>
  <c r="I954" i="3"/>
  <c r="G961" i="4" s="1"/>
  <c r="F954" i="3"/>
  <c r="I953" i="3"/>
  <c r="G960" i="4" s="1"/>
  <c r="F953" i="3"/>
  <c r="I952" i="3"/>
  <c r="G959" i="4" s="1"/>
  <c r="F952" i="3"/>
  <c r="I951" i="3"/>
  <c r="G958" i="4" s="1"/>
  <c r="F951" i="3"/>
  <c r="I950" i="3"/>
  <c r="G957" i="4" s="1"/>
  <c r="F950" i="3"/>
  <c r="I949" i="3"/>
  <c r="G956" i="4" s="1"/>
  <c r="F949" i="3"/>
  <c r="I948" i="3"/>
  <c r="G955" i="4" s="1"/>
  <c r="F948" i="3"/>
  <c r="I947" i="3"/>
  <c r="G954" i="4" s="1"/>
  <c r="F947" i="3"/>
  <c r="I945" i="3"/>
  <c r="G952" i="4" s="1"/>
  <c r="F945" i="3"/>
  <c r="I944" i="3"/>
  <c r="G951" i="4" s="1"/>
  <c r="F944" i="3"/>
  <c r="I943" i="3"/>
  <c r="G950" i="4" s="1"/>
  <c r="F943" i="3"/>
  <c r="I942" i="3"/>
  <c r="G949" i="4" s="1"/>
  <c r="F942" i="3"/>
  <c r="I941" i="3"/>
  <c r="G948" i="4" s="1"/>
  <c r="F941" i="3"/>
  <c r="I940" i="3"/>
  <c r="G947" i="4" s="1"/>
  <c r="F940" i="3"/>
  <c r="I939" i="3"/>
  <c r="G946" i="4" s="1"/>
  <c r="F939" i="3"/>
  <c r="I938" i="3"/>
  <c r="G945" i="4" s="1"/>
  <c r="F938" i="3"/>
  <c r="I937" i="3"/>
  <c r="G944" i="4" s="1"/>
  <c r="F937" i="3"/>
  <c r="I936" i="3"/>
  <c r="G943" i="4" s="1"/>
  <c r="F936" i="3"/>
  <c r="I935" i="3"/>
  <c r="G942" i="4" s="1"/>
  <c r="F935" i="3"/>
  <c r="I934" i="3"/>
  <c r="G941" i="4" s="1"/>
  <c r="F934" i="3"/>
  <c r="I933" i="3"/>
  <c r="G940" i="4" s="1"/>
  <c r="F933" i="3"/>
  <c r="I928" i="3"/>
  <c r="G935" i="4" s="1"/>
  <c r="F928" i="3"/>
  <c r="I926" i="3"/>
  <c r="G933" i="4" s="1"/>
  <c r="F926" i="3"/>
  <c r="I925" i="3"/>
  <c r="G932" i="4" s="1"/>
  <c r="F925" i="3"/>
  <c r="I924" i="3"/>
  <c r="G931" i="4" s="1"/>
  <c r="F924" i="3"/>
  <c r="I923" i="3"/>
  <c r="G930" i="4" s="1"/>
  <c r="F923" i="3"/>
  <c r="I922" i="3"/>
  <c r="G929" i="4" s="1"/>
  <c r="F922" i="3"/>
  <c r="I921" i="3"/>
  <c r="G928" i="4" s="1"/>
  <c r="F921" i="3"/>
  <c r="I920" i="3"/>
  <c r="G927" i="4" s="1"/>
  <c r="F920" i="3"/>
  <c r="I919" i="3"/>
  <c r="G926" i="4" s="1"/>
  <c r="F919" i="3"/>
  <c r="I918" i="3"/>
  <c r="G925" i="4" s="1"/>
  <c r="F918" i="3"/>
  <c r="I916" i="3"/>
  <c r="G923" i="4" s="1"/>
  <c r="F916" i="3"/>
  <c r="I915" i="3"/>
  <c r="G922" i="4" s="1"/>
  <c r="F915" i="3"/>
  <c r="I914" i="3"/>
  <c r="G921" i="4" s="1"/>
  <c r="F914" i="3"/>
  <c r="I913" i="3"/>
  <c r="G920" i="4" s="1"/>
  <c r="F913" i="3"/>
  <c r="I912" i="3"/>
  <c r="G919" i="4" s="1"/>
  <c r="F912" i="3"/>
  <c r="I910" i="3"/>
  <c r="G917" i="4" s="1"/>
  <c r="F910" i="3"/>
  <c r="I909" i="3"/>
  <c r="G916" i="4" s="1"/>
  <c r="F909" i="3"/>
  <c r="I908" i="3"/>
  <c r="G915" i="4" s="1"/>
  <c r="F908" i="3"/>
  <c r="I907" i="3"/>
  <c r="G914" i="4" s="1"/>
  <c r="F907" i="3"/>
  <c r="I906" i="3"/>
  <c r="G913" i="4" s="1"/>
  <c r="F906" i="3"/>
  <c r="I905" i="3"/>
  <c r="G912" i="4" s="1"/>
  <c r="F905" i="3"/>
  <c r="I904" i="3"/>
  <c r="G911" i="4" s="1"/>
  <c r="F904" i="3"/>
  <c r="I903" i="3"/>
  <c r="G910" i="4" s="1"/>
  <c r="F903" i="3"/>
  <c r="I902" i="3"/>
  <c r="G909" i="4" s="1"/>
  <c r="F902" i="3"/>
  <c r="I901" i="3"/>
  <c r="G908" i="4" s="1"/>
  <c r="F901" i="3"/>
  <c r="I900" i="3"/>
  <c r="G907" i="4" s="1"/>
  <c r="F900" i="3"/>
  <c r="I899" i="3"/>
  <c r="G906" i="4" s="1"/>
  <c r="F899" i="3"/>
  <c r="I897" i="3"/>
  <c r="G904" i="4" s="1"/>
  <c r="F897" i="3"/>
  <c r="I896" i="3"/>
  <c r="G903" i="4" s="1"/>
  <c r="F896" i="3"/>
  <c r="I895" i="3"/>
  <c r="G902" i="4" s="1"/>
  <c r="F895" i="3"/>
  <c r="I893" i="3"/>
  <c r="G900" i="4" s="1"/>
  <c r="F893" i="3"/>
  <c r="I892" i="3"/>
  <c r="G899" i="4" s="1"/>
  <c r="F892" i="3"/>
  <c r="I891" i="3"/>
  <c r="G898" i="4" s="1"/>
  <c r="F891" i="3"/>
  <c r="I890" i="3"/>
  <c r="G897" i="4" s="1"/>
  <c r="F890" i="3"/>
  <c r="I889" i="3"/>
  <c r="G896" i="4" s="1"/>
  <c r="F889" i="3"/>
  <c r="I888" i="3"/>
  <c r="G895" i="4" s="1"/>
  <c r="F888" i="3"/>
  <c r="I887" i="3"/>
  <c r="G894" i="4" s="1"/>
  <c r="F887" i="3"/>
  <c r="I886" i="3"/>
  <c r="G893" i="4" s="1"/>
  <c r="F886" i="3"/>
  <c r="I885" i="3"/>
  <c r="G892" i="4" s="1"/>
  <c r="F885" i="3"/>
  <c r="I884" i="3"/>
  <c r="G891" i="4" s="1"/>
  <c r="F884" i="3"/>
  <c r="I883" i="3"/>
  <c r="G890" i="4" s="1"/>
  <c r="F883" i="3"/>
  <c r="I882" i="3"/>
  <c r="G889" i="4" s="1"/>
  <c r="F882" i="3"/>
  <c r="I881" i="3"/>
  <c r="G888" i="4" s="1"/>
  <c r="F881" i="3"/>
  <c r="I880" i="3"/>
  <c r="G887" i="4" s="1"/>
  <c r="F880" i="3"/>
  <c r="I879" i="3"/>
  <c r="G886" i="4" s="1"/>
  <c r="F879" i="3"/>
  <c r="I878" i="3"/>
  <c r="G885" i="4" s="1"/>
  <c r="F878" i="3"/>
  <c r="I877" i="3"/>
  <c r="G884" i="4" s="1"/>
  <c r="F877" i="3"/>
  <c r="I876" i="3"/>
  <c r="G883" i="4" s="1"/>
  <c r="F876" i="3"/>
  <c r="I875" i="3"/>
  <c r="G882" i="4" s="1"/>
  <c r="F875" i="3"/>
  <c r="I873" i="3"/>
  <c r="G880" i="4" s="1"/>
  <c r="F873" i="3"/>
  <c r="I871" i="3"/>
  <c r="G878" i="4" s="1"/>
  <c r="F871" i="3"/>
  <c r="I870" i="3"/>
  <c r="G877" i="4" s="1"/>
  <c r="F870" i="3"/>
  <c r="I869" i="3"/>
  <c r="G876" i="4" s="1"/>
  <c r="F869" i="3"/>
  <c r="I868" i="3"/>
  <c r="G875" i="4" s="1"/>
  <c r="F868" i="3"/>
  <c r="I866" i="3"/>
  <c r="G873" i="4" s="1"/>
  <c r="F866" i="3"/>
  <c r="I865" i="3"/>
  <c r="G872" i="4" s="1"/>
  <c r="F865" i="3"/>
  <c r="I864" i="3"/>
  <c r="G871" i="4" s="1"/>
  <c r="F864" i="3"/>
  <c r="I862" i="3"/>
  <c r="G869" i="4" s="1"/>
  <c r="F862" i="3"/>
  <c r="I861" i="3"/>
  <c r="G868" i="4" s="1"/>
  <c r="F861" i="3"/>
  <c r="I860" i="3"/>
  <c r="G867" i="4" s="1"/>
  <c r="F860" i="3"/>
  <c r="I859" i="3"/>
  <c r="G866" i="4" s="1"/>
  <c r="F859" i="3"/>
  <c r="I858" i="3"/>
  <c r="G865" i="4" s="1"/>
  <c r="F858" i="3"/>
  <c r="I857" i="3"/>
  <c r="G864" i="4" s="1"/>
  <c r="F857" i="3"/>
  <c r="I856" i="3"/>
  <c r="G863" i="4" s="1"/>
  <c r="F856" i="3"/>
  <c r="I855" i="3"/>
  <c r="G862" i="4" s="1"/>
  <c r="F855" i="3"/>
  <c r="I854" i="3"/>
  <c r="G861" i="4" s="1"/>
  <c r="F854" i="3"/>
  <c r="I853" i="3"/>
  <c r="G860" i="4" s="1"/>
  <c r="F853" i="3"/>
  <c r="I852" i="3"/>
  <c r="G859" i="4" s="1"/>
  <c r="F852" i="3"/>
  <c r="I851" i="3"/>
  <c r="G858" i="4" s="1"/>
  <c r="F851" i="3"/>
  <c r="I850" i="3"/>
  <c r="G857" i="4" s="1"/>
  <c r="F850" i="3"/>
  <c r="I849" i="3"/>
  <c r="G856" i="4" s="1"/>
  <c r="F849" i="3"/>
  <c r="I848" i="3"/>
  <c r="G855" i="4" s="1"/>
  <c r="F848" i="3"/>
  <c r="I847" i="3"/>
  <c r="G854" i="4" s="1"/>
  <c r="F847" i="3"/>
  <c r="I846" i="3"/>
  <c r="G853" i="4" s="1"/>
  <c r="F846" i="3"/>
  <c r="I845" i="3"/>
  <c r="G852" i="4" s="1"/>
  <c r="F845" i="3"/>
  <c r="I844" i="3"/>
  <c r="G851" i="4" s="1"/>
  <c r="F844" i="3"/>
  <c r="I843" i="3"/>
  <c r="G850" i="4" s="1"/>
  <c r="F843" i="3"/>
  <c r="I842" i="3"/>
  <c r="G849" i="4" s="1"/>
  <c r="F842" i="3"/>
  <c r="I841" i="3"/>
  <c r="G848" i="4" s="1"/>
  <c r="F841" i="3"/>
  <c r="I840" i="3"/>
  <c r="G847" i="4" s="1"/>
  <c r="F840" i="3"/>
  <c r="I839" i="3"/>
  <c r="G846" i="4" s="1"/>
  <c r="F839" i="3"/>
  <c r="I838" i="3"/>
  <c r="G845" i="4" s="1"/>
  <c r="F838" i="3"/>
  <c r="I837" i="3"/>
  <c r="G844" i="4" s="1"/>
  <c r="F837" i="3"/>
  <c r="I836" i="3"/>
  <c r="G843" i="4" s="1"/>
  <c r="F836" i="3"/>
  <c r="I835" i="3"/>
  <c r="G842" i="4" s="1"/>
  <c r="F835" i="3"/>
  <c r="I834" i="3"/>
  <c r="G841" i="4" s="1"/>
  <c r="F834" i="3"/>
  <c r="I833" i="3"/>
  <c r="G840" i="4" s="1"/>
  <c r="F833" i="3"/>
  <c r="I831" i="3"/>
  <c r="G838" i="4" s="1"/>
  <c r="F831" i="3"/>
  <c r="I830" i="3"/>
  <c r="G837" i="4" s="1"/>
  <c r="F830" i="3"/>
  <c r="I828" i="3"/>
  <c r="G835" i="4" s="1"/>
  <c r="F828" i="3"/>
  <c r="I827" i="3"/>
  <c r="G834" i="4" s="1"/>
  <c r="F827" i="3"/>
  <c r="I826" i="3"/>
  <c r="G833" i="4" s="1"/>
  <c r="F826" i="3"/>
  <c r="I825" i="3"/>
  <c r="G832" i="4" s="1"/>
  <c r="F825" i="3"/>
  <c r="I824" i="3"/>
  <c r="G831" i="4" s="1"/>
  <c r="F824" i="3"/>
  <c r="I823" i="3"/>
  <c r="G830" i="4" s="1"/>
  <c r="F823" i="3"/>
  <c r="I821" i="3"/>
  <c r="G828" i="4" s="1"/>
  <c r="F821" i="3"/>
  <c r="I820" i="3"/>
  <c r="G827" i="4" s="1"/>
  <c r="F820" i="3"/>
  <c r="I819" i="3"/>
  <c r="G826" i="4" s="1"/>
  <c r="F819" i="3"/>
  <c r="I817" i="3"/>
  <c r="G824" i="4" s="1"/>
  <c r="F817" i="3"/>
  <c r="I816" i="3"/>
  <c r="G823" i="4" s="1"/>
  <c r="F816" i="3"/>
  <c r="I815" i="3"/>
  <c r="G822" i="4" s="1"/>
  <c r="F815" i="3"/>
  <c r="I814" i="3"/>
  <c r="G821" i="4" s="1"/>
  <c r="F814" i="3"/>
  <c r="I813" i="3"/>
  <c r="G820" i="4" s="1"/>
  <c r="F813" i="3"/>
  <c r="I812" i="3"/>
  <c r="G819" i="4" s="1"/>
  <c r="F812" i="3"/>
  <c r="I811" i="3"/>
  <c r="G818" i="4" s="1"/>
  <c r="F811" i="3"/>
  <c r="I810" i="3"/>
  <c r="G817" i="4" s="1"/>
  <c r="F810" i="3"/>
  <c r="I809" i="3"/>
  <c r="G816" i="4" s="1"/>
  <c r="F809" i="3"/>
  <c r="I806" i="3"/>
  <c r="G813" i="4" s="1"/>
  <c r="F806" i="3"/>
  <c r="I805" i="3"/>
  <c r="G812" i="4" s="1"/>
  <c r="F805" i="3"/>
  <c r="I804" i="3"/>
  <c r="G811" i="4" s="1"/>
  <c r="F804" i="3"/>
  <c r="I803" i="3"/>
  <c r="G810" i="4" s="1"/>
  <c r="F803" i="3"/>
  <c r="I802" i="3"/>
  <c r="G809" i="4" s="1"/>
  <c r="F802" i="3"/>
  <c r="I801" i="3"/>
  <c r="G808" i="4" s="1"/>
  <c r="F801" i="3"/>
  <c r="I800" i="3"/>
  <c r="G807" i="4" s="1"/>
  <c r="F800" i="3"/>
  <c r="I799" i="3"/>
  <c r="G806" i="4" s="1"/>
  <c r="F799" i="3"/>
  <c r="I798" i="3"/>
  <c r="G805" i="4" s="1"/>
  <c r="F798" i="3"/>
  <c r="I797" i="3"/>
  <c r="G804" i="4" s="1"/>
  <c r="F797" i="3"/>
  <c r="I796" i="3"/>
  <c r="G803" i="4" s="1"/>
  <c r="F796" i="3"/>
  <c r="I795" i="3"/>
  <c r="G802" i="4" s="1"/>
  <c r="F795" i="3"/>
  <c r="I794" i="3"/>
  <c r="G801" i="4" s="1"/>
  <c r="F794" i="3"/>
  <c r="I793" i="3"/>
  <c r="G800" i="4" s="1"/>
  <c r="F793" i="3"/>
  <c r="I792" i="3"/>
  <c r="G799" i="4" s="1"/>
  <c r="F792" i="3"/>
  <c r="I791" i="3"/>
  <c r="G798" i="4" s="1"/>
  <c r="F791" i="3"/>
  <c r="I790" i="3"/>
  <c r="G797" i="4" s="1"/>
  <c r="F790" i="3"/>
  <c r="I789" i="3"/>
  <c r="G796" i="4" s="1"/>
  <c r="F789" i="3"/>
  <c r="A789" i="3"/>
  <c r="I788" i="3"/>
  <c r="G795" i="4" s="1"/>
  <c r="F788" i="3"/>
  <c r="A788" i="3"/>
  <c r="I787" i="3"/>
  <c r="G794" i="4" s="1"/>
  <c r="F787" i="3"/>
  <c r="A787" i="3"/>
  <c r="I786" i="3"/>
  <c r="G793" i="4" s="1"/>
  <c r="F786" i="3"/>
  <c r="A786" i="3"/>
  <c r="I785" i="3"/>
  <c r="G792" i="4" s="1"/>
  <c r="F785" i="3"/>
  <c r="A785" i="3"/>
  <c r="I784" i="3"/>
  <c r="G791" i="4" s="1"/>
  <c r="F784" i="3"/>
  <c r="A784" i="3"/>
  <c r="I782" i="3"/>
  <c r="G789" i="4" s="1"/>
  <c r="F782" i="3"/>
  <c r="A782" i="3"/>
  <c r="I781" i="3"/>
  <c r="G788" i="4" s="1"/>
  <c r="F781" i="3"/>
  <c r="A781" i="3"/>
  <c r="I779" i="3"/>
  <c r="G786" i="4" s="1"/>
  <c r="F779" i="3"/>
  <c r="A779" i="3"/>
  <c r="I778" i="3"/>
  <c r="G785" i="4" s="1"/>
  <c r="F778" i="3"/>
  <c r="A778" i="3"/>
  <c r="I777" i="3"/>
  <c r="G784" i="4" s="1"/>
  <c r="F777" i="3"/>
  <c r="A777" i="3"/>
  <c r="I776" i="3"/>
  <c r="G783" i="4" s="1"/>
  <c r="F776" i="3"/>
  <c r="A776" i="3"/>
  <c r="I775" i="3"/>
  <c r="G782" i="4" s="1"/>
  <c r="F775" i="3"/>
  <c r="A775" i="3"/>
  <c r="I774" i="3"/>
  <c r="G781" i="4" s="1"/>
  <c r="F774" i="3"/>
  <c r="A774" i="3"/>
  <c r="I773" i="3"/>
  <c r="G780" i="4" s="1"/>
  <c r="F773" i="3"/>
  <c r="A773" i="3"/>
  <c r="I772" i="3"/>
  <c r="G779" i="4" s="1"/>
  <c r="F772" i="3"/>
  <c r="A772" i="3"/>
  <c r="I771" i="3"/>
  <c r="G778" i="4" s="1"/>
  <c r="F771" i="3"/>
  <c r="A771" i="3"/>
  <c r="I770" i="3"/>
  <c r="G777" i="4" s="1"/>
  <c r="F770" i="3"/>
  <c r="A770" i="3"/>
  <c r="I769" i="3"/>
  <c r="G776" i="4" s="1"/>
  <c r="F769" i="3"/>
  <c r="A769" i="3"/>
  <c r="I768" i="3"/>
  <c r="G775" i="4" s="1"/>
  <c r="F768" i="3"/>
  <c r="A768" i="3"/>
  <c r="I767" i="3"/>
  <c r="G774" i="4" s="1"/>
  <c r="F767" i="3"/>
  <c r="A767" i="3"/>
  <c r="I766" i="3"/>
  <c r="G773" i="4" s="1"/>
  <c r="F766" i="3"/>
  <c r="A766" i="3"/>
  <c r="I765" i="3"/>
  <c r="G772" i="4" s="1"/>
  <c r="F765" i="3"/>
  <c r="A765" i="3"/>
  <c r="I764" i="3"/>
  <c r="G771" i="4" s="1"/>
  <c r="F764" i="3"/>
  <c r="A764" i="3"/>
  <c r="I763" i="3"/>
  <c r="G770" i="4" s="1"/>
  <c r="F763" i="3"/>
  <c r="A763" i="3"/>
  <c r="I762" i="3"/>
  <c r="G769" i="4" s="1"/>
  <c r="F762" i="3"/>
  <c r="A762" i="3"/>
  <c r="I761" i="3"/>
  <c r="G768" i="4" s="1"/>
  <c r="F761" i="3"/>
  <c r="A761" i="3"/>
  <c r="I760" i="3"/>
  <c r="G767" i="4" s="1"/>
  <c r="F760" i="3"/>
  <c r="A760" i="3"/>
  <c r="I759" i="3"/>
  <c r="G766" i="4" s="1"/>
  <c r="F759" i="3"/>
  <c r="A759" i="3"/>
  <c r="I758" i="3"/>
  <c r="G765" i="4" s="1"/>
  <c r="F758" i="3"/>
  <c r="A758" i="3"/>
  <c r="I757" i="3"/>
  <c r="G764" i="4" s="1"/>
  <c r="F757" i="3"/>
  <c r="A757" i="3"/>
  <c r="I756" i="3"/>
  <c r="G763" i="4" s="1"/>
  <c r="F756" i="3"/>
  <c r="A756" i="3"/>
  <c r="I755" i="3"/>
  <c r="G762" i="4" s="1"/>
  <c r="F755" i="3"/>
  <c r="A755" i="3"/>
  <c r="I754" i="3"/>
  <c r="G761" i="4" s="1"/>
  <c r="F754" i="3"/>
  <c r="A754" i="3"/>
  <c r="I753" i="3"/>
  <c r="G760" i="4" s="1"/>
  <c r="F753" i="3"/>
  <c r="A753" i="3"/>
  <c r="I752" i="3"/>
  <c r="G759" i="4" s="1"/>
  <c r="F752" i="3"/>
  <c r="A752" i="3"/>
  <c r="I751" i="3"/>
  <c r="G758" i="4" s="1"/>
  <c r="F751" i="3"/>
  <c r="A751" i="3"/>
  <c r="I750" i="3"/>
  <c r="G757" i="4" s="1"/>
  <c r="F750" i="3"/>
  <c r="A750" i="3"/>
  <c r="I749" i="3"/>
  <c r="G756" i="4" s="1"/>
  <c r="F749" i="3"/>
  <c r="A749" i="3"/>
  <c r="I748" i="3"/>
  <c r="G755" i="4" s="1"/>
  <c r="F748" i="3"/>
  <c r="A748" i="3"/>
  <c r="I747" i="3"/>
  <c r="G754" i="4" s="1"/>
  <c r="F747" i="3"/>
  <c r="A747" i="3"/>
  <c r="I745" i="3"/>
  <c r="G752" i="4" s="1"/>
  <c r="F745" i="3"/>
  <c r="A745" i="3"/>
  <c r="I744" i="3"/>
  <c r="G751" i="4" s="1"/>
  <c r="F744" i="3"/>
  <c r="A744" i="3"/>
  <c r="I743" i="3"/>
  <c r="G750" i="4" s="1"/>
  <c r="F743" i="3"/>
  <c r="A743" i="3"/>
  <c r="I742" i="3"/>
  <c r="G749" i="4" s="1"/>
  <c r="F742" i="3"/>
  <c r="A742" i="3"/>
  <c r="I740" i="3"/>
  <c r="G747" i="4" s="1"/>
  <c r="F740" i="3"/>
  <c r="A740" i="3"/>
  <c r="I739" i="3"/>
  <c r="G746" i="4" s="1"/>
  <c r="F739" i="3"/>
  <c r="A739" i="3"/>
  <c r="I738" i="3"/>
  <c r="G745" i="4" s="1"/>
  <c r="F738" i="3"/>
  <c r="A738" i="3"/>
  <c r="I737" i="3"/>
  <c r="G744" i="4" s="1"/>
  <c r="F737" i="3"/>
  <c r="A737" i="3"/>
  <c r="I736" i="3"/>
  <c r="G743" i="4" s="1"/>
  <c r="F736" i="3"/>
  <c r="A736" i="3"/>
  <c r="I735" i="3"/>
  <c r="G742" i="4" s="1"/>
  <c r="F735" i="3"/>
  <c r="A735" i="3"/>
  <c r="I733" i="3"/>
  <c r="G740" i="4" s="1"/>
  <c r="F733" i="3"/>
  <c r="A733" i="3"/>
  <c r="I732" i="3"/>
  <c r="G739" i="4" s="1"/>
  <c r="F732" i="3"/>
  <c r="A732" i="3"/>
  <c r="I731" i="3"/>
  <c r="G738" i="4" s="1"/>
  <c r="F731" i="3"/>
  <c r="A731" i="3"/>
  <c r="I730" i="3"/>
  <c r="G737" i="4" s="1"/>
  <c r="F730" i="3"/>
  <c r="A730" i="3"/>
  <c r="I729" i="3"/>
  <c r="G736" i="4" s="1"/>
  <c r="F729" i="3"/>
  <c r="A729" i="3"/>
  <c r="I728" i="3"/>
  <c r="G735" i="4" s="1"/>
  <c r="F728" i="3"/>
  <c r="A728" i="3"/>
  <c r="I727" i="3"/>
  <c r="G734" i="4" s="1"/>
  <c r="F727" i="3"/>
  <c r="A727" i="3"/>
  <c r="I726" i="3"/>
  <c r="G733" i="4" s="1"/>
  <c r="F726" i="3"/>
  <c r="A726" i="3"/>
  <c r="I725" i="3"/>
  <c r="G732" i="4" s="1"/>
  <c r="F725" i="3"/>
  <c r="A725" i="3"/>
  <c r="I724" i="3"/>
  <c r="G731" i="4" s="1"/>
  <c r="F724" i="3"/>
  <c r="A724" i="3"/>
  <c r="I723" i="3"/>
  <c r="G730" i="4" s="1"/>
  <c r="F723" i="3"/>
  <c r="A723" i="3"/>
  <c r="I722" i="3"/>
  <c r="G729" i="4" s="1"/>
  <c r="F722" i="3"/>
  <c r="A722" i="3"/>
  <c r="I721" i="3"/>
  <c r="G728" i="4" s="1"/>
  <c r="F721" i="3"/>
  <c r="A721" i="3"/>
  <c r="I714" i="3"/>
  <c r="G721" i="4" s="1"/>
  <c r="F714" i="3"/>
  <c r="A714" i="3"/>
  <c r="I713" i="3"/>
  <c r="G720" i="4" s="1"/>
  <c r="F713" i="3"/>
  <c r="A713" i="3"/>
  <c r="I712" i="3"/>
  <c r="G719" i="4" s="1"/>
  <c r="F712" i="3"/>
  <c r="A712" i="3"/>
  <c r="I711" i="3"/>
  <c r="G718" i="4" s="1"/>
  <c r="F711" i="3"/>
  <c r="A711" i="3"/>
  <c r="I710" i="3"/>
  <c r="G717" i="4" s="1"/>
  <c r="F710" i="3"/>
  <c r="A710" i="3"/>
  <c r="I709" i="3"/>
  <c r="G716" i="4" s="1"/>
  <c r="F709" i="3"/>
  <c r="A709" i="3"/>
  <c r="I708" i="3"/>
  <c r="G715" i="4" s="1"/>
  <c r="F708" i="3"/>
  <c r="A708" i="3"/>
  <c r="I707" i="3"/>
  <c r="G714" i="4" s="1"/>
  <c r="F707" i="3"/>
  <c r="A707" i="3"/>
  <c r="I706" i="3"/>
  <c r="G713" i="4" s="1"/>
  <c r="F706" i="3"/>
  <c r="A706" i="3"/>
  <c r="I705" i="3"/>
  <c r="G712" i="4" s="1"/>
  <c r="F705" i="3"/>
  <c r="A705" i="3"/>
  <c r="I704" i="3"/>
  <c r="G711" i="4" s="1"/>
  <c r="F704" i="3"/>
  <c r="A704" i="3"/>
  <c r="I703" i="3"/>
  <c r="G710" i="4" s="1"/>
  <c r="F703" i="3"/>
  <c r="A703" i="3"/>
  <c r="I702" i="3"/>
  <c r="G709" i="4" s="1"/>
  <c r="F702" i="3"/>
  <c r="A702" i="3"/>
  <c r="I701" i="3"/>
  <c r="G708" i="4" s="1"/>
  <c r="F701" i="3"/>
  <c r="A701" i="3"/>
  <c r="I700" i="3"/>
  <c r="G707" i="4" s="1"/>
  <c r="F700" i="3"/>
  <c r="A700" i="3"/>
  <c r="I697" i="3"/>
  <c r="G704" i="4" s="1"/>
  <c r="F697" i="3"/>
  <c r="A697" i="3"/>
  <c r="K696" i="3"/>
  <c r="I696" i="3"/>
  <c r="G703" i="4" s="1"/>
  <c r="F696" i="3"/>
  <c r="A696" i="3"/>
  <c r="K695" i="3"/>
  <c r="I695" i="3"/>
  <c r="G702" i="4" s="1"/>
  <c r="F695" i="3"/>
  <c r="I694" i="3"/>
  <c r="G701" i="4" s="1"/>
  <c r="K694" i="3"/>
  <c r="F694" i="3"/>
  <c r="A694" i="3"/>
  <c r="K692" i="3"/>
  <c r="I692" i="3"/>
  <c r="G699" i="4" s="1"/>
  <c r="F692" i="3"/>
  <c r="A692" i="3"/>
  <c r="K691" i="3"/>
  <c r="I691" i="3"/>
  <c r="G698" i="4" s="1"/>
  <c r="F691" i="3"/>
  <c r="A691" i="3"/>
  <c r="K690" i="3"/>
  <c r="I690" i="3"/>
  <c r="G697" i="4" s="1"/>
  <c r="F690" i="3"/>
  <c r="A690" i="3"/>
  <c r="K689" i="3"/>
  <c r="I689" i="3"/>
  <c r="G696" i="4" s="1"/>
  <c r="F689" i="3"/>
  <c r="A689" i="3"/>
  <c r="K688" i="3"/>
  <c r="I688" i="3"/>
  <c r="G695" i="4" s="1"/>
  <c r="F688" i="3"/>
  <c r="A688" i="3"/>
  <c r="K687" i="3"/>
  <c r="I687" i="3"/>
  <c r="G694" i="4" s="1"/>
  <c r="F687" i="3"/>
  <c r="A687" i="3"/>
  <c r="K686" i="3"/>
  <c r="I686" i="3"/>
  <c r="G693" i="4" s="1"/>
  <c r="F686" i="3"/>
  <c r="A686" i="3"/>
  <c r="K685" i="3"/>
  <c r="I685" i="3"/>
  <c r="G692" i="4" s="1"/>
  <c r="F685" i="3"/>
  <c r="A685" i="3"/>
  <c r="K684" i="3"/>
  <c r="I684" i="3"/>
  <c r="G691" i="4" s="1"/>
  <c r="F684" i="3"/>
  <c r="A684" i="3"/>
  <c r="K683" i="3"/>
  <c r="I683" i="3"/>
  <c r="G690" i="4" s="1"/>
  <c r="F683" i="3"/>
  <c r="A683" i="3"/>
  <c r="K682" i="3"/>
  <c r="I682" i="3"/>
  <c r="G689" i="4" s="1"/>
  <c r="F682" i="3"/>
  <c r="A682" i="3"/>
  <c r="K681" i="3"/>
  <c r="I681" i="3"/>
  <c r="G688" i="4" s="1"/>
  <c r="F681" i="3"/>
  <c r="A681" i="3"/>
  <c r="K680" i="3"/>
  <c r="I680" i="3"/>
  <c r="G687" i="4" s="1"/>
  <c r="F680" i="3"/>
  <c r="A680" i="3"/>
  <c r="K679" i="3"/>
  <c r="I679" i="3"/>
  <c r="G686" i="4" s="1"/>
  <c r="F679" i="3"/>
  <c r="A679" i="3"/>
  <c r="K678" i="3"/>
  <c r="I678" i="3"/>
  <c r="G685" i="4" s="1"/>
  <c r="F678" i="3"/>
  <c r="A678" i="3"/>
  <c r="K677" i="3"/>
  <c r="I677" i="3"/>
  <c r="G684" i="4" s="1"/>
  <c r="F677" i="3"/>
  <c r="A677" i="3"/>
  <c r="K674" i="3"/>
  <c r="I674" i="3"/>
  <c r="G681" i="4" s="1"/>
  <c r="F674" i="3"/>
  <c r="A674" i="3"/>
  <c r="K673" i="3"/>
  <c r="I673" i="3"/>
  <c r="G680" i="4" s="1"/>
  <c r="F673" i="3"/>
  <c r="A673" i="3"/>
  <c r="K672" i="3"/>
  <c r="I672" i="3"/>
  <c r="G679" i="4" s="1"/>
  <c r="F672" i="3"/>
  <c r="A672" i="3"/>
  <c r="K671" i="3"/>
  <c r="I671" i="3"/>
  <c r="G678" i="4" s="1"/>
  <c r="F671" i="3"/>
  <c r="A671" i="3"/>
  <c r="K670" i="3"/>
  <c r="I670" i="3"/>
  <c r="G677" i="4" s="1"/>
  <c r="F670" i="3"/>
  <c r="A670" i="3"/>
  <c r="K669" i="3"/>
  <c r="I669" i="3"/>
  <c r="G676" i="4" s="1"/>
  <c r="F669" i="3"/>
  <c r="A669" i="3"/>
  <c r="K668" i="3"/>
  <c r="I668" i="3"/>
  <c r="G675" i="4" s="1"/>
  <c r="F668" i="3"/>
  <c r="A668" i="3"/>
  <c r="K665" i="3"/>
  <c r="I665" i="3"/>
  <c r="G672" i="4" s="1"/>
  <c r="F665" i="3"/>
  <c r="A665" i="3"/>
  <c r="K664" i="3"/>
  <c r="I664" i="3"/>
  <c r="G671" i="4" s="1"/>
  <c r="F664" i="3"/>
  <c r="A664" i="3"/>
  <c r="K663" i="3"/>
  <c r="I663" i="3"/>
  <c r="G670" i="4" s="1"/>
  <c r="F663" i="3"/>
  <c r="A663" i="3"/>
  <c r="K661" i="3"/>
  <c r="I661" i="3"/>
  <c r="G668" i="4" s="1"/>
  <c r="F661" i="3"/>
  <c r="A661" i="3"/>
  <c r="K660" i="3"/>
  <c r="I660" i="3"/>
  <c r="G667" i="4" s="1"/>
  <c r="F660" i="3"/>
  <c r="A660" i="3"/>
  <c r="K659" i="3"/>
  <c r="I659" i="3"/>
  <c r="G666" i="4" s="1"/>
  <c r="F659" i="3"/>
  <c r="A659" i="3"/>
  <c r="K658" i="3"/>
  <c r="I658" i="3"/>
  <c r="G665" i="4" s="1"/>
  <c r="F658" i="3"/>
  <c r="A658" i="3"/>
  <c r="K657" i="3"/>
  <c r="I657" i="3"/>
  <c r="G664" i="4" s="1"/>
  <c r="F657" i="3"/>
  <c r="A657" i="3"/>
  <c r="K656" i="3"/>
  <c r="I656" i="3"/>
  <c r="G663" i="4" s="1"/>
  <c r="F656" i="3"/>
  <c r="A656" i="3"/>
  <c r="K655" i="3"/>
  <c r="I655" i="3"/>
  <c r="G662" i="4" s="1"/>
  <c r="F655" i="3"/>
  <c r="A655" i="3"/>
  <c r="K654" i="3"/>
  <c r="I654" i="3"/>
  <c r="G661" i="4" s="1"/>
  <c r="F654" i="3"/>
  <c r="A654" i="3"/>
  <c r="K653" i="3"/>
  <c r="I653" i="3"/>
  <c r="G660" i="4" s="1"/>
  <c r="F653" i="3"/>
  <c r="A653" i="3"/>
  <c r="K652" i="3"/>
  <c r="I652" i="3"/>
  <c r="G659" i="4" s="1"/>
  <c r="F652" i="3"/>
  <c r="A652" i="3"/>
  <c r="K651" i="3"/>
  <c r="I651" i="3"/>
  <c r="G658" i="4" s="1"/>
  <c r="F651" i="3"/>
  <c r="A651" i="3"/>
  <c r="K650" i="3"/>
  <c r="I650" i="3"/>
  <c r="G657" i="4" s="1"/>
  <c r="F650" i="3"/>
  <c r="A650" i="3"/>
  <c r="K649" i="3"/>
  <c r="I649" i="3"/>
  <c r="G656" i="4" s="1"/>
  <c r="F649" i="3"/>
  <c r="A649" i="3"/>
  <c r="K648" i="3"/>
  <c r="I648" i="3"/>
  <c r="G655" i="4" s="1"/>
  <c r="F648" i="3"/>
  <c r="A648" i="3"/>
  <c r="K647" i="3"/>
  <c r="I647" i="3"/>
  <c r="G654" i="4" s="1"/>
  <c r="F647" i="3"/>
  <c r="A647" i="3"/>
  <c r="K646" i="3"/>
  <c r="I646" i="3"/>
  <c r="G653" i="4" s="1"/>
  <c r="F646" i="3"/>
  <c r="A646" i="3"/>
  <c r="K645" i="3"/>
  <c r="I645" i="3"/>
  <c r="G652" i="4" s="1"/>
  <c r="F645" i="3"/>
  <c r="A645" i="3"/>
  <c r="K644" i="3"/>
  <c r="I644" i="3"/>
  <c r="G651" i="4" s="1"/>
  <c r="F644" i="3"/>
  <c r="A644" i="3"/>
  <c r="K643" i="3"/>
  <c r="I643" i="3"/>
  <c r="G650" i="4" s="1"/>
  <c r="F643" i="3"/>
  <c r="A643" i="3"/>
  <c r="K642" i="3"/>
  <c r="I642" i="3"/>
  <c r="G649" i="4" s="1"/>
  <c r="F642" i="3"/>
  <c r="A642" i="3"/>
  <c r="K641" i="3"/>
  <c r="I641" i="3"/>
  <c r="G648" i="4" s="1"/>
  <c r="F641" i="3"/>
  <c r="A641" i="3"/>
  <c r="K640" i="3"/>
  <c r="I640" i="3"/>
  <c r="G647" i="4" s="1"/>
  <c r="F640" i="3"/>
  <c r="A640" i="3"/>
  <c r="K639" i="3"/>
  <c r="I639" i="3"/>
  <c r="G646" i="4" s="1"/>
  <c r="F639" i="3"/>
  <c r="A639" i="3"/>
  <c r="K638" i="3"/>
  <c r="I638" i="3"/>
  <c r="G645" i="4" s="1"/>
  <c r="F638" i="3"/>
  <c r="A638" i="3"/>
  <c r="K637" i="3"/>
  <c r="I637" i="3"/>
  <c r="G644" i="4" s="1"/>
  <c r="F637" i="3"/>
  <c r="A637" i="3"/>
  <c r="K636" i="3"/>
  <c r="I636" i="3"/>
  <c r="G643" i="4" s="1"/>
  <c r="F636" i="3"/>
  <c r="A636" i="3"/>
  <c r="K635" i="3"/>
  <c r="I635" i="3"/>
  <c r="G642" i="4" s="1"/>
  <c r="F635" i="3"/>
  <c r="A635" i="3"/>
  <c r="K634" i="3"/>
  <c r="I634" i="3"/>
  <c r="G641" i="4" s="1"/>
  <c r="F634" i="3"/>
  <c r="A634" i="3"/>
  <c r="K633" i="3"/>
  <c r="I633" i="3"/>
  <c r="G640" i="4" s="1"/>
  <c r="F633" i="3"/>
  <c r="A633" i="3"/>
  <c r="K632" i="3"/>
  <c r="I632" i="3"/>
  <c r="G639" i="4" s="1"/>
  <c r="F632" i="3"/>
  <c r="A632" i="3"/>
  <c r="K631" i="3"/>
  <c r="I631" i="3"/>
  <c r="G638" i="4" s="1"/>
  <c r="F631" i="3"/>
  <c r="A631" i="3"/>
  <c r="K630" i="3"/>
  <c r="I630" i="3"/>
  <c r="G637" i="4" s="1"/>
  <c r="F630" i="3"/>
  <c r="A630" i="3"/>
  <c r="K629" i="3"/>
  <c r="I629" i="3"/>
  <c r="G636" i="4" s="1"/>
  <c r="F629" i="3"/>
  <c r="A629" i="3"/>
  <c r="K628" i="3"/>
  <c r="I628" i="3"/>
  <c r="G635" i="4" s="1"/>
  <c r="F628" i="3"/>
  <c r="A628" i="3"/>
  <c r="K627" i="3"/>
  <c r="I627" i="3"/>
  <c r="G634" i="4" s="1"/>
  <c r="F627" i="3"/>
  <c r="A627" i="3"/>
  <c r="K626" i="3"/>
  <c r="I626" i="3"/>
  <c r="G633" i="4" s="1"/>
  <c r="F626" i="3"/>
  <c r="A626" i="3"/>
  <c r="K625" i="3"/>
  <c r="I625" i="3"/>
  <c r="G632" i="4" s="1"/>
  <c r="F625" i="3"/>
  <c r="A625" i="3"/>
  <c r="K624" i="3"/>
  <c r="I624" i="3"/>
  <c r="G631" i="4" s="1"/>
  <c r="F624" i="3"/>
  <c r="A624" i="3"/>
  <c r="K623" i="3"/>
  <c r="I623" i="3"/>
  <c r="G630" i="4" s="1"/>
  <c r="F623" i="3"/>
  <c r="A623" i="3"/>
  <c r="K622" i="3"/>
  <c r="I622" i="3"/>
  <c r="G629" i="4" s="1"/>
  <c r="F622" i="3"/>
  <c r="A622" i="3"/>
  <c r="K621" i="3"/>
  <c r="I621" i="3"/>
  <c r="G628" i="4" s="1"/>
  <c r="F621" i="3"/>
  <c r="A621" i="3"/>
  <c r="K620" i="3"/>
  <c r="I620" i="3"/>
  <c r="G627" i="4" s="1"/>
  <c r="F620" i="3"/>
  <c r="A620" i="3"/>
  <c r="K619" i="3"/>
  <c r="I619" i="3"/>
  <c r="G626" i="4" s="1"/>
  <c r="F619" i="3"/>
  <c r="A619" i="3"/>
  <c r="K618" i="3"/>
  <c r="I618" i="3"/>
  <c r="G625" i="4" s="1"/>
  <c r="F618" i="3"/>
  <c r="A618" i="3"/>
  <c r="K617" i="3"/>
  <c r="I617" i="3"/>
  <c r="G624" i="4" s="1"/>
  <c r="F617" i="3"/>
  <c r="A617" i="3"/>
  <c r="K615" i="3"/>
  <c r="I615" i="3"/>
  <c r="G622" i="4" s="1"/>
  <c r="F615" i="3"/>
  <c r="A615" i="3"/>
  <c r="K614" i="3"/>
  <c r="I614" i="3"/>
  <c r="G621" i="4" s="1"/>
  <c r="F614" i="3"/>
  <c r="A614" i="3"/>
  <c r="K612" i="3"/>
  <c r="I612" i="3"/>
  <c r="G619" i="4" s="1"/>
  <c r="F612" i="3"/>
  <c r="A612" i="3"/>
  <c r="K611" i="3"/>
  <c r="I611" i="3"/>
  <c r="G618" i="4" s="1"/>
  <c r="F611" i="3"/>
  <c r="A611" i="3"/>
  <c r="K609" i="3"/>
  <c r="I609" i="3"/>
  <c r="G616" i="4" s="1"/>
  <c r="F609" i="3"/>
  <c r="A609" i="3"/>
  <c r="K608" i="3"/>
  <c r="I608" i="3"/>
  <c r="G615" i="4" s="1"/>
  <c r="F608" i="3"/>
  <c r="A608" i="3"/>
  <c r="K606" i="3"/>
  <c r="I606" i="3"/>
  <c r="G613" i="4" s="1"/>
  <c r="F606" i="3"/>
  <c r="A606" i="3"/>
  <c r="K605" i="3"/>
  <c r="I605" i="3"/>
  <c r="G612" i="4" s="1"/>
  <c r="F605" i="3"/>
  <c r="A605" i="3"/>
  <c r="K604" i="3"/>
  <c r="I604" i="3"/>
  <c r="G611" i="4" s="1"/>
  <c r="F604" i="3"/>
  <c r="A604" i="3"/>
  <c r="K603" i="3"/>
  <c r="I603" i="3"/>
  <c r="G610" i="4" s="1"/>
  <c r="F603" i="3"/>
  <c r="A603" i="3"/>
  <c r="K602" i="3"/>
  <c r="I602" i="3"/>
  <c r="G609" i="4" s="1"/>
  <c r="F602" i="3"/>
  <c r="A602" i="3"/>
  <c r="K601" i="3"/>
  <c r="I601" i="3"/>
  <c r="G608" i="4" s="1"/>
  <c r="F601" i="3"/>
  <c r="A601" i="3"/>
  <c r="K600" i="3"/>
  <c r="I600" i="3"/>
  <c r="G607" i="4" s="1"/>
  <c r="F600" i="3"/>
  <c r="A600" i="3"/>
  <c r="K599" i="3"/>
  <c r="I599" i="3"/>
  <c r="G606" i="4" s="1"/>
  <c r="F599" i="3"/>
  <c r="A599" i="3"/>
  <c r="K598" i="3"/>
  <c r="I598" i="3"/>
  <c r="G605" i="4" s="1"/>
  <c r="F598" i="3"/>
  <c r="A598" i="3"/>
  <c r="K597" i="3"/>
  <c r="I597" i="3"/>
  <c r="G604" i="4" s="1"/>
  <c r="F597" i="3"/>
  <c r="A597" i="3"/>
  <c r="K596" i="3"/>
  <c r="I596" i="3"/>
  <c r="G603" i="4" s="1"/>
  <c r="F596" i="3"/>
  <c r="A596" i="3"/>
  <c r="K594" i="3"/>
  <c r="I594" i="3"/>
  <c r="G601" i="4" s="1"/>
  <c r="F594" i="3"/>
  <c r="A594" i="3"/>
  <c r="K593" i="3"/>
  <c r="I593" i="3"/>
  <c r="G600" i="4" s="1"/>
  <c r="F593" i="3"/>
  <c r="A593" i="3"/>
  <c r="K592" i="3"/>
  <c r="I592" i="3"/>
  <c r="G599" i="4" s="1"/>
  <c r="F592" i="3"/>
  <c r="A592" i="3"/>
  <c r="K591" i="3"/>
  <c r="I591" i="3"/>
  <c r="G598" i="4" s="1"/>
  <c r="F591" i="3"/>
  <c r="A591" i="3"/>
  <c r="K590" i="3"/>
  <c r="I590" i="3"/>
  <c r="G597" i="4" s="1"/>
  <c r="F590" i="3"/>
  <c r="A590" i="3"/>
  <c r="K589" i="3"/>
  <c r="I589" i="3"/>
  <c r="G596" i="4" s="1"/>
  <c r="F589" i="3"/>
  <c r="A589" i="3"/>
  <c r="K588" i="3"/>
  <c r="I588" i="3"/>
  <c r="G595" i="4" s="1"/>
  <c r="F588" i="3"/>
  <c r="A588" i="3"/>
  <c r="K587" i="3"/>
  <c r="I587" i="3"/>
  <c r="G594" i="4" s="1"/>
  <c r="F587" i="3"/>
  <c r="A587" i="3"/>
  <c r="K586" i="3"/>
  <c r="I586" i="3"/>
  <c r="G593" i="4" s="1"/>
  <c r="F586" i="3"/>
  <c r="A586" i="3"/>
  <c r="K585" i="3"/>
  <c r="I585" i="3"/>
  <c r="G592" i="4" s="1"/>
  <c r="F585" i="3"/>
  <c r="A585" i="3"/>
  <c r="K584" i="3"/>
  <c r="I584" i="3"/>
  <c r="G591" i="4" s="1"/>
  <c r="F584" i="3"/>
  <c r="A584" i="3"/>
  <c r="K583" i="3"/>
  <c r="I583" i="3"/>
  <c r="G590" i="4" s="1"/>
  <c r="F583" i="3"/>
  <c r="A583" i="3"/>
  <c r="K582" i="3"/>
  <c r="I582" i="3"/>
  <c r="G589" i="4" s="1"/>
  <c r="F582" i="3"/>
  <c r="A582" i="3"/>
  <c r="K581" i="3"/>
  <c r="I581" i="3"/>
  <c r="G588" i="4" s="1"/>
  <c r="F581" i="3"/>
  <c r="A581" i="3"/>
  <c r="K580" i="3"/>
  <c r="I580" i="3"/>
  <c r="G587" i="4" s="1"/>
  <c r="F580" i="3"/>
  <c r="A580" i="3"/>
  <c r="K579" i="3"/>
  <c r="I579" i="3"/>
  <c r="G586" i="4" s="1"/>
  <c r="F579" i="3"/>
  <c r="A579" i="3"/>
  <c r="K578" i="3"/>
  <c r="I578" i="3"/>
  <c r="G585" i="4" s="1"/>
  <c r="F578" i="3"/>
  <c r="A578" i="3"/>
  <c r="K577" i="3"/>
  <c r="I577" i="3"/>
  <c r="G584" i="4" s="1"/>
  <c r="F577" i="3"/>
  <c r="A577" i="3"/>
  <c r="K576" i="3"/>
  <c r="I576" i="3"/>
  <c r="G583" i="4" s="1"/>
  <c r="F576" i="3"/>
  <c r="A576" i="3"/>
  <c r="K575" i="3"/>
  <c r="I575" i="3"/>
  <c r="G582" i="4" s="1"/>
  <c r="F575" i="3"/>
  <c r="A575" i="3"/>
  <c r="K574" i="3"/>
  <c r="I574" i="3"/>
  <c r="G581" i="4" s="1"/>
  <c r="F574" i="3"/>
  <c r="A574" i="3"/>
  <c r="K573" i="3"/>
  <c r="I573" i="3"/>
  <c r="G580" i="4" s="1"/>
  <c r="F573" i="3"/>
  <c r="A573" i="3"/>
  <c r="K572" i="3"/>
  <c r="I572" i="3"/>
  <c r="G579" i="4" s="1"/>
  <c r="F572" i="3"/>
  <c r="A572" i="3"/>
  <c r="K571" i="3"/>
  <c r="I571" i="3"/>
  <c r="G578" i="4" s="1"/>
  <c r="F571" i="3"/>
  <c r="A571" i="3"/>
  <c r="K570" i="3"/>
  <c r="I570" i="3"/>
  <c r="G577" i="4" s="1"/>
  <c r="F570" i="3"/>
  <c r="A570" i="3"/>
  <c r="K569" i="3"/>
  <c r="I569" i="3"/>
  <c r="G576" i="4" s="1"/>
  <c r="F569" i="3"/>
  <c r="A569" i="3"/>
  <c r="K568" i="3"/>
  <c r="I568" i="3"/>
  <c r="G575" i="4" s="1"/>
  <c r="F568" i="3"/>
  <c r="A568" i="3"/>
  <c r="K567" i="3"/>
  <c r="I567" i="3"/>
  <c r="G574" i="4" s="1"/>
  <c r="F567" i="3"/>
  <c r="A567" i="3"/>
  <c r="K566" i="3"/>
  <c r="I566" i="3"/>
  <c r="G573" i="4" s="1"/>
  <c r="F566" i="3"/>
  <c r="A566" i="3"/>
  <c r="K565" i="3"/>
  <c r="I565" i="3"/>
  <c r="G572" i="4" s="1"/>
  <c r="F565" i="3"/>
  <c r="A565" i="3"/>
  <c r="K564" i="3"/>
  <c r="I564" i="3"/>
  <c r="G571" i="4" s="1"/>
  <c r="F564" i="3"/>
  <c r="A564" i="3"/>
  <c r="K563" i="3"/>
  <c r="I563" i="3"/>
  <c r="G570" i="4" s="1"/>
  <c r="F563" i="3"/>
  <c r="A563" i="3"/>
  <c r="K562" i="3"/>
  <c r="I562" i="3"/>
  <c r="G569" i="4" s="1"/>
  <c r="F562" i="3"/>
  <c r="A562" i="3"/>
  <c r="K561" i="3"/>
  <c r="I561" i="3"/>
  <c r="G568" i="4" s="1"/>
  <c r="F561" i="3"/>
  <c r="A561" i="3"/>
  <c r="K560" i="3"/>
  <c r="I560" i="3"/>
  <c r="G567" i="4" s="1"/>
  <c r="F560" i="3"/>
  <c r="A560" i="3"/>
  <c r="K559" i="3"/>
  <c r="I559" i="3"/>
  <c r="G566" i="4" s="1"/>
  <c r="F559" i="3"/>
  <c r="A559" i="3"/>
  <c r="K558" i="3"/>
  <c r="I558" i="3"/>
  <c r="G565" i="4" s="1"/>
  <c r="F558" i="3"/>
  <c r="A558" i="3"/>
  <c r="K557" i="3"/>
  <c r="I557" i="3"/>
  <c r="G564" i="4" s="1"/>
  <c r="F557" i="3"/>
  <c r="A557" i="3"/>
  <c r="K556" i="3"/>
  <c r="I556" i="3"/>
  <c r="G563" i="4" s="1"/>
  <c r="F556" i="3"/>
  <c r="A556" i="3"/>
  <c r="K555" i="3"/>
  <c r="I555" i="3"/>
  <c r="G562" i="4" s="1"/>
  <c r="F555" i="3"/>
  <c r="A555" i="3"/>
  <c r="K554" i="3"/>
  <c r="I554" i="3"/>
  <c r="G561" i="4" s="1"/>
  <c r="F554" i="3"/>
  <c r="A554" i="3"/>
  <c r="K553" i="3"/>
  <c r="I553" i="3"/>
  <c r="G560" i="4" s="1"/>
  <c r="F553" i="3"/>
  <c r="A553" i="3"/>
  <c r="K552" i="3"/>
  <c r="I552" i="3"/>
  <c r="G559" i="4" s="1"/>
  <c r="F552" i="3"/>
  <c r="A552" i="3"/>
  <c r="K551" i="3"/>
  <c r="I551" i="3"/>
  <c r="G558" i="4" s="1"/>
  <c r="F551" i="3"/>
  <c r="A551" i="3"/>
  <c r="K550" i="3"/>
  <c r="I550" i="3"/>
  <c r="G557" i="4" s="1"/>
  <c r="F550" i="3"/>
  <c r="A550" i="3"/>
  <c r="K549" i="3"/>
  <c r="I549" i="3"/>
  <c r="G556" i="4" s="1"/>
  <c r="F549" i="3"/>
  <c r="A549" i="3"/>
  <c r="K548" i="3"/>
  <c r="I548" i="3"/>
  <c r="G555" i="4" s="1"/>
  <c r="F548" i="3"/>
  <c r="A548" i="3"/>
  <c r="K547" i="3"/>
  <c r="I547" i="3"/>
  <c r="G554" i="4" s="1"/>
  <c r="F547" i="3"/>
  <c r="A547" i="3"/>
  <c r="K546" i="3"/>
  <c r="I546" i="3"/>
  <c r="G553" i="4" s="1"/>
  <c r="F546" i="3"/>
  <c r="A546" i="3"/>
  <c r="K545" i="3"/>
  <c r="I545" i="3"/>
  <c r="G552" i="4" s="1"/>
  <c r="F545" i="3"/>
  <c r="A545" i="3"/>
  <c r="K544" i="3"/>
  <c r="I544" i="3"/>
  <c r="G551" i="4" s="1"/>
  <c r="F544" i="3"/>
  <c r="A544" i="3"/>
  <c r="K543" i="3"/>
  <c r="I543" i="3"/>
  <c r="G550" i="4" s="1"/>
  <c r="F543" i="3"/>
  <c r="A543" i="3"/>
  <c r="K542" i="3"/>
  <c r="I542" i="3"/>
  <c r="G549" i="4" s="1"/>
  <c r="F542" i="3"/>
  <c r="A542" i="3"/>
  <c r="K541" i="3"/>
  <c r="I541" i="3"/>
  <c r="G548" i="4" s="1"/>
  <c r="F541" i="3"/>
  <c r="A541" i="3"/>
  <c r="K540" i="3"/>
  <c r="I540" i="3"/>
  <c r="G547" i="4" s="1"/>
  <c r="F540" i="3"/>
  <c r="A540" i="3"/>
  <c r="K539" i="3"/>
  <c r="I539" i="3"/>
  <c r="G546" i="4" s="1"/>
  <c r="F539" i="3"/>
  <c r="A539" i="3"/>
  <c r="K538" i="3"/>
  <c r="I538" i="3"/>
  <c r="G545" i="4" s="1"/>
  <c r="F538" i="3"/>
  <c r="A538" i="3"/>
  <c r="K537" i="3"/>
  <c r="I537" i="3"/>
  <c r="G544" i="4" s="1"/>
  <c r="F537" i="3"/>
  <c r="A537" i="3"/>
  <c r="K536" i="3"/>
  <c r="I536" i="3"/>
  <c r="G543" i="4" s="1"/>
  <c r="F536" i="3"/>
  <c r="A536" i="3"/>
  <c r="K535" i="3"/>
  <c r="I535" i="3"/>
  <c r="G542" i="4" s="1"/>
  <c r="F535" i="3"/>
  <c r="A535" i="3"/>
  <c r="K534" i="3"/>
  <c r="I534" i="3"/>
  <c r="G541" i="4" s="1"/>
  <c r="F534" i="3"/>
  <c r="A534" i="3"/>
  <c r="K533" i="3"/>
  <c r="I533" i="3"/>
  <c r="G540" i="4" s="1"/>
  <c r="F533" i="3"/>
  <c r="A533" i="3"/>
  <c r="K532" i="3"/>
  <c r="I532" i="3"/>
  <c r="G539" i="4" s="1"/>
  <c r="F532" i="3"/>
  <c r="A532" i="3"/>
  <c r="K531" i="3"/>
  <c r="I531" i="3"/>
  <c r="G538" i="4" s="1"/>
  <c r="F531" i="3"/>
  <c r="A531" i="3"/>
  <c r="K530" i="3"/>
  <c r="I530" i="3"/>
  <c r="G537" i="4" s="1"/>
  <c r="F530" i="3"/>
  <c r="A530" i="3"/>
  <c r="K529" i="3"/>
  <c r="I529" i="3"/>
  <c r="G536" i="4" s="1"/>
  <c r="F529" i="3"/>
  <c r="A529" i="3"/>
  <c r="K528" i="3"/>
  <c r="I528" i="3"/>
  <c r="G535" i="4" s="1"/>
  <c r="F528" i="3"/>
  <c r="A528" i="3"/>
  <c r="K527" i="3"/>
  <c r="I527" i="3"/>
  <c r="G534" i="4" s="1"/>
  <c r="F527" i="3"/>
  <c r="A527" i="3"/>
  <c r="K526" i="3"/>
  <c r="I526" i="3"/>
  <c r="G533" i="4" s="1"/>
  <c r="F526" i="3"/>
  <c r="A526" i="3"/>
  <c r="K525" i="3"/>
  <c r="I525" i="3"/>
  <c r="G532" i="4" s="1"/>
  <c r="F525" i="3"/>
  <c r="A525" i="3"/>
  <c r="K523" i="3"/>
  <c r="I523" i="3"/>
  <c r="G530" i="4" s="1"/>
  <c r="F523" i="3"/>
  <c r="A523" i="3"/>
  <c r="K522" i="3"/>
  <c r="I522" i="3"/>
  <c r="G529" i="4" s="1"/>
  <c r="F522" i="3"/>
  <c r="A522" i="3"/>
  <c r="K521" i="3"/>
  <c r="I521" i="3"/>
  <c r="G528" i="4" s="1"/>
  <c r="F521" i="3"/>
  <c r="A521" i="3"/>
  <c r="K520" i="3"/>
  <c r="I520" i="3"/>
  <c r="G527" i="4" s="1"/>
  <c r="F520" i="3"/>
  <c r="A520" i="3"/>
  <c r="K519" i="3"/>
  <c r="I519" i="3"/>
  <c r="G526" i="4" s="1"/>
  <c r="F519" i="3"/>
  <c r="A519" i="3"/>
  <c r="K517" i="3"/>
  <c r="I517" i="3"/>
  <c r="G524" i="4" s="1"/>
  <c r="F517" i="3"/>
  <c r="A517" i="3"/>
  <c r="K516" i="3"/>
  <c r="I516" i="3"/>
  <c r="G523" i="4" s="1"/>
  <c r="F516" i="3"/>
  <c r="A516" i="3"/>
  <c r="K515" i="3"/>
  <c r="I515" i="3"/>
  <c r="G522" i="4" s="1"/>
  <c r="F515" i="3"/>
  <c r="A515" i="3"/>
  <c r="K514" i="3"/>
  <c r="I514" i="3"/>
  <c r="G521" i="4" s="1"/>
  <c r="F514" i="3"/>
  <c r="A514" i="3"/>
  <c r="K513" i="3"/>
  <c r="I513" i="3"/>
  <c r="G520" i="4" s="1"/>
  <c r="F513" i="3"/>
  <c r="A513" i="3"/>
  <c r="K512" i="3"/>
  <c r="I512" i="3"/>
  <c r="G519" i="4" s="1"/>
  <c r="F512" i="3"/>
  <c r="A512" i="3"/>
  <c r="K511" i="3"/>
  <c r="I511" i="3"/>
  <c r="G518" i="4" s="1"/>
  <c r="F511" i="3"/>
  <c r="A511" i="3"/>
  <c r="K510" i="3"/>
  <c r="I510" i="3"/>
  <c r="G517" i="4" s="1"/>
  <c r="F510" i="3"/>
  <c r="A510" i="3"/>
  <c r="K509" i="3"/>
  <c r="I509" i="3"/>
  <c r="G516" i="4" s="1"/>
  <c r="F509" i="3"/>
  <c r="A509" i="3"/>
  <c r="K505" i="3"/>
  <c r="I505" i="3"/>
  <c r="G512" i="4" s="1"/>
  <c r="F505" i="3"/>
  <c r="A505" i="3"/>
  <c r="K504" i="3"/>
  <c r="I504" i="3"/>
  <c r="G511" i="4" s="1"/>
  <c r="F504" i="3"/>
  <c r="A504" i="3"/>
  <c r="K503" i="3"/>
  <c r="I503" i="3"/>
  <c r="G510" i="4" s="1"/>
  <c r="F503" i="3"/>
  <c r="A503" i="3"/>
  <c r="K501" i="3"/>
  <c r="I501" i="3"/>
  <c r="G508" i="4" s="1"/>
  <c r="F501" i="3"/>
  <c r="A501" i="3"/>
  <c r="K500" i="3"/>
  <c r="I500" i="3"/>
  <c r="G507" i="4" s="1"/>
  <c r="F500" i="3"/>
  <c r="A500" i="3"/>
  <c r="K499" i="3"/>
  <c r="I499" i="3"/>
  <c r="G506" i="4" s="1"/>
  <c r="F499" i="3"/>
  <c r="A499" i="3"/>
  <c r="K496" i="3"/>
  <c r="I496" i="3"/>
  <c r="G503" i="4" s="1"/>
  <c r="F496" i="3"/>
  <c r="A496" i="3"/>
  <c r="K495" i="3"/>
  <c r="I495" i="3"/>
  <c r="G502" i="4" s="1"/>
  <c r="F495" i="3"/>
  <c r="A495" i="3"/>
  <c r="K494" i="3"/>
  <c r="I494" i="3"/>
  <c r="G501" i="4" s="1"/>
  <c r="F494" i="3"/>
  <c r="A494" i="3"/>
  <c r="K493" i="3"/>
  <c r="I493" i="3"/>
  <c r="G500" i="4" s="1"/>
  <c r="F493" i="3"/>
  <c r="A493" i="3"/>
  <c r="K492" i="3"/>
  <c r="I492" i="3"/>
  <c r="G499" i="4" s="1"/>
  <c r="F492" i="3"/>
  <c r="A492" i="3"/>
  <c r="K491" i="3"/>
  <c r="I491" i="3"/>
  <c r="G498" i="4" s="1"/>
  <c r="F491" i="3"/>
  <c r="A491" i="3"/>
  <c r="K490" i="3"/>
  <c r="I490" i="3"/>
  <c r="G497" i="4" s="1"/>
  <c r="F490" i="3"/>
  <c r="A490" i="3"/>
  <c r="K489" i="3"/>
  <c r="I489" i="3"/>
  <c r="G496" i="4" s="1"/>
  <c r="F489" i="3"/>
  <c r="A489" i="3"/>
  <c r="K488" i="3"/>
  <c r="I488" i="3"/>
  <c r="G495" i="4" s="1"/>
  <c r="F488" i="3"/>
  <c r="A488" i="3"/>
  <c r="K487" i="3"/>
  <c r="I487" i="3"/>
  <c r="G494" i="4" s="1"/>
  <c r="F487" i="3"/>
  <c r="A487" i="3"/>
  <c r="K486" i="3"/>
  <c r="I486" i="3"/>
  <c r="G493" i="4" s="1"/>
  <c r="F486" i="3"/>
  <c r="A486" i="3"/>
  <c r="K485" i="3"/>
  <c r="I485" i="3"/>
  <c r="G492" i="4" s="1"/>
  <c r="F485" i="3"/>
  <c r="A485" i="3"/>
  <c r="K484" i="3"/>
  <c r="I484" i="3"/>
  <c r="G491" i="4" s="1"/>
  <c r="F484" i="3"/>
  <c r="A484" i="3"/>
  <c r="K483" i="3"/>
  <c r="I483" i="3"/>
  <c r="G490" i="4" s="1"/>
  <c r="F483" i="3"/>
  <c r="A483" i="3"/>
  <c r="K482" i="3"/>
  <c r="I482" i="3"/>
  <c r="G489" i="4" s="1"/>
  <c r="F482" i="3"/>
  <c r="A482" i="3"/>
  <c r="K481" i="3"/>
  <c r="I481" i="3"/>
  <c r="G488" i="4" s="1"/>
  <c r="F481" i="3"/>
  <c r="A481" i="3"/>
  <c r="K480" i="3"/>
  <c r="I480" i="3"/>
  <c r="G487" i="4" s="1"/>
  <c r="F480" i="3"/>
  <c r="A480" i="3"/>
  <c r="K479" i="3"/>
  <c r="I479" i="3"/>
  <c r="G486" i="4" s="1"/>
  <c r="F479" i="3"/>
  <c r="A479" i="3"/>
  <c r="K478" i="3"/>
  <c r="I478" i="3"/>
  <c r="G485" i="4" s="1"/>
  <c r="F478" i="3"/>
  <c r="A478" i="3"/>
  <c r="K477" i="3"/>
  <c r="I477" i="3"/>
  <c r="G484" i="4" s="1"/>
  <c r="F477" i="3"/>
  <c r="A477" i="3"/>
  <c r="K476" i="3"/>
  <c r="I476" i="3"/>
  <c r="G483" i="4" s="1"/>
  <c r="F476" i="3"/>
  <c r="A476" i="3"/>
  <c r="K475" i="3"/>
  <c r="I475" i="3"/>
  <c r="G482" i="4" s="1"/>
  <c r="F475" i="3"/>
  <c r="A475" i="3"/>
  <c r="K474" i="3"/>
  <c r="I474" i="3"/>
  <c r="G481" i="4" s="1"/>
  <c r="F474" i="3"/>
  <c r="A474" i="3"/>
  <c r="K473" i="3"/>
  <c r="I473" i="3"/>
  <c r="G480" i="4" s="1"/>
  <c r="F473" i="3"/>
  <c r="A473" i="3"/>
  <c r="K472" i="3"/>
  <c r="I472" i="3"/>
  <c r="G479" i="4" s="1"/>
  <c r="F472" i="3"/>
  <c r="A472" i="3"/>
  <c r="K471" i="3"/>
  <c r="I471" i="3"/>
  <c r="G478" i="4" s="1"/>
  <c r="F471" i="3"/>
  <c r="A471" i="3"/>
  <c r="K470" i="3"/>
  <c r="I470" i="3"/>
  <c r="G477" i="4" s="1"/>
  <c r="F470" i="3"/>
  <c r="A470" i="3"/>
  <c r="K468" i="3"/>
  <c r="I468" i="3"/>
  <c r="G475" i="4" s="1"/>
  <c r="F468" i="3"/>
  <c r="A468" i="3"/>
  <c r="K467" i="3"/>
  <c r="I467" i="3"/>
  <c r="G474" i="4" s="1"/>
  <c r="F467" i="3"/>
  <c r="A467" i="3"/>
  <c r="K466" i="3"/>
  <c r="I466" i="3"/>
  <c r="G473" i="4" s="1"/>
  <c r="F466" i="3"/>
  <c r="A466" i="3"/>
  <c r="K465" i="3"/>
  <c r="I465" i="3"/>
  <c r="G472" i="4" s="1"/>
  <c r="F465" i="3"/>
  <c r="A465" i="3"/>
  <c r="K464" i="3"/>
  <c r="I464" i="3"/>
  <c r="G471" i="4" s="1"/>
  <c r="F464" i="3"/>
  <c r="A464" i="3"/>
  <c r="K462" i="3"/>
  <c r="I462" i="3"/>
  <c r="G469" i="4" s="1"/>
  <c r="F462" i="3"/>
  <c r="A462" i="3"/>
  <c r="K460" i="3"/>
  <c r="I460" i="3"/>
  <c r="G467" i="4" s="1"/>
  <c r="F460" i="3"/>
  <c r="A460" i="3"/>
  <c r="K459" i="3"/>
  <c r="I459" i="3"/>
  <c r="G466" i="4" s="1"/>
  <c r="F459" i="3"/>
  <c r="A459" i="3"/>
  <c r="K458" i="3"/>
  <c r="I458" i="3"/>
  <c r="G465" i="4" s="1"/>
  <c r="F458" i="3"/>
  <c r="A458" i="3"/>
  <c r="K456" i="3"/>
  <c r="I456" i="3"/>
  <c r="G463" i="4" s="1"/>
  <c r="F456" i="3"/>
  <c r="A456" i="3"/>
  <c r="K455" i="3"/>
  <c r="I455" i="3"/>
  <c r="G462" i="4" s="1"/>
  <c r="F455" i="3"/>
  <c r="A455" i="3"/>
  <c r="K454" i="3"/>
  <c r="I454" i="3"/>
  <c r="G461" i="4" s="1"/>
  <c r="F454" i="3"/>
  <c r="A454" i="3"/>
  <c r="K453" i="3"/>
  <c r="I453" i="3"/>
  <c r="G460" i="4" s="1"/>
  <c r="F453" i="3"/>
  <c r="A453" i="3"/>
  <c r="K452" i="3"/>
  <c r="I452" i="3"/>
  <c r="G459" i="4" s="1"/>
  <c r="F452" i="3"/>
  <c r="A452" i="3"/>
  <c r="K451" i="3"/>
  <c r="I451" i="3"/>
  <c r="G458" i="4" s="1"/>
  <c r="F451" i="3"/>
  <c r="A451" i="3"/>
  <c r="K450" i="3"/>
  <c r="I450" i="3"/>
  <c r="G457" i="4" s="1"/>
  <c r="F450" i="3"/>
  <c r="A450" i="3"/>
  <c r="K449" i="3"/>
  <c r="I449" i="3"/>
  <c r="G456" i="4" s="1"/>
  <c r="F449" i="3"/>
  <c r="A449" i="3"/>
  <c r="K448" i="3"/>
  <c r="I448" i="3"/>
  <c r="G455" i="4" s="1"/>
  <c r="F448" i="3"/>
  <c r="A448" i="3"/>
  <c r="K447" i="3"/>
  <c r="I447" i="3"/>
  <c r="G454" i="4" s="1"/>
  <c r="F447" i="3"/>
  <c r="A447" i="3"/>
  <c r="K446" i="3"/>
  <c r="I446" i="3"/>
  <c r="G453" i="4" s="1"/>
  <c r="F446" i="3"/>
  <c r="A446" i="3"/>
  <c r="K445" i="3"/>
  <c r="I445" i="3"/>
  <c r="G452" i="4" s="1"/>
  <c r="F445" i="3"/>
  <c r="A445" i="3"/>
  <c r="K442" i="3"/>
  <c r="I442" i="3"/>
  <c r="G449" i="4" s="1"/>
  <c r="F442" i="3"/>
  <c r="A442" i="3"/>
  <c r="K440" i="3"/>
  <c r="I440" i="3"/>
  <c r="G447" i="4" s="1"/>
  <c r="F440" i="3"/>
  <c r="K438" i="3"/>
  <c r="I438" i="3"/>
  <c r="G445" i="4" s="1"/>
  <c r="F438" i="3"/>
  <c r="K437" i="3"/>
  <c r="I437" i="3"/>
  <c r="G444" i="4" s="1"/>
  <c r="F437" i="3"/>
  <c r="K436" i="3"/>
  <c r="I436" i="3"/>
  <c r="G443" i="4" s="1"/>
  <c r="F436" i="3"/>
  <c r="K434" i="3"/>
  <c r="I434" i="3"/>
  <c r="G441" i="4" s="1"/>
  <c r="F434" i="3"/>
  <c r="K433" i="3"/>
  <c r="I433" i="3"/>
  <c r="G440" i="4" s="1"/>
  <c r="F433" i="3"/>
  <c r="K432" i="3"/>
  <c r="I432" i="3"/>
  <c r="G439" i="4" s="1"/>
  <c r="F432" i="3"/>
  <c r="K431" i="3"/>
  <c r="I431" i="3"/>
  <c r="G438" i="4" s="1"/>
  <c r="F431" i="3"/>
  <c r="K430" i="3"/>
  <c r="I430" i="3"/>
  <c r="G437" i="4" s="1"/>
  <c r="F430" i="3"/>
  <c r="K429" i="3"/>
  <c r="I429" i="3"/>
  <c r="G436" i="4" s="1"/>
  <c r="F429" i="3"/>
  <c r="K428" i="3"/>
  <c r="I428" i="3"/>
  <c r="G435" i="4" s="1"/>
  <c r="F428" i="3"/>
  <c r="K427" i="3"/>
  <c r="I427" i="3"/>
  <c r="G434" i="4" s="1"/>
  <c r="F427" i="3"/>
  <c r="K426" i="3"/>
  <c r="L426" i="3" s="1"/>
  <c r="I426" i="3"/>
  <c r="G433" i="4" s="1"/>
  <c r="F426" i="3"/>
  <c r="K425" i="3"/>
  <c r="I425" i="3"/>
  <c r="G432" i="4" s="1"/>
  <c r="F425" i="3"/>
  <c r="K424" i="3"/>
  <c r="I424" i="3"/>
  <c r="G431" i="4" s="1"/>
  <c r="F424" i="3"/>
  <c r="K423" i="3"/>
  <c r="I423" i="3"/>
  <c r="G430" i="4" s="1"/>
  <c r="F423" i="3"/>
  <c r="K422" i="3"/>
  <c r="I422" i="3"/>
  <c r="G429" i="4" s="1"/>
  <c r="F422" i="3"/>
  <c r="K421" i="3"/>
  <c r="I421" i="3"/>
  <c r="G428" i="4" s="1"/>
  <c r="F421" i="3"/>
  <c r="K420" i="3"/>
  <c r="I420" i="3"/>
  <c r="G427" i="4" s="1"/>
  <c r="F420" i="3"/>
  <c r="K419" i="3"/>
  <c r="I419" i="3"/>
  <c r="G426" i="4" s="1"/>
  <c r="F419" i="3"/>
  <c r="K417" i="3"/>
  <c r="I417" i="3"/>
  <c r="G424" i="4" s="1"/>
  <c r="F417" i="3"/>
  <c r="K416" i="3"/>
  <c r="I416" i="3"/>
  <c r="G423" i="4" s="1"/>
  <c r="F416" i="3"/>
  <c r="K415" i="3"/>
  <c r="I415" i="3"/>
  <c r="G422" i="4" s="1"/>
  <c r="F415" i="3"/>
  <c r="K414" i="3"/>
  <c r="I414" i="3"/>
  <c r="G421" i="4" s="1"/>
  <c r="F414" i="3"/>
  <c r="K413" i="3"/>
  <c r="I413" i="3"/>
  <c r="G420" i="4" s="1"/>
  <c r="F413" i="3"/>
  <c r="K412" i="3"/>
  <c r="I412" i="3"/>
  <c r="G419" i="4" s="1"/>
  <c r="F412" i="3"/>
  <c r="K411" i="3"/>
  <c r="I411" i="3"/>
  <c r="G418" i="4" s="1"/>
  <c r="F411" i="3"/>
  <c r="K410" i="3"/>
  <c r="I410" i="3"/>
  <c r="G417" i="4" s="1"/>
  <c r="F410" i="3"/>
  <c r="K409" i="3"/>
  <c r="I409" i="3"/>
  <c r="G416" i="4" s="1"/>
  <c r="F409" i="3"/>
  <c r="K408" i="3"/>
  <c r="I408" i="3"/>
  <c r="G415" i="4" s="1"/>
  <c r="F408" i="3"/>
  <c r="K407" i="3"/>
  <c r="I407" i="3"/>
  <c r="G414" i="4" s="1"/>
  <c r="F407" i="3"/>
  <c r="K406" i="3"/>
  <c r="I406" i="3"/>
  <c r="G413" i="4" s="1"/>
  <c r="F406" i="3"/>
  <c r="K405" i="3"/>
  <c r="I405" i="3"/>
  <c r="G412" i="4" s="1"/>
  <c r="F405" i="3"/>
  <c r="K404" i="3"/>
  <c r="I404" i="3"/>
  <c r="G411" i="4" s="1"/>
  <c r="F404" i="3"/>
  <c r="K403" i="3"/>
  <c r="I403" i="3"/>
  <c r="G410" i="4" s="1"/>
  <c r="F403" i="3"/>
  <c r="K402" i="3"/>
  <c r="I402" i="3"/>
  <c r="G409" i="4" s="1"/>
  <c r="F402" i="3"/>
  <c r="K401" i="3"/>
  <c r="I401" i="3"/>
  <c r="G408" i="4" s="1"/>
  <c r="F401" i="3"/>
  <c r="K400" i="3"/>
  <c r="I400" i="3"/>
  <c r="G407" i="4" s="1"/>
  <c r="F400" i="3"/>
  <c r="K399" i="3"/>
  <c r="I399" i="3"/>
  <c r="G406" i="4" s="1"/>
  <c r="F399" i="3"/>
  <c r="K398" i="3"/>
  <c r="I398" i="3"/>
  <c r="G405" i="4" s="1"/>
  <c r="F398" i="3"/>
  <c r="K397" i="3"/>
  <c r="I397" i="3"/>
  <c r="G404" i="4" s="1"/>
  <c r="F397" i="3"/>
  <c r="K396" i="3"/>
  <c r="I396" i="3"/>
  <c r="G403" i="4" s="1"/>
  <c r="F396" i="3"/>
  <c r="K395" i="3"/>
  <c r="I395" i="3"/>
  <c r="G402" i="4" s="1"/>
  <c r="F395" i="3"/>
  <c r="K394" i="3"/>
  <c r="I394" i="3"/>
  <c r="G401" i="4" s="1"/>
  <c r="F394" i="3"/>
  <c r="K393" i="3"/>
  <c r="I393" i="3"/>
  <c r="G400" i="4" s="1"/>
  <c r="F393" i="3"/>
  <c r="K392" i="3"/>
  <c r="I392" i="3"/>
  <c r="G399" i="4" s="1"/>
  <c r="F392" i="3"/>
  <c r="K391" i="3"/>
  <c r="I391" i="3"/>
  <c r="G398" i="4" s="1"/>
  <c r="F391" i="3"/>
  <c r="K390" i="3"/>
  <c r="I390" i="3"/>
  <c r="G397" i="4" s="1"/>
  <c r="F390" i="3"/>
  <c r="K389" i="3"/>
  <c r="I389" i="3"/>
  <c r="G396" i="4" s="1"/>
  <c r="F389" i="3"/>
  <c r="K388" i="3"/>
  <c r="I388" i="3"/>
  <c r="G395" i="4" s="1"/>
  <c r="F388" i="3"/>
  <c r="K387" i="3"/>
  <c r="I387" i="3"/>
  <c r="G394" i="4" s="1"/>
  <c r="F387" i="3"/>
  <c r="K386" i="3"/>
  <c r="I386" i="3"/>
  <c r="G393" i="4" s="1"/>
  <c r="F386" i="3"/>
  <c r="K385" i="3"/>
  <c r="I385" i="3"/>
  <c r="G392" i="4" s="1"/>
  <c r="F385" i="3"/>
  <c r="K384" i="3"/>
  <c r="I384" i="3"/>
  <c r="G391" i="4" s="1"/>
  <c r="F384" i="3"/>
  <c r="K383" i="3"/>
  <c r="I383" i="3"/>
  <c r="G390" i="4" s="1"/>
  <c r="F383" i="3"/>
  <c r="K382" i="3"/>
  <c r="I382" i="3"/>
  <c r="G389" i="4" s="1"/>
  <c r="F382" i="3"/>
  <c r="K381" i="3"/>
  <c r="I381" i="3"/>
  <c r="G388" i="4" s="1"/>
  <c r="F381" i="3"/>
  <c r="K380" i="3"/>
  <c r="I380" i="3"/>
  <c r="G387" i="4" s="1"/>
  <c r="F380" i="3"/>
  <c r="K379" i="3"/>
  <c r="I379" i="3"/>
  <c r="G386" i="4" s="1"/>
  <c r="F379" i="3"/>
  <c r="K378" i="3"/>
  <c r="I378" i="3"/>
  <c r="G385" i="4" s="1"/>
  <c r="F378" i="3"/>
  <c r="K377" i="3"/>
  <c r="I377" i="3"/>
  <c r="G384" i="4" s="1"/>
  <c r="F377" i="3"/>
  <c r="K376" i="3"/>
  <c r="I376" i="3"/>
  <c r="G383" i="4" s="1"/>
  <c r="F376" i="3"/>
  <c r="K375" i="3"/>
  <c r="I375" i="3"/>
  <c r="G382" i="4" s="1"/>
  <c r="F375" i="3"/>
  <c r="K374" i="3"/>
  <c r="I374" i="3"/>
  <c r="G381" i="4" s="1"/>
  <c r="F374" i="3"/>
  <c r="K373" i="3"/>
  <c r="I373" i="3"/>
  <c r="G380" i="4" s="1"/>
  <c r="F373" i="3"/>
  <c r="K372" i="3"/>
  <c r="I372" i="3"/>
  <c r="G379" i="4" s="1"/>
  <c r="F372" i="3"/>
  <c r="K371" i="3"/>
  <c r="I371" i="3"/>
  <c r="G378" i="4" s="1"/>
  <c r="F371" i="3"/>
  <c r="K370" i="3"/>
  <c r="I370" i="3"/>
  <c r="G377" i="4" s="1"/>
  <c r="F370" i="3"/>
  <c r="K369" i="3"/>
  <c r="I369" i="3"/>
  <c r="G376" i="4" s="1"/>
  <c r="F369" i="3"/>
  <c r="K368" i="3"/>
  <c r="I368" i="3"/>
  <c r="G375" i="4" s="1"/>
  <c r="F368" i="3"/>
  <c r="K367" i="3"/>
  <c r="I367" i="3"/>
  <c r="G374" i="4" s="1"/>
  <c r="F367" i="3"/>
  <c r="K366" i="3"/>
  <c r="I366" i="3"/>
  <c r="G373" i="4" s="1"/>
  <c r="F366" i="3"/>
  <c r="K365" i="3"/>
  <c r="I365" i="3"/>
  <c r="G372" i="4" s="1"/>
  <c r="F365" i="3"/>
  <c r="K364" i="3"/>
  <c r="I364" i="3"/>
  <c r="G371" i="4" s="1"/>
  <c r="F364" i="3"/>
  <c r="K363" i="3"/>
  <c r="I363" i="3"/>
  <c r="G370" i="4" s="1"/>
  <c r="F363" i="3"/>
  <c r="K362" i="3"/>
  <c r="I362" i="3"/>
  <c r="G369" i="4" s="1"/>
  <c r="F362" i="3"/>
  <c r="K361" i="3"/>
  <c r="I361" i="3"/>
  <c r="G368" i="4" s="1"/>
  <c r="F361" i="3"/>
  <c r="K360" i="3"/>
  <c r="I360" i="3"/>
  <c r="G367" i="4" s="1"/>
  <c r="F360" i="3"/>
  <c r="K359" i="3"/>
  <c r="I359" i="3"/>
  <c r="G366" i="4" s="1"/>
  <c r="F359" i="3"/>
  <c r="K358" i="3"/>
  <c r="I358" i="3"/>
  <c r="G365" i="4" s="1"/>
  <c r="F358" i="3"/>
  <c r="K357" i="3"/>
  <c r="I357" i="3"/>
  <c r="G364" i="4" s="1"/>
  <c r="F357" i="3"/>
  <c r="K356" i="3"/>
  <c r="I356" i="3"/>
  <c r="G363" i="4" s="1"/>
  <c r="F356" i="3"/>
  <c r="K355" i="3"/>
  <c r="I355" i="3"/>
  <c r="G362" i="4" s="1"/>
  <c r="F355" i="3"/>
  <c r="K354" i="3"/>
  <c r="I354" i="3"/>
  <c r="G361" i="4" s="1"/>
  <c r="F354" i="3"/>
  <c r="K353" i="3"/>
  <c r="I353" i="3"/>
  <c r="G360" i="4" s="1"/>
  <c r="F353" i="3"/>
  <c r="K352" i="3"/>
  <c r="I352" i="3"/>
  <c r="G359" i="4" s="1"/>
  <c r="F352" i="3"/>
  <c r="K351" i="3"/>
  <c r="I351" i="3"/>
  <c r="G358" i="4" s="1"/>
  <c r="F351" i="3"/>
  <c r="K350" i="3"/>
  <c r="I350" i="3"/>
  <c r="G357" i="4" s="1"/>
  <c r="F350" i="3"/>
  <c r="K349" i="3"/>
  <c r="I349" i="3"/>
  <c r="G356" i="4" s="1"/>
  <c r="F349" i="3"/>
  <c r="K348" i="3"/>
  <c r="I348" i="3"/>
  <c r="G355" i="4" s="1"/>
  <c r="F348" i="3"/>
  <c r="K347" i="3"/>
  <c r="I347" i="3"/>
  <c r="G354" i="4" s="1"/>
  <c r="F347" i="3"/>
  <c r="K346" i="3"/>
  <c r="I346" i="3"/>
  <c r="G353" i="4" s="1"/>
  <c r="F346" i="3"/>
  <c r="K345" i="3"/>
  <c r="I345" i="3"/>
  <c r="G352" i="4" s="1"/>
  <c r="F345" i="3"/>
  <c r="K344" i="3"/>
  <c r="I344" i="3"/>
  <c r="G351" i="4" s="1"/>
  <c r="F344" i="3"/>
  <c r="K343" i="3"/>
  <c r="I343" i="3"/>
  <c r="G350" i="4" s="1"/>
  <c r="F343" i="3"/>
  <c r="K342" i="3"/>
  <c r="I342" i="3"/>
  <c r="G349" i="4" s="1"/>
  <c r="F342" i="3"/>
  <c r="K341" i="3"/>
  <c r="I341" i="3"/>
  <c r="G348" i="4" s="1"/>
  <c r="F341" i="3"/>
  <c r="K340" i="3"/>
  <c r="I340" i="3"/>
  <c r="G347" i="4" s="1"/>
  <c r="F340" i="3"/>
  <c r="K339" i="3"/>
  <c r="I339" i="3"/>
  <c r="G346" i="4" s="1"/>
  <c r="F339" i="3"/>
  <c r="K337" i="3"/>
  <c r="I337" i="3"/>
  <c r="G344" i="4" s="1"/>
  <c r="F337" i="3"/>
  <c r="K336" i="3"/>
  <c r="I336" i="3"/>
  <c r="G343" i="4" s="1"/>
  <c r="F336" i="3"/>
  <c r="K335" i="3"/>
  <c r="I335" i="3"/>
  <c r="G342" i="4" s="1"/>
  <c r="F335" i="3"/>
  <c r="K334" i="3"/>
  <c r="I334" i="3"/>
  <c r="G341" i="4" s="1"/>
  <c r="F334" i="3"/>
  <c r="K333" i="3"/>
  <c r="I333" i="3"/>
  <c r="G340" i="4" s="1"/>
  <c r="F333" i="3"/>
  <c r="K332" i="3"/>
  <c r="I332" i="3"/>
  <c r="G339" i="4" s="1"/>
  <c r="F332" i="3"/>
  <c r="K330" i="3"/>
  <c r="I330" i="3"/>
  <c r="G337" i="4" s="1"/>
  <c r="F330" i="3"/>
  <c r="K329" i="3"/>
  <c r="I329" i="3"/>
  <c r="G336" i="4" s="1"/>
  <c r="F329" i="3"/>
  <c r="K328" i="3"/>
  <c r="I328" i="3"/>
  <c r="G335" i="4" s="1"/>
  <c r="F328" i="3"/>
  <c r="K327" i="3"/>
  <c r="I327" i="3"/>
  <c r="G334" i="4" s="1"/>
  <c r="F327" i="3"/>
  <c r="K326" i="3"/>
  <c r="I326" i="3"/>
  <c r="G333" i="4" s="1"/>
  <c r="F326" i="3"/>
  <c r="K325" i="3"/>
  <c r="I325" i="3"/>
  <c r="G332" i="4" s="1"/>
  <c r="F325" i="3"/>
  <c r="K324" i="3"/>
  <c r="I324" i="3"/>
  <c r="G331" i="4" s="1"/>
  <c r="F324" i="3"/>
  <c r="K323" i="3"/>
  <c r="I323" i="3"/>
  <c r="G330" i="4" s="1"/>
  <c r="F323" i="3"/>
  <c r="K322" i="3"/>
  <c r="I322" i="3"/>
  <c r="G329" i="4" s="1"/>
  <c r="F322" i="3"/>
  <c r="K321" i="3"/>
  <c r="I321" i="3"/>
  <c r="G328" i="4" s="1"/>
  <c r="F321" i="3"/>
  <c r="K319" i="3"/>
  <c r="I319" i="3"/>
  <c r="G326" i="4" s="1"/>
  <c r="F319" i="3"/>
  <c r="K318" i="3"/>
  <c r="I318" i="3"/>
  <c r="G325" i="4" s="1"/>
  <c r="F318" i="3"/>
  <c r="K317" i="3"/>
  <c r="I317" i="3"/>
  <c r="G324" i="4" s="1"/>
  <c r="F317" i="3"/>
  <c r="K316" i="3"/>
  <c r="I316" i="3"/>
  <c r="G323" i="4" s="1"/>
  <c r="F316" i="3"/>
  <c r="K315" i="3"/>
  <c r="I315" i="3"/>
  <c r="G322" i="4" s="1"/>
  <c r="F315" i="3"/>
  <c r="K314" i="3"/>
  <c r="I314" i="3"/>
  <c r="G321" i="4" s="1"/>
  <c r="F314" i="3"/>
  <c r="K313" i="3"/>
  <c r="I313" i="3"/>
  <c r="G320" i="4" s="1"/>
  <c r="F313" i="3"/>
  <c r="K312" i="3"/>
  <c r="I312" i="3"/>
  <c r="G319" i="4" s="1"/>
  <c r="F312" i="3"/>
  <c r="K311" i="3"/>
  <c r="I311" i="3"/>
  <c r="G318" i="4" s="1"/>
  <c r="F311" i="3"/>
  <c r="K310" i="3"/>
  <c r="I310" i="3"/>
  <c r="G317" i="4" s="1"/>
  <c r="F310" i="3"/>
  <c r="K309" i="3"/>
  <c r="I309" i="3"/>
  <c r="G316" i="4" s="1"/>
  <c r="F309" i="3"/>
  <c r="K308" i="3"/>
  <c r="I308" i="3"/>
  <c r="G315" i="4" s="1"/>
  <c r="F308" i="3"/>
  <c r="K307" i="3"/>
  <c r="I307" i="3"/>
  <c r="G314" i="4" s="1"/>
  <c r="F307" i="3"/>
  <c r="K306" i="3"/>
  <c r="I306" i="3"/>
  <c r="G313" i="4" s="1"/>
  <c r="F306" i="3"/>
  <c r="K305" i="3"/>
  <c r="I305" i="3"/>
  <c r="G312" i="4" s="1"/>
  <c r="F305" i="3"/>
  <c r="K304" i="3"/>
  <c r="I304" i="3"/>
  <c r="G311" i="4" s="1"/>
  <c r="F304" i="3"/>
  <c r="K303" i="3"/>
  <c r="I303" i="3"/>
  <c r="G310" i="4" s="1"/>
  <c r="F303" i="3"/>
  <c r="K302" i="3"/>
  <c r="I302" i="3"/>
  <c r="G309" i="4" s="1"/>
  <c r="F302" i="3"/>
  <c r="K301" i="3"/>
  <c r="I301" i="3"/>
  <c r="G308" i="4" s="1"/>
  <c r="F301" i="3"/>
  <c r="K300" i="3"/>
  <c r="I300" i="3"/>
  <c r="G307" i="4" s="1"/>
  <c r="F300" i="3"/>
  <c r="K299" i="3"/>
  <c r="I299" i="3"/>
  <c r="G306" i="4" s="1"/>
  <c r="F299" i="3"/>
  <c r="K298" i="3"/>
  <c r="I298" i="3"/>
  <c r="G305" i="4" s="1"/>
  <c r="F298" i="3"/>
  <c r="K296" i="3"/>
  <c r="I296" i="3"/>
  <c r="G303" i="4" s="1"/>
  <c r="F296" i="3"/>
  <c r="K295" i="3"/>
  <c r="I295" i="3"/>
  <c r="G302" i="4" s="1"/>
  <c r="F295" i="3"/>
  <c r="K294" i="3"/>
  <c r="I294" i="3"/>
  <c r="G301" i="4" s="1"/>
  <c r="F294" i="3"/>
  <c r="K293" i="3"/>
  <c r="I293" i="3"/>
  <c r="G300" i="4" s="1"/>
  <c r="F293" i="3"/>
  <c r="K292" i="3"/>
  <c r="I292" i="3"/>
  <c r="G299" i="4" s="1"/>
  <c r="F292" i="3"/>
  <c r="K291" i="3"/>
  <c r="I291" i="3"/>
  <c r="G298" i="4" s="1"/>
  <c r="F291" i="3"/>
  <c r="K290" i="3"/>
  <c r="I290" i="3"/>
  <c r="G297" i="4" s="1"/>
  <c r="F290" i="3"/>
  <c r="K289" i="3"/>
  <c r="I289" i="3"/>
  <c r="G296" i="4" s="1"/>
  <c r="F289" i="3"/>
  <c r="K288" i="3"/>
  <c r="I288" i="3"/>
  <c r="G295" i="4" s="1"/>
  <c r="F288" i="3"/>
  <c r="K287" i="3"/>
  <c r="I287" i="3"/>
  <c r="G294" i="4" s="1"/>
  <c r="F287" i="3"/>
  <c r="K286" i="3"/>
  <c r="I286" i="3"/>
  <c r="G293" i="4" s="1"/>
  <c r="F286" i="3"/>
  <c r="K285" i="3"/>
  <c r="I285" i="3"/>
  <c r="G292" i="4" s="1"/>
  <c r="F285" i="3"/>
  <c r="K284" i="3"/>
  <c r="I284" i="3"/>
  <c r="G291" i="4" s="1"/>
  <c r="F284" i="3"/>
  <c r="K283" i="3"/>
  <c r="I283" i="3"/>
  <c r="G290" i="4" s="1"/>
  <c r="F283" i="3"/>
  <c r="K282" i="3"/>
  <c r="I282" i="3"/>
  <c r="G289" i="4" s="1"/>
  <c r="F282" i="3"/>
  <c r="K281" i="3"/>
  <c r="I281" i="3"/>
  <c r="G288" i="4" s="1"/>
  <c r="F281" i="3"/>
  <c r="K280" i="3"/>
  <c r="I280" i="3"/>
  <c r="G287" i="4" s="1"/>
  <c r="F280" i="3"/>
  <c r="K279" i="3"/>
  <c r="I279" i="3"/>
  <c r="G286" i="4" s="1"/>
  <c r="F279" i="3"/>
  <c r="K278" i="3"/>
  <c r="I278" i="3"/>
  <c r="G285" i="4" s="1"/>
  <c r="F278" i="3"/>
  <c r="K277" i="3"/>
  <c r="I277" i="3"/>
  <c r="G284" i="4" s="1"/>
  <c r="F277" i="3"/>
  <c r="K276" i="3"/>
  <c r="I276" i="3"/>
  <c r="G283" i="4" s="1"/>
  <c r="F276" i="3"/>
  <c r="K275" i="3"/>
  <c r="I275" i="3"/>
  <c r="G282" i="4" s="1"/>
  <c r="F275" i="3"/>
  <c r="K274" i="3"/>
  <c r="I274" i="3"/>
  <c r="G281" i="4" s="1"/>
  <c r="F274" i="3"/>
  <c r="K273" i="3"/>
  <c r="I273" i="3"/>
  <c r="G280" i="4" s="1"/>
  <c r="F273" i="3"/>
  <c r="K272" i="3"/>
  <c r="I272" i="3"/>
  <c r="G279" i="4" s="1"/>
  <c r="F272" i="3"/>
  <c r="K271" i="3"/>
  <c r="I271" i="3"/>
  <c r="G278" i="4" s="1"/>
  <c r="F271" i="3"/>
  <c r="K270" i="3"/>
  <c r="I270" i="3"/>
  <c r="G277" i="4" s="1"/>
  <c r="F270" i="3"/>
  <c r="K269" i="3"/>
  <c r="I269" i="3"/>
  <c r="G276" i="4" s="1"/>
  <c r="F269" i="3"/>
  <c r="K268" i="3"/>
  <c r="I268" i="3"/>
  <c r="G275" i="4" s="1"/>
  <c r="F268" i="3"/>
  <c r="K267" i="3"/>
  <c r="I267" i="3"/>
  <c r="G274" i="4" s="1"/>
  <c r="F267" i="3"/>
  <c r="K266" i="3"/>
  <c r="I266" i="3"/>
  <c r="G273" i="4" s="1"/>
  <c r="F266" i="3"/>
  <c r="K265" i="3"/>
  <c r="I265" i="3"/>
  <c r="G272" i="4" s="1"/>
  <c r="F265" i="3"/>
  <c r="K264" i="3"/>
  <c r="I264" i="3"/>
  <c r="G271" i="4" s="1"/>
  <c r="F264" i="3"/>
  <c r="K263" i="3"/>
  <c r="I263" i="3"/>
  <c r="G270" i="4" s="1"/>
  <c r="F263" i="3"/>
  <c r="K262" i="3"/>
  <c r="I262" i="3"/>
  <c r="G269" i="4" s="1"/>
  <c r="F262" i="3"/>
  <c r="K261" i="3"/>
  <c r="I261" i="3"/>
  <c r="G268" i="4" s="1"/>
  <c r="F261" i="3"/>
  <c r="K260" i="3"/>
  <c r="I260" i="3"/>
  <c r="G267" i="4" s="1"/>
  <c r="F260" i="3"/>
  <c r="K259" i="3"/>
  <c r="I259" i="3"/>
  <c r="G266" i="4" s="1"/>
  <c r="F259" i="3"/>
  <c r="K258" i="3"/>
  <c r="I258" i="3"/>
  <c r="G265" i="4" s="1"/>
  <c r="F258" i="3"/>
  <c r="K257" i="3"/>
  <c r="I257" i="3"/>
  <c r="G264" i="4" s="1"/>
  <c r="F257" i="3"/>
  <c r="K256" i="3"/>
  <c r="I256" i="3"/>
  <c r="G263" i="4" s="1"/>
  <c r="F256" i="3"/>
  <c r="K255" i="3"/>
  <c r="I255" i="3"/>
  <c r="G262" i="4" s="1"/>
  <c r="F255" i="3"/>
  <c r="K254" i="3"/>
  <c r="I254" i="3"/>
  <c r="G261" i="4" s="1"/>
  <c r="F254" i="3"/>
  <c r="K253" i="3"/>
  <c r="I253" i="3"/>
  <c r="G260" i="4" s="1"/>
  <c r="F253" i="3"/>
  <c r="K252" i="3"/>
  <c r="I252" i="3"/>
  <c r="G259" i="4" s="1"/>
  <c r="F252" i="3"/>
  <c r="K251" i="3"/>
  <c r="I251" i="3"/>
  <c r="G258" i="4" s="1"/>
  <c r="F251" i="3"/>
  <c r="K250" i="3"/>
  <c r="I250" i="3"/>
  <c r="G257" i="4" s="1"/>
  <c r="F250" i="3"/>
  <c r="K249" i="3"/>
  <c r="I249" i="3"/>
  <c r="G256" i="4" s="1"/>
  <c r="F249" i="3"/>
  <c r="K248" i="3"/>
  <c r="I248" i="3"/>
  <c r="G255" i="4" s="1"/>
  <c r="F248" i="3"/>
  <c r="K247" i="3"/>
  <c r="I247" i="3"/>
  <c r="G254" i="4" s="1"/>
  <c r="F247" i="3"/>
  <c r="K246" i="3"/>
  <c r="I246" i="3"/>
  <c r="G253" i="4" s="1"/>
  <c r="F246" i="3"/>
  <c r="K245" i="3"/>
  <c r="I245" i="3"/>
  <c r="G252" i="4" s="1"/>
  <c r="F245" i="3"/>
  <c r="K244" i="3"/>
  <c r="I244" i="3"/>
  <c r="G251" i="4" s="1"/>
  <c r="F244" i="3"/>
  <c r="K243" i="3"/>
  <c r="I243" i="3"/>
  <c r="G250" i="4" s="1"/>
  <c r="F243" i="3"/>
  <c r="K242" i="3"/>
  <c r="I242" i="3"/>
  <c r="G249" i="4" s="1"/>
  <c r="F242" i="3"/>
  <c r="K241" i="3"/>
  <c r="I241" i="3"/>
  <c r="G248" i="4" s="1"/>
  <c r="F241" i="3"/>
  <c r="K240" i="3"/>
  <c r="I240" i="3"/>
  <c r="G247" i="4" s="1"/>
  <c r="F240" i="3"/>
  <c r="K239" i="3"/>
  <c r="I239" i="3"/>
  <c r="G246" i="4" s="1"/>
  <c r="F239" i="3"/>
  <c r="K238" i="3"/>
  <c r="I238" i="3"/>
  <c r="G245" i="4" s="1"/>
  <c r="F238" i="3"/>
  <c r="K237" i="3"/>
  <c r="I237" i="3"/>
  <c r="G244" i="4" s="1"/>
  <c r="F237" i="3"/>
  <c r="K236" i="3"/>
  <c r="I236" i="3"/>
  <c r="G243" i="4" s="1"/>
  <c r="F236" i="3"/>
  <c r="K235" i="3"/>
  <c r="I235" i="3"/>
  <c r="G242" i="4" s="1"/>
  <c r="F235" i="3"/>
  <c r="K234" i="3"/>
  <c r="I234" i="3"/>
  <c r="G241" i="4" s="1"/>
  <c r="F234" i="3"/>
  <c r="K233" i="3"/>
  <c r="I233" i="3"/>
  <c r="G240" i="4" s="1"/>
  <c r="F233" i="3"/>
  <c r="K232" i="3"/>
  <c r="I232" i="3"/>
  <c r="G239" i="4" s="1"/>
  <c r="F232" i="3"/>
  <c r="K231" i="3"/>
  <c r="I231" i="3"/>
  <c r="G238" i="4" s="1"/>
  <c r="F231" i="3"/>
  <c r="K230" i="3"/>
  <c r="I230" i="3"/>
  <c r="G237" i="4" s="1"/>
  <c r="F230" i="3"/>
  <c r="K229" i="3"/>
  <c r="I229" i="3"/>
  <c r="G236" i="4" s="1"/>
  <c r="F229" i="3"/>
  <c r="K228" i="3"/>
  <c r="I228" i="3"/>
  <c r="G235" i="4" s="1"/>
  <c r="F228" i="3"/>
  <c r="K227" i="3"/>
  <c r="I227" i="3"/>
  <c r="G234" i="4" s="1"/>
  <c r="F227" i="3"/>
  <c r="K226" i="3"/>
  <c r="I226" i="3"/>
  <c r="G233" i="4" s="1"/>
  <c r="F226" i="3"/>
  <c r="K225" i="3"/>
  <c r="I225" i="3"/>
  <c r="G232" i="4" s="1"/>
  <c r="F225" i="3"/>
  <c r="K224" i="3"/>
  <c r="I224" i="3"/>
  <c r="G231" i="4" s="1"/>
  <c r="F224" i="3"/>
  <c r="K223" i="3"/>
  <c r="I223" i="3"/>
  <c r="G230" i="4" s="1"/>
  <c r="F223" i="3"/>
  <c r="K222" i="3"/>
  <c r="I222" i="3"/>
  <c r="G229" i="4" s="1"/>
  <c r="F222" i="3"/>
  <c r="K221" i="3"/>
  <c r="I221" i="3"/>
  <c r="G228" i="4" s="1"/>
  <c r="F221" i="3"/>
  <c r="K220" i="3"/>
  <c r="I220" i="3"/>
  <c r="G227" i="4" s="1"/>
  <c r="F220" i="3"/>
  <c r="K219" i="3"/>
  <c r="I219" i="3"/>
  <c r="G226" i="4" s="1"/>
  <c r="F219" i="3"/>
  <c r="K218" i="3"/>
  <c r="I218" i="3"/>
  <c r="G225" i="4" s="1"/>
  <c r="F218" i="3"/>
  <c r="K217" i="3"/>
  <c r="I217" i="3"/>
  <c r="G224" i="4" s="1"/>
  <c r="F217" i="3"/>
  <c r="K216" i="3"/>
  <c r="I216" i="3"/>
  <c r="G223" i="4" s="1"/>
  <c r="F216" i="3"/>
  <c r="K214" i="3"/>
  <c r="I214" i="3"/>
  <c r="G221" i="4" s="1"/>
  <c r="F214" i="3"/>
  <c r="K213" i="3"/>
  <c r="I213" i="3"/>
  <c r="G220" i="4" s="1"/>
  <c r="F213" i="3"/>
  <c r="K212" i="3"/>
  <c r="I212" i="3"/>
  <c r="G219" i="4" s="1"/>
  <c r="F212" i="3"/>
  <c r="K211" i="3"/>
  <c r="I211" i="3"/>
  <c r="G218" i="4" s="1"/>
  <c r="F211" i="3"/>
  <c r="K210" i="3"/>
  <c r="I210" i="3"/>
  <c r="G217" i="4" s="1"/>
  <c r="F210" i="3"/>
  <c r="K208" i="3"/>
  <c r="I208" i="3"/>
  <c r="G215" i="4" s="1"/>
  <c r="F208" i="3"/>
  <c r="K207" i="3"/>
  <c r="I207" i="3"/>
  <c r="G214" i="4" s="1"/>
  <c r="F207" i="3"/>
  <c r="K206" i="3"/>
  <c r="I206" i="3"/>
  <c r="G213" i="4" s="1"/>
  <c r="F206" i="3"/>
  <c r="K205" i="3"/>
  <c r="I205" i="3"/>
  <c r="G212" i="4" s="1"/>
  <c r="F205" i="3"/>
  <c r="K204" i="3"/>
  <c r="I204" i="3"/>
  <c r="G211" i="4" s="1"/>
  <c r="F204" i="3"/>
  <c r="K203" i="3"/>
  <c r="I203" i="3"/>
  <c r="G210" i="4" s="1"/>
  <c r="F203" i="3"/>
  <c r="K202" i="3"/>
  <c r="I202" i="3"/>
  <c r="G209" i="4" s="1"/>
  <c r="F202" i="3"/>
  <c r="K201" i="3"/>
  <c r="I201" i="3"/>
  <c r="G208" i="4" s="1"/>
  <c r="F201" i="3"/>
  <c r="K200" i="3"/>
  <c r="I200" i="3"/>
  <c r="G207" i="4" s="1"/>
  <c r="F200" i="3"/>
  <c r="K199" i="3"/>
  <c r="I199" i="3"/>
  <c r="G206" i="4" s="1"/>
  <c r="F199" i="3"/>
  <c r="K198" i="3"/>
  <c r="I198" i="3"/>
  <c r="G205" i="4" s="1"/>
  <c r="F198" i="3"/>
  <c r="K197" i="3"/>
  <c r="I197" i="3"/>
  <c r="G204" i="4" s="1"/>
  <c r="F197" i="3"/>
  <c r="K196" i="3"/>
  <c r="I196" i="3"/>
  <c r="G203" i="4" s="1"/>
  <c r="F196" i="3"/>
  <c r="K195" i="3"/>
  <c r="I195" i="3"/>
  <c r="G202" i="4" s="1"/>
  <c r="F195" i="3"/>
  <c r="K194" i="3"/>
  <c r="I194" i="3"/>
  <c r="G201" i="4" s="1"/>
  <c r="F194" i="3"/>
  <c r="K193" i="3"/>
  <c r="I193" i="3"/>
  <c r="G200" i="4" s="1"/>
  <c r="F193" i="3"/>
  <c r="K192" i="3"/>
  <c r="I192" i="3"/>
  <c r="G199" i="4" s="1"/>
  <c r="F192" i="3"/>
  <c r="K191" i="3"/>
  <c r="I191" i="3"/>
  <c r="G198" i="4" s="1"/>
  <c r="F191" i="3"/>
  <c r="K190" i="3"/>
  <c r="I190" i="3"/>
  <c r="G197" i="4" s="1"/>
  <c r="F190" i="3"/>
  <c r="K189" i="3"/>
  <c r="I189" i="3"/>
  <c r="G196" i="4" s="1"/>
  <c r="F189" i="3"/>
  <c r="K188" i="3"/>
  <c r="I188" i="3"/>
  <c r="G195" i="4" s="1"/>
  <c r="F188" i="3"/>
  <c r="K187" i="3"/>
  <c r="I187" i="3"/>
  <c r="G194" i="4" s="1"/>
  <c r="F187" i="3"/>
  <c r="K186" i="3"/>
  <c r="I186" i="3"/>
  <c r="G193" i="4" s="1"/>
  <c r="F186" i="3"/>
  <c r="K185" i="3"/>
  <c r="I185" i="3"/>
  <c r="G192" i="4" s="1"/>
  <c r="F185" i="3"/>
  <c r="K184" i="3"/>
  <c r="I184" i="3"/>
  <c r="G191" i="4" s="1"/>
  <c r="F184" i="3"/>
  <c r="K183" i="3"/>
  <c r="I183" i="3"/>
  <c r="G190" i="4" s="1"/>
  <c r="F183" i="3"/>
  <c r="K182" i="3"/>
  <c r="I182" i="3"/>
  <c r="G189" i="4" s="1"/>
  <c r="F182" i="3"/>
  <c r="K181" i="3"/>
  <c r="I181" i="3"/>
  <c r="G188" i="4" s="1"/>
  <c r="F181" i="3"/>
  <c r="K180" i="3"/>
  <c r="I180" i="3"/>
  <c r="G187" i="4" s="1"/>
  <c r="F180" i="3"/>
  <c r="K179" i="3"/>
  <c r="I179" i="3"/>
  <c r="G186" i="4" s="1"/>
  <c r="F179" i="3"/>
  <c r="K178" i="3"/>
  <c r="I178" i="3"/>
  <c r="G185" i="4" s="1"/>
  <c r="F178" i="3"/>
  <c r="K177" i="3"/>
  <c r="I177" i="3"/>
  <c r="G184" i="4" s="1"/>
  <c r="F177" i="3"/>
  <c r="K176" i="3"/>
  <c r="I176" i="3"/>
  <c r="G183" i="4" s="1"/>
  <c r="F176" i="3"/>
  <c r="K175" i="3"/>
  <c r="I175" i="3"/>
  <c r="G182" i="4" s="1"/>
  <c r="F175" i="3"/>
  <c r="K174" i="3"/>
  <c r="I174" i="3"/>
  <c r="G181" i="4" s="1"/>
  <c r="F174" i="3"/>
  <c r="K173" i="3"/>
  <c r="I173" i="3"/>
  <c r="G180" i="4" s="1"/>
  <c r="F173" i="3"/>
  <c r="K172" i="3"/>
  <c r="I172" i="3"/>
  <c r="G179" i="4" s="1"/>
  <c r="F172" i="3"/>
  <c r="K171" i="3"/>
  <c r="I171" i="3"/>
  <c r="G178" i="4" s="1"/>
  <c r="F171" i="3"/>
  <c r="K170" i="3"/>
  <c r="I170" i="3"/>
  <c r="G177" i="4" s="1"/>
  <c r="F170" i="3"/>
  <c r="K169" i="3"/>
  <c r="I169" i="3"/>
  <c r="G176" i="4" s="1"/>
  <c r="F169" i="3"/>
  <c r="K168" i="3"/>
  <c r="I168" i="3"/>
  <c r="G175" i="4" s="1"/>
  <c r="F168" i="3"/>
  <c r="K167" i="3"/>
  <c r="I167" i="3"/>
  <c r="G174" i="4" s="1"/>
  <c r="F167" i="3"/>
  <c r="K166" i="3"/>
  <c r="I166" i="3"/>
  <c r="G173" i="4" s="1"/>
  <c r="F166" i="3"/>
  <c r="K165" i="3"/>
  <c r="I165" i="3"/>
  <c r="G172" i="4" s="1"/>
  <c r="F165" i="3"/>
  <c r="K164" i="3"/>
  <c r="I164" i="3"/>
  <c r="G171" i="4" s="1"/>
  <c r="F164" i="3"/>
  <c r="K162" i="3"/>
  <c r="I162" i="3"/>
  <c r="G169" i="4" s="1"/>
  <c r="F162" i="3"/>
  <c r="K161" i="3"/>
  <c r="I161" i="3"/>
  <c r="G168" i="4" s="1"/>
  <c r="F161" i="3"/>
  <c r="K160" i="3"/>
  <c r="I160" i="3"/>
  <c r="G167" i="4" s="1"/>
  <c r="F160" i="3"/>
  <c r="K159" i="3"/>
  <c r="I159" i="3"/>
  <c r="G166" i="4" s="1"/>
  <c r="F159" i="3"/>
  <c r="K158" i="3"/>
  <c r="I158" i="3"/>
  <c r="G165" i="4" s="1"/>
  <c r="F158" i="3"/>
  <c r="K157" i="3"/>
  <c r="I157" i="3"/>
  <c r="G164" i="4" s="1"/>
  <c r="F157" i="3"/>
  <c r="K156" i="3"/>
  <c r="I156" i="3"/>
  <c r="G163" i="4" s="1"/>
  <c r="F156" i="3"/>
  <c r="K155" i="3"/>
  <c r="I155" i="3"/>
  <c r="G162" i="4" s="1"/>
  <c r="F155" i="3"/>
  <c r="K154" i="3"/>
  <c r="I154" i="3"/>
  <c r="G161" i="4" s="1"/>
  <c r="F154" i="3"/>
  <c r="K153" i="3"/>
  <c r="I153" i="3"/>
  <c r="G160" i="4" s="1"/>
  <c r="F153" i="3"/>
  <c r="K152" i="3"/>
  <c r="I152" i="3"/>
  <c r="G159" i="4" s="1"/>
  <c r="F152" i="3"/>
  <c r="K151" i="3"/>
  <c r="I151" i="3"/>
  <c r="G158" i="4" s="1"/>
  <c r="F151" i="3"/>
  <c r="K150" i="3"/>
  <c r="I150" i="3"/>
  <c r="G157" i="4" s="1"/>
  <c r="F150" i="3"/>
  <c r="K149" i="3"/>
  <c r="I149" i="3"/>
  <c r="G156" i="4" s="1"/>
  <c r="F149" i="3"/>
  <c r="K148" i="3"/>
  <c r="I148" i="3"/>
  <c r="G155" i="4" s="1"/>
  <c r="F148" i="3"/>
  <c r="K147" i="3"/>
  <c r="I147" i="3"/>
  <c r="G154" i="4" s="1"/>
  <c r="F147" i="3"/>
  <c r="K146" i="3"/>
  <c r="I146" i="3"/>
  <c r="G153" i="4" s="1"/>
  <c r="F146" i="3"/>
  <c r="K145" i="3"/>
  <c r="I145" i="3"/>
  <c r="G152" i="4" s="1"/>
  <c r="F145" i="3"/>
  <c r="K144" i="3"/>
  <c r="I144" i="3"/>
  <c r="G151" i="4" s="1"/>
  <c r="F144" i="3"/>
  <c r="K143" i="3"/>
  <c r="I143" i="3"/>
  <c r="G150" i="4" s="1"/>
  <c r="F143" i="3"/>
  <c r="K142" i="3"/>
  <c r="I142" i="3"/>
  <c r="G149" i="4" s="1"/>
  <c r="F142" i="3"/>
  <c r="K141" i="3"/>
  <c r="I141" i="3"/>
  <c r="G148" i="4" s="1"/>
  <c r="F141" i="3"/>
  <c r="K140" i="3"/>
  <c r="I140" i="3"/>
  <c r="G147" i="4" s="1"/>
  <c r="F140" i="3"/>
  <c r="K139" i="3"/>
  <c r="I139" i="3"/>
  <c r="G146" i="4" s="1"/>
  <c r="F139" i="3"/>
  <c r="K138" i="3"/>
  <c r="I138" i="3"/>
  <c r="G145" i="4" s="1"/>
  <c r="F138" i="3"/>
  <c r="K137" i="3"/>
  <c r="I137" i="3"/>
  <c r="G144" i="4" s="1"/>
  <c r="F137" i="3"/>
  <c r="K136" i="3"/>
  <c r="I136" i="3"/>
  <c r="G143" i="4" s="1"/>
  <c r="F136" i="3"/>
  <c r="K135" i="3"/>
  <c r="I135" i="3"/>
  <c r="G142" i="4" s="1"/>
  <c r="F135" i="3"/>
  <c r="K134" i="3"/>
  <c r="I134" i="3"/>
  <c r="G141" i="4" s="1"/>
  <c r="F134" i="3"/>
  <c r="K132" i="3"/>
  <c r="I132" i="3"/>
  <c r="G139" i="4" s="1"/>
  <c r="F132" i="3"/>
  <c r="K130" i="3"/>
  <c r="I130" i="3"/>
  <c r="G137" i="4" s="1"/>
  <c r="F130" i="3"/>
  <c r="K129" i="3"/>
  <c r="I129" i="3"/>
  <c r="G136" i="4" s="1"/>
  <c r="F129" i="3"/>
  <c r="K128" i="3"/>
  <c r="I128" i="3"/>
  <c r="G135" i="4" s="1"/>
  <c r="F128" i="3"/>
  <c r="K127" i="3"/>
  <c r="I127" i="3"/>
  <c r="G134" i="4" s="1"/>
  <c r="F127" i="3"/>
  <c r="K126" i="3"/>
  <c r="I126" i="3"/>
  <c r="G133" i="4" s="1"/>
  <c r="F126" i="3"/>
  <c r="K125" i="3"/>
  <c r="I125" i="3"/>
  <c r="G132" i="4" s="1"/>
  <c r="F125" i="3"/>
  <c r="K124" i="3"/>
  <c r="I124" i="3"/>
  <c r="G131" i="4" s="1"/>
  <c r="F124" i="3"/>
  <c r="K123" i="3"/>
  <c r="I123" i="3"/>
  <c r="G130" i="4" s="1"/>
  <c r="F123" i="3"/>
  <c r="K122" i="3"/>
  <c r="I122" i="3"/>
  <c r="G129" i="4" s="1"/>
  <c r="F122" i="3"/>
  <c r="K121" i="3"/>
  <c r="I121" i="3"/>
  <c r="G128" i="4" s="1"/>
  <c r="F121" i="3"/>
  <c r="K120" i="3"/>
  <c r="I120" i="3"/>
  <c r="G127" i="4" s="1"/>
  <c r="F120" i="3"/>
  <c r="K119" i="3"/>
  <c r="I119" i="3"/>
  <c r="G126" i="4" s="1"/>
  <c r="F119" i="3"/>
  <c r="K118" i="3"/>
  <c r="I118" i="3"/>
  <c r="G125" i="4" s="1"/>
  <c r="F118" i="3"/>
  <c r="K117" i="3"/>
  <c r="I117" i="3"/>
  <c r="G124" i="4" s="1"/>
  <c r="F117" i="3"/>
  <c r="K116" i="3"/>
  <c r="I116" i="3"/>
  <c r="G123" i="4" s="1"/>
  <c r="F116" i="3"/>
  <c r="K115" i="3"/>
  <c r="I115" i="3"/>
  <c r="G122" i="4" s="1"/>
  <c r="F115" i="3"/>
  <c r="K114" i="3"/>
  <c r="I114" i="3"/>
  <c r="G121" i="4" s="1"/>
  <c r="F114" i="3"/>
  <c r="K113" i="3"/>
  <c r="I113" i="3"/>
  <c r="G120" i="4" s="1"/>
  <c r="F113" i="3"/>
  <c r="K112" i="3"/>
  <c r="I112" i="3"/>
  <c r="G119" i="4" s="1"/>
  <c r="F112" i="3"/>
  <c r="K111" i="3"/>
  <c r="I111" i="3"/>
  <c r="G118" i="4" s="1"/>
  <c r="F111" i="3"/>
  <c r="K110" i="3"/>
  <c r="I110" i="3"/>
  <c r="G117" i="4" s="1"/>
  <c r="F110" i="3"/>
  <c r="K109" i="3"/>
  <c r="I109" i="3"/>
  <c r="G116" i="4" s="1"/>
  <c r="F109" i="3"/>
  <c r="K108" i="3"/>
  <c r="I108" i="3"/>
  <c r="G115" i="4" s="1"/>
  <c r="F108" i="3"/>
  <c r="K107" i="3"/>
  <c r="I107" i="3"/>
  <c r="G114" i="4" s="1"/>
  <c r="F107" i="3"/>
  <c r="K106" i="3"/>
  <c r="I106" i="3"/>
  <c r="G113" i="4" s="1"/>
  <c r="F106" i="3"/>
  <c r="K105" i="3"/>
  <c r="I105" i="3"/>
  <c r="G112" i="4" s="1"/>
  <c r="F105" i="3"/>
  <c r="K104" i="3"/>
  <c r="I104" i="3"/>
  <c r="G111" i="4" s="1"/>
  <c r="F104" i="3"/>
  <c r="K103" i="3"/>
  <c r="I103" i="3"/>
  <c r="G110" i="4" s="1"/>
  <c r="F103" i="3"/>
  <c r="K102" i="3"/>
  <c r="I102" i="3"/>
  <c r="G109" i="4" s="1"/>
  <c r="F102" i="3"/>
  <c r="K101" i="3"/>
  <c r="I101" i="3"/>
  <c r="G108" i="4" s="1"/>
  <c r="F101" i="3"/>
  <c r="K100" i="3"/>
  <c r="I100" i="3"/>
  <c r="G107" i="4" s="1"/>
  <c r="F100" i="3"/>
  <c r="K99" i="3"/>
  <c r="I99" i="3"/>
  <c r="G106" i="4" s="1"/>
  <c r="F99" i="3"/>
  <c r="K98" i="3"/>
  <c r="I98" i="3"/>
  <c r="G105" i="4" s="1"/>
  <c r="F98" i="3"/>
  <c r="K97" i="3"/>
  <c r="I97" i="3"/>
  <c r="G104" i="4" s="1"/>
  <c r="F97" i="3"/>
  <c r="K96" i="3"/>
  <c r="I96" i="3"/>
  <c r="G103" i="4" s="1"/>
  <c r="F96" i="3"/>
  <c r="K95" i="3"/>
  <c r="I95" i="3"/>
  <c r="G102" i="4" s="1"/>
  <c r="F95" i="3"/>
  <c r="K94" i="3"/>
  <c r="I94" i="3"/>
  <c r="G101" i="4" s="1"/>
  <c r="F94" i="3"/>
  <c r="K93" i="3"/>
  <c r="I93" i="3"/>
  <c r="G100" i="4" s="1"/>
  <c r="F93" i="3"/>
  <c r="K92" i="3"/>
  <c r="I92" i="3"/>
  <c r="G99" i="4" s="1"/>
  <c r="F92" i="3"/>
  <c r="K91" i="3"/>
  <c r="I91" i="3"/>
  <c r="G98" i="4" s="1"/>
  <c r="F91" i="3"/>
  <c r="K90" i="3"/>
  <c r="I90" i="3"/>
  <c r="G97" i="4" s="1"/>
  <c r="F90" i="3"/>
  <c r="K89" i="3"/>
  <c r="I89" i="3"/>
  <c r="G96" i="4" s="1"/>
  <c r="F89" i="3"/>
  <c r="K87" i="3"/>
  <c r="I87" i="3"/>
  <c r="G94" i="4" s="1"/>
  <c r="F87" i="3"/>
  <c r="K86" i="3"/>
  <c r="I86" i="3"/>
  <c r="G93" i="4" s="1"/>
  <c r="F86" i="3"/>
  <c r="K85" i="3"/>
  <c r="I85" i="3"/>
  <c r="G92" i="4" s="1"/>
  <c r="F85" i="3"/>
  <c r="K84" i="3"/>
  <c r="I84" i="3"/>
  <c r="G91" i="4" s="1"/>
  <c r="F84" i="3"/>
  <c r="K83" i="3"/>
  <c r="I83" i="3"/>
  <c r="G90" i="4" s="1"/>
  <c r="F83" i="3"/>
  <c r="K82" i="3"/>
  <c r="I82" i="3"/>
  <c r="G89" i="4" s="1"/>
  <c r="F82" i="3"/>
  <c r="K81" i="3"/>
  <c r="I81" i="3"/>
  <c r="G88" i="4" s="1"/>
  <c r="F81" i="3"/>
  <c r="K80" i="3"/>
  <c r="I80" i="3"/>
  <c r="G87" i="4" s="1"/>
  <c r="F80" i="3"/>
  <c r="K79" i="3"/>
  <c r="I79" i="3"/>
  <c r="G86" i="4" s="1"/>
  <c r="F79" i="3"/>
  <c r="K78" i="3"/>
  <c r="I78" i="3"/>
  <c r="G85" i="4" s="1"/>
  <c r="F78" i="3"/>
  <c r="K77" i="3"/>
  <c r="I77" i="3"/>
  <c r="G84" i="4" s="1"/>
  <c r="F77" i="3"/>
  <c r="K76" i="3"/>
  <c r="I76" i="3"/>
  <c r="G83" i="4" s="1"/>
  <c r="F76" i="3"/>
  <c r="K75" i="3"/>
  <c r="I75" i="3"/>
  <c r="G82" i="4" s="1"/>
  <c r="F75" i="3"/>
  <c r="K74" i="3"/>
  <c r="I74" i="3"/>
  <c r="G81" i="4" s="1"/>
  <c r="F74" i="3"/>
  <c r="K73" i="3"/>
  <c r="I73" i="3"/>
  <c r="G80" i="4" s="1"/>
  <c r="F73" i="3"/>
  <c r="K72" i="3"/>
  <c r="I72" i="3"/>
  <c r="G79" i="4" s="1"/>
  <c r="F72" i="3"/>
  <c r="K71" i="3"/>
  <c r="I71" i="3"/>
  <c r="G78" i="4" s="1"/>
  <c r="F71" i="3"/>
  <c r="K70" i="3"/>
  <c r="I70" i="3"/>
  <c r="G77" i="4" s="1"/>
  <c r="F70" i="3"/>
  <c r="K69" i="3"/>
  <c r="I69" i="3"/>
  <c r="G76" i="4" s="1"/>
  <c r="F69" i="3"/>
  <c r="K68" i="3"/>
  <c r="I68" i="3"/>
  <c r="G75" i="4" s="1"/>
  <c r="F68" i="3"/>
  <c r="K67" i="3"/>
  <c r="I67" i="3"/>
  <c r="G74" i="4" s="1"/>
  <c r="F67" i="3"/>
  <c r="K66" i="3"/>
  <c r="I66" i="3"/>
  <c r="G73" i="4" s="1"/>
  <c r="F66" i="3"/>
  <c r="K65" i="3"/>
  <c r="I65" i="3"/>
  <c r="G72" i="4" s="1"/>
  <c r="F65" i="3"/>
  <c r="K64" i="3"/>
  <c r="I64" i="3"/>
  <c r="G71" i="4" s="1"/>
  <c r="F64" i="3"/>
  <c r="K63" i="3"/>
  <c r="I63" i="3"/>
  <c r="G70" i="4" s="1"/>
  <c r="F63" i="3"/>
  <c r="K62" i="3"/>
  <c r="I62" i="3"/>
  <c r="G69" i="4" s="1"/>
  <c r="F62" i="3"/>
  <c r="K61" i="3"/>
  <c r="I61" i="3"/>
  <c r="G68" i="4" s="1"/>
  <c r="F61" i="3"/>
  <c r="K60" i="3"/>
  <c r="I60" i="3"/>
  <c r="G67" i="4" s="1"/>
  <c r="F60" i="3"/>
  <c r="K59" i="3"/>
  <c r="I59" i="3"/>
  <c r="G66" i="4" s="1"/>
  <c r="F59" i="3"/>
  <c r="K58" i="3"/>
  <c r="I58" i="3"/>
  <c r="G65" i="4" s="1"/>
  <c r="F58" i="3"/>
  <c r="K57" i="3"/>
  <c r="I57" i="3"/>
  <c r="G64" i="4" s="1"/>
  <c r="F57" i="3"/>
  <c r="K56" i="3"/>
  <c r="I56" i="3"/>
  <c r="G63" i="4" s="1"/>
  <c r="F56" i="3"/>
  <c r="K55" i="3"/>
  <c r="I55" i="3"/>
  <c r="G62" i="4" s="1"/>
  <c r="F55" i="3"/>
  <c r="K54" i="3"/>
  <c r="I54" i="3"/>
  <c r="G61" i="4" s="1"/>
  <c r="F54" i="3"/>
  <c r="K53" i="3"/>
  <c r="I53" i="3"/>
  <c r="G60" i="4" s="1"/>
  <c r="F53" i="3"/>
  <c r="K52" i="3"/>
  <c r="I52" i="3"/>
  <c r="G59" i="4" s="1"/>
  <c r="F52" i="3"/>
  <c r="K51" i="3"/>
  <c r="I51" i="3"/>
  <c r="G58" i="4" s="1"/>
  <c r="F51" i="3"/>
  <c r="K50" i="3"/>
  <c r="I50" i="3"/>
  <c r="G57" i="4" s="1"/>
  <c r="F50" i="3"/>
  <c r="K49" i="3"/>
  <c r="I49" i="3"/>
  <c r="G56" i="4" s="1"/>
  <c r="F49" i="3"/>
  <c r="K48" i="3"/>
  <c r="I48" i="3"/>
  <c r="G55" i="4" s="1"/>
  <c r="F48" i="3"/>
  <c r="K47" i="3"/>
  <c r="I47" i="3"/>
  <c r="G54" i="4" s="1"/>
  <c r="F47" i="3"/>
  <c r="K46" i="3"/>
  <c r="I46" i="3"/>
  <c r="G53" i="4" s="1"/>
  <c r="F46" i="3"/>
  <c r="K45" i="3"/>
  <c r="I45" i="3"/>
  <c r="G52" i="4" s="1"/>
  <c r="F45" i="3"/>
  <c r="K44" i="3"/>
  <c r="I44" i="3"/>
  <c r="G51" i="4" s="1"/>
  <c r="F44" i="3"/>
  <c r="K43" i="3"/>
  <c r="I43" i="3"/>
  <c r="G50" i="4" s="1"/>
  <c r="F43" i="3"/>
  <c r="K42" i="3"/>
  <c r="I42" i="3"/>
  <c r="G49" i="4" s="1"/>
  <c r="F42" i="3"/>
  <c r="K41" i="3"/>
  <c r="I41" i="3"/>
  <c r="G48" i="4" s="1"/>
  <c r="F41" i="3"/>
  <c r="K40" i="3"/>
  <c r="I40" i="3"/>
  <c r="G47" i="4" s="1"/>
  <c r="F40" i="3"/>
  <c r="K39" i="3"/>
  <c r="I39" i="3"/>
  <c r="G46" i="4" s="1"/>
  <c r="F39" i="3"/>
  <c r="K38" i="3"/>
  <c r="I38" i="3"/>
  <c r="G45" i="4" s="1"/>
  <c r="F38" i="3"/>
  <c r="K37" i="3"/>
  <c r="I37" i="3"/>
  <c r="G44" i="4" s="1"/>
  <c r="F37" i="3"/>
  <c r="K36" i="3"/>
  <c r="I36" i="3"/>
  <c r="G43" i="4" s="1"/>
  <c r="F36" i="3"/>
  <c r="K35" i="3"/>
  <c r="I35" i="3"/>
  <c r="G42" i="4" s="1"/>
  <c r="F35" i="3"/>
  <c r="K34" i="3"/>
  <c r="I34" i="3"/>
  <c r="G41" i="4" s="1"/>
  <c r="F34" i="3"/>
  <c r="K33" i="3"/>
  <c r="I33" i="3"/>
  <c r="G40" i="4" s="1"/>
  <c r="F33" i="3"/>
  <c r="K32" i="3"/>
  <c r="I32" i="3"/>
  <c r="G39" i="4" s="1"/>
  <c r="F32" i="3"/>
  <c r="K31" i="3"/>
  <c r="I31" i="3"/>
  <c r="G38" i="4" s="1"/>
  <c r="F31" i="3"/>
  <c r="K30" i="3"/>
  <c r="I30" i="3"/>
  <c r="G37" i="4" s="1"/>
  <c r="F30" i="3"/>
  <c r="K29" i="3"/>
  <c r="I29" i="3"/>
  <c r="G36" i="4" s="1"/>
  <c r="F29" i="3"/>
  <c r="K28" i="3"/>
  <c r="I28" i="3"/>
  <c r="G35" i="4" s="1"/>
  <c r="F28" i="3"/>
  <c r="K27" i="3"/>
  <c r="I27" i="3"/>
  <c r="G34" i="4" s="1"/>
  <c r="F27" i="3"/>
  <c r="K26" i="3"/>
  <c r="I26" i="3"/>
  <c r="G33" i="4" s="1"/>
  <c r="F26" i="3"/>
  <c r="K25" i="3"/>
  <c r="I25" i="3"/>
  <c r="G32" i="4" s="1"/>
  <c r="F25" i="3"/>
  <c r="K24" i="3"/>
  <c r="I24" i="3"/>
  <c r="G31" i="4" s="1"/>
  <c r="F24" i="3"/>
  <c r="K23" i="3"/>
  <c r="I23" i="3"/>
  <c r="G30" i="4" s="1"/>
  <c r="F23" i="3"/>
  <c r="K22" i="3"/>
  <c r="I22" i="3"/>
  <c r="G29" i="4" s="1"/>
  <c r="F22" i="3"/>
  <c r="K21" i="3"/>
  <c r="I21" i="3"/>
  <c r="G28" i="4" s="1"/>
  <c r="F21" i="3"/>
  <c r="K20" i="3"/>
  <c r="I20" i="3"/>
  <c r="G27" i="4" s="1"/>
  <c r="F20" i="3"/>
  <c r="K19" i="3"/>
  <c r="I19" i="3"/>
  <c r="G26" i="4" s="1"/>
  <c r="F19" i="3"/>
  <c r="K18" i="3"/>
  <c r="I18" i="3"/>
  <c r="G25" i="4" s="1"/>
  <c r="F18" i="3"/>
  <c r="K17" i="3"/>
  <c r="I17" i="3"/>
  <c r="G24" i="4" s="1"/>
  <c r="F17" i="3"/>
  <c r="K16" i="3"/>
  <c r="I16" i="3"/>
  <c r="G23" i="4" s="1"/>
  <c r="F16" i="3"/>
  <c r="K15" i="3"/>
  <c r="I15" i="3"/>
  <c r="G22" i="4" s="1"/>
  <c r="F15" i="3"/>
  <c r="K14" i="3"/>
  <c r="I14" i="3"/>
  <c r="G21" i="4" s="1"/>
  <c r="F14" i="3"/>
  <c r="K13" i="3"/>
  <c r="I13" i="3"/>
  <c r="G20" i="4" s="1"/>
  <c r="F13" i="3"/>
  <c r="K12" i="3"/>
  <c r="I12" i="3"/>
  <c r="G19" i="4" s="1"/>
  <c r="F12" i="3"/>
  <c r="K11" i="3"/>
  <c r="I11" i="3"/>
  <c r="G18" i="4" s="1"/>
  <c r="F11" i="3"/>
  <c r="K10" i="3"/>
  <c r="I10" i="3"/>
  <c r="G17" i="4" s="1"/>
  <c r="F10" i="3"/>
  <c r="K9" i="3"/>
  <c r="I9" i="3"/>
  <c r="G16" i="4" s="1"/>
  <c r="F9" i="3"/>
  <c r="AN152" i="2"/>
  <c r="C149" i="2"/>
  <c r="AL148" i="2"/>
  <c r="AK148" i="2"/>
  <c r="AI148" i="2"/>
  <c r="N148" i="7" s="1"/>
  <c r="AH148" i="2"/>
  <c r="M148" i="7" s="1"/>
  <c r="AF148" i="2"/>
  <c r="AE148" i="2"/>
  <c r="AC148" i="2"/>
  <c r="AB148" i="2"/>
  <c r="Z148" i="2"/>
  <c r="Y148" i="2"/>
  <c r="W148" i="2"/>
  <c r="V148" i="2"/>
  <c r="T148" i="2"/>
  <c r="S148" i="2"/>
  <c r="AL147" i="2"/>
  <c r="AK147" i="2"/>
  <c r="AI147" i="2"/>
  <c r="N147" i="7" s="1"/>
  <c r="AH147" i="2"/>
  <c r="M147" i="7" s="1"/>
  <c r="AF147" i="2"/>
  <c r="AE147" i="2"/>
  <c r="AC147" i="2"/>
  <c r="AB147" i="2"/>
  <c r="Z147" i="2"/>
  <c r="Y147" i="2"/>
  <c r="W147" i="2"/>
  <c r="V147" i="2"/>
  <c r="T147" i="2"/>
  <c r="S147" i="2"/>
  <c r="AL146" i="2"/>
  <c r="AK146" i="2"/>
  <c r="AI146" i="2"/>
  <c r="N146" i="7" s="1"/>
  <c r="AH146" i="2"/>
  <c r="M146" i="7" s="1"/>
  <c r="AF146" i="2"/>
  <c r="AE146" i="2"/>
  <c r="AC146" i="2"/>
  <c r="AB146" i="2"/>
  <c r="Z146" i="2"/>
  <c r="Y146" i="2"/>
  <c r="W146" i="2"/>
  <c r="V146" i="2"/>
  <c r="T146" i="2"/>
  <c r="S146" i="2"/>
  <c r="AL145" i="2"/>
  <c r="AK145" i="2"/>
  <c r="AI145" i="2"/>
  <c r="N145" i="7" s="1"/>
  <c r="AH145" i="2"/>
  <c r="AF145" i="2"/>
  <c r="AE145" i="2"/>
  <c r="AC145" i="2"/>
  <c r="AB145" i="2"/>
  <c r="Z145" i="2"/>
  <c r="Y145" i="2"/>
  <c r="W145" i="2"/>
  <c r="V145" i="2"/>
  <c r="T145" i="2"/>
  <c r="S145" i="2"/>
  <c r="AP144" i="2"/>
  <c r="AL144" i="2"/>
  <c r="AK144" i="2"/>
  <c r="AI144" i="2"/>
  <c r="N144" i="7" s="1"/>
  <c r="AH144" i="2"/>
  <c r="M144" i="7" s="1"/>
  <c r="AF144" i="2"/>
  <c r="AE144" i="2"/>
  <c r="AC144" i="2"/>
  <c r="AB144" i="2"/>
  <c r="Z144" i="2"/>
  <c r="Y144" i="2"/>
  <c r="W144" i="2"/>
  <c r="V144" i="2"/>
  <c r="T144" i="2"/>
  <c r="S144" i="2"/>
  <c r="AL143" i="2"/>
  <c r="AK143" i="2"/>
  <c r="AI143" i="2"/>
  <c r="AH143" i="2"/>
  <c r="AF143" i="2"/>
  <c r="AE143" i="2"/>
  <c r="AC143" i="2"/>
  <c r="AB143" i="2"/>
  <c r="Z143" i="2"/>
  <c r="Y143" i="2"/>
  <c r="W143" i="2"/>
  <c r="V143" i="2"/>
  <c r="T143" i="2"/>
  <c r="S143" i="2"/>
  <c r="C143" i="2"/>
  <c r="AL142" i="2"/>
  <c r="AK142" i="2"/>
  <c r="AI142" i="2"/>
  <c r="N142" i="7" s="1"/>
  <c r="AH142" i="2"/>
  <c r="M142" i="7" s="1"/>
  <c r="AF142" i="2"/>
  <c r="AE142" i="2"/>
  <c r="AC142" i="2"/>
  <c r="AB142" i="2"/>
  <c r="Z142" i="2"/>
  <c r="Y142" i="2"/>
  <c r="W142" i="2"/>
  <c r="V142" i="2"/>
  <c r="T142" i="2"/>
  <c r="S142" i="2"/>
  <c r="AL141" i="2"/>
  <c r="AK141" i="2"/>
  <c r="AI141" i="2"/>
  <c r="N141" i="7" s="1"/>
  <c r="AH141" i="2"/>
  <c r="M141" i="7" s="1"/>
  <c r="AF141" i="2"/>
  <c r="AE141" i="2"/>
  <c r="AC141" i="2"/>
  <c r="AB141" i="2"/>
  <c r="Z141" i="2"/>
  <c r="Y141" i="2"/>
  <c r="W141" i="2"/>
  <c r="V141" i="2"/>
  <c r="T141" i="2"/>
  <c r="S141" i="2"/>
  <c r="AL140" i="2"/>
  <c r="AK140" i="2"/>
  <c r="AI140" i="2"/>
  <c r="N140" i="7" s="1"/>
  <c r="AH140" i="2"/>
  <c r="M140" i="7" s="1"/>
  <c r="AF140" i="2"/>
  <c r="AE140" i="2"/>
  <c r="AC140" i="2"/>
  <c r="AB140" i="2"/>
  <c r="Z140" i="2"/>
  <c r="Y140" i="2"/>
  <c r="W140" i="2"/>
  <c r="V140" i="2"/>
  <c r="T140" i="2"/>
  <c r="S140" i="2"/>
  <c r="AP139" i="2"/>
  <c r="AL139" i="2"/>
  <c r="AK139" i="2"/>
  <c r="AI139" i="2"/>
  <c r="N139" i="7" s="1"/>
  <c r="AH139" i="2"/>
  <c r="M139" i="7" s="1"/>
  <c r="AF139" i="2"/>
  <c r="AE139" i="2"/>
  <c r="AC139" i="2"/>
  <c r="AB139" i="2"/>
  <c r="Z139" i="2"/>
  <c r="Y139" i="2"/>
  <c r="W139" i="2"/>
  <c r="V139" i="2"/>
  <c r="T139" i="2"/>
  <c r="S139" i="2"/>
  <c r="AL138" i="2"/>
  <c r="AK138" i="2"/>
  <c r="AI138" i="2"/>
  <c r="AH138" i="2"/>
  <c r="AF138" i="2"/>
  <c r="AE138" i="2"/>
  <c r="AC138" i="2"/>
  <c r="AB138" i="2"/>
  <c r="Z138" i="2"/>
  <c r="Y138" i="2"/>
  <c r="W138" i="2"/>
  <c r="V138" i="2"/>
  <c r="T138" i="2"/>
  <c r="S138" i="2"/>
  <c r="C138" i="2"/>
  <c r="AL137" i="2"/>
  <c r="AK137" i="2"/>
  <c r="AI137" i="2"/>
  <c r="N137" i="7" s="1"/>
  <c r="AH137" i="2"/>
  <c r="M137" i="7" s="1"/>
  <c r="AF137" i="2"/>
  <c r="AE137" i="2"/>
  <c r="AC137" i="2"/>
  <c r="AB137" i="2"/>
  <c r="Z137" i="2"/>
  <c r="Y137" i="2"/>
  <c r="W137" i="2"/>
  <c r="V137" i="2"/>
  <c r="T137" i="2"/>
  <c r="S137" i="2"/>
  <c r="AL136" i="2"/>
  <c r="AK136" i="2"/>
  <c r="AI136" i="2"/>
  <c r="N136" i="7" s="1"/>
  <c r="AH136" i="2"/>
  <c r="M136" i="7" s="1"/>
  <c r="AF136" i="2"/>
  <c r="AE136" i="2"/>
  <c r="AC136" i="2"/>
  <c r="AB136" i="2"/>
  <c r="Z136" i="2"/>
  <c r="Y136" i="2"/>
  <c r="W136" i="2"/>
  <c r="V136" i="2"/>
  <c r="T136" i="2"/>
  <c r="S136" i="2"/>
  <c r="AL135" i="2"/>
  <c r="AK135" i="2"/>
  <c r="AI135" i="2"/>
  <c r="N135" i="7" s="1"/>
  <c r="AH135" i="2"/>
  <c r="M135" i="7" s="1"/>
  <c r="AF135" i="2"/>
  <c r="AE135" i="2"/>
  <c r="AC135" i="2"/>
  <c r="AB135" i="2"/>
  <c r="Z135" i="2"/>
  <c r="Y135" i="2"/>
  <c r="W135" i="2"/>
  <c r="V135" i="2"/>
  <c r="T135" i="2"/>
  <c r="S135" i="2"/>
  <c r="AP134" i="2"/>
  <c r="AL134" i="2"/>
  <c r="AK134" i="2"/>
  <c r="AI134" i="2"/>
  <c r="N134" i="7" s="1"/>
  <c r="AH134" i="2"/>
  <c r="M134" i="7" s="1"/>
  <c r="AF134" i="2"/>
  <c r="AE134" i="2"/>
  <c r="AC134" i="2"/>
  <c r="AB134" i="2"/>
  <c r="Z134" i="2"/>
  <c r="Y134" i="2"/>
  <c r="W134" i="2"/>
  <c r="V134" i="2"/>
  <c r="T134" i="2"/>
  <c r="S134" i="2"/>
  <c r="AL133" i="2"/>
  <c r="AK133" i="2"/>
  <c r="AI133" i="2"/>
  <c r="AH133" i="2"/>
  <c r="AF133" i="2"/>
  <c r="AE133" i="2"/>
  <c r="AC133" i="2"/>
  <c r="AB133" i="2"/>
  <c r="Z133" i="2"/>
  <c r="Y133" i="2"/>
  <c r="W133" i="2"/>
  <c r="V133" i="2"/>
  <c r="T133" i="2"/>
  <c r="S133" i="2"/>
  <c r="C133" i="2"/>
  <c r="AL132" i="2"/>
  <c r="AK132" i="2"/>
  <c r="AI132" i="2"/>
  <c r="N132" i="7" s="1"/>
  <c r="AH132" i="2"/>
  <c r="M132" i="7" s="1"/>
  <c r="AF132" i="2"/>
  <c r="AE132" i="2"/>
  <c r="AC132" i="2"/>
  <c r="AB132" i="2"/>
  <c r="Z132" i="2"/>
  <c r="Y132" i="2"/>
  <c r="W132" i="2"/>
  <c r="V132" i="2"/>
  <c r="T132" i="2"/>
  <c r="S132" i="2"/>
  <c r="AL131" i="2"/>
  <c r="AK131" i="2"/>
  <c r="AI131" i="2"/>
  <c r="N131" i="7" s="1"/>
  <c r="AH131" i="2"/>
  <c r="M131" i="7" s="1"/>
  <c r="AF131" i="2"/>
  <c r="AE131" i="2"/>
  <c r="AC131" i="2"/>
  <c r="AB131" i="2"/>
  <c r="Z131" i="2"/>
  <c r="Y131" i="2"/>
  <c r="W131" i="2"/>
  <c r="V131" i="2"/>
  <c r="T131" i="2"/>
  <c r="S131" i="2"/>
  <c r="AL130" i="2"/>
  <c r="AK130" i="2"/>
  <c r="AI130" i="2"/>
  <c r="N130" i="7" s="1"/>
  <c r="AH130" i="2"/>
  <c r="M130" i="7" s="1"/>
  <c r="AF130" i="2"/>
  <c r="AE130" i="2"/>
  <c r="AC130" i="2"/>
  <c r="AB130" i="2"/>
  <c r="Z130" i="2"/>
  <c r="Y130" i="2"/>
  <c r="W130" i="2"/>
  <c r="V130" i="2"/>
  <c r="T130" i="2"/>
  <c r="S130" i="2"/>
  <c r="AL129" i="2"/>
  <c r="AK129" i="2"/>
  <c r="AI129" i="2"/>
  <c r="N129" i="7" s="1"/>
  <c r="AH129" i="2"/>
  <c r="M129" i="7" s="1"/>
  <c r="AF129" i="2"/>
  <c r="AE129" i="2"/>
  <c r="AC129" i="2"/>
  <c r="AB129" i="2"/>
  <c r="Z129" i="2"/>
  <c r="Y129" i="2"/>
  <c r="W129" i="2"/>
  <c r="V129" i="2"/>
  <c r="T129" i="2"/>
  <c r="S129" i="2"/>
  <c r="AP128" i="2"/>
  <c r="AL128" i="2"/>
  <c r="AK128" i="2"/>
  <c r="AI128" i="2"/>
  <c r="N128" i="7" s="1"/>
  <c r="AH128" i="2"/>
  <c r="M128" i="7" s="1"/>
  <c r="AF128" i="2"/>
  <c r="AE128" i="2"/>
  <c r="AC128" i="2"/>
  <c r="AB128" i="2"/>
  <c r="Z128" i="2"/>
  <c r="Y128" i="2"/>
  <c r="W128" i="2"/>
  <c r="V128" i="2"/>
  <c r="T128" i="2"/>
  <c r="S128" i="2"/>
  <c r="AL127" i="2"/>
  <c r="AK127" i="2"/>
  <c r="AI127" i="2"/>
  <c r="AH127" i="2"/>
  <c r="AF127" i="2"/>
  <c r="AE127" i="2"/>
  <c r="AC127" i="2"/>
  <c r="AB127" i="2"/>
  <c r="Z127" i="2"/>
  <c r="Y127" i="2"/>
  <c r="W127" i="2"/>
  <c r="V127" i="2"/>
  <c r="T127" i="2"/>
  <c r="S127" i="2"/>
  <c r="C127" i="2"/>
  <c r="AL126" i="2"/>
  <c r="AK126" i="2"/>
  <c r="AI126" i="2"/>
  <c r="N126" i="7" s="1"/>
  <c r="AH126" i="2"/>
  <c r="AF126" i="2"/>
  <c r="AE126" i="2"/>
  <c r="AC126" i="2"/>
  <c r="AB126" i="2"/>
  <c r="Z126" i="2"/>
  <c r="Y126" i="2"/>
  <c r="W126" i="2"/>
  <c r="V126" i="2"/>
  <c r="T126" i="2"/>
  <c r="S126" i="2"/>
  <c r="AL125" i="2"/>
  <c r="AK125" i="2"/>
  <c r="AI125" i="2"/>
  <c r="N125" i="7" s="1"/>
  <c r="AH125" i="2"/>
  <c r="M125" i="7" s="1"/>
  <c r="AF125" i="2"/>
  <c r="AE125" i="2"/>
  <c r="AC125" i="2"/>
  <c r="AB125" i="2"/>
  <c r="Z125" i="2"/>
  <c r="Y125" i="2"/>
  <c r="W125" i="2"/>
  <c r="V125" i="2"/>
  <c r="T125" i="2"/>
  <c r="S125" i="2"/>
  <c r="AL124" i="2"/>
  <c r="AK124" i="2"/>
  <c r="AI124" i="2"/>
  <c r="N124" i="7" s="1"/>
  <c r="AH124" i="2"/>
  <c r="M124" i="7" s="1"/>
  <c r="AF124" i="2"/>
  <c r="AE124" i="2"/>
  <c r="AC124" i="2"/>
  <c r="AB124" i="2"/>
  <c r="Z124" i="2"/>
  <c r="Y124" i="2"/>
  <c r="W124" i="2"/>
  <c r="V124" i="2"/>
  <c r="T124" i="2"/>
  <c r="S124" i="2"/>
  <c r="AL123" i="2"/>
  <c r="AK123" i="2"/>
  <c r="AI123" i="2"/>
  <c r="N123" i="7" s="1"/>
  <c r="AH123" i="2"/>
  <c r="M123" i="7" s="1"/>
  <c r="AF123" i="2"/>
  <c r="AE123" i="2"/>
  <c r="AC123" i="2"/>
  <c r="AB123" i="2"/>
  <c r="Z123" i="2"/>
  <c r="Y123" i="2"/>
  <c r="W123" i="2"/>
  <c r="V123" i="2"/>
  <c r="T123" i="2"/>
  <c r="S123" i="2"/>
  <c r="AL122" i="2"/>
  <c r="AK122" i="2"/>
  <c r="AI122" i="2"/>
  <c r="N122" i="7" s="1"/>
  <c r="AH122" i="2"/>
  <c r="AF122" i="2"/>
  <c r="AE122" i="2"/>
  <c r="AC122" i="2"/>
  <c r="AB122" i="2"/>
  <c r="Z122" i="2"/>
  <c r="Y122" i="2"/>
  <c r="W122" i="2"/>
  <c r="V122" i="2"/>
  <c r="T122" i="2"/>
  <c r="S122" i="2"/>
  <c r="AL121" i="2"/>
  <c r="AK121" i="2"/>
  <c r="AI121" i="2"/>
  <c r="N121" i="7" s="1"/>
  <c r="AH121" i="2"/>
  <c r="M121" i="7" s="1"/>
  <c r="AF121" i="2"/>
  <c r="AE121" i="2"/>
  <c r="AC121" i="2"/>
  <c r="AB121" i="2"/>
  <c r="Z121" i="2"/>
  <c r="Y121" i="2"/>
  <c r="W121" i="2"/>
  <c r="V121" i="2"/>
  <c r="T121" i="2"/>
  <c r="S121" i="2"/>
  <c r="AL120" i="2"/>
  <c r="AK120" i="2"/>
  <c r="AI120" i="2"/>
  <c r="N120" i="7" s="1"/>
  <c r="AH120" i="2"/>
  <c r="M120" i="7" s="1"/>
  <c r="AF120" i="2"/>
  <c r="AE120" i="2"/>
  <c r="AC120" i="2"/>
  <c r="AB120" i="2"/>
  <c r="Z120" i="2"/>
  <c r="Y120" i="2"/>
  <c r="W120" i="2"/>
  <c r="V120" i="2"/>
  <c r="T120" i="2"/>
  <c r="S120" i="2"/>
  <c r="AL119" i="2"/>
  <c r="AK119" i="2"/>
  <c r="AI119" i="2"/>
  <c r="N119" i="7" s="1"/>
  <c r="AH119" i="2"/>
  <c r="M119" i="7" s="1"/>
  <c r="AF119" i="2"/>
  <c r="AE119" i="2"/>
  <c r="AC119" i="2"/>
  <c r="AB119" i="2"/>
  <c r="Z119" i="2"/>
  <c r="Y119" i="2"/>
  <c r="W119" i="2"/>
  <c r="V119" i="2"/>
  <c r="T119" i="2"/>
  <c r="S119" i="2"/>
  <c r="AL118" i="2"/>
  <c r="AK118" i="2"/>
  <c r="AI118" i="2"/>
  <c r="N118" i="7" s="1"/>
  <c r="AH118" i="2"/>
  <c r="AF118" i="2"/>
  <c r="AE118" i="2"/>
  <c r="AC118" i="2"/>
  <c r="AB118" i="2"/>
  <c r="Z118" i="2"/>
  <c r="Y118" i="2"/>
  <c r="W118" i="2"/>
  <c r="V118" i="2"/>
  <c r="T118" i="2"/>
  <c r="S118" i="2"/>
  <c r="AL117" i="2"/>
  <c r="AK117" i="2"/>
  <c r="AI117" i="2"/>
  <c r="N117" i="7" s="1"/>
  <c r="AH117" i="2"/>
  <c r="M117" i="7" s="1"/>
  <c r="AF117" i="2"/>
  <c r="AE117" i="2"/>
  <c r="AC117" i="2"/>
  <c r="AB117" i="2"/>
  <c r="Z117" i="2"/>
  <c r="Y117" i="2"/>
  <c r="W117" i="2"/>
  <c r="V117" i="2"/>
  <c r="T117" i="2"/>
  <c r="S117" i="2"/>
  <c r="AL116" i="2"/>
  <c r="AK116" i="2"/>
  <c r="AI116" i="2"/>
  <c r="N116" i="7" s="1"/>
  <c r="AH116" i="2"/>
  <c r="M116" i="7" s="1"/>
  <c r="AF116" i="2"/>
  <c r="AE116" i="2"/>
  <c r="AC116" i="2"/>
  <c r="AB116" i="2"/>
  <c r="Z116" i="2"/>
  <c r="Y116" i="2"/>
  <c r="W116" i="2"/>
  <c r="V116" i="2"/>
  <c r="T116" i="2"/>
  <c r="S116" i="2"/>
  <c r="AL115" i="2"/>
  <c r="AK115" i="2"/>
  <c r="AI115" i="2"/>
  <c r="N115" i="7" s="1"/>
  <c r="AH115" i="2"/>
  <c r="M115" i="7" s="1"/>
  <c r="AF115" i="2"/>
  <c r="AE115" i="2"/>
  <c r="AC115" i="2"/>
  <c r="AB115" i="2"/>
  <c r="Z115" i="2"/>
  <c r="Y115" i="2"/>
  <c r="W115" i="2"/>
  <c r="V115" i="2"/>
  <c r="T115" i="2"/>
  <c r="S115" i="2"/>
  <c r="AP114" i="2"/>
  <c r="AL114" i="2"/>
  <c r="AK114" i="2"/>
  <c r="AI114" i="2"/>
  <c r="N114" i="7" s="1"/>
  <c r="AH114" i="2"/>
  <c r="M114" i="7" s="1"/>
  <c r="AF114" i="2"/>
  <c r="AE114" i="2"/>
  <c r="AC114" i="2"/>
  <c r="AB114" i="2"/>
  <c r="Z114" i="2"/>
  <c r="Y114" i="2"/>
  <c r="W114" i="2"/>
  <c r="V114" i="2"/>
  <c r="T114" i="2"/>
  <c r="S114" i="2"/>
  <c r="AL113" i="2"/>
  <c r="AK113" i="2"/>
  <c r="AI113" i="2"/>
  <c r="AH113" i="2"/>
  <c r="AF113" i="2"/>
  <c r="AE113" i="2"/>
  <c r="AC113" i="2"/>
  <c r="AB113" i="2"/>
  <c r="Z113" i="2"/>
  <c r="Y113" i="2"/>
  <c r="W113" i="2"/>
  <c r="V113" i="2"/>
  <c r="T113" i="2"/>
  <c r="S113" i="2"/>
  <c r="C113" i="2"/>
  <c r="C150" i="2" s="1"/>
  <c r="AL112" i="2"/>
  <c r="AK112" i="2"/>
  <c r="AI112" i="2"/>
  <c r="N112" i="7" s="1"/>
  <c r="AH112" i="2"/>
  <c r="M112" i="7" s="1"/>
  <c r="AF112" i="2"/>
  <c r="AE112" i="2"/>
  <c r="AC112" i="2"/>
  <c r="AB112" i="2"/>
  <c r="Z112" i="2"/>
  <c r="Y112" i="2"/>
  <c r="W112" i="2"/>
  <c r="V112" i="2"/>
  <c r="T112" i="2"/>
  <c r="S112" i="2"/>
  <c r="AL111" i="2"/>
  <c r="AK111" i="2"/>
  <c r="AI111" i="2"/>
  <c r="N111" i="7" s="1"/>
  <c r="AH111" i="2"/>
  <c r="M111" i="7" s="1"/>
  <c r="AF111" i="2"/>
  <c r="AE111" i="2"/>
  <c r="AC111" i="2"/>
  <c r="AB111" i="2"/>
  <c r="Z111" i="2"/>
  <c r="Y111" i="2"/>
  <c r="W111" i="2"/>
  <c r="V111" i="2"/>
  <c r="T111" i="2"/>
  <c r="S111" i="2"/>
  <c r="AL110" i="2"/>
  <c r="AK110" i="2"/>
  <c r="AI110" i="2"/>
  <c r="N110" i="7" s="1"/>
  <c r="AH110" i="2"/>
  <c r="M110" i="7" s="1"/>
  <c r="AF110" i="2"/>
  <c r="AE110" i="2"/>
  <c r="AC110" i="2"/>
  <c r="AB110" i="2"/>
  <c r="Z110" i="2"/>
  <c r="Y110" i="2"/>
  <c r="W110" i="2"/>
  <c r="V110" i="2"/>
  <c r="T110" i="2"/>
  <c r="S110" i="2"/>
  <c r="AL109" i="2"/>
  <c r="AK109" i="2"/>
  <c r="AI109" i="2"/>
  <c r="N109" i="7" s="1"/>
  <c r="AH109" i="2"/>
  <c r="M109" i="7" s="1"/>
  <c r="AF109" i="2"/>
  <c r="AE109" i="2"/>
  <c r="AC109" i="2"/>
  <c r="AB109" i="2"/>
  <c r="Z109" i="2"/>
  <c r="Y109" i="2"/>
  <c r="W109" i="2"/>
  <c r="V109" i="2"/>
  <c r="T109" i="2"/>
  <c r="S109" i="2"/>
  <c r="AL108" i="2"/>
  <c r="AK108" i="2"/>
  <c r="AI108" i="2"/>
  <c r="N108" i="7" s="1"/>
  <c r="AH108" i="2"/>
  <c r="M108" i="7" s="1"/>
  <c r="AF108" i="2"/>
  <c r="AE108" i="2"/>
  <c r="AC108" i="2"/>
  <c r="AB108" i="2"/>
  <c r="Z108" i="2"/>
  <c r="Y108" i="2"/>
  <c r="W108" i="2"/>
  <c r="V108" i="2"/>
  <c r="T108" i="2"/>
  <c r="S108" i="2"/>
  <c r="AL107" i="2"/>
  <c r="AK107" i="2"/>
  <c r="AI107" i="2"/>
  <c r="N107" i="7" s="1"/>
  <c r="AH107" i="2"/>
  <c r="M107" i="7" s="1"/>
  <c r="AF107" i="2"/>
  <c r="AE107" i="2"/>
  <c r="AC107" i="2"/>
  <c r="AB107" i="2"/>
  <c r="Z107" i="2"/>
  <c r="Y107" i="2"/>
  <c r="W107" i="2"/>
  <c r="V107" i="2"/>
  <c r="T107" i="2"/>
  <c r="S107" i="2"/>
  <c r="AL106" i="2"/>
  <c r="AK106" i="2"/>
  <c r="AI106" i="2"/>
  <c r="N106" i="7" s="1"/>
  <c r="AH106" i="2"/>
  <c r="M106" i="7" s="1"/>
  <c r="AF106" i="2"/>
  <c r="AE106" i="2"/>
  <c r="AC106" i="2"/>
  <c r="AB106" i="2"/>
  <c r="Z106" i="2"/>
  <c r="Y106" i="2"/>
  <c r="W106" i="2"/>
  <c r="V106" i="2"/>
  <c r="T106" i="2"/>
  <c r="S106" i="2"/>
  <c r="AL105" i="2"/>
  <c r="AK105" i="2"/>
  <c r="AI105" i="2"/>
  <c r="N105" i="7" s="1"/>
  <c r="AH105" i="2"/>
  <c r="M105" i="7" s="1"/>
  <c r="AF105" i="2"/>
  <c r="AE105" i="2"/>
  <c r="AC105" i="2"/>
  <c r="AB105" i="2"/>
  <c r="Z105" i="2"/>
  <c r="Y105" i="2"/>
  <c r="W105" i="2"/>
  <c r="V105" i="2"/>
  <c r="T105" i="2"/>
  <c r="S105" i="2"/>
  <c r="AL104" i="2"/>
  <c r="AK104" i="2"/>
  <c r="AI104" i="2"/>
  <c r="N104" i="7" s="1"/>
  <c r="AH104" i="2"/>
  <c r="M104" i="7" s="1"/>
  <c r="AF104" i="2"/>
  <c r="AE104" i="2"/>
  <c r="AC104" i="2"/>
  <c r="AB104" i="2"/>
  <c r="Z104" i="2"/>
  <c r="Y104" i="2"/>
  <c r="W104" i="2"/>
  <c r="V104" i="2"/>
  <c r="T104" i="2"/>
  <c r="S104" i="2"/>
  <c r="AL103" i="2"/>
  <c r="AK103" i="2"/>
  <c r="AI103" i="2"/>
  <c r="N103" i="7" s="1"/>
  <c r="AH103" i="2"/>
  <c r="M103" i="7" s="1"/>
  <c r="AF103" i="2"/>
  <c r="AE103" i="2"/>
  <c r="AC103" i="2"/>
  <c r="AB103" i="2"/>
  <c r="Z103" i="2"/>
  <c r="Y103" i="2"/>
  <c r="W103" i="2"/>
  <c r="V103" i="2"/>
  <c r="T103" i="2"/>
  <c r="S103" i="2"/>
  <c r="AL102" i="2"/>
  <c r="AK102" i="2"/>
  <c r="AI102" i="2"/>
  <c r="N102" i="7" s="1"/>
  <c r="AH102" i="2"/>
  <c r="M102" i="7" s="1"/>
  <c r="AF102" i="2"/>
  <c r="AE102" i="2"/>
  <c r="AC102" i="2"/>
  <c r="AB102" i="2"/>
  <c r="Z102" i="2"/>
  <c r="Y102" i="2"/>
  <c r="W102" i="2"/>
  <c r="V102" i="2"/>
  <c r="T102" i="2"/>
  <c r="S102" i="2"/>
  <c r="AP101" i="2"/>
  <c r="AL101" i="2"/>
  <c r="AK101" i="2"/>
  <c r="AI101" i="2"/>
  <c r="N101" i="7" s="1"/>
  <c r="AH101" i="2"/>
  <c r="M101" i="7" s="1"/>
  <c r="AF101" i="2"/>
  <c r="AE101" i="2"/>
  <c r="AC101" i="2"/>
  <c r="AB101" i="2"/>
  <c r="Z101" i="2"/>
  <c r="Y101" i="2"/>
  <c r="W101" i="2"/>
  <c r="V101" i="2"/>
  <c r="T101" i="2"/>
  <c r="S101" i="2"/>
  <c r="AL100" i="2"/>
  <c r="AK100" i="2"/>
  <c r="AI100" i="2"/>
  <c r="AH100" i="2"/>
  <c r="AF100" i="2"/>
  <c r="AE100" i="2"/>
  <c r="AC100" i="2"/>
  <c r="AB100" i="2"/>
  <c r="Z100" i="2"/>
  <c r="Y100" i="2"/>
  <c r="W100" i="2"/>
  <c r="V100" i="2"/>
  <c r="T100" i="2"/>
  <c r="S100" i="2"/>
  <c r="AL99" i="2"/>
  <c r="AK99" i="2"/>
  <c r="AI99" i="2"/>
  <c r="AH99" i="2"/>
  <c r="AF99" i="2"/>
  <c r="AE99" i="2"/>
  <c r="AC99" i="2"/>
  <c r="AB99" i="2"/>
  <c r="Z99" i="2"/>
  <c r="Y99" i="2"/>
  <c r="W99" i="2"/>
  <c r="V99" i="2"/>
  <c r="T99" i="2"/>
  <c r="S99" i="2"/>
  <c r="C99" i="2"/>
  <c r="AL98" i="2"/>
  <c r="AK98" i="2"/>
  <c r="AI98" i="2"/>
  <c r="AH98" i="2"/>
  <c r="M98" i="7" s="1"/>
  <c r="AF98" i="2"/>
  <c r="AE98" i="2"/>
  <c r="AC98" i="2"/>
  <c r="AB98" i="2"/>
  <c r="Z98" i="2"/>
  <c r="Y98" i="2"/>
  <c r="W98" i="2"/>
  <c r="V98" i="2"/>
  <c r="T98" i="2"/>
  <c r="S98" i="2"/>
  <c r="AL97" i="2"/>
  <c r="AK97" i="2"/>
  <c r="AI97" i="2"/>
  <c r="N97" i="7" s="1"/>
  <c r="AH97" i="2"/>
  <c r="M97" i="7" s="1"/>
  <c r="AF97" i="2"/>
  <c r="AE97" i="2"/>
  <c r="AC97" i="2"/>
  <c r="AB97" i="2"/>
  <c r="Z97" i="2"/>
  <c r="Y97" i="2"/>
  <c r="W97" i="2"/>
  <c r="V97" i="2"/>
  <c r="T97" i="2"/>
  <c r="S97" i="2"/>
  <c r="AL96" i="2"/>
  <c r="AK96" i="2"/>
  <c r="AI96" i="2"/>
  <c r="AH96" i="2"/>
  <c r="M96" i="7" s="1"/>
  <c r="AF96" i="2"/>
  <c r="AE96" i="2"/>
  <c r="AC96" i="2"/>
  <c r="AB96" i="2"/>
  <c r="Z96" i="2"/>
  <c r="Y96" i="2"/>
  <c r="W96" i="2"/>
  <c r="V96" i="2"/>
  <c r="T96" i="2"/>
  <c r="S96" i="2"/>
  <c r="AL95" i="2"/>
  <c r="AK95" i="2"/>
  <c r="AI95" i="2"/>
  <c r="N95" i="7" s="1"/>
  <c r="AH95" i="2"/>
  <c r="AF95" i="2"/>
  <c r="AE95" i="2"/>
  <c r="AC95" i="2"/>
  <c r="AB95" i="2"/>
  <c r="Z95" i="2"/>
  <c r="Y95" i="2"/>
  <c r="W95" i="2"/>
  <c r="V95" i="2"/>
  <c r="T95" i="2"/>
  <c r="S95" i="2"/>
  <c r="AL94" i="2"/>
  <c r="AK94" i="2"/>
  <c r="AI94" i="2"/>
  <c r="AH94" i="2"/>
  <c r="M94" i="7" s="1"/>
  <c r="AF94" i="2"/>
  <c r="AE94" i="2"/>
  <c r="AC94" i="2"/>
  <c r="AB94" i="2"/>
  <c r="Z94" i="2"/>
  <c r="Y94" i="2"/>
  <c r="W94" i="2"/>
  <c r="V94" i="2"/>
  <c r="T94" i="2"/>
  <c r="S94" i="2"/>
  <c r="AL93" i="2"/>
  <c r="AK93" i="2"/>
  <c r="AI93" i="2"/>
  <c r="N93" i="7" s="1"/>
  <c r="AH93" i="2"/>
  <c r="M93" i="7" s="1"/>
  <c r="AF93" i="2"/>
  <c r="AE93" i="2"/>
  <c r="AC93" i="2"/>
  <c r="AB93" i="2"/>
  <c r="Z93" i="2"/>
  <c r="Y93" i="2"/>
  <c r="W93" i="2"/>
  <c r="V93" i="2"/>
  <c r="T93" i="2"/>
  <c r="S93" i="2"/>
  <c r="AP92" i="2"/>
  <c r="AL92" i="2"/>
  <c r="AK92" i="2"/>
  <c r="AI92" i="2"/>
  <c r="N92" i="7" s="1"/>
  <c r="AH92" i="2"/>
  <c r="M92" i="7" s="1"/>
  <c r="AF92" i="2"/>
  <c r="AE92" i="2"/>
  <c r="AC92" i="2"/>
  <c r="AB92" i="2"/>
  <c r="Z92" i="2"/>
  <c r="Y92" i="2"/>
  <c r="W92" i="2"/>
  <c r="V92" i="2"/>
  <c r="T92" i="2"/>
  <c r="S92" i="2"/>
  <c r="AL91" i="2"/>
  <c r="AK91" i="2"/>
  <c r="AI91" i="2"/>
  <c r="AH91" i="2"/>
  <c r="AF91" i="2"/>
  <c r="AE91" i="2"/>
  <c r="AC91" i="2"/>
  <c r="AB91" i="2"/>
  <c r="Z91" i="2"/>
  <c r="Y91" i="2"/>
  <c r="W91" i="2"/>
  <c r="V91" i="2"/>
  <c r="T91" i="2"/>
  <c r="S91" i="2"/>
  <c r="C91" i="2"/>
  <c r="C100" i="2" s="1"/>
  <c r="C3" i="2" s="1"/>
  <c r="AL90" i="2"/>
  <c r="AK90" i="2"/>
  <c r="AI90" i="2"/>
  <c r="N90" i="7" s="1"/>
  <c r="AH90" i="2"/>
  <c r="M90" i="7" s="1"/>
  <c r="AF90" i="2"/>
  <c r="AE90" i="2"/>
  <c r="AC90" i="2"/>
  <c r="AB90" i="2"/>
  <c r="Z90" i="2"/>
  <c r="Y90" i="2"/>
  <c r="W90" i="2"/>
  <c r="V90" i="2"/>
  <c r="T90" i="2"/>
  <c r="S90" i="2"/>
  <c r="AL89" i="2"/>
  <c r="AK89" i="2"/>
  <c r="AI89" i="2"/>
  <c r="N89" i="7" s="1"/>
  <c r="AH89" i="2"/>
  <c r="M89" i="7" s="1"/>
  <c r="AF89" i="2"/>
  <c r="AE89" i="2"/>
  <c r="AC89" i="2"/>
  <c r="AB89" i="2"/>
  <c r="Z89" i="2"/>
  <c r="Y89" i="2"/>
  <c r="W89" i="2"/>
  <c r="V89" i="2"/>
  <c r="T89" i="2"/>
  <c r="S89" i="2"/>
  <c r="AL88" i="2"/>
  <c r="AK88" i="2"/>
  <c r="AI88" i="2"/>
  <c r="N88" i="7" s="1"/>
  <c r="AH88" i="2"/>
  <c r="M88" i="7" s="1"/>
  <c r="AF88" i="2"/>
  <c r="AE88" i="2"/>
  <c r="AC88" i="2"/>
  <c r="AB88" i="2"/>
  <c r="Z88" i="2"/>
  <c r="Y88" i="2"/>
  <c r="W88" i="2"/>
  <c r="V88" i="2"/>
  <c r="T88" i="2"/>
  <c r="S88" i="2"/>
  <c r="AL87" i="2"/>
  <c r="AK87" i="2"/>
  <c r="AI87" i="2"/>
  <c r="AH87" i="2"/>
  <c r="M87" i="7" s="1"/>
  <c r="AF87" i="2"/>
  <c r="AE87" i="2"/>
  <c r="AC87" i="2"/>
  <c r="AB87" i="2"/>
  <c r="Z87" i="2"/>
  <c r="Y87" i="2"/>
  <c r="W87" i="2"/>
  <c r="V87" i="2"/>
  <c r="T87" i="2"/>
  <c r="S87" i="2"/>
  <c r="AL86" i="2"/>
  <c r="AK86" i="2"/>
  <c r="AI86" i="2"/>
  <c r="N86" i="7" s="1"/>
  <c r="AH86" i="2"/>
  <c r="M86" i="7" s="1"/>
  <c r="AF86" i="2"/>
  <c r="AE86" i="2"/>
  <c r="AC86" i="2"/>
  <c r="AB86" i="2"/>
  <c r="Z86" i="2"/>
  <c r="Y86" i="2"/>
  <c r="W86" i="2"/>
  <c r="V86" i="2"/>
  <c r="T86" i="2"/>
  <c r="S86" i="2"/>
  <c r="AL85" i="2"/>
  <c r="AK85" i="2"/>
  <c r="AI85" i="2"/>
  <c r="N85" i="7" s="1"/>
  <c r="AH85" i="2"/>
  <c r="M85" i="7" s="1"/>
  <c r="AF85" i="2"/>
  <c r="AE85" i="2"/>
  <c r="AC85" i="2"/>
  <c r="AB85" i="2"/>
  <c r="Z85" i="2"/>
  <c r="Y85" i="2"/>
  <c r="W85" i="2"/>
  <c r="V85" i="2"/>
  <c r="T85" i="2"/>
  <c r="S85" i="2"/>
  <c r="AL84" i="2"/>
  <c r="AK84" i="2"/>
  <c r="AI84" i="2"/>
  <c r="N84" i="7" s="1"/>
  <c r="AH84" i="2"/>
  <c r="M84" i="7" s="1"/>
  <c r="AF84" i="2"/>
  <c r="AE84" i="2"/>
  <c r="AC84" i="2"/>
  <c r="AB84" i="2"/>
  <c r="Z84" i="2"/>
  <c r="Y84" i="2"/>
  <c r="W84" i="2"/>
  <c r="V84" i="2"/>
  <c r="T84" i="2"/>
  <c r="S84" i="2"/>
  <c r="AL83" i="2"/>
  <c r="AK83" i="2"/>
  <c r="AI83" i="2"/>
  <c r="AH83" i="2"/>
  <c r="M83" i="7" s="1"/>
  <c r="AF83" i="2"/>
  <c r="AE83" i="2"/>
  <c r="AC83" i="2"/>
  <c r="AB83" i="2"/>
  <c r="Z83" i="2"/>
  <c r="Y83" i="2"/>
  <c r="W83" i="2"/>
  <c r="V83" i="2"/>
  <c r="T83" i="2"/>
  <c r="S83" i="2"/>
  <c r="AL82" i="2"/>
  <c r="AK82" i="2"/>
  <c r="AI82" i="2"/>
  <c r="AH82" i="2"/>
  <c r="M82" i="7" s="1"/>
  <c r="AF82" i="2"/>
  <c r="AE82" i="2"/>
  <c r="AC82" i="2"/>
  <c r="AB82" i="2"/>
  <c r="Z82" i="2"/>
  <c r="Y82" i="2"/>
  <c r="W82" i="2"/>
  <c r="V82" i="2"/>
  <c r="T82" i="2"/>
  <c r="S82" i="2"/>
  <c r="AL81" i="2"/>
  <c r="AK81" i="2"/>
  <c r="AI81" i="2"/>
  <c r="N81" i="7" s="1"/>
  <c r="AH81" i="2"/>
  <c r="M81" i="7" s="1"/>
  <c r="AF81" i="2"/>
  <c r="AE81" i="2"/>
  <c r="AC81" i="2"/>
  <c r="AB81" i="2"/>
  <c r="Z81" i="2"/>
  <c r="Y81" i="2"/>
  <c r="W81" i="2"/>
  <c r="V81" i="2"/>
  <c r="T81" i="2"/>
  <c r="S81" i="2"/>
  <c r="AL80" i="2"/>
  <c r="AK80" i="2"/>
  <c r="AI80" i="2"/>
  <c r="N80" i="7" s="1"/>
  <c r="AH80" i="2"/>
  <c r="M80" i="7" s="1"/>
  <c r="AF80" i="2"/>
  <c r="AE80" i="2"/>
  <c r="AC80" i="2"/>
  <c r="AB80" i="2"/>
  <c r="Z80" i="2"/>
  <c r="Y80" i="2"/>
  <c r="W80" i="2"/>
  <c r="V80" i="2"/>
  <c r="T80" i="2"/>
  <c r="S80" i="2"/>
  <c r="AL79" i="2"/>
  <c r="AK79" i="2"/>
  <c r="AI79" i="2"/>
  <c r="AH79" i="2"/>
  <c r="AF79" i="2"/>
  <c r="AE79" i="2"/>
  <c r="AC79" i="2"/>
  <c r="AB79" i="2"/>
  <c r="Z79" i="2"/>
  <c r="Y79" i="2"/>
  <c r="W79" i="2"/>
  <c r="V79" i="2"/>
  <c r="T79" i="2"/>
  <c r="S79" i="2"/>
  <c r="AL78" i="2"/>
  <c r="AK78" i="2"/>
  <c r="AI78" i="2"/>
  <c r="AH78" i="2"/>
  <c r="AF78" i="2"/>
  <c r="AE78" i="2"/>
  <c r="AC78" i="2"/>
  <c r="AB78" i="2"/>
  <c r="Z78" i="2"/>
  <c r="Y78" i="2"/>
  <c r="W78" i="2"/>
  <c r="V78" i="2"/>
  <c r="T78" i="2"/>
  <c r="S78" i="2"/>
  <c r="AL77" i="2"/>
  <c r="AK77" i="2"/>
  <c r="AI77" i="2"/>
  <c r="AH77" i="2"/>
  <c r="AF77" i="2"/>
  <c r="AE77" i="2"/>
  <c r="AC77" i="2"/>
  <c r="AB77" i="2"/>
  <c r="Z77" i="2"/>
  <c r="Y77" i="2"/>
  <c r="W77" i="2"/>
  <c r="V77" i="2"/>
  <c r="T77" i="2"/>
  <c r="S77" i="2"/>
  <c r="AL76" i="2"/>
  <c r="AK76" i="2"/>
  <c r="AI76" i="2"/>
  <c r="N76" i="7" s="1"/>
  <c r="AH76" i="2"/>
  <c r="M76" i="7" s="1"/>
  <c r="AF76" i="2"/>
  <c r="AE76" i="2"/>
  <c r="AC76" i="2"/>
  <c r="AB76" i="2"/>
  <c r="Z76" i="2"/>
  <c r="Y76" i="2"/>
  <c r="W76" i="2"/>
  <c r="V76" i="2"/>
  <c r="T76" i="2"/>
  <c r="S76" i="2"/>
  <c r="AO75" i="2"/>
  <c r="AL75" i="2"/>
  <c r="AK75" i="2"/>
  <c r="AI75" i="2"/>
  <c r="N75" i="7" s="1"/>
  <c r="AH75" i="2"/>
  <c r="M75" i="7" s="1"/>
  <c r="AF75" i="2"/>
  <c r="AE75" i="2"/>
  <c r="AC75" i="2"/>
  <c r="AB75" i="2"/>
  <c r="Z75" i="2"/>
  <c r="Y75" i="2"/>
  <c r="W75" i="2"/>
  <c r="V75" i="2"/>
  <c r="T75" i="2"/>
  <c r="S75" i="2"/>
  <c r="AL74" i="2"/>
  <c r="AK74" i="2"/>
  <c r="AI74" i="2"/>
  <c r="N74" i="7" s="1"/>
  <c r="AH74" i="2"/>
  <c r="M74" i="7" s="1"/>
  <c r="AF74" i="2"/>
  <c r="AE74" i="2"/>
  <c r="AC74" i="2"/>
  <c r="AB74" i="2"/>
  <c r="Z74" i="2"/>
  <c r="Y74" i="2"/>
  <c r="W74" i="2"/>
  <c r="V74" i="2"/>
  <c r="T74" i="2"/>
  <c r="S74" i="2"/>
  <c r="AL73" i="2"/>
  <c r="AK73" i="2"/>
  <c r="AI73" i="2"/>
  <c r="N73" i="7" s="1"/>
  <c r="AH73" i="2"/>
  <c r="M73" i="7" s="1"/>
  <c r="AF73" i="2"/>
  <c r="AE73" i="2"/>
  <c r="AC73" i="2"/>
  <c r="AB73" i="2"/>
  <c r="Z73" i="2"/>
  <c r="Y73" i="2"/>
  <c r="W73" i="2"/>
  <c r="V73" i="2"/>
  <c r="T73" i="2"/>
  <c r="S73" i="2"/>
  <c r="AL72" i="2"/>
  <c r="AK72" i="2"/>
  <c r="AI72" i="2"/>
  <c r="N72" i="7" s="1"/>
  <c r="AH72" i="2"/>
  <c r="M72" i="7" s="1"/>
  <c r="AF72" i="2"/>
  <c r="AE72" i="2"/>
  <c r="AC72" i="2"/>
  <c r="AB72" i="2"/>
  <c r="Z72" i="2"/>
  <c r="Y72" i="2"/>
  <c r="W72" i="2"/>
  <c r="V72" i="2"/>
  <c r="T72" i="2"/>
  <c r="S72" i="2"/>
  <c r="AL71" i="2"/>
  <c r="AK71" i="2"/>
  <c r="AI71" i="2"/>
  <c r="N71" i="7" s="1"/>
  <c r="AH71" i="2"/>
  <c r="M71" i="7" s="1"/>
  <c r="AF71" i="2"/>
  <c r="AE71" i="2"/>
  <c r="AC71" i="2"/>
  <c r="AB71" i="2"/>
  <c r="Z71" i="2"/>
  <c r="Y71" i="2"/>
  <c r="W71" i="2"/>
  <c r="V71" i="2"/>
  <c r="T71" i="2"/>
  <c r="S71" i="2"/>
  <c r="AL70" i="2"/>
  <c r="AK70" i="2"/>
  <c r="AI70" i="2"/>
  <c r="AH70" i="2"/>
  <c r="AF70" i="2"/>
  <c r="AE70" i="2"/>
  <c r="AC70" i="2"/>
  <c r="AB70" i="2"/>
  <c r="Z70" i="2"/>
  <c r="Y70" i="2"/>
  <c r="W70" i="2"/>
  <c r="V70" i="2"/>
  <c r="T70" i="2"/>
  <c r="S70" i="2"/>
  <c r="AL69" i="2"/>
  <c r="AK69" i="2"/>
  <c r="AI69" i="2"/>
  <c r="AH69" i="2"/>
  <c r="AF69" i="2"/>
  <c r="AE69" i="2"/>
  <c r="AC69" i="2"/>
  <c r="AB69" i="2"/>
  <c r="Z69" i="2"/>
  <c r="Y69" i="2"/>
  <c r="W69" i="2"/>
  <c r="V69" i="2"/>
  <c r="T69" i="2"/>
  <c r="S69" i="2"/>
  <c r="AL68" i="2"/>
  <c r="AK68" i="2"/>
  <c r="AI68" i="2"/>
  <c r="N68" i="7" s="1"/>
  <c r="AH68" i="2"/>
  <c r="M68" i="7" s="1"/>
  <c r="AF68" i="2"/>
  <c r="AE68" i="2"/>
  <c r="AC68" i="2"/>
  <c r="AB68" i="2"/>
  <c r="Z68" i="2"/>
  <c r="Y68" i="2"/>
  <c r="W68" i="2"/>
  <c r="V68" i="2"/>
  <c r="T68" i="2"/>
  <c r="S68" i="2"/>
  <c r="AL67" i="2"/>
  <c r="AK67" i="2"/>
  <c r="AI67" i="2"/>
  <c r="N67" i="7" s="1"/>
  <c r="AH67" i="2"/>
  <c r="M67" i="7" s="1"/>
  <c r="AF67" i="2"/>
  <c r="AE67" i="2"/>
  <c r="AC67" i="2"/>
  <c r="AB67" i="2"/>
  <c r="Z67" i="2"/>
  <c r="Y67" i="2"/>
  <c r="W67" i="2"/>
  <c r="V67" i="2"/>
  <c r="T67" i="2"/>
  <c r="S67" i="2"/>
  <c r="AL66" i="2"/>
  <c r="AK66" i="2"/>
  <c r="AI66" i="2"/>
  <c r="N66" i="7" s="1"/>
  <c r="AH66" i="2"/>
  <c r="M66" i="7" s="1"/>
  <c r="AF66" i="2"/>
  <c r="AE66" i="2"/>
  <c r="AC66" i="2"/>
  <c r="AB66" i="2"/>
  <c r="Z66" i="2"/>
  <c r="Y66" i="2"/>
  <c r="W66" i="2"/>
  <c r="V66" i="2"/>
  <c r="T66" i="2"/>
  <c r="S66" i="2"/>
  <c r="AL65" i="2"/>
  <c r="AK65" i="2"/>
  <c r="AI65" i="2"/>
  <c r="N65" i="7" s="1"/>
  <c r="AH65" i="2"/>
  <c r="M65" i="7" s="1"/>
  <c r="AF65" i="2"/>
  <c r="AE65" i="2"/>
  <c r="AC65" i="2"/>
  <c r="AB65" i="2"/>
  <c r="Z65" i="2"/>
  <c r="Y65" i="2"/>
  <c r="W65" i="2"/>
  <c r="V65" i="2"/>
  <c r="T65" i="2"/>
  <c r="S65" i="2"/>
  <c r="AL64" i="2"/>
  <c r="AK64" i="2"/>
  <c r="AI64" i="2"/>
  <c r="N64" i="7" s="1"/>
  <c r="AH64" i="2"/>
  <c r="M64" i="7" s="1"/>
  <c r="AF64" i="2"/>
  <c r="AE64" i="2"/>
  <c r="AC64" i="2"/>
  <c r="AB64" i="2"/>
  <c r="Z64" i="2"/>
  <c r="Y64" i="2"/>
  <c r="W64" i="2"/>
  <c r="V64" i="2"/>
  <c r="T64" i="2"/>
  <c r="S64" i="2"/>
  <c r="AL63" i="2"/>
  <c r="AK63" i="2"/>
  <c r="AI63" i="2"/>
  <c r="N63" i="7" s="1"/>
  <c r="AH63" i="2"/>
  <c r="M63" i="7" s="1"/>
  <c r="AF63" i="2"/>
  <c r="AE63" i="2"/>
  <c r="AC63" i="2"/>
  <c r="AB63" i="2"/>
  <c r="Z63" i="2"/>
  <c r="Y63" i="2"/>
  <c r="W63" i="2"/>
  <c r="V63" i="2"/>
  <c r="T63" i="2"/>
  <c r="S63" i="2"/>
  <c r="AL62" i="2"/>
  <c r="AK62" i="2"/>
  <c r="AI62" i="2"/>
  <c r="AH62" i="2"/>
  <c r="AF62" i="2"/>
  <c r="AE62" i="2"/>
  <c r="AC62" i="2"/>
  <c r="AB62" i="2"/>
  <c r="Z62" i="2"/>
  <c r="Y62" i="2"/>
  <c r="W62" i="2"/>
  <c r="V62" i="2"/>
  <c r="T62" i="2"/>
  <c r="S62" i="2"/>
  <c r="AL61" i="2"/>
  <c r="AK61" i="2"/>
  <c r="AI61" i="2"/>
  <c r="N61" i="7" s="1"/>
  <c r="AH61" i="2"/>
  <c r="M61" i="7" s="1"/>
  <c r="AF61" i="2"/>
  <c r="AE61" i="2"/>
  <c r="AC61" i="2"/>
  <c r="AB61" i="2"/>
  <c r="Z61" i="2"/>
  <c r="Y61" i="2"/>
  <c r="W61" i="2"/>
  <c r="V61" i="2"/>
  <c r="T61" i="2"/>
  <c r="S61" i="2"/>
  <c r="AL60" i="2"/>
  <c r="AK60" i="2"/>
  <c r="AI60" i="2"/>
  <c r="N60" i="7" s="1"/>
  <c r="AH60" i="2"/>
  <c r="M60" i="7" s="1"/>
  <c r="AF60" i="2"/>
  <c r="AE60" i="2"/>
  <c r="AC60" i="2"/>
  <c r="AB60" i="2"/>
  <c r="Z60" i="2"/>
  <c r="Y60" i="2"/>
  <c r="W60" i="2"/>
  <c r="V60" i="2"/>
  <c r="T60" i="2"/>
  <c r="S60" i="2"/>
  <c r="AL59" i="2"/>
  <c r="AK59" i="2"/>
  <c r="AI59" i="2"/>
  <c r="N59" i="7" s="1"/>
  <c r="AH59" i="2"/>
  <c r="M59" i="7" s="1"/>
  <c r="AF59" i="2"/>
  <c r="AE59" i="2"/>
  <c r="AC59" i="2"/>
  <c r="AB59" i="2"/>
  <c r="Z59" i="2"/>
  <c r="Y59" i="2"/>
  <c r="W59" i="2"/>
  <c r="V59" i="2"/>
  <c r="T59" i="2"/>
  <c r="S59" i="2"/>
  <c r="AL58" i="2"/>
  <c r="AK58" i="2"/>
  <c r="AI58" i="2"/>
  <c r="N58" i="7" s="1"/>
  <c r="AH58" i="2"/>
  <c r="M58" i="7" s="1"/>
  <c r="AF58" i="2"/>
  <c r="AE58" i="2"/>
  <c r="AC58" i="2"/>
  <c r="AB58" i="2"/>
  <c r="Z58" i="2"/>
  <c r="Y58" i="2"/>
  <c r="W58" i="2"/>
  <c r="V58" i="2"/>
  <c r="T58" i="2"/>
  <c r="S58" i="2"/>
  <c r="AL57" i="2"/>
  <c r="AK57" i="2"/>
  <c r="AI57" i="2"/>
  <c r="N57" i="7" s="1"/>
  <c r="AH57" i="2"/>
  <c r="M57" i="7" s="1"/>
  <c r="AF57" i="2"/>
  <c r="AE57" i="2"/>
  <c r="AC57" i="2"/>
  <c r="AB57" i="2"/>
  <c r="Z57" i="2"/>
  <c r="Y57" i="2"/>
  <c r="W57" i="2"/>
  <c r="V57" i="2"/>
  <c r="T57" i="2"/>
  <c r="S57" i="2"/>
  <c r="AL56" i="2"/>
  <c r="AK56" i="2"/>
  <c r="AI56" i="2"/>
  <c r="N56" i="7" s="1"/>
  <c r="AH56" i="2"/>
  <c r="M56" i="7" s="1"/>
  <c r="AF56" i="2"/>
  <c r="AE56" i="2"/>
  <c r="AC56" i="2"/>
  <c r="AB56" i="2"/>
  <c r="Z56" i="2"/>
  <c r="Y56" i="2"/>
  <c r="W56" i="2"/>
  <c r="V56" i="2"/>
  <c r="T56" i="2"/>
  <c r="S56" i="2"/>
  <c r="AL55" i="2"/>
  <c r="AK55" i="2"/>
  <c r="AI55" i="2"/>
  <c r="N55" i="7" s="1"/>
  <c r="AH55" i="2"/>
  <c r="M55" i="7" s="1"/>
  <c r="AF55" i="2"/>
  <c r="AE55" i="2"/>
  <c r="AC55" i="2"/>
  <c r="AB55" i="2"/>
  <c r="Z55" i="2"/>
  <c r="Y55" i="2"/>
  <c r="W55" i="2"/>
  <c r="V55" i="2"/>
  <c r="T55" i="2"/>
  <c r="S55" i="2"/>
  <c r="AL54" i="2"/>
  <c r="AK54" i="2"/>
  <c r="AI54" i="2"/>
  <c r="N54" i="7" s="1"/>
  <c r="AH54" i="2"/>
  <c r="M54" i="7" s="1"/>
  <c r="AF54" i="2"/>
  <c r="AE54" i="2"/>
  <c r="AC54" i="2"/>
  <c r="AB54" i="2"/>
  <c r="Z54" i="2"/>
  <c r="Y54" i="2"/>
  <c r="W54" i="2"/>
  <c r="V54" i="2"/>
  <c r="T54" i="2"/>
  <c r="S54" i="2"/>
  <c r="AL53" i="2"/>
  <c r="AK53" i="2"/>
  <c r="AI53" i="2"/>
  <c r="N53" i="7" s="1"/>
  <c r="AH53" i="2"/>
  <c r="M53" i="7" s="1"/>
  <c r="AF53" i="2"/>
  <c r="AE53" i="2"/>
  <c r="AC53" i="2"/>
  <c r="AB53" i="2"/>
  <c r="Z53" i="2"/>
  <c r="Y53" i="2"/>
  <c r="W53" i="2"/>
  <c r="V53" i="2"/>
  <c r="T53" i="2"/>
  <c r="S53" i="2"/>
  <c r="AL52" i="2"/>
  <c r="AK52" i="2"/>
  <c r="AI52" i="2"/>
  <c r="AH52" i="2"/>
  <c r="AF52" i="2"/>
  <c r="AE52" i="2"/>
  <c r="AC52" i="2"/>
  <c r="AB52" i="2"/>
  <c r="Z52" i="2"/>
  <c r="Y52" i="2"/>
  <c r="W52" i="2"/>
  <c r="V52" i="2"/>
  <c r="T52" i="2"/>
  <c r="S52" i="2"/>
  <c r="AL51" i="2"/>
  <c r="AK51" i="2"/>
  <c r="AI51" i="2"/>
  <c r="AH51" i="2"/>
  <c r="AF51" i="2"/>
  <c r="AE51" i="2"/>
  <c r="AC51" i="2"/>
  <c r="AB51" i="2"/>
  <c r="Z51" i="2"/>
  <c r="Y51" i="2"/>
  <c r="W51" i="2"/>
  <c r="V51" i="2"/>
  <c r="T51" i="2"/>
  <c r="S51" i="2"/>
  <c r="AL50" i="2"/>
  <c r="AK50" i="2"/>
  <c r="AI50" i="2"/>
  <c r="N50" i="7" s="1"/>
  <c r="AH50" i="2"/>
  <c r="M50" i="7" s="1"/>
  <c r="AF50" i="2"/>
  <c r="AE50" i="2"/>
  <c r="AC50" i="2"/>
  <c r="AB50" i="2"/>
  <c r="Z50" i="2"/>
  <c r="Y50" i="2"/>
  <c r="W50" i="2"/>
  <c r="V50" i="2"/>
  <c r="T50" i="2"/>
  <c r="S50" i="2"/>
  <c r="AL49" i="2"/>
  <c r="AK49" i="2"/>
  <c r="AI49" i="2"/>
  <c r="N49" i="7" s="1"/>
  <c r="AH49" i="2"/>
  <c r="M49" i="7" s="1"/>
  <c r="AF49" i="2"/>
  <c r="AE49" i="2"/>
  <c r="AC49" i="2"/>
  <c r="AB49" i="2"/>
  <c r="Z49" i="2"/>
  <c r="Y49" i="2"/>
  <c r="W49" i="2"/>
  <c r="V49" i="2"/>
  <c r="T49" i="2"/>
  <c r="S49" i="2"/>
  <c r="AL48" i="2"/>
  <c r="AK48" i="2"/>
  <c r="AI48" i="2"/>
  <c r="N48" i="7" s="1"/>
  <c r="AH48" i="2"/>
  <c r="M48" i="7" s="1"/>
  <c r="AF48" i="2"/>
  <c r="AE48" i="2"/>
  <c r="AC48" i="2"/>
  <c r="AB48" i="2"/>
  <c r="Z48" i="2"/>
  <c r="Y48" i="2"/>
  <c r="W48" i="2"/>
  <c r="V48" i="2"/>
  <c r="T48" i="2"/>
  <c r="S48" i="2"/>
  <c r="AL47" i="2"/>
  <c r="AK47" i="2"/>
  <c r="AI47" i="2"/>
  <c r="N47" i="7" s="1"/>
  <c r="AH47" i="2"/>
  <c r="M47" i="7" s="1"/>
  <c r="AF47" i="2"/>
  <c r="AE47" i="2"/>
  <c r="AC47" i="2"/>
  <c r="AB47" i="2"/>
  <c r="Z47" i="2"/>
  <c r="Y47" i="2"/>
  <c r="W47" i="2"/>
  <c r="V47" i="2"/>
  <c r="T47" i="2"/>
  <c r="S47" i="2"/>
  <c r="AL46" i="2"/>
  <c r="AK46" i="2"/>
  <c r="AI46" i="2"/>
  <c r="N46" i="7" s="1"/>
  <c r="AH46" i="2"/>
  <c r="M46" i="7" s="1"/>
  <c r="AF46" i="2"/>
  <c r="AE46" i="2"/>
  <c r="AC46" i="2"/>
  <c r="AB46" i="2"/>
  <c r="Z46" i="2"/>
  <c r="Y46" i="2"/>
  <c r="W46" i="2"/>
  <c r="V46" i="2"/>
  <c r="T46" i="2"/>
  <c r="S46" i="2"/>
  <c r="AL45" i="2"/>
  <c r="AK45" i="2"/>
  <c r="AI45" i="2"/>
  <c r="N45" i="7" s="1"/>
  <c r="AH45" i="2"/>
  <c r="M45" i="7" s="1"/>
  <c r="AF45" i="2"/>
  <c r="AE45" i="2"/>
  <c r="AC45" i="2"/>
  <c r="AB45" i="2"/>
  <c r="Z45" i="2"/>
  <c r="Y45" i="2"/>
  <c r="W45" i="2"/>
  <c r="V45" i="2"/>
  <c r="T45" i="2"/>
  <c r="S45" i="2"/>
  <c r="AL44" i="2"/>
  <c r="AK44" i="2"/>
  <c r="AI44" i="2"/>
  <c r="N44" i="7" s="1"/>
  <c r="AH44" i="2"/>
  <c r="M44" i="7" s="1"/>
  <c r="AF44" i="2"/>
  <c r="AE44" i="2"/>
  <c r="AC44" i="2"/>
  <c r="AB44" i="2"/>
  <c r="Z44" i="2"/>
  <c r="Y44" i="2"/>
  <c r="W44" i="2"/>
  <c r="V44" i="2"/>
  <c r="T44" i="2"/>
  <c r="S44" i="2"/>
  <c r="AL43" i="2"/>
  <c r="AK43" i="2"/>
  <c r="AI43" i="2"/>
  <c r="N43" i="7" s="1"/>
  <c r="AH43" i="2"/>
  <c r="M43" i="7" s="1"/>
  <c r="AF43" i="2"/>
  <c r="AE43" i="2"/>
  <c r="AC43" i="2"/>
  <c r="AB43" i="2"/>
  <c r="Z43" i="2"/>
  <c r="Y43" i="2"/>
  <c r="W43" i="2"/>
  <c r="V43" i="2"/>
  <c r="T43" i="2"/>
  <c r="S43" i="2"/>
  <c r="AL42" i="2"/>
  <c r="AK42" i="2"/>
  <c r="AI42" i="2"/>
  <c r="N42" i="7" s="1"/>
  <c r="AH42" i="2"/>
  <c r="M42" i="7" s="1"/>
  <c r="AF42" i="2"/>
  <c r="AE42" i="2"/>
  <c r="AC42" i="2"/>
  <c r="AB42" i="2"/>
  <c r="Z42" i="2"/>
  <c r="Y42" i="2"/>
  <c r="W42" i="2"/>
  <c r="V42" i="2"/>
  <c r="T42" i="2"/>
  <c r="S42" i="2"/>
  <c r="AL41" i="2"/>
  <c r="AK41" i="2"/>
  <c r="AI41" i="2"/>
  <c r="N41" i="7" s="1"/>
  <c r="AH41" i="2"/>
  <c r="M41" i="7" s="1"/>
  <c r="AF41" i="2"/>
  <c r="AE41" i="2"/>
  <c r="AC41" i="2"/>
  <c r="AB41" i="2"/>
  <c r="Z41" i="2"/>
  <c r="Y41" i="2"/>
  <c r="W41" i="2"/>
  <c r="V41" i="2"/>
  <c r="T41" i="2"/>
  <c r="S41" i="2"/>
  <c r="AL40" i="2"/>
  <c r="AK40" i="2"/>
  <c r="AI40" i="2"/>
  <c r="N40" i="7" s="1"/>
  <c r="AH40" i="2"/>
  <c r="M40" i="7" s="1"/>
  <c r="AF40" i="2"/>
  <c r="AE40" i="2"/>
  <c r="AC40" i="2"/>
  <c r="AB40" i="2"/>
  <c r="Z40" i="2"/>
  <c r="Y40" i="2"/>
  <c r="W40" i="2"/>
  <c r="V40" i="2"/>
  <c r="T40" i="2"/>
  <c r="S40" i="2"/>
  <c r="AL39" i="2"/>
  <c r="AK39" i="2"/>
  <c r="AI39" i="2"/>
  <c r="N39" i="7" s="1"/>
  <c r="AH39" i="2"/>
  <c r="M39" i="7" s="1"/>
  <c r="AF39" i="2"/>
  <c r="AE39" i="2"/>
  <c r="AC39" i="2"/>
  <c r="AB39" i="2"/>
  <c r="Z39" i="2"/>
  <c r="Y39" i="2"/>
  <c r="W39" i="2"/>
  <c r="V39" i="2"/>
  <c r="T39" i="2"/>
  <c r="S39" i="2"/>
  <c r="AL38" i="2"/>
  <c r="AK38" i="2"/>
  <c r="AI38" i="2"/>
  <c r="N38" i="7" s="1"/>
  <c r="AH38" i="2"/>
  <c r="M38" i="7" s="1"/>
  <c r="AF38" i="2"/>
  <c r="AE38" i="2"/>
  <c r="AC38" i="2"/>
  <c r="AB38" i="2"/>
  <c r="Z38" i="2"/>
  <c r="Y38" i="2"/>
  <c r="W38" i="2"/>
  <c r="V38" i="2"/>
  <c r="T38" i="2"/>
  <c r="S38" i="2"/>
  <c r="AL37" i="2"/>
  <c r="AK37" i="2"/>
  <c r="AI37" i="2"/>
  <c r="AH37" i="2"/>
  <c r="AF37" i="2"/>
  <c r="AE37" i="2"/>
  <c r="AC37" i="2"/>
  <c r="AB37" i="2"/>
  <c r="Z37" i="2"/>
  <c r="Y37" i="2"/>
  <c r="W37" i="2"/>
  <c r="V37" i="2"/>
  <c r="T37" i="2"/>
  <c r="S37" i="2"/>
  <c r="AL36" i="2"/>
  <c r="AK36" i="2"/>
  <c r="AI36" i="2"/>
  <c r="AH36" i="2"/>
  <c r="AF36" i="2"/>
  <c r="AE36" i="2"/>
  <c r="AC36" i="2"/>
  <c r="AB36" i="2"/>
  <c r="Z36" i="2"/>
  <c r="Y36" i="2"/>
  <c r="W36" i="2"/>
  <c r="V36" i="2"/>
  <c r="T36" i="2"/>
  <c r="S36" i="2"/>
  <c r="AL35" i="2"/>
  <c r="AK35" i="2"/>
  <c r="AI35" i="2"/>
  <c r="N35" i="7" s="1"/>
  <c r="AH35" i="2"/>
  <c r="M35" i="7" s="1"/>
  <c r="AF35" i="2"/>
  <c r="AE35" i="2"/>
  <c r="AC35" i="2"/>
  <c r="AB35" i="2"/>
  <c r="Z35" i="2"/>
  <c r="Y35" i="2"/>
  <c r="W35" i="2"/>
  <c r="V35" i="2"/>
  <c r="T35" i="2"/>
  <c r="S35" i="2"/>
  <c r="AL34" i="2"/>
  <c r="AK34" i="2"/>
  <c r="AI34" i="2"/>
  <c r="N34" i="7" s="1"/>
  <c r="AH34" i="2"/>
  <c r="M34" i="7" s="1"/>
  <c r="AF34" i="2"/>
  <c r="AE34" i="2"/>
  <c r="AC34" i="2"/>
  <c r="AB34" i="2"/>
  <c r="Z34" i="2"/>
  <c r="Y34" i="2"/>
  <c r="W34" i="2"/>
  <c r="V34" i="2"/>
  <c r="T34" i="2"/>
  <c r="S34" i="2"/>
  <c r="AL33" i="2"/>
  <c r="AK33" i="2"/>
  <c r="AI33" i="2"/>
  <c r="N33" i="7" s="1"/>
  <c r="AH33" i="2"/>
  <c r="M33" i="7" s="1"/>
  <c r="AF33" i="2"/>
  <c r="AE33" i="2"/>
  <c r="AC33" i="2"/>
  <c r="AB33" i="2"/>
  <c r="Z33" i="2"/>
  <c r="Y33" i="2"/>
  <c r="W33" i="2"/>
  <c r="V33" i="2"/>
  <c r="T33" i="2"/>
  <c r="S33" i="2"/>
  <c r="AL32" i="2"/>
  <c r="AK32" i="2"/>
  <c r="AI32" i="2"/>
  <c r="N32" i="7" s="1"/>
  <c r="AH32" i="2"/>
  <c r="M32" i="7" s="1"/>
  <c r="AF32" i="2"/>
  <c r="AE32" i="2"/>
  <c r="AC32" i="2"/>
  <c r="AB32" i="2"/>
  <c r="Z32" i="2"/>
  <c r="Y32" i="2"/>
  <c r="W32" i="2"/>
  <c r="V32" i="2"/>
  <c r="T32" i="2"/>
  <c r="S32" i="2"/>
  <c r="AL31" i="2"/>
  <c r="AK31" i="2"/>
  <c r="AI31" i="2"/>
  <c r="N31" i="7" s="1"/>
  <c r="AH31" i="2"/>
  <c r="M31" i="7" s="1"/>
  <c r="AF31" i="2"/>
  <c r="AE31" i="2"/>
  <c r="AC31" i="2"/>
  <c r="AB31" i="2"/>
  <c r="Z31" i="2"/>
  <c r="Y31" i="2"/>
  <c r="W31" i="2"/>
  <c r="V31" i="2"/>
  <c r="T31" i="2"/>
  <c r="S31" i="2"/>
  <c r="AL30" i="2"/>
  <c r="AK30" i="2"/>
  <c r="AI30" i="2"/>
  <c r="N30" i="7" s="1"/>
  <c r="AH30" i="2"/>
  <c r="M30" i="7" s="1"/>
  <c r="AF30" i="2"/>
  <c r="AE30" i="2"/>
  <c r="AC30" i="2"/>
  <c r="AB30" i="2"/>
  <c r="Z30" i="2"/>
  <c r="Y30" i="2"/>
  <c r="W30" i="2"/>
  <c r="V30" i="2"/>
  <c r="T30" i="2"/>
  <c r="S30" i="2"/>
  <c r="AL29" i="2"/>
  <c r="AK29" i="2"/>
  <c r="AI29" i="2"/>
  <c r="N29" i="7" s="1"/>
  <c r="AH29" i="2"/>
  <c r="M29" i="7" s="1"/>
  <c r="AF29" i="2"/>
  <c r="AE29" i="2"/>
  <c r="AC29" i="2"/>
  <c r="AB29" i="2"/>
  <c r="Z29" i="2"/>
  <c r="Y29" i="2"/>
  <c r="W29" i="2"/>
  <c r="V29" i="2"/>
  <c r="T29" i="2"/>
  <c r="S29" i="2"/>
  <c r="AL28" i="2"/>
  <c r="AK28" i="2"/>
  <c r="AI28" i="2"/>
  <c r="AH28" i="2"/>
  <c r="AF28" i="2"/>
  <c r="AE28" i="2"/>
  <c r="AC28" i="2"/>
  <c r="AB28" i="2"/>
  <c r="Z28" i="2"/>
  <c r="Y28" i="2"/>
  <c r="W28" i="2"/>
  <c r="V28" i="2"/>
  <c r="T28" i="2"/>
  <c r="S28" i="2"/>
  <c r="AL27" i="2"/>
  <c r="AK27" i="2"/>
  <c r="AI27" i="2"/>
  <c r="N27" i="7" s="1"/>
  <c r="AH27" i="2"/>
  <c r="M27" i="7" s="1"/>
  <c r="AF27" i="2"/>
  <c r="AE27" i="2"/>
  <c r="AC27" i="2"/>
  <c r="AB27" i="2"/>
  <c r="Z27" i="2"/>
  <c r="Y27" i="2"/>
  <c r="W27" i="2"/>
  <c r="V27" i="2"/>
  <c r="T27" i="2"/>
  <c r="S27" i="2"/>
  <c r="AL26" i="2"/>
  <c r="AK26" i="2"/>
  <c r="AI26" i="2"/>
  <c r="N26" i="7" s="1"/>
  <c r="AH26" i="2"/>
  <c r="M26" i="7" s="1"/>
  <c r="AF26" i="2"/>
  <c r="AE26" i="2"/>
  <c r="AC26" i="2"/>
  <c r="AB26" i="2"/>
  <c r="Z26" i="2"/>
  <c r="Y26" i="2"/>
  <c r="W26" i="2"/>
  <c r="V26" i="2"/>
  <c r="T26" i="2"/>
  <c r="S26" i="2"/>
  <c r="AL25" i="2"/>
  <c r="AK25" i="2"/>
  <c r="AI25" i="2"/>
  <c r="N25" i="7" s="1"/>
  <c r="AH25" i="2"/>
  <c r="M25" i="7" s="1"/>
  <c r="AF25" i="2"/>
  <c r="AE25" i="2"/>
  <c r="AC25" i="2"/>
  <c r="AB25" i="2"/>
  <c r="Z25" i="2"/>
  <c r="Y25" i="2"/>
  <c r="W25" i="2"/>
  <c r="V25" i="2"/>
  <c r="T25" i="2"/>
  <c r="S25" i="2"/>
  <c r="AL24" i="2"/>
  <c r="AK24" i="2"/>
  <c r="AI24" i="2"/>
  <c r="N24" i="7" s="1"/>
  <c r="AH24" i="2"/>
  <c r="M24" i="7" s="1"/>
  <c r="AF24" i="2"/>
  <c r="AE24" i="2"/>
  <c r="AC24" i="2"/>
  <c r="AB24" i="2"/>
  <c r="Z24" i="2"/>
  <c r="Y24" i="2"/>
  <c r="W24" i="2"/>
  <c r="V24" i="2"/>
  <c r="T24" i="2"/>
  <c r="S24" i="2"/>
  <c r="AL23" i="2"/>
  <c r="AK23" i="2"/>
  <c r="AI23" i="2"/>
  <c r="N23" i="7" s="1"/>
  <c r="AH23" i="2"/>
  <c r="M23" i="7" s="1"/>
  <c r="AF23" i="2"/>
  <c r="AE23" i="2"/>
  <c r="AC23" i="2"/>
  <c r="AB23" i="2"/>
  <c r="Z23" i="2"/>
  <c r="Y23" i="2"/>
  <c r="W23" i="2"/>
  <c r="V23" i="2"/>
  <c r="T23" i="2"/>
  <c r="S23" i="2"/>
  <c r="AL22" i="2"/>
  <c r="AK22" i="2"/>
  <c r="AI22" i="2"/>
  <c r="N22" i="7" s="1"/>
  <c r="AH22" i="2"/>
  <c r="M22" i="7" s="1"/>
  <c r="AF22" i="2"/>
  <c r="AE22" i="2"/>
  <c r="AC22" i="2"/>
  <c r="AB22" i="2"/>
  <c r="Z22" i="2"/>
  <c r="Y22" i="2"/>
  <c r="W22" i="2"/>
  <c r="V22" i="2"/>
  <c r="T22" i="2"/>
  <c r="S22" i="2"/>
  <c r="AL21" i="2"/>
  <c r="AK21" i="2"/>
  <c r="AI21" i="2"/>
  <c r="N21" i="7" s="1"/>
  <c r="AH21" i="2"/>
  <c r="M21" i="7" s="1"/>
  <c r="AF21" i="2"/>
  <c r="AE21" i="2"/>
  <c r="AC21" i="2"/>
  <c r="AB21" i="2"/>
  <c r="Z21" i="2"/>
  <c r="Y21" i="2"/>
  <c r="W21" i="2"/>
  <c r="V21" i="2"/>
  <c r="T21" i="2"/>
  <c r="S21" i="2"/>
  <c r="AL20" i="2"/>
  <c r="AK20" i="2"/>
  <c r="AI20" i="2"/>
  <c r="N20" i="7" s="1"/>
  <c r="AH20" i="2"/>
  <c r="M20" i="7" s="1"/>
  <c r="AF20" i="2"/>
  <c r="AE20" i="2"/>
  <c r="AC20" i="2"/>
  <c r="AB20" i="2"/>
  <c r="Z20" i="2"/>
  <c r="Y20" i="2"/>
  <c r="W20" i="2"/>
  <c r="V20" i="2"/>
  <c r="T20" i="2"/>
  <c r="S20" i="2"/>
  <c r="AL19" i="2"/>
  <c r="AK19" i="2"/>
  <c r="AI19" i="2"/>
  <c r="N19" i="7" s="1"/>
  <c r="AH19" i="2"/>
  <c r="M19" i="7" s="1"/>
  <c r="AF19" i="2"/>
  <c r="AE19" i="2"/>
  <c r="AC19" i="2"/>
  <c r="AB19" i="2"/>
  <c r="Z19" i="2"/>
  <c r="Y19" i="2"/>
  <c r="W19" i="2"/>
  <c r="V19" i="2"/>
  <c r="T19" i="2"/>
  <c r="S19" i="2"/>
  <c r="AL18" i="2"/>
  <c r="AK18" i="2"/>
  <c r="AI18" i="2"/>
  <c r="AH18" i="2"/>
  <c r="AF18" i="2"/>
  <c r="AE18" i="2"/>
  <c r="AC18" i="2"/>
  <c r="AB18" i="2"/>
  <c r="Z18" i="2"/>
  <c r="Y18" i="2"/>
  <c r="W18" i="2"/>
  <c r="V18" i="2"/>
  <c r="T18" i="2"/>
  <c r="S18" i="2"/>
  <c r="C18" i="2"/>
  <c r="AL17" i="2"/>
  <c r="AK17" i="2"/>
  <c r="AI17" i="2"/>
  <c r="N17" i="7" s="1"/>
  <c r="AH17" i="2"/>
  <c r="M17" i="7" s="1"/>
  <c r="AF17" i="2"/>
  <c r="AE17" i="2"/>
  <c r="AC17" i="2"/>
  <c r="AB17" i="2"/>
  <c r="Z17" i="2"/>
  <c r="Y17" i="2"/>
  <c r="W17" i="2"/>
  <c r="V17" i="2"/>
  <c r="T17" i="2"/>
  <c r="S17" i="2"/>
  <c r="AL16" i="2"/>
  <c r="AK16" i="2"/>
  <c r="AI16" i="2"/>
  <c r="N16" i="7" s="1"/>
  <c r="AH16" i="2"/>
  <c r="M16" i="7" s="1"/>
  <c r="AF16" i="2"/>
  <c r="AE16" i="2"/>
  <c r="AC16" i="2"/>
  <c r="AB16" i="2"/>
  <c r="Z16" i="2"/>
  <c r="Y16" i="2"/>
  <c r="W16" i="2"/>
  <c r="V16" i="2"/>
  <c r="T16" i="2"/>
  <c r="S16" i="2"/>
  <c r="AL15" i="2"/>
  <c r="AK15" i="2"/>
  <c r="AI15" i="2"/>
  <c r="N15" i="7" s="1"/>
  <c r="AH15" i="2"/>
  <c r="M15" i="7" s="1"/>
  <c r="AF15" i="2"/>
  <c r="AE15" i="2"/>
  <c r="AC15" i="2"/>
  <c r="AB15" i="2"/>
  <c r="Z15" i="2"/>
  <c r="Y15" i="2"/>
  <c r="W15" i="2"/>
  <c r="V15" i="2"/>
  <c r="T15" i="2"/>
  <c r="S15" i="2"/>
  <c r="AL14" i="2"/>
  <c r="AK14" i="2"/>
  <c r="AI14" i="2"/>
  <c r="N14" i="7" s="1"/>
  <c r="AH14" i="2"/>
  <c r="M14" i="7" s="1"/>
  <c r="AF14" i="2"/>
  <c r="AE14" i="2"/>
  <c r="AC14" i="2"/>
  <c r="AB14" i="2"/>
  <c r="Z14" i="2"/>
  <c r="Y14" i="2"/>
  <c r="W14" i="2"/>
  <c r="V14" i="2"/>
  <c r="T14" i="2"/>
  <c r="S14" i="2"/>
  <c r="AL13" i="2"/>
  <c r="AK13" i="2"/>
  <c r="AI13" i="2"/>
  <c r="N13" i="7" s="1"/>
  <c r="AH13" i="2"/>
  <c r="M13" i="7" s="1"/>
  <c r="AF13" i="2"/>
  <c r="AE13" i="2"/>
  <c r="AC13" i="2"/>
  <c r="AB13" i="2"/>
  <c r="Z13" i="2"/>
  <c r="Y13" i="2"/>
  <c r="W13" i="2"/>
  <c r="V13" i="2"/>
  <c r="T13" i="2"/>
  <c r="S13" i="2"/>
  <c r="AL12" i="2"/>
  <c r="AK12" i="2"/>
  <c r="AI12" i="2"/>
  <c r="N12" i="7" s="1"/>
  <c r="AH12" i="2"/>
  <c r="M12" i="7" s="1"/>
  <c r="AF12" i="2"/>
  <c r="AE12" i="2"/>
  <c r="AC12" i="2"/>
  <c r="AB12" i="2"/>
  <c r="Z12" i="2"/>
  <c r="Y12" i="2"/>
  <c r="W12" i="2"/>
  <c r="V12" i="2"/>
  <c r="T12" i="2"/>
  <c r="S12" i="2"/>
  <c r="AL11" i="2"/>
  <c r="AK11" i="2"/>
  <c r="AI11" i="2"/>
  <c r="N11" i="7" s="1"/>
  <c r="AH11" i="2"/>
  <c r="M11" i="7" s="1"/>
  <c r="AF11" i="2"/>
  <c r="AE11" i="2"/>
  <c r="AC11" i="2"/>
  <c r="AB11" i="2"/>
  <c r="Z11" i="2"/>
  <c r="Y11" i="2"/>
  <c r="W11" i="2"/>
  <c r="V11" i="2"/>
  <c r="T11" i="2"/>
  <c r="S11" i="2"/>
  <c r="AL10" i="2"/>
  <c r="AK10" i="2"/>
  <c r="AI10" i="2"/>
  <c r="N10" i="7" s="1"/>
  <c r="AH10" i="2"/>
  <c r="M10" i="7" s="1"/>
  <c r="AF10" i="2"/>
  <c r="AE10" i="2"/>
  <c r="AC10" i="2"/>
  <c r="AB10" i="2"/>
  <c r="Z10" i="2"/>
  <c r="Y10" i="2"/>
  <c r="W10" i="2"/>
  <c r="V10" i="2"/>
  <c r="T10" i="2"/>
  <c r="S10" i="2"/>
  <c r="AL9" i="2"/>
  <c r="AK9" i="2"/>
  <c r="AI9" i="2"/>
  <c r="N9" i="7" s="1"/>
  <c r="AH9" i="2"/>
  <c r="M9" i="7" s="1"/>
  <c r="AF9" i="2"/>
  <c r="AE9" i="2"/>
  <c r="AC9" i="2"/>
  <c r="AB9" i="2"/>
  <c r="Z9" i="2"/>
  <c r="Y9" i="2"/>
  <c r="W9" i="2"/>
  <c r="V9" i="2"/>
  <c r="T9" i="2"/>
  <c r="S9" i="2"/>
  <c r="C2" i="2"/>
  <c r="J55" i="9"/>
  <c r="K52" i="9"/>
  <c r="J52" i="9"/>
  <c r="K51" i="9"/>
  <c r="J51" i="9"/>
  <c r="K50" i="9"/>
  <c r="J50" i="9"/>
  <c r="K47" i="9"/>
  <c r="K46" i="9"/>
  <c r="J46" i="9"/>
  <c r="K45" i="9"/>
  <c r="J45" i="9"/>
  <c r="J47" i="9" s="1"/>
  <c r="K44" i="9"/>
  <c r="J44" i="9"/>
  <c r="K43" i="9"/>
  <c r="J43" i="9"/>
  <c r="K42" i="9"/>
  <c r="J42" i="9"/>
  <c r="K41" i="9"/>
  <c r="J41" i="9"/>
  <c r="K40" i="9"/>
  <c r="J40" i="9"/>
  <c r="K39" i="9"/>
  <c r="J39" i="9"/>
  <c r="K38" i="9"/>
  <c r="J38" i="9"/>
  <c r="K37" i="9"/>
  <c r="J37" i="9"/>
  <c r="K34" i="9"/>
  <c r="J34" i="9"/>
  <c r="K33" i="9"/>
  <c r="J33" i="9"/>
  <c r="K32" i="9"/>
  <c r="J32" i="9"/>
  <c r="J36" i="9" s="1"/>
  <c r="K29" i="9"/>
  <c r="J29" i="9"/>
  <c r="K28" i="9"/>
  <c r="J28" i="9"/>
  <c r="K27" i="9"/>
  <c r="J27" i="9"/>
  <c r="K26" i="9"/>
  <c r="J26" i="9"/>
  <c r="K25" i="9"/>
  <c r="J25" i="9"/>
  <c r="K24" i="9"/>
  <c r="J24" i="9"/>
  <c r="K23" i="9"/>
  <c r="J23" i="9"/>
  <c r="K22" i="9"/>
  <c r="J22" i="9"/>
  <c r="J30" i="9" s="1"/>
  <c r="K21" i="9"/>
  <c r="J21" i="9"/>
  <c r="J31" i="9" s="1"/>
  <c r="J35" i="9" s="1"/>
  <c r="K20" i="9"/>
  <c r="J20" i="9"/>
  <c r="J18" i="9"/>
  <c r="J17" i="9"/>
  <c r="J16" i="9"/>
  <c r="J15" i="9"/>
  <c r="J14" i="9"/>
  <c r="J13" i="9"/>
  <c r="J12" i="9"/>
  <c r="J11" i="9"/>
  <c r="J10" i="9"/>
  <c r="J19" i="9" s="1"/>
  <c r="J9" i="9"/>
  <c r="J6" i="9"/>
  <c r="J7" i="9" s="1"/>
  <c r="J5" i="9"/>
  <c r="B711" i="4" l="1"/>
  <c r="F711" i="4"/>
  <c r="E711" i="4"/>
  <c r="C711" i="4"/>
  <c r="D711" i="4"/>
  <c r="B729" i="4"/>
  <c r="F729" i="4"/>
  <c r="D729" i="4"/>
  <c r="C729" i="4"/>
  <c r="E729" i="4"/>
  <c r="D742" i="4"/>
  <c r="F742" i="4"/>
  <c r="B742" i="4"/>
  <c r="C742" i="4"/>
  <c r="E742" i="4"/>
  <c r="D760" i="4"/>
  <c r="E760" i="4"/>
  <c r="F760" i="4"/>
  <c r="B760" i="4"/>
  <c r="C760" i="4"/>
  <c r="D780" i="4"/>
  <c r="B780" i="4"/>
  <c r="F780" i="4"/>
  <c r="C780" i="4"/>
  <c r="E780" i="4"/>
  <c r="D794" i="4"/>
  <c r="C794" i="4"/>
  <c r="B794" i="4"/>
  <c r="E794" i="4"/>
  <c r="F794" i="4"/>
  <c r="B801" i="4"/>
  <c r="F801" i="4"/>
  <c r="D801" i="4"/>
  <c r="C801" i="4"/>
  <c r="E801" i="4"/>
  <c r="B807" i="4"/>
  <c r="E807" i="4"/>
  <c r="C807" i="4"/>
  <c r="D807" i="4"/>
  <c r="F807" i="4"/>
  <c r="E811" i="4"/>
  <c r="D811" i="4"/>
  <c r="F811" i="4"/>
  <c r="B811" i="4"/>
  <c r="C811" i="4"/>
  <c r="E821" i="4"/>
  <c r="C821" i="4"/>
  <c r="B821" i="4"/>
  <c r="D821" i="4"/>
  <c r="F821" i="4"/>
  <c r="E831" i="4"/>
  <c r="B831" i="4"/>
  <c r="F831" i="4"/>
  <c r="C831" i="4"/>
  <c r="D831" i="4"/>
  <c r="E845" i="4"/>
  <c r="C845" i="4"/>
  <c r="B845" i="4"/>
  <c r="D845" i="4"/>
  <c r="F845" i="4"/>
  <c r="E853" i="4"/>
  <c r="C853" i="4"/>
  <c r="B853" i="4"/>
  <c r="D853" i="4"/>
  <c r="F853" i="4"/>
  <c r="E861" i="4"/>
  <c r="C861" i="4"/>
  <c r="D861" i="4"/>
  <c r="B861" i="4"/>
  <c r="F861" i="4"/>
  <c r="E865" i="4"/>
  <c r="F865" i="4"/>
  <c r="B865" i="4"/>
  <c r="D865" i="4"/>
  <c r="C865" i="4"/>
  <c r="C872" i="4"/>
  <c r="F872" i="4"/>
  <c r="B872" i="4"/>
  <c r="D872" i="4"/>
  <c r="E872" i="4"/>
  <c r="E883" i="4"/>
  <c r="D883" i="4"/>
  <c r="B883" i="4"/>
  <c r="C883" i="4"/>
  <c r="F883" i="4"/>
  <c r="E891" i="4"/>
  <c r="D891" i="4"/>
  <c r="B891" i="4"/>
  <c r="C891" i="4"/>
  <c r="F891" i="4"/>
  <c r="E897" i="4"/>
  <c r="F897" i="4"/>
  <c r="B897" i="4"/>
  <c r="C897" i="4"/>
  <c r="D897" i="4"/>
  <c r="E911" i="4"/>
  <c r="B911" i="4"/>
  <c r="C911" i="4"/>
  <c r="D911" i="4"/>
  <c r="F911" i="4"/>
  <c r="E915" i="4"/>
  <c r="D915" i="4"/>
  <c r="B915" i="4"/>
  <c r="C915" i="4"/>
  <c r="F915" i="4"/>
  <c r="E931" i="4"/>
  <c r="D931" i="4"/>
  <c r="C931" i="4"/>
  <c r="B931" i="4"/>
  <c r="F931" i="4"/>
  <c r="E933" i="4"/>
  <c r="C933" i="4"/>
  <c r="F933" i="4"/>
  <c r="D933" i="4"/>
  <c r="B933" i="4"/>
  <c r="C946" i="4"/>
  <c r="E946" i="4"/>
  <c r="F946" i="4"/>
  <c r="B946" i="4"/>
  <c r="D946" i="4"/>
  <c r="C952" i="4"/>
  <c r="F952" i="4"/>
  <c r="E952" i="4"/>
  <c r="D952" i="4"/>
  <c r="B952" i="4"/>
  <c r="E959" i="4"/>
  <c r="B959" i="4"/>
  <c r="F959" i="4"/>
  <c r="C959" i="4"/>
  <c r="D959" i="4"/>
  <c r="C976" i="4"/>
  <c r="F976" i="4"/>
  <c r="D976" i="4"/>
  <c r="B976" i="4"/>
  <c r="E976" i="4"/>
  <c r="C988" i="4"/>
  <c r="D988" i="4"/>
  <c r="B988" i="4"/>
  <c r="F988" i="4"/>
  <c r="E988" i="4"/>
  <c r="C1000" i="4"/>
  <c r="F1000" i="4"/>
  <c r="B1000" i="4"/>
  <c r="D1000" i="4"/>
  <c r="E1000" i="4"/>
  <c r="C1006" i="4"/>
  <c r="B1006" i="4"/>
  <c r="D1006" i="4"/>
  <c r="E1006" i="4"/>
  <c r="F1006" i="4"/>
  <c r="C1016" i="4"/>
  <c r="F1016" i="4"/>
  <c r="E1016" i="4"/>
  <c r="B1016" i="4"/>
  <c r="D1016" i="4"/>
  <c r="E1021" i="4"/>
  <c r="C1021" i="4"/>
  <c r="D1021" i="4"/>
  <c r="F1021" i="4"/>
  <c r="B1021" i="4"/>
  <c r="C1038" i="4"/>
  <c r="B1038" i="4"/>
  <c r="D1038" i="4"/>
  <c r="E1038" i="4"/>
  <c r="F1038" i="4"/>
  <c r="C1042" i="4"/>
  <c r="E1042" i="4"/>
  <c r="F1042" i="4"/>
  <c r="B1042" i="4"/>
  <c r="D1042" i="4"/>
  <c r="C1054" i="4"/>
  <c r="B1054" i="4"/>
  <c r="E1054" i="4"/>
  <c r="F1054" i="4"/>
  <c r="D1054" i="4"/>
  <c r="E1065" i="4"/>
  <c r="F1065" i="4"/>
  <c r="C1065" i="4"/>
  <c r="D1065" i="4"/>
  <c r="B1065" i="4"/>
  <c r="E1483" i="4"/>
  <c r="D1483" i="4"/>
  <c r="F1483" i="4"/>
  <c r="C1483" i="4"/>
  <c r="B1483" i="4"/>
  <c r="E1495" i="4"/>
  <c r="B1495" i="4"/>
  <c r="C1495" i="4"/>
  <c r="F1495" i="4"/>
  <c r="D1495" i="4"/>
  <c r="E1507" i="4"/>
  <c r="D1507" i="4"/>
  <c r="F1507" i="4"/>
  <c r="B1507" i="4"/>
  <c r="C1507" i="4"/>
  <c r="B1519" i="4"/>
  <c r="F1519" i="4"/>
  <c r="D1519" i="4"/>
  <c r="E1519" i="4"/>
  <c r="C1519" i="4"/>
  <c r="B1535" i="4"/>
  <c r="F1535" i="4"/>
  <c r="D1535" i="4"/>
  <c r="E1535" i="4"/>
  <c r="C1535" i="4"/>
  <c r="D1547" i="4"/>
  <c r="E1547" i="4"/>
  <c r="B1547" i="4"/>
  <c r="C1547" i="4"/>
  <c r="F1547" i="4"/>
  <c r="D1563" i="4"/>
  <c r="E1563" i="4"/>
  <c r="B1563" i="4"/>
  <c r="C1563" i="4"/>
  <c r="F1563" i="4"/>
  <c r="D1575" i="4"/>
  <c r="E1575" i="4"/>
  <c r="B1575" i="4"/>
  <c r="C1575" i="4"/>
  <c r="F1575" i="4"/>
  <c r="D1591" i="4"/>
  <c r="E1591" i="4"/>
  <c r="B1591" i="4"/>
  <c r="F1591" i="4"/>
  <c r="C1591" i="4"/>
  <c r="D1603" i="4"/>
  <c r="E1603" i="4"/>
  <c r="B1603" i="4"/>
  <c r="F1603" i="4"/>
  <c r="C1603" i="4"/>
  <c r="D1619" i="4"/>
  <c r="E1619" i="4"/>
  <c r="B1619" i="4"/>
  <c r="F1619" i="4"/>
  <c r="C1619" i="4"/>
  <c r="D1631" i="4"/>
  <c r="E1631" i="4"/>
  <c r="B1631" i="4"/>
  <c r="C1631" i="4"/>
  <c r="F1631" i="4"/>
  <c r="D1643" i="4"/>
  <c r="E1643" i="4"/>
  <c r="B1643" i="4"/>
  <c r="C1643" i="4"/>
  <c r="F1643" i="4"/>
  <c r="D1655" i="4"/>
  <c r="E1655" i="4"/>
  <c r="B1655" i="4"/>
  <c r="F1655" i="4"/>
  <c r="C1655" i="4"/>
  <c r="D1667" i="4"/>
  <c r="E1667" i="4"/>
  <c r="B1667" i="4"/>
  <c r="F1667" i="4"/>
  <c r="C1667" i="4"/>
  <c r="D1683" i="4"/>
  <c r="E1683" i="4"/>
  <c r="B1683" i="4"/>
  <c r="F1683" i="4"/>
  <c r="C1683" i="4"/>
  <c r="D1695" i="4"/>
  <c r="E1695" i="4"/>
  <c r="B1695" i="4"/>
  <c r="C1695" i="4"/>
  <c r="F1695" i="4"/>
  <c r="D1707" i="4"/>
  <c r="E1707" i="4"/>
  <c r="B1707" i="4"/>
  <c r="C1707" i="4"/>
  <c r="F1707" i="4"/>
  <c r="D1723" i="4"/>
  <c r="E1723" i="4"/>
  <c r="B1723" i="4"/>
  <c r="F1723" i="4"/>
  <c r="C1723" i="4"/>
  <c r="D1731" i="4"/>
  <c r="E1731" i="4"/>
  <c r="B1731" i="4"/>
  <c r="F1731" i="4"/>
  <c r="C1731" i="4"/>
  <c r="D1747" i="4"/>
  <c r="E1747" i="4"/>
  <c r="B1747" i="4"/>
  <c r="F1747" i="4"/>
  <c r="C1747" i="4"/>
  <c r="D1759" i="4"/>
  <c r="E1759" i="4"/>
  <c r="B1759" i="4"/>
  <c r="C1759" i="4"/>
  <c r="F1759" i="4"/>
  <c r="D1771" i="4"/>
  <c r="E1771" i="4"/>
  <c r="B1771" i="4"/>
  <c r="C1771" i="4"/>
  <c r="F1771" i="4"/>
  <c r="D1783" i="4"/>
  <c r="E1783" i="4"/>
  <c r="B1783" i="4"/>
  <c r="F1783" i="4"/>
  <c r="C1783" i="4"/>
  <c r="B1800" i="4"/>
  <c r="F1800" i="4"/>
  <c r="C1800" i="4"/>
  <c r="D1800" i="4"/>
  <c r="E1800" i="4"/>
  <c r="B1812" i="4"/>
  <c r="F1812" i="4"/>
  <c r="C1812" i="4"/>
  <c r="D1812" i="4"/>
  <c r="E1812" i="4"/>
  <c r="B1824" i="4"/>
  <c r="F1824" i="4"/>
  <c r="C1824" i="4"/>
  <c r="D1824" i="4"/>
  <c r="E1824" i="4"/>
  <c r="B1836" i="4"/>
  <c r="F1836" i="4"/>
  <c r="C1836" i="4"/>
  <c r="D1836" i="4"/>
  <c r="E1836" i="4"/>
  <c r="B1848" i="4"/>
  <c r="F1848" i="4"/>
  <c r="C1848" i="4"/>
  <c r="D1848" i="4"/>
  <c r="E1848" i="4"/>
  <c r="B1868" i="4"/>
  <c r="F1868" i="4"/>
  <c r="C1868" i="4"/>
  <c r="D1868" i="4"/>
  <c r="E1868" i="4"/>
  <c r="B1880" i="4"/>
  <c r="F1880" i="4"/>
  <c r="C1880" i="4"/>
  <c r="D1880" i="4"/>
  <c r="E1880" i="4"/>
  <c r="B1892" i="4"/>
  <c r="F1892" i="4"/>
  <c r="C1892" i="4"/>
  <c r="D1892" i="4"/>
  <c r="E1892" i="4"/>
  <c r="B1904" i="4"/>
  <c r="F1904" i="4"/>
  <c r="C1904" i="4"/>
  <c r="D1904" i="4"/>
  <c r="E1904" i="4"/>
  <c r="B1920" i="4"/>
  <c r="F1920" i="4"/>
  <c r="C1920" i="4"/>
  <c r="D1920" i="4"/>
  <c r="E1920" i="4"/>
  <c r="B1928" i="4"/>
  <c r="F1928" i="4"/>
  <c r="C1928" i="4"/>
  <c r="D1928" i="4"/>
  <c r="E1928" i="4"/>
  <c r="B1944" i="4"/>
  <c r="F1944" i="4"/>
  <c r="C1944" i="4"/>
  <c r="D1944" i="4"/>
  <c r="E1944" i="4"/>
  <c r="B1956" i="4"/>
  <c r="F1956" i="4"/>
  <c r="C1956" i="4"/>
  <c r="D1956" i="4"/>
  <c r="E1956" i="4"/>
  <c r="B1968" i="4"/>
  <c r="F1968" i="4"/>
  <c r="C1968" i="4"/>
  <c r="D1968" i="4"/>
  <c r="E1968" i="4"/>
  <c r="B1980" i="4"/>
  <c r="F1980" i="4"/>
  <c r="C1980" i="4"/>
  <c r="D1980" i="4"/>
  <c r="E1980" i="4"/>
  <c r="B1996" i="4"/>
  <c r="F1996" i="4"/>
  <c r="C1996" i="4"/>
  <c r="D1996" i="4"/>
  <c r="E1996" i="4"/>
  <c r="B2008" i="4"/>
  <c r="F2008" i="4"/>
  <c r="C2008" i="4"/>
  <c r="D2008" i="4"/>
  <c r="E2008" i="4"/>
  <c r="B2020" i="4"/>
  <c r="F2020" i="4"/>
  <c r="C2020" i="4"/>
  <c r="D2020" i="4"/>
  <c r="E2020" i="4"/>
  <c r="B2032" i="4"/>
  <c r="F2032" i="4"/>
  <c r="C2032" i="4"/>
  <c r="D2032" i="4"/>
  <c r="E2032" i="4"/>
  <c r="B2048" i="4"/>
  <c r="F2048" i="4"/>
  <c r="C2048" i="4"/>
  <c r="D2048" i="4"/>
  <c r="E2048" i="4"/>
  <c r="B2060" i="4"/>
  <c r="F2060" i="4"/>
  <c r="C2060" i="4"/>
  <c r="D2060" i="4"/>
  <c r="E2060" i="4"/>
  <c r="B2072" i="4"/>
  <c r="F2072" i="4"/>
  <c r="C2072" i="4"/>
  <c r="D2072" i="4"/>
  <c r="E2072" i="4"/>
  <c r="B2088" i="4"/>
  <c r="F2088" i="4"/>
  <c r="C2088" i="4"/>
  <c r="D2088" i="4"/>
  <c r="E2088" i="4"/>
  <c r="B2100" i="4"/>
  <c r="F2100" i="4"/>
  <c r="C2100" i="4"/>
  <c r="D2100" i="4"/>
  <c r="E2100" i="4"/>
  <c r="B2112" i="4"/>
  <c r="F2112" i="4"/>
  <c r="C2112" i="4"/>
  <c r="D2112" i="4"/>
  <c r="E2112" i="4"/>
  <c r="B2124" i="4"/>
  <c r="F2124" i="4"/>
  <c r="C2124" i="4"/>
  <c r="D2124" i="4"/>
  <c r="E2124" i="4"/>
  <c r="B2140" i="4"/>
  <c r="F2140" i="4"/>
  <c r="C2140" i="4"/>
  <c r="D2140" i="4"/>
  <c r="E2140" i="4"/>
  <c r="B2152" i="4"/>
  <c r="F2152" i="4"/>
  <c r="C2152" i="4"/>
  <c r="D2152" i="4"/>
  <c r="E2152" i="4"/>
  <c r="B2164" i="4"/>
  <c r="F2164" i="4"/>
  <c r="C2164" i="4"/>
  <c r="D2164" i="4"/>
  <c r="E2164" i="4"/>
  <c r="B2176" i="4"/>
  <c r="F2176" i="4"/>
  <c r="C2176" i="4"/>
  <c r="D2176" i="4"/>
  <c r="E2176" i="4"/>
  <c r="B2188" i="4"/>
  <c r="F2188" i="4"/>
  <c r="C2188" i="4"/>
  <c r="D2188" i="4"/>
  <c r="E2188" i="4"/>
  <c r="B2200" i="4"/>
  <c r="F2200" i="4"/>
  <c r="C2200" i="4"/>
  <c r="D2200" i="4"/>
  <c r="E2200" i="4"/>
  <c r="C2209" i="4"/>
  <c r="E2209" i="4"/>
  <c r="D2209" i="4"/>
  <c r="F2209" i="4"/>
  <c r="B2209" i="4"/>
  <c r="C2215" i="4"/>
  <c r="D2215" i="4"/>
  <c r="E2215" i="4"/>
  <c r="F2215" i="4"/>
  <c r="B2215" i="4"/>
  <c r="C2223" i="4"/>
  <c r="E2223" i="4"/>
  <c r="D2223" i="4"/>
  <c r="F2223" i="4"/>
  <c r="B2223" i="4"/>
  <c r="C2229" i="4"/>
  <c r="D2229" i="4"/>
  <c r="E2229" i="4"/>
  <c r="B2229" i="4"/>
  <c r="F2229" i="4"/>
  <c r="C2235" i="4"/>
  <c r="E2235" i="4"/>
  <c r="D2235" i="4"/>
  <c r="B2235" i="4"/>
  <c r="F2235" i="4"/>
  <c r="C2243" i="4"/>
  <c r="E2243" i="4"/>
  <c r="D2243" i="4"/>
  <c r="B2243" i="4"/>
  <c r="F2243" i="4"/>
  <c r="C2249" i="4"/>
  <c r="D2249" i="4"/>
  <c r="E2249" i="4"/>
  <c r="F2249" i="4"/>
  <c r="B2249" i="4"/>
  <c r="C2255" i="4"/>
  <c r="D2255" i="4"/>
  <c r="E2255" i="4"/>
  <c r="F2255" i="4"/>
  <c r="B2255" i="4"/>
  <c r="C2263" i="4"/>
  <c r="D2263" i="4"/>
  <c r="E2263" i="4"/>
  <c r="F2263" i="4"/>
  <c r="B2263" i="4"/>
  <c r="C2271" i="4"/>
  <c r="D2271" i="4"/>
  <c r="E2271" i="4"/>
  <c r="F2271" i="4"/>
  <c r="B2271" i="4"/>
  <c r="C2279" i="4"/>
  <c r="D2279" i="4"/>
  <c r="E2279" i="4"/>
  <c r="F2279" i="4"/>
  <c r="B2279" i="4"/>
  <c r="C2285" i="4"/>
  <c r="E2285" i="4"/>
  <c r="D2285" i="4"/>
  <c r="B2285" i="4"/>
  <c r="F2285" i="4"/>
  <c r="C2289" i="4"/>
  <c r="D2289" i="4"/>
  <c r="E2289" i="4"/>
  <c r="F2289" i="4"/>
  <c r="B2289" i="4"/>
  <c r="C2297" i="4"/>
  <c r="D2297" i="4"/>
  <c r="E2297" i="4"/>
  <c r="F2297" i="4"/>
  <c r="B2297" i="4"/>
  <c r="C2303" i="4"/>
  <c r="E2303" i="4"/>
  <c r="D2303" i="4"/>
  <c r="F2303" i="4"/>
  <c r="B2303" i="4"/>
  <c r="C2309" i="4"/>
  <c r="D2309" i="4"/>
  <c r="E2309" i="4"/>
  <c r="B2309" i="4"/>
  <c r="F2309" i="4"/>
  <c r="C2315" i="4"/>
  <c r="D2315" i="4"/>
  <c r="E2315" i="4"/>
  <c r="B2315" i="4"/>
  <c r="F2315" i="4"/>
  <c r="C2323" i="4"/>
  <c r="D2323" i="4"/>
  <c r="E2323" i="4"/>
  <c r="F2323" i="4"/>
  <c r="B2323" i="4"/>
  <c r="C2333" i="4"/>
  <c r="D2333" i="4"/>
  <c r="E2333" i="4"/>
  <c r="B2333" i="4"/>
  <c r="F2333" i="4"/>
  <c r="C2341" i="4"/>
  <c r="D2341" i="4"/>
  <c r="E2341" i="4"/>
  <c r="B2341" i="4"/>
  <c r="F2341" i="4"/>
  <c r="C2347" i="4"/>
  <c r="D2347" i="4"/>
  <c r="E2347" i="4"/>
  <c r="F2347" i="4"/>
  <c r="B2347" i="4"/>
  <c r="C2353" i="4"/>
  <c r="D2353" i="4"/>
  <c r="E2353" i="4"/>
  <c r="F2353" i="4"/>
  <c r="B2353" i="4"/>
  <c r="C2359" i="4"/>
  <c r="D2359" i="4"/>
  <c r="E2359" i="4"/>
  <c r="B2359" i="4"/>
  <c r="F2359" i="4"/>
  <c r="C2365" i="4"/>
  <c r="E2365" i="4"/>
  <c r="D2365" i="4"/>
  <c r="B2365" i="4"/>
  <c r="F2365" i="4"/>
  <c r="C2373" i="4"/>
  <c r="D2373" i="4"/>
  <c r="E2373" i="4"/>
  <c r="B2373" i="4"/>
  <c r="F2373" i="4"/>
  <c r="C2379" i="4"/>
  <c r="E2379" i="4"/>
  <c r="D2379" i="4"/>
  <c r="F2379" i="4"/>
  <c r="B2379" i="4"/>
  <c r="C2387" i="4"/>
  <c r="D2387" i="4"/>
  <c r="E2387" i="4"/>
  <c r="F2387" i="4"/>
  <c r="B2387" i="4"/>
  <c r="C2393" i="4"/>
  <c r="D2393" i="4"/>
  <c r="E2393" i="4"/>
  <c r="F2393" i="4"/>
  <c r="B2393" i="4"/>
  <c r="C2399" i="4"/>
  <c r="D2399" i="4"/>
  <c r="E2399" i="4"/>
  <c r="B2399" i="4"/>
  <c r="F2399" i="4"/>
  <c r="C2407" i="4"/>
  <c r="D2407" i="4"/>
  <c r="E2407" i="4"/>
  <c r="B2407" i="4"/>
  <c r="F2407" i="4"/>
  <c r="C2413" i="4"/>
  <c r="D2413" i="4"/>
  <c r="E2413" i="4"/>
  <c r="F2413" i="4"/>
  <c r="B2413" i="4"/>
  <c r="C2419" i="4"/>
  <c r="E2419" i="4"/>
  <c r="D2419" i="4"/>
  <c r="B2419" i="4"/>
  <c r="F2419" i="4"/>
  <c r="C2429" i="4"/>
  <c r="D2429" i="4"/>
  <c r="E2429" i="4"/>
  <c r="F2429" i="4"/>
  <c r="B2429" i="4"/>
  <c r="C2433" i="4"/>
  <c r="D2433" i="4"/>
  <c r="E2433" i="4"/>
  <c r="F2433" i="4"/>
  <c r="B2433" i="4"/>
  <c r="C2441" i="4"/>
  <c r="E2441" i="4"/>
  <c r="D2441" i="4"/>
  <c r="F2441" i="4"/>
  <c r="B2441" i="4"/>
  <c r="C2447" i="4"/>
  <c r="E2447" i="4"/>
  <c r="D2447" i="4"/>
  <c r="B2447" i="4"/>
  <c r="F2447" i="4"/>
  <c r="C2453" i="4"/>
  <c r="E2453" i="4"/>
  <c r="D2453" i="4"/>
  <c r="B2453" i="4"/>
  <c r="F2453" i="4"/>
  <c r="C2459" i="4"/>
  <c r="D2459" i="4"/>
  <c r="E2459" i="4"/>
  <c r="F2459" i="4"/>
  <c r="B2459" i="4"/>
  <c r="C2465" i="4"/>
  <c r="D2465" i="4"/>
  <c r="E2465" i="4"/>
  <c r="F2465" i="4"/>
  <c r="B2465" i="4"/>
  <c r="C2473" i="4"/>
  <c r="E2473" i="4"/>
  <c r="D2473" i="4"/>
  <c r="F2473" i="4"/>
  <c r="B2473" i="4"/>
  <c r="C2479" i="4"/>
  <c r="E2479" i="4"/>
  <c r="D2479" i="4"/>
  <c r="B2479" i="4"/>
  <c r="F2479" i="4"/>
  <c r="C2485" i="4"/>
  <c r="D2485" i="4"/>
  <c r="E2485" i="4"/>
  <c r="B2485" i="4"/>
  <c r="F2485" i="4"/>
  <c r="C2495" i="4"/>
  <c r="D2495" i="4"/>
  <c r="E2495" i="4"/>
  <c r="B2495" i="4"/>
  <c r="F2495" i="4"/>
  <c r="C2501" i="4"/>
  <c r="E2501" i="4"/>
  <c r="D2501" i="4"/>
  <c r="B2501" i="4"/>
  <c r="F2501" i="4"/>
  <c r="C2509" i="4"/>
  <c r="D2509" i="4"/>
  <c r="E2509" i="4"/>
  <c r="F2509" i="4"/>
  <c r="B2509" i="4"/>
  <c r="C2515" i="4"/>
  <c r="E2515" i="4"/>
  <c r="D2515" i="4"/>
  <c r="B2515" i="4"/>
  <c r="F2515" i="4"/>
  <c r="C2523" i="4"/>
  <c r="E2523" i="4"/>
  <c r="D2523" i="4"/>
  <c r="F2523" i="4"/>
  <c r="B2523" i="4"/>
  <c r="C2967" i="4"/>
  <c r="D2967" i="4"/>
  <c r="E2967" i="4"/>
  <c r="B2967" i="4"/>
  <c r="F2967" i="4"/>
  <c r="D19" i="4"/>
  <c r="B19" i="4"/>
  <c r="E19" i="4"/>
  <c r="F19" i="4"/>
  <c r="C19" i="4"/>
  <c r="D23" i="4"/>
  <c r="E23" i="4"/>
  <c r="B23" i="4"/>
  <c r="F23" i="4"/>
  <c r="C23" i="4"/>
  <c r="D27" i="4"/>
  <c r="B27" i="4"/>
  <c r="F27" i="4"/>
  <c r="E27" i="4"/>
  <c r="C27" i="4"/>
  <c r="D31" i="4"/>
  <c r="E31" i="4"/>
  <c r="C31" i="4"/>
  <c r="B31" i="4"/>
  <c r="F31" i="4"/>
  <c r="D35" i="4"/>
  <c r="B35" i="4"/>
  <c r="E35" i="4"/>
  <c r="C35" i="4"/>
  <c r="F35" i="4"/>
  <c r="D39" i="4"/>
  <c r="E39" i="4"/>
  <c r="F39" i="4"/>
  <c r="B39" i="4"/>
  <c r="C39" i="4"/>
  <c r="D43" i="4"/>
  <c r="B43" i="4"/>
  <c r="C43" i="4"/>
  <c r="E43" i="4"/>
  <c r="F43" i="4"/>
  <c r="D47" i="4"/>
  <c r="E47" i="4"/>
  <c r="B47" i="4"/>
  <c r="C47" i="4"/>
  <c r="F47" i="4"/>
  <c r="D51" i="4"/>
  <c r="B51" i="4"/>
  <c r="E51" i="4"/>
  <c r="C51" i="4"/>
  <c r="F51" i="4"/>
  <c r="D55" i="4"/>
  <c r="E55" i="4"/>
  <c r="B55" i="4"/>
  <c r="C55" i="4"/>
  <c r="F55" i="4"/>
  <c r="E59" i="4"/>
  <c r="D59" i="4"/>
  <c r="B59" i="4"/>
  <c r="C59" i="4"/>
  <c r="F59" i="4"/>
  <c r="E63" i="4"/>
  <c r="B63" i="4"/>
  <c r="F63" i="4"/>
  <c r="C63" i="4"/>
  <c r="D63" i="4"/>
  <c r="E67" i="4"/>
  <c r="D67" i="4"/>
  <c r="C67" i="4"/>
  <c r="B67" i="4"/>
  <c r="F67" i="4"/>
  <c r="E71" i="4"/>
  <c r="B71" i="4"/>
  <c r="F71" i="4"/>
  <c r="C71" i="4"/>
  <c r="D71" i="4"/>
  <c r="E75" i="4"/>
  <c r="D75" i="4"/>
  <c r="F75" i="4"/>
  <c r="B75" i="4"/>
  <c r="C75" i="4"/>
  <c r="E79" i="4"/>
  <c r="B79" i="4"/>
  <c r="C79" i="4"/>
  <c r="F79" i="4"/>
  <c r="D79" i="4"/>
  <c r="E83" i="4"/>
  <c r="D83" i="4"/>
  <c r="B83" i="4"/>
  <c r="C83" i="4"/>
  <c r="F83" i="4"/>
  <c r="E87" i="4"/>
  <c r="B87" i="4"/>
  <c r="D87" i="4"/>
  <c r="F87" i="4"/>
  <c r="C87" i="4"/>
  <c r="E91" i="4"/>
  <c r="D91" i="4"/>
  <c r="B91" i="4"/>
  <c r="C91" i="4"/>
  <c r="F91" i="4"/>
  <c r="C96" i="4"/>
  <c r="F96" i="4"/>
  <c r="B96" i="4"/>
  <c r="D96" i="4"/>
  <c r="E96" i="4"/>
  <c r="C100" i="4"/>
  <c r="D100" i="4"/>
  <c r="E100" i="4"/>
  <c r="B100" i="4"/>
  <c r="F100" i="4"/>
  <c r="C104" i="4"/>
  <c r="F104" i="4"/>
  <c r="B104" i="4"/>
  <c r="D104" i="4"/>
  <c r="E104" i="4"/>
  <c r="C108" i="4"/>
  <c r="D108" i="4"/>
  <c r="F108" i="4"/>
  <c r="B108" i="4"/>
  <c r="E108" i="4"/>
  <c r="C112" i="4"/>
  <c r="F112" i="4"/>
  <c r="D112" i="4"/>
  <c r="E112" i="4"/>
  <c r="B112" i="4"/>
  <c r="C116" i="4"/>
  <c r="D116" i="4"/>
  <c r="B116" i="4"/>
  <c r="E116" i="4"/>
  <c r="F116" i="4"/>
  <c r="C120" i="4"/>
  <c r="F120" i="4"/>
  <c r="E120" i="4"/>
  <c r="B120" i="4"/>
  <c r="D120" i="4"/>
  <c r="C124" i="4"/>
  <c r="D124" i="4"/>
  <c r="B124" i="4"/>
  <c r="E124" i="4"/>
  <c r="F124" i="4"/>
  <c r="C128" i="4"/>
  <c r="F128" i="4"/>
  <c r="E128" i="4"/>
  <c r="B128" i="4"/>
  <c r="D128" i="4"/>
  <c r="C132" i="4"/>
  <c r="D132" i="4"/>
  <c r="E132" i="4"/>
  <c r="B132" i="4"/>
  <c r="F132" i="4"/>
  <c r="E136" i="4"/>
  <c r="C136" i="4"/>
  <c r="B136" i="4"/>
  <c r="F136" i="4"/>
  <c r="D136" i="4"/>
  <c r="E142" i="4"/>
  <c r="D142" i="4"/>
  <c r="B142" i="4"/>
  <c r="C142" i="4"/>
  <c r="F142" i="4"/>
  <c r="E146" i="4"/>
  <c r="B146" i="4"/>
  <c r="D146" i="4"/>
  <c r="F146" i="4"/>
  <c r="C146" i="4"/>
  <c r="E150" i="4"/>
  <c r="D150" i="4"/>
  <c r="B150" i="4"/>
  <c r="C150" i="4"/>
  <c r="F150" i="4"/>
  <c r="E154" i="4"/>
  <c r="B154" i="4"/>
  <c r="F154" i="4"/>
  <c r="C154" i="4"/>
  <c r="D154" i="4"/>
  <c r="E158" i="4"/>
  <c r="D158" i="4"/>
  <c r="C158" i="4"/>
  <c r="B158" i="4"/>
  <c r="F158" i="4"/>
  <c r="E162" i="4"/>
  <c r="B162" i="4"/>
  <c r="C162" i="4"/>
  <c r="D162" i="4"/>
  <c r="F162" i="4"/>
  <c r="E166" i="4"/>
  <c r="D166" i="4"/>
  <c r="F166" i="4"/>
  <c r="B166" i="4"/>
  <c r="C166" i="4"/>
  <c r="C171" i="4"/>
  <c r="F171" i="4"/>
  <c r="D171" i="4"/>
  <c r="E171" i="4"/>
  <c r="B171" i="4"/>
  <c r="C175" i="4"/>
  <c r="D175" i="4"/>
  <c r="B175" i="4"/>
  <c r="E175" i="4"/>
  <c r="F175" i="4"/>
  <c r="C179" i="4"/>
  <c r="F179" i="4"/>
  <c r="E179" i="4"/>
  <c r="D179" i="4"/>
  <c r="B179" i="4"/>
  <c r="C183" i="4"/>
  <c r="D183" i="4"/>
  <c r="B183" i="4"/>
  <c r="E183" i="4"/>
  <c r="F183" i="4"/>
  <c r="C187" i="4"/>
  <c r="F187" i="4"/>
  <c r="D187" i="4"/>
  <c r="B187" i="4"/>
  <c r="E187" i="4"/>
  <c r="C191" i="4"/>
  <c r="D191" i="4"/>
  <c r="E191" i="4"/>
  <c r="B191" i="4"/>
  <c r="F191" i="4"/>
  <c r="C195" i="4"/>
  <c r="F195" i="4"/>
  <c r="B195" i="4"/>
  <c r="D195" i="4"/>
  <c r="E195" i="4"/>
  <c r="C199" i="4"/>
  <c r="D199" i="4"/>
  <c r="F199" i="4"/>
  <c r="E199" i="4"/>
  <c r="B199" i="4"/>
  <c r="C203" i="4"/>
  <c r="F203" i="4"/>
  <c r="D203" i="4"/>
  <c r="B203" i="4"/>
  <c r="E203" i="4"/>
  <c r="C207" i="4"/>
  <c r="D207" i="4"/>
  <c r="F207" i="4"/>
  <c r="B207" i="4"/>
  <c r="E207" i="4"/>
  <c r="C211" i="4"/>
  <c r="F211" i="4"/>
  <c r="E211" i="4"/>
  <c r="B211" i="4"/>
  <c r="D211" i="4"/>
  <c r="C215" i="4"/>
  <c r="D215" i="4"/>
  <c r="B215" i="4"/>
  <c r="F215" i="4"/>
  <c r="E215" i="4"/>
  <c r="E220" i="4"/>
  <c r="F220" i="4"/>
  <c r="B220" i="4"/>
  <c r="D220" i="4"/>
  <c r="C220" i="4"/>
  <c r="C225" i="4"/>
  <c r="B225" i="4"/>
  <c r="F225" i="4"/>
  <c r="D225" i="4"/>
  <c r="E225" i="4"/>
  <c r="C229" i="4"/>
  <c r="E229" i="4"/>
  <c r="D229" i="4"/>
  <c r="B229" i="4"/>
  <c r="F229" i="4"/>
  <c r="C233" i="4"/>
  <c r="B233" i="4"/>
  <c r="D233" i="4"/>
  <c r="E233" i="4"/>
  <c r="F233" i="4"/>
  <c r="C237" i="4"/>
  <c r="E237" i="4"/>
  <c r="F237" i="4"/>
  <c r="D237" i="4"/>
  <c r="B237" i="4"/>
  <c r="C241" i="4"/>
  <c r="B241" i="4"/>
  <c r="D241" i="4"/>
  <c r="F241" i="4"/>
  <c r="E241" i="4"/>
  <c r="C245" i="4"/>
  <c r="E245" i="4"/>
  <c r="F245" i="4"/>
  <c r="B245" i="4"/>
  <c r="D245" i="4"/>
  <c r="C249" i="4"/>
  <c r="B249" i="4"/>
  <c r="E249" i="4"/>
  <c r="D249" i="4"/>
  <c r="F249" i="4"/>
  <c r="C253" i="4"/>
  <c r="E253" i="4"/>
  <c r="B253" i="4"/>
  <c r="F253" i="4"/>
  <c r="D253" i="4"/>
  <c r="C257" i="4"/>
  <c r="B257" i="4"/>
  <c r="F257" i="4"/>
  <c r="D257" i="4"/>
  <c r="E257" i="4"/>
  <c r="C261" i="4"/>
  <c r="E261" i="4"/>
  <c r="D261" i="4"/>
  <c r="F261" i="4"/>
  <c r="B261" i="4"/>
  <c r="C265" i="4"/>
  <c r="B265" i="4"/>
  <c r="D265" i="4"/>
  <c r="E265" i="4"/>
  <c r="F265" i="4"/>
  <c r="C269" i="4"/>
  <c r="E269" i="4"/>
  <c r="F269" i="4"/>
  <c r="D269" i="4"/>
  <c r="B269" i="4"/>
  <c r="C273" i="4"/>
  <c r="B273" i="4"/>
  <c r="D273" i="4"/>
  <c r="E273" i="4"/>
  <c r="F273" i="4"/>
  <c r="D277" i="4"/>
  <c r="B277" i="4"/>
  <c r="F277" i="4"/>
  <c r="C277" i="4"/>
  <c r="E277" i="4"/>
  <c r="D281" i="4"/>
  <c r="E281" i="4"/>
  <c r="C281" i="4"/>
  <c r="F281" i="4"/>
  <c r="B281" i="4"/>
  <c r="D285" i="4"/>
  <c r="B285" i="4"/>
  <c r="C285" i="4"/>
  <c r="E285" i="4"/>
  <c r="F285" i="4"/>
  <c r="D289" i="4"/>
  <c r="E289" i="4"/>
  <c r="F289" i="4"/>
  <c r="C289" i="4"/>
  <c r="B289" i="4"/>
  <c r="D293" i="4"/>
  <c r="B293" i="4"/>
  <c r="C293" i="4"/>
  <c r="E293" i="4"/>
  <c r="F293" i="4"/>
  <c r="D297" i="4"/>
  <c r="E297" i="4"/>
  <c r="C297" i="4"/>
  <c r="F297" i="4"/>
  <c r="B297" i="4"/>
  <c r="D301" i="4"/>
  <c r="B301" i="4"/>
  <c r="E301" i="4"/>
  <c r="C301" i="4"/>
  <c r="F301" i="4"/>
  <c r="B306" i="4"/>
  <c r="F306" i="4"/>
  <c r="D306" i="4"/>
  <c r="C306" i="4"/>
  <c r="E306" i="4"/>
  <c r="B310" i="4"/>
  <c r="F310" i="4"/>
  <c r="C310" i="4"/>
  <c r="D310" i="4"/>
  <c r="E310" i="4"/>
  <c r="B314" i="4"/>
  <c r="F314" i="4"/>
  <c r="D314" i="4"/>
  <c r="E314" i="4"/>
  <c r="C314" i="4"/>
  <c r="B318" i="4"/>
  <c r="F318" i="4"/>
  <c r="C318" i="4"/>
  <c r="D318" i="4"/>
  <c r="E318" i="4"/>
  <c r="B322" i="4"/>
  <c r="F322" i="4"/>
  <c r="D322" i="4"/>
  <c r="E322" i="4"/>
  <c r="C322" i="4"/>
  <c r="B326" i="4"/>
  <c r="F326" i="4"/>
  <c r="D326" i="4"/>
  <c r="C326" i="4"/>
  <c r="E326" i="4"/>
  <c r="D331" i="4"/>
  <c r="C331" i="4"/>
  <c r="B331" i="4"/>
  <c r="E331" i="4"/>
  <c r="F331" i="4"/>
  <c r="D335" i="4"/>
  <c r="F335" i="4"/>
  <c r="C335" i="4"/>
  <c r="E335" i="4"/>
  <c r="B335" i="4"/>
  <c r="B340" i="4"/>
  <c r="F340" i="4"/>
  <c r="C340" i="4"/>
  <c r="E340" i="4"/>
  <c r="D340" i="4"/>
  <c r="B344" i="4"/>
  <c r="F344" i="4"/>
  <c r="E344" i="4"/>
  <c r="C344" i="4"/>
  <c r="D344" i="4"/>
  <c r="D349" i="4"/>
  <c r="B349" i="4"/>
  <c r="E349" i="4"/>
  <c r="F349" i="4"/>
  <c r="C349" i="4"/>
  <c r="D353" i="4"/>
  <c r="E353" i="4"/>
  <c r="F353" i="4"/>
  <c r="B353" i="4"/>
  <c r="C353" i="4"/>
  <c r="D357" i="4"/>
  <c r="B357" i="4"/>
  <c r="C357" i="4"/>
  <c r="E357" i="4"/>
  <c r="F357" i="4"/>
  <c r="D361" i="4"/>
  <c r="E361" i="4"/>
  <c r="B361" i="4"/>
  <c r="C361" i="4"/>
  <c r="F361" i="4"/>
  <c r="D365" i="4"/>
  <c r="B365" i="4"/>
  <c r="E365" i="4"/>
  <c r="C365" i="4"/>
  <c r="F365" i="4"/>
  <c r="D369" i="4"/>
  <c r="E369" i="4"/>
  <c r="B369" i="4"/>
  <c r="C369" i="4"/>
  <c r="F369" i="4"/>
  <c r="D373" i="4"/>
  <c r="B373" i="4"/>
  <c r="F373" i="4"/>
  <c r="C373" i="4"/>
  <c r="E373" i="4"/>
  <c r="D377" i="4"/>
  <c r="E377" i="4"/>
  <c r="C377" i="4"/>
  <c r="B377" i="4"/>
  <c r="F377" i="4"/>
  <c r="D381" i="4"/>
  <c r="B381" i="4"/>
  <c r="C381" i="4"/>
  <c r="E381" i="4"/>
  <c r="F381" i="4"/>
  <c r="D385" i="4"/>
  <c r="E385" i="4"/>
  <c r="F385" i="4"/>
  <c r="B385" i="4"/>
  <c r="C385" i="4"/>
  <c r="D389" i="4"/>
  <c r="B389" i="4"/>
  <c r="C389" i="4"/>
  <c r="E389" i="4"/>
  <c r="F389" i="4"/>
  <c r="D393" i="4"/>
  <c r="E393" i="4"/>
  <c r="F393" i="4"/>
  <c r="B393" i="4"/>
  <c r="C393" i="4"/>
  <c r="D397" i="4"/>
  <c r="B397" i="4"/>
  <c r="E397" i="4"/>
  <c r="C397" i="4"/>
  <c r="F397" i="4"/>
  <c r="D401" i="4"/>
  <c r="E401" i="4"/>
  <c r="B401" i="4"/>
  <c r="F401" i="4"/>
  <c r="C401" i="4"/>
  <c r="D405" i="4"/>
  <c r="B405" i="4"/>
  <c r="F405" i="4"/>
  <c r="E405" i="4"/>
  <c r="C405" i="4"/>
  <c r="D409" i="4"/>
  <c r="E409" i="4"/>
  <c r="C409" i="4"/>
  <c r="F409" i="4"/>
  <c r="B409" i="4"/>
  <c r="D413" i="4"/>
  <c r="B413" i="4"/>
  <c r="F413" i="4"/>
  <c r="C413" i="4"/>
  <c r="E413" i="4"/>
  <c r="D417" i="4"/>
  <c r="E417" i="4"/>
  <c r="F417" i="4"/>
  <c r="C417" i="4"/>
  <c r="B417" i="4"/>
  <c r="D421" i="4"/>
  <c r="B421" i="4"/>
  <c r="C421" i="4"/>
  <c r="E421" i="4"/>
  <c r="F421" i="4"/>
  <c r="B426" i="4"/>
  <c r="F426" i="4"/>
  <c r="D426" i="4"/>
  <c r="E426" i="4"/>
  <c r="C426" i="4"/>
  <c r="B430" i="4"/>
  <c r="F430" i="4"/>
  <c r="E430" i="4"/>
  <c r="C430" i="4"/>
  <c r="D430" i="4"/>
  <c r="B434" i="4"/>
  <c r="F434" i="4"/>
  <c r="D434" i="4"/>
  <c r="C434" i="4"/>
  <c r="E434" i="4"/>
  <c r="B438" i="4"/>
  <c r="F438" i="4"/>
  <c r="C438" i="4"/>
  <c r="D438" i="4"/>
  <c r="E438" i="4"/>
  <c r="D443" i="4"/>
  <c r="C443" i="4"/>
  <c r="F443" i="4"/>
  <c r="E443" i="4"/>
  <c r="B443" i="4"/>
  <c r="D702" i="4"/>
  <c r="F702" i="4"/>
  <c r="E702" i="4"/>
  <c r="C702" i="4"/>
  <c r="B702" i="4"/>
  <c r="B703" i="4"/>
  <c r="F703" i="4"/>
  <c r="E703" i="4"/>
  <c r="C703" i="4"/>
  <c r="D703" i="4"/>
  <c r="D704" i="4"/>
  <c r="E704" i="4"/>
  <c r="B704" i="4"/>
  <c r="C704" i="4"/>
  <c r="F704" i="4"/>
  <c r="D710" i="4"/>
  <c r="F710" i="4"/>
  <c r="C710" i="4"/>
  <c r="E710" i="4"/>
  <c r="B710" i="4"/>
  <c r="D714" i="4"/>
  <c r="C714" i="4"/>
  <c r="E714" i="4"/>
  <c r="B714" i="4"/>
  <c r="F714" i="4"/>
  <c r="D718" i="4"/>
  <c r="F718" i="4"/>
  <c r="B718" i="4"/>
  <c r="C718" i="4"/>
  <c r="E718" i="4"/>
  <c r="D728" i="4"/>
  <c r="E728" i="4"/>
  <c r="F728" i="4"/>
  <c r="B728" i="4"/>
  <c r="C728" i="4"/>
  <c r="D732" i="4"/>
  <c r="B732" i="4"/>
  <c r="C732" i="4"/>
  <c r="E732" i="4"/>
  <c r="F732" i="4"/>
  <c r="D736" i="4"/>
  <c r="E736" i="4"/>
  <c r="B736" i="4"/>
  <c r="C736" i="4"/>
  <c r="F736" i="4"/>
  <c r="D740" i="4"/>
  <c r="B740" i="4"/>
  <c r="E740" i="4"/>
  <c r="C740" i="4"/>
  <c r="F740" i="4"/>
  <c r="B745" i="4"/>
  <c r="F745" i="4"/>
  <c r="D745" i="4"/>
  <c r="C745" i="4"/>
  <c r="E745" i="4"/>
  <c r="D750" i="4"/>
  <c r="F750" i="4"/>
  <c r="B750" i="4"/>
  <c r="C750" i="4"/>
  <c r="E750" i="4"/>
  <c r="B755" i="4"/>
  <c r="F755" i="4"/>
  <c r="C755" i="4"/>
  <c r="D755" i="4"/>
  <c r="E755" i="4"/>
  <c r="B759" i="4"/>
  <c r="F759" i="4"/>
  <c r="E759" i="4"/>
  <c r="D759" i="4"/>
  <c r="C759" i="4"/>
  <c r="B763" i="4"/>
  <c r="F763" i="4"/>
  <c r="C763" i="4"/>
  <c r="D763" i="4"/>
  <c r="E763" i="4"/>
  <c r="B767" i="4"/>
  <c r="F767" i="4"/>
  <c r="E767" i="4"/>
  <c r="C767" i="4"/>
  <c r="D767" i="4"/>
  <c r="B771" i="4"/>
  <c r="F771" i="4"/>
  <c r="C771" i="4"/>
  <c r="D771" i="4"/>
  <c r="E771" i="4"/>
  <c r="B775" i="4"/>
  <c r="F775" i="4"/>
  <c r="E775" i="4"/>
  <c r="C775" i="4"/>
  <c r="D775" i="4"/>
  <c r="B779" i="4"/>
  <c r="F779" i="4"/>
  <c r="C779" i="4"/>
  <c r="E779" i="4"/>
  <c r="D779" i="4"/>
  <c r="B783" i="4"/>
  <c r="F783" i="4"/>
  <c r="E783" i="4"/>
  <c r="C783" i="4"/>
  <c r="D783" i="4"/>
  <c r="D788" i="4"/>
  <c r="B788" i="4"/>
  <c r="C788" i="4"/>
  <c r="E788" i="4"/>
  <c r="F788" i="4"/>
  <c r="B793" i="4"/>
  <c r="F793" i="4"/>
  <c r="D793" i="4"/>
  <c r="C793" i="4"/>
  <c r="E793" i="4"/>
  <c r="C1070" i="4"/>
  <c r="B1070" i="4"/>
  <c r="D1070" i="4"/>
  <c r="E1070" i="4"/>
  <c r="F1070" i="4"/>
  <c r="C1472" i="4"/>
  <c r="F1472" i="4"/>
  <c r="B1472" i="4"/>
  <c r="E1472" i="4"/>
  <c r="D1472" i="4"/>
  <c r="C1476" i="4"/>
  <c r="D1476" i="4"/>
  <c r="E1476" i="4"/>
  <c r="B1476" i="4"/>
  <c r="F1476" i="4"/>
  <c r="C1480" i="4"/>
  <c r="F1480" i="4"/>
  <c r="B1480" i="4"/>
  <c r="D1480" i="4"/>
  <c r="E1480" i="4"/>
  <c r="C1484" i="4"/>
  <c r="D1484" i="4"/>
  <c r="E1484" i="4"/>
  <c r="B1484" i="4"/>
  <c r="F1484" i="4"/>
  <c r="C1488" i="4"/>
  <c r="F1488" i="4"/>
  <c r="B1488" i="4"/>
  <c r="E1488" i="4"/>
  <c r="D1488" i="4"/>
  <c r="C1492" i="4"/>
  <c r="D1492" i="4"/>
  <c r="E1492" i="4"/>
  <c r="B1492" i="4"/>
  <c r="F1492" i="4"/>
  <c r="C1496" i="4"/>
  <c r="F1496" i="4"/>
  <c r="B1496" i="4"/>
  <c r="D1496" i="4"/>
  <c r="E1496" i="4"/>
  <c r="C1500" i="4"/>
  <c r="D1500" i="4"/>
  <c r="E1500" i="4"/>
  <c r="B1500" i="4"/>
  <c r="F1500" i="4"/>
  <c r="C1504" i="4"/>
  <c r="F1504" i="4"/>
  <c r="B1504" i="4"/>
  <c r="E1504" i="4"/>
  <c r="D1504" i="4"/>
  <c r="C1508" i="4"/>
  <c r="D1508" i="4"/>
  <c r="E1508" i="4"/>
  <c r="B1508" i="4"/>
  <c r="F1508" i="4"/>
  <c r="C1512" i="4"/>
  <c r="F1512" i="4"/>
  <c r="B1512" i="4"/>
  <c r="D1512" i="4"/>
  <c r="E1512" i="4"/>
  <c r="D1516" i="4"/>
  <c r="F1516" i="4"/>
  <c r="B1516" i="4"/>
  <c r="C1516" i="4"/>
  <c r="E1516" i="4"/>
  <c r="D1520" i="4"/>
  <c r="C1520" i="4"/>
  <c r="E1520" i="4"/>
  <c r="B1520" i="4"/>
  <c r="F1520" i="4"/>
  <c r="D1524" i="4"/>
  <c r="F1524" i="4"/>
  <c r="B1524" i="4"/>
  <c r="C1524" i="4"/>
  <c r="E1524" i="4"/>
  <c r="D1528" i="4"/>
  <c r="C1528" i="4"/>
  <c r="E1528" i="4"/>
  <c r="F1528" i="4"/>
  <c r="B1528" i="4"/>
  <c r="D1532" i="4"/>
  <c r="F1532" i="4"/>
  <c r="B1532" i="4"/>
  <c r="C1532" i="4"/>
  <c r="E1532" i="4"/>
  <c r="D1536" i="4"/>
  <c r="C1536" i="4"/>
  <c r="E1536" i="4"/>
  <c r="B1536" i="4"/>
  <c r="F1536" i="4"/>
  <c r="D1540" i="4"/>
  <c r="F1540" i="4"/>
  <c r="B1540" i="4"/>
  <c r="C1540" i="4"/>
  <c r="E1540" i="4"/>
  <c r="B1544" i="4"/>
  <c r="F1544" i="4"/>
  <c r="C1544" i="4"/>
  <c r="D1544" i="4"/>
  <c r="E1544" i="4"/>
  <c r="B1548" i="4"/>
  <c r="F1548" i="4"/>
  <c r="C1548" i="4"/>
  <c r="D1548" i="4"/>
  <c r="E1548" i="4"/>
  <c r="B1552" i="4"/>
  <c r="F1552" i="4"/>
  <c r="C1552" i="4"/>
  <c r="D1552" i="4"/>
  <c r="E1552" i="4"/>
  <c r="B1556" i="4"/>
  <c r="F1556" i="4"/>
  <c r="C1556" i="4"/>
  <c r="D1556" i="4"/>
  <c r="E1556" i="4"/>
  <c r="B1560" i="4"/>
  <c r="F1560" i="4"/>
  <c r="C1560" i="4"/>
  <c r="D1560" i="4"/>
  <c r="E1560" i="4"/>
  <c r="B1564" i="4"/>
  <c r="F1564" i="4"/>
  <c r="C1564" i="4"/>
  <c r="D1564" i="4"/>
  <c r="E1564" i="4"/>
  <c r="B1568" i="4"/>
  <c r="F1568" i="4"/>
  <c r="C1568" i="4"/>
  <c r="D1568" i="4"/>
  <c r="E1568" i="4"/>
  <c r="B1572" i="4"/>
  <c r="F1572" i="4"/>
  <c r="C1572" i="4"/>
  <c r="D1572" i="4"/>
  <c r="E1572" i="4"/>
  <c r="B1576" i="4"/>
  <c r="F1576" i="4"/>
  <c r="C1576" i="4"/>
  <c r="D1576" i="4"/>
  <c r="E1576" i="4"/>
  <c r="B1580" i="4"/>
  <c r="F1580" i="4"/>
  <c r="C1580" i="4"/>
  <c r="D1580" i="4"/>
  <c r="E1580" i="4"/>
  <c r="B1584" i="4"/>
  <c r="F1584" i="4"/>
  <c r="C1584" i="4"/>
  <c r="D1584" i="4"/>
  <c r="E1584" i="4"/>
  <c r="B1588" i="4"/>
  <c r="F1588" i="4"/>
  <c r="C1588" i="4"/>
  <c r="D1588" i="4"/>
  <c r="E1588" i="4"/>
  <c r="B1592" i="4"/>
  <c r="F1592" i="4"/>
  <c r="C1592" i="4"/>
  <c r="D1592" i="4"/>
  <c r="E1592" i="4"/>
  <c r="B1596" i="4"/>
  <c r="F1596" i="4"/>
  <c r="C1596" i="4"/>
  <c r="D1596" i="4"/>
  <c r="E1596" i="4"/>
  <c r="B1600" i="4"/>
  <c r="F1600" i="4"/>
  <c r="C1600" i="4"/>
  <c r="D1600" i="4"/>
  <c r="E1600" i="4"/>
  <c r="B1604" i="4"/>
  <c r="F1604" i="4"/>
  <c r="C1604" i="4"/>
  <c r="D1604" i="4"/>
  <c r="E1604" i="4"/>
  <c r="B1608" i="4"/>
  <c r="F1608" i="4"/>
  <c r="C1608" i="4"/>
  <c r="D1608" i="4"/>
  <c r="E1608" i="4"/>
  <c r="B1612" i="4"/>
  <c r="F1612" i="4"/>
  <c r="C1612" i="4"/>
  <c r="D1612" i="4"/>
  <c r="E1612" i="4"/>
  <c r="B1616" i="4"/>
  <c r="F1616" i="4"/>
  <c r="C1616" i="4"/>
  <c r="D1616" i="4"/>
  <c r="E1616" i="4"/>
  <c r="B1620" i="4"/>
  <c r="F1620" i="4"/>
  <c r="C1620" i="4"/>
  <c r="D1620" i="4"/>
  <c r="E1620" i="4"/>
  <c r="B1624" i="4"/>
  <c r="F1624" i="4"/>
  <c r="C1624" i="4"/>
  <c r="D1624" i="4"/>
  <c r="E1624" i="4"/>
  <c r="B1628" i="4"/>
  <c r="F1628" i="4"/>
  <c r="C1628" i="4"/>
  <c r="D1628" i="4"/>
  <c r="E1628" i="4"/>
  <c r="B1632" i="4"/>
  <c r="F1632" i="4"/>
  <c r="C1632" i="4"/>
  <c r="D1632" i="4"/>
  <c r="E1632" i="4"/>
  <c r="B1636" i="4"/>
  <c r="F1636" i="4"/>
  <c r="C1636" i="4"/>
  <c r="D1636" i="4"/>
  <c r="E1636" i="4"/>
  <c r="B1640" i="4"/>
  <c r="F1640" i="4"/>
  <c r="C1640" i="4"/>
  <c r="D1640" i="4"/>
  <c r="E1640" i="4"/>
  <c r="B1644" i="4"/>
  <c r="F1644" i="4"/>
  <c r="C1644" i="4"/>
  <c r="D1644" i="4"/>
  <c r="E1644" i="4"/>
  <c r="B1648" i="4"/>
  <c r="F1648" i="4"/>
  <c r="C1648" i="4"/>
  <c r="D1648" i="4"/>
  <c r="E1648" i="4"/>
  <c r="B1652" i="4"/>
  <c r="F1652" i="4"/>
  <c r="C1652" i="4"/>
  <c r="D1652" i="4"/>
  <c r="E1652" i="4"/>
  <c r="B1656" i="4"/>
  <c r="F1656" i="4"/>
  <c r="C1656" i="4"/>
  <c r="D1656" i="4"/>
  <c r="E1656" i="4"/>
  <c r="B1660" i="4"/>
  <c r="F1660" i="4"/>
  <c r="C1660" i="4"/>
  <c r="D1660" i="4"/>
  <c r="E1660" i="4"/>
  <c r="B1664" i="4"/>
  <c r="F1664" i="4"/>
  <c r="C1664" i="4"/>
  <c r="D1664" i="4"/>
  <c r="E1664" i="4"/>
  <c r="B1668" i="4"/>
  <c r="F1668" i="4"/>
  <c r="C1668" i="4"/>
  <c r="D1668" i="4"/>
  <c r="E1668" i="4"/>
  <c r="B1672" i="4"/>
  <c r="F1672" i="4"/>
  <c r="C1672" i="4"/>
  <c r="D1672" i="4"/>
  <c r="E1672" i="4"/>
  <c r="B1676" i="4"/>
  <c r="F1676" i="4"/>
  <c r="C1676" i="4"/>
  <c r="D1676" i="4"/>
  <c r="E1676" i="4"/>
  <c r="B1680" i="4"/>
  <c r="F1680" i="4"/>
  <c r="C1680" i="4"/>
  <c r="D1680" i="4"/>
  <c r="E1680" i="4"/>
  <c r="B1684" i="4"/>
  <c r="F1684" i="4"/>
  <c r="C1684" i="4"/>
  <c r="D1684" i="4"/>
  <c r="E1684" i="4"/>
  <c r="B1688" i="4"/>
  <c r="F1688" i="4"/>
  <c r="C1688" i="4"/>
  <c r="D1688" i="4"/>
  <c r="E1688" i="4"/>
  <c r="B1692" i="4"/>
  <c r="F1692" i="4"/>
  <c r="C1692" i="4"/>
  <c r="D1692" i="4"/>
  <c r="E1692" i="4"/>
  <c r="B1696" i="4"/>
  <c r="F1696" i="4"/>
  <c r="C1696" i="4"/>
  <c r="D1696" i="4"/>
  <c r="E1696" i="4"/>
  <c r="B1700" i="4"/>
  <c r="F1700" i="4"/>
  <c r="C1700" i="4"/>
  <c r="D1700" i="4"/>
  <c r="E1700" i="4"/>
  <c r="B1704" i="4"/>
  <c r="F1704" i="4"/>
  <c r="C1704" i="4"/>
  <c r="D1704" i="4"/>
  <c r="E1704" i="4"/>
  <c r="B1708" i="4"/>
  <c r="F1708" i="4"/>
  <c r="C1708" i="4"/>
  <c r="D1708" i="4"/>
  <c r="E1708" i="4"/>
  <c r="B1712" i="4"/>
  <c r="F1712" i="4"/>
  <c r="C1712" i="4"/>
  <c r="D1712" i="4"/>
  <c r="E1712" i="4"/>
  <c r="B1716" i="4"/>
  <c r="F1716" i="4"/>
  <c r="C1716" i="4"/>
  <c r="D1716" i="4"/>
  <c r="E1716" i="4"/>
  <c r="B1720" i="4"/>
  <c r="F1720" i="4"/>
  <c r="C1720" i="4"/>
  <c r="D1720" i="4"/>
  <c r="E1720" i="4"/>
  <c r="B1724" i="4"/>
  <c r="F1724" i="4"/>
  <c r="C1724" i="4"/>
  <c r="D1724" i="4"/>
  <c r="E1724" i="4"/>
  <c r="B1728" i="4"/>
  <c r="F1728" i="4"/>
  <c r="C1728" i="4"/>
  <c r="D1728" i="4"/>
  <c r="E1728" i="4"/>
  <c r="B1732" i="4"/>
  <c r="F1732" i="4"/>
  <c r="C1732" i="4"/>
  <c r="D1732" i="4"/>
  <c r="E1732" i="4"/>
  <c r="B1736" i="4"/>
  <c r="F1736" i="4"/>
  <c r="C1736" i="4"/>
  <c r="D1736" i="4"/>
  <c r="E1736" i="4"/>
  <c r="B1740" i="4"/>
  <c r="F1740" i="4"/>
  <c r="C1740" i="4"/>
  <c r="D1740" i="4"/>
  <c r="E1740" i="4"/>
  <c r="B1744" i="4"/>
  <c r="F1744" i="4"/>
  <c r="C1744" i="4"/>
  <c r="D1744" i="4"/>
  <c r="E1744" i="4"/>
  <c r="B1748" i="4"/>
  <c r="F1748" i="4"/>
  <c r="C1748" i="4"/>
  <c r="D1748" i="4"/>
  <c r="E1748" i="4"/>
  <c r="B1752" i="4"/>
  <c r="F1752" i="4"/>
  <c r="C1752" i="4"/>
  <c r="D1752" i="4"/>
  <c r="E1752" i="4"/>
  <c r="B1756" i="4"/>
  <c r="F1756" i="4"/>
  <c r="C1756" i="4"/>
  <c r="D1756" i="4"/>
  <c r="E1756" i="4"/>
  <c r="B1760" i="4"/>
  <c r="F1760" i="4"/>
  <c r="C1760" i="4"/>
  <c r="D1760" i="4"/>
  <c r="E1760" i="4"/>
  <c r="B1764" i="4"/>
  <c r="F1764" i="4"/>
  <c r="C1764" i="4"/>
  <c r="D1764" i="4"/>
  <c r="E1764" i="4"/>
  <c r="B1768" i="4"/>
  <c r="F1768" i="4"/>
  <c r="C1768" i="4"/>
  <c r="D1768" i="4"/>
  <c r="E1768" i="4"/>
  <c r="B1772" i="4"/>
  <c r="F1772" i="4"/>
  <c r="C1772" i="4"/>
  <c r="D1772" i="4"/>
  <c r="E1772" i="4"/>
  <c r="B1776" i="4"/>
  <c r="F1776" i="4"/>
  <c r="C1776" i="4"/>
  <c r="D1776" i="4"/>
  <c r="E1776" i="4"/>
  <c r="B1780" i="4"/>
  <c r="F1780" i="4"/>
  <c r="C1780" i="4"/>
  <c r="D1780" i="4"/>
  <c r="E1780" i="4"/>
  <c r="B1784" i="4"/>
  <c r="F1784" i="4"/>
  <c r="C1784" i="4"/>
  <c r="D1784" i="4"/>
  <c r="E1784" i="4"/>
  <c r="B1788" i="4"/>
  <c r="F1788" i="4"/>
  <c r="C1788" i="4"/>
  <c r="D1788" i="4"/>
  <c r="E1788" i="4"/>
  <c r="B1792" i="4"/>
  <c r="F1792" i="4"/>
  <c r="C1792" i="4"/>
  <c r="D1792" i="4"/>
  <c r="E1792" i="4"/>
  <c r="B1796" i="4"/>
  <c r="F1796" i="4"/>
  <c r="C1796" i="4"/>
  <c r="D1796" i="4"/>
  <c r="E1796" i="4"/>
  <c r="D1801" i="4"/>
  <c r="E1801" i="4"/>
  <c r="F1801" i="4"/>
  <c r="B1801" i="4"/>
  <c r="C1801" i="4"/>
  <c r="D1805" i="4"/>
  <c r="E1805" i="4"/>
  <c r="F1805" i="4"/>
  <c r="B1805" i="4"/>
  <c r="C1805" i="4"/>
  <c r="D1809" i="4"/>
  <c r="E1809" i="4"/>
  <c r="F1809" i="4"/>
  <c r="B1809" i="4"/>
  <c r="C1809" i="4"/>
  <c r="D1813" i="4"/>
  <c r="E1813" i="4"/>
  <c r="F1813" i="4"/>
  <c r="B1813" i="4"/>
  <c r="C1813" i="4"/>
  <c r="D1817" i="4"/>
  <c r="E1817" i="4"/>
  <c r="F1817" i="4"/>
  <c r="B1817" i="4"/>
  <c r="C1817" i="4"/>
  <c r="D1821" i="4"/>
  <c r="E1821" i="4"/>
  <c r="F1821" i="4"/>
  <c r="B1821" i="4"/>
  <c r="C1821" i="4"/>
  <c r="D1825" i="4"/>
  <c r="E1825" i="4"/>
  <c r="F1825" i="4"/>
  <c r="B1825" i="4"/>
  <c r="C1825" i="4"/>
  <c r="D1829" i="4"/>
  <c r="E1829" i="4"/>
  <c r="F1829" i="4"/>
  <c r="B1829" i="4"/>
  <c r="C1829" i="4"/>
  <c r="D1833" i="4"/>
  <c r="E1833" i="4"/>
  <c r="F1833" i="4"/>
  <c r="B1833" i="4"/>
  <c r="C1833" i="4"/>
  <c r="D1837" i="4"/>
  <c r="E1837" i="4"/>
  <c r="F1837" i="4"/>
  <c r="B1837" i="4"/>
  <c r="C1837" i="4"/>
  <c r="D1841" i="4"/>
  <c r="E1841" i="4"/>
  <c r="F1841" i="4"/>
  <c r="B1841" i="4"/>
  <c r="C1841" i="4"/>
  <c r="D1845" i="4"/>
  <c r="E1845" i="4"/>
  <c r="F1845" i="4"/>
  <c r="B1845" i="4"/>
  <c r="C1845" i="4"/>
  <c r="D1849" i="4"/>
  <c r="E1849" i="4"/>
  <c r="F1849" i="4"/>
  <c r="B1849" i="4"/>
  <c r="C1849" i="4"/>
  <c r="D1853" i="4"/>
  <c r="E1853" i="4"/>
  <c r="F1853" i="4"/>
  <c r="B1853" i="4"/>
  <c r="C1853" i="4"/>
  <c r="D1857" i="4"/>
  <c r="E1857" i="4"/>
  <c r="F1857" i="4"/>
  <c r="B1857" i="4"/>
  <c r="C1857" i="4"/>
  <c r="D1861" i="4"/>
  <c r="E1861" i="4"/>
  <c r="F1861" i="4"/>
  <c r="B1861" i="4"/>
  <c r="C1861" i="4"/>
  <c r="D1865" i="4"/>
  <c r="E1865" i="4"/>
  <c r="F1865" i="4"/>
  <c r="B1865" i="4"/>
  <c r="C1865" i="4"/>
  <c r="D1869" i="4"/>
  <c r="E1869" i="4"/>
  <c r="F1869" i="4"/>
  <c r="B1869" i="4"/>
  <c r="C1869" i="4"/>
  <c r="D1873" i="4"/>
  <c r="E1873" i="4"/>
  <c r="F1873" i="4"/>
  <c r="B1873" i="4"/>
  <c r="C1873" i="4"/>
  <c r="D1877" i="4"/>
  <c r="E1877" i="4"/>
  <c r="F1877" i="4"/>
  <c r="B1877" i="4"/>
  <c r="C1877" i="4"/>
  <c r="D1881" i="4"/>
  <c r="E1881" i="4"/>
  <c r="F1881" i="4"/>
  <c r="B1881" i="4"/>
  <c r="C1881" i="4"/>
  <c r="D1885" i="4"/>
  <c r="E1885" i="4"/>
  <c r="F1885" i="4"/>
  <c r="B1885" i="4"/>
  <c r="C1885" i="4"/>
  <c r="D1889" i="4"/>
  <c r="E1889" i="4"/>
  <c r="F1889" i="4"/>
  <c r="B1889" i="4"/>
  <c r="C1889" i="4"/>
  <c r="D1893" i="4"/>
  <c r="E1893" i="4"/>
  <c r="F1893" i="4"/>
  <c r="B1893" i="4"/>
  <c r="C1893" i="4"/>
  <c r="D1897" i="4"/>
  <c r="E1897" i="4"/>
  <c r="F1897" i="4"/>
  <c r="B1897" i="4"/>
  <c r="C1897" i="4"/>
  <c r="D1901" i="4"/>
  <c r="E1901" i="4"/>
  <c r="F1901" i="4"/>
  <c r="B1901" i="4"/>
  <c r="C1901" i="4"/>
  <c r="D1905" i="4"/>
  <c r="E1905" i="4"/>
  <c r="F1905" i="4"/>
  <c r="B1905" i="4"/>
  <c r="C1905" i="4"/>
  <c r="D1909" i="4"/>
  <c r="E1909" i="4"/>
  <c r="F1909" i="4"/>
  <c r="B1909" i="4"/>
  <c r="C1909" i="4"/>
  <c r="D1913" i="4"/>
  <c r="E1913" i="4"/>
  <c r="F1913" i="4"/>
  <c r="B1913" i="4"/>
  <c r="C1913" i="4"/>
  <c r="D1917" i="4"/>
  <c r="E1917" i="4"/>
  <c r="F1917" i="4"/>
  <c r="B1917" i="4"/>
  <c r="C1917" i="4"/>
  <c r="D1921" i="4"/>
  <c r="E1921" i="4"/>
  <c r="F1921" i="4"/>
  <c r="B1921" i="4"/>
  <c r="C1921" i="4"/>
  <c r="D1925" i="4"/>
  <c r="E1925" i="4"/>
  <c r="F1925" i="4"/>
  <c r="B1925" i="4"/>
  <c r="C1925" i="4"/>
  <c r="D1929" i="4"/>
  <c r="E1929" i="4"/>
  <c r="F1929" i="4"/>
  <c r="B1929" i="4"/>
  <c r="C1929" i="4"/>
  <c r="D1933" i="4"/>
  <c r="E1933" i="4"/>
  <c r="F1933" i="4"/>
  <c r="B1933" i="4"/>
  <c r="C1933" i="4"/>
  <c r="D1937" i="4"/>
  <c r="E1937" i="4"/>
  <c r="F1937" i="4"/>
  <c r="B1937" i="4"/>
  <c r="C1937" i="4"/>
  <c r="D1941" i="4"/>
  <c r="E1941" i="4"/>
  <c r="F1941" i="4"/>
  <c r="B1941" i="4"/>
  <c r="C1941" i="4"/>
  <c r="D1945" i="4"/>
  <c r="E1945" i="4"/>
  <c r="F1945" i="4"/>
  <c r="B1945" i="4"/>
  <c r="C1945" i="4"/>
  <c r="D1949" i="4"/>
  <c r="E1949" i="4"/>
  <c r="F1949" i="4"/>
  <c r="B1949" i="4"/>
  <c r="C1949" i="4"/>
  <c r="D1953" i="4"/>
  <c r="E1953" i="4"/>
  <c r="F1953" i="4"/>
  <c r="B1953" i="4"/>
  <c r="C1953" i="4"/>
  <c r="D1957" i="4"/>
  <c r="E1957" i="4"/>
  <c r="F1957" i="4"/>
  <c r="B1957" i="4"/>
  <c r="C1957" i="4"/>
  <c r="D1961" i="4"/>
  <c r="E1961" i="4"/>
  <c r="F1961" i="4"/>
  <c r="B1961" i="4"/>
  <c r="C1961" i="4"/>
  <c r="D1965" i="4"/>
  <c r="E1965" i="4"/>
  <c r="F1965" i="4"/>
  <c r="B1965" i="4"/>
  <c r="C1965" i="4"/>
  <c r="D1969" i="4"/>
  <c r="E1969" i="4"/>
  <c r="F1969" i="4"/>
  <c r="B1969" i="4"/>
  <c r="C1969" i="4"/>
  <c r="D1973" i="4"/>
  <c r="E1973" i="4"/>
  <c r="F1973" i="4"/>
  <c r="B1973" i="4"/>
  <c r="C1973" i="4"/>
  <c r="D1977" i="4"/>
  <c r="E1977" i="4"/>
  <c r="F1977" i="4"/>
  <c r="B1977" i="4"/>
  <c r="C1977" i="4"/>
  <c r="D1981" i="4"/>
  <c r="E1981" i="4"/>
  <c r="F1981" i="4"/>
  <c r="B1981" i="4"/>
  <c r="C1981" i="4"/>
  <c r="D1985" i="4"/>
  <c r="E1985" i="4"/>
  <c r="F1985" i="4"/>
  <c r="B1985" i="4"/>
  <c r="C1985" i="4"/>
  <c r="D1989" i="4"/>
  <c r="E1989" i="4"/>
  <c r="F1989" i="4"/>
  <c r="B1989" i="4"/>
  <c r="C1989" i="4"/>
  <c r="D1993" i="4"/>
  <c r="E1993" i="4"/>
  <c r="F1993" i="4"/>
  <c r="B1993" i="4"/>
  <c r="C1993" i="4"/>
  <c r="D1997" i="4"/>
  <c r="E1997" i="4"/>
  <c r="F1997" i="4"/>
  <c r="B1997" i="4"/>
  <c r="C1997" i="4"/>
  <c r="D2001" i="4"/>
  <c r="E2001" i="4"/>
  <c r="F2001" i="4"/>
  <c r="B2001" i="4"/>
  <c r="C2001" i="4"/>
  <c r="D2005" i="4"/>
  <c r="E2005" i="4"/>
  <c r="F2005" i="4"/>
  <c r="B2005" i="4"/>
  <c r="C2005" i="4"/>
  <c r="D2009" i="4"/>
  <c r="E2009" i="4"/>
  <c r="F2009" i="4"/>
  <c r="B2009" i="4"/>
  <c r="C2009" i="4"/>
  <c r="D2013" i="4"/>
  <c r="E2013" i="4"/>
  <c r="F2013" i="4"/>
  <c r="B2013" i="4"/>
  <c r="C2013" i="4"/>
  <c r="D2017" i="4"/>
  <c r="E2017" i="4"/>
  <c r="F2017" i="4"/>
  <c r="B2017" i="4"/>
  <c r="C2017" i="4"/>
  <c r="D2021" i="4"/>
  <c r="E2021" i="4"/>
  <c r="F2021" i="4"/>
  <c r="B2021" i="4"/>
  <c r="C2021" i="4"/>
  <c r="D2025" i="4"/>
  <c r="E2025" i="4"/>
  <c r="F2025" i="4"/>
  <c r="B2025" i="4"/>
  <c r="C2025" i="4"/>
  <c r="D2029" i="4"/>
  <c r="E2029" i="4"/>
  <c r="F2029" i="4"/>
  <c r="B2029" i="4"/>
  <c r="C2029" i="4"/>
  <c r="D2033" i="4"/>
  <c r="E2033" i="4"/>
  <c r="F2033" i="4"/>
  <c r="B2033" i="4"/>
  <c r="C2033" i="4"/>
  <c r="D2037" i="4"/>
  <c r="E2037" i="4"/>
  <c r="F2037" i="4"/>
  <c r="B2037" i="4"/>
  <c r="C2037" i="4"/>
  <c r="D2041" i="4"/>
  <c r="E2041" i="4"/>
  <c r="F2041" i="4"/>
  <c r="B2041" i="4"/>
  <c r="C2041" i="4"/>
  <c r="D2045" i="4"/>
  <c r="E2045" i="4"/>
  <c r="F2045" i="4"/>
  <c r="B2045" i="4"/>
  <c r="C2045" i="4"/>
  <c r="D2049" i="4"/>
  <c r="E2049" i="4"/>
  <c r="F2049" i="4"/>
  <c r="B2049" i="4"/>
  <c r="C2049" i="4"/>
  <c r="D2053" i="4"/>
  <c r="E2053" i="4"/>
  <c r="F2053" i="4"/>
  <c r="B2053" i="4"/>
  <c r="C2053" i="4"/>
  <c r="D2057" i="4"/>
  <c r="E2057" i="4"/>
  <c r="F2057" i="4"/>
  <c r="B2057" i="4"/>
  <c r="C2057" i="4"/>
  <c r="D2061" i="4"/>
  <c r="E2061" i="4"/>
  <c r="F2061" i="4"/>
  <c r="B2061" i="4"/>
  <c r="C2061" i="4"/>
  <c r="D2065" i="4"/>
  <c r="E2065" i="4"/>
  <c r="F2065" i="4"/>
  <c r="B2065" i="4"/>
  <c r="C2065" i="4"/>
  <c r="D2069" i="4"/>
  <c r="E2069" i="4"/>
  <c r="F2069" i="4"/>
  <c r="B2069" i="4"/>
  <c r="C2069" i="4"/>
  <c r="D2073" i="4"/>
  <c r="E2073" i="4"/>
  <c r="F2073" i="4"/>
  <c r="B2073" i="4"/>
  <c r="C2073" i="4"/>
  <c r="D2077" i="4"/>
  <c r="E2077" i="4"/>
  <c r="F2077" i="4"/>
  <c r="B2077" i="4"/>
  <c r="C2077" i="4"/>
  <c r="D2081" i="4"/>
  <c r="E2081" i="4"/>
  <c r="F2081" i="4"/>
  <c r="B2081" i="4"/>
  <c r="C2081" i="4"/>
  <c r="D2085" i="4"/>
  <c r="E2085" i="4"/>
  <c r="F2085" i="4"/>
  <c r="B2085" i="4"/>
  <c r="C2085" i="4"/>
  <c r="D2089" i="4"/>
  <c r="E2089" i="4"/>
  <c r="F2089" i="4"/>
  <c r="B2089" i="4"/>
  <c r="C2089" i="4"/>
  <c r="D2093" i="4"/>
  <c r="E2093" i="4"/>
  <c r="F2093" i="4"/>
  <c r="B2093" i="4"/>
  <c r="C2093" i="4"/>
  <c r="D2097" i="4"/>
  <c r="E2097" i="4"/>
  <c r="F2097" i="4"/>
  <c r="B2097" i="4"/>
  <c r="C2097" i="4"/>
  <c r="D2101" i="4"/>
  <c r="E2101" i="4"/>
  <c r="F2101" i="4"/>
  <c r="B2101" i="4"/>
  <c r="C2101" i="4"/>
  <c r="D2105" i="4"/>
  <c r="E2105" i="4"/>
  <c r="F2105" i="4"/>
  <c r="B2105" i="4"/>
  <c r="C2105" i="4"/>
  <c r="D2109" i="4"/>
  <c r="E2109" i="4"/>
  <c r="F2109" i="4"/>
  <c r="B2109" i="4"/>
  <c r="C2109" i="4"/>
  <c r="D2113" i="4"/>
  <c r="E2113" i="4"/>
  <c r="F2113" i="4"/>
  <c r="B2113" i="4"/>
  <c r="C2113" i="4"/>
  <c r="D2117" i="4"/>
  <c r="E2117" i="4"/>
  <c r="F2117" i="4"/>
  <c r="B2117" i="4"/>
  <c r="C2117" i="4"/>
  <c r="D2121" i="4"/>
  <c r="E2121" i="4"/>
  <c r="F2121" i="4"/>
  <c r="B2121" i="4"/>
  <c r="C2121" i="4"/>
  <c r="D2125" i="4"/>
  <c r="E2125" i="4"/>
  <c r="F2125" i="4"/>
  <c r="B2125" i="4"/>
  <c r="C2125" i="4"/>
  <c r="D2129" i="4"/>
  <c r="E2129" i="4"/>
  <c r="F2129" i="4"/>
  <c r="B2129" i="4"/>
  <c r="C2129" i="4"/>
  <c r="D2133" i="4"/>
  <c r="E2133" i="4"/>
  <c r="F2133" i="4"/>
  <c r="B2133" i="4"/>
  <c r="C2133" i="4"/>
  <c r="D2137" i="4"/>
  <c r="E2137" i="4"/>
  <c r="F2137" i="4"/>
  <c r="B2137" i="4"/>
  <c r="C2137" i="4"/>
  <c r="D2141" i="4"/>
  <c r="E2141" i="4"/>
  <c r="F2141" i="4"/>
  <c r="B2141" i="4"/>
  <c r="C2141" i="4"/>
  <c r="D2145" i="4"/>
  <c r="E2145" i="4"/>
  <c r="F2145" i="4"/>
  <c r="B2145" i="4"/>
  <c r="C2145" i="4"/>
  <c r="D2149" i="4"/>
  <c r="E2149" i="4"/>
  <c r="F2149" i="4"/>
  <c r="B2149" i="4"/>
  <c r="C2149" i="4"/>
  <c r="D2153" i="4"/>
  <c r="E2153" i="4"/>
  <c r="F2153" i="4"/>
  <c r="B2153" i="4"/>
  <c r="C2153" i="4"/>
  <c r="D2157" i="4"/>
  <c r="E2157" i="4"/>
  <c r="F2157" i="4"/>
  <c r="B2157" i="4"/>
  <c r="C2157" i="4"/>
  <c r="D2161" i="4"/>
  <c r="E2161" i="4"/>
  <c r="F2161" i="4"/>
  <c r="B2161" i="4"/>
  <c r="C2161" i="4"/>
  <c r="D2165" i="4"/>
  <c r="E2165" i="4"/>
  <c r="F2165" i="4"/>
  <c r="B2165" i="4"/>
  <c r="C2165" i="4"/>
  <c r="D2169" i="4"/>
  <c r="E2169" i="4"/>
  <c r="F2169" i="4"/>
  <c r="B2169" i="4"/>
  <c r="C2169" i="4"/>
  <c r="D2173" i="4"/>
  <c r="E2173" i="4"/>
  <c r="F2173" i="4"/>
  <c r="B2173" i="4"/>
  <c r="C2173" i="4"/>
  <c r="D2177" i="4"/>
  <c r="E2177" i="4"/>
  <c r="F2177" i="4"/>
  <c r="B2177" i="4"/>
  <c r="C2177" i="4"/>
  <c r="D2181" i="4"/>
  <c r="E2181" i="4"/>
  <c r="F2181" i="4"/>
  <c r="B2181" i="4"/>
  <c r="C2181" i="4"/>
  <c r="D2185" i="4"/>
  <c r="E2185" i="4"/>
  <c r="F2185" i="4"/>
  <c r="B2185" i="4"/>
  <c r="C2185" i="4"/>
  <c r="D2189" i="4"/>
  <c r="E2189" i="4"/>
  <c r="F2189" i="4"/>
  <c r="B2189" i="4"/>
  <c r="C2189" i="4"/>
  <c r="D2193" i="4"/>
  <c r="E2193" i="4"/>
  <c r="F2193" i="4"/>
  <c r="B2193" i="4"/>
  <c r="C2193" i="4"/>
  <c r="D2197" i="4"/>
  <c r="E2197" i="4"/>
  <c r="F2197" i="4"/>
  <c r="B2197" i="4"/>
  <c r="C2197" i="4"/>
  <c r="D2201" i="4"/>
  <c r="E2201" i="4"/>
  <c r="F2201" i="4"/>
  <c r="B2201" i="4"/>
  <c r="C2201" i="4"/>
  <c r="D2205" i="4"/>
  <c r="C2205" i="4"/>
  <c r="E2205" i="4"/>
  <c r="F2205" i="4"/>
  <c r="B2205" i="4"/>
  <c r="C2531" i="4"/>
  <c r="E2531" i="4"/>
  <c r="D2531" i="4"/>
  <c r="F2531" i="4"/>
  <c r="B2531" i="4"/>
  <c r="C2533" i="4"/>
  <c r="E2533" i="4"/>
  <c r="D2533" i="4"/>
  <c r="B2533" i="4"/>
  <c r="F2533" i="4"/>
  <c r="C2535" i="4"/>
  <c r="D2535" i="4"/>
  <c r="E2535" i="4"/>
  <c r="B2535" i="4"/>
  <c r="F2535" i="4"/>
  <c r="C2537" i="4"/>
  <c r="E2537" i="4"/>
  <c r="D2537" i="4"/>
  <c r="B2537" i="4"/>
  <c r="F2537" i="4"/>
  <c r="C2539" i="4"/>
  <c r="D2539" i="4"/>
  <c r="E2539" i="4"/>
  <c r="F2539" i="4"/>
  <c r="B2539" i="4"/>
  <c r="C2541" i="4"/>
  <c r="E2541" i="4"/>
  <c r="D2541" i="4"/>
  <c r="F2541" i="4"/>
  <c r="B2541" i="4"/>
  <c r="C2543" i="4"/>
  <c r="D2543" i="4"/>
  <c r="E2543" i="4"/>
  <c r="F2543" i="4"/>
  <c r="B2543" i="4"/>
  <c r="C2545" i="4"/>
  <c r="E2545" i="4"/>
  <c r="D2545" i="4"/>
  <c r="B2545" i="4"/>
  <c r="F2545" i="4"/>
  <c r="C2547" i="4"/>
  <c r="D2547" i="4"/>
  <c r="E2547" i="4"/>
  <c r="F2547" i="4"/>
  <c r="B2547" i="4"/>
  <c r="C2549" i="4"/>
  <c r="E2549" i="4"/>
  <c r="D2549" i="4"/>
  <c r="B2549" i="4"/>
  <c r="F2549" i="4"/>
  <c r="C2551" i="4"/>
  <c r="E2551" i="4"/>
  <c r="D2551" i="4"/>
  <c r="B2551" i="4"/>
  <c r="F2551" i="4"/>
  <c r="C2553" i="4"/>
  <c r="D2553" i="4"/>
  <c r="E2553" i="4"/>
  <c r="B2553" i="4"/>
  <c r="F2553" i="4"/>
  <c r="C2555" i="4"/>
  <c r="E2555" i="4"/>
  <c r="D2555" i="4"/>
  <c r="F2555" i="4"/>
  <c r="B2555" i="4"/>
  <c r="C2557" i="4"/>
  <c r="D2557" i="4"/>
  <c r="E2557" i="4"/>
  <c r="F2557" i="4"/>
  <c r="B2557" i="4"/>
  <c r="C2559" i="4"/>
  <c r="E2559" i="4"/>
  <c r="D2559" i="4"/>
  <c r="F2559" i="4"/>
  <c r="B2559" i="4"/>
  <c r="C2561" i="4"/>
  <c r="D2561" i="4"/>
  <c r="E2561" i="4"/>
  <c r="B2561" i="4"/>
  <c r="F2561" i="4"/>
  <c r="C2563" i="4"/>
  <c r="D2563" i="4"/>
  <c r="E2563" i="4"/>
  <c r="F2563" i="4"/>
  <c r="B2563" i="4"/>
  <c r="C2565" i="4"/>
  <c r="E2565" i="4"/>
  <c r="D2565" i="4"/>
  <c r="B2565" i="4"/>
  <c r="F2565" i="4"/>
  <c r="C2567" i="4"/>
  <c r="E2567" i="4"/>
  <c r="D2567" i="4"/>
  <c r="B2567" i="4"/>
  <c r="F2567" i="4"/>
  <c r="C2569" i="4"/>
  <c r="D2569" i="4"/>
  <c r="E2569" i="4"/>
  <c r="B2569" i="4"/>
  <c r="F2569" i="4"/>
  <c r="C2571" i="4"/>
  <c r="E2571" i="4"/>
  <c r="D2571" i="4"/>
  <c r="F2571" i="4"/>
  <c r="B2571" i="4"/>
  <c r="C2573" i="4"/>
  <c r="D2573" i="4"/>
  <c r="E2573" i="4"/>
  <c r="F2573" i="4"/>
  <c r="B2573" i="4"/>
  <c r="C2575" i="4"/>
  <c r="E2575" i="4"/>
  <c r="D2575" i="4"/>
  <c r="F2575" i="4"/>
  <c r="B2575" i="4"/>
  <c r="C2577" i="4"/>
  <c r="D2577" i="4"/>
  <c r="E2577" i="4"/>
  <c r="B2577" i="4"/>
  <c r="F2577" i="4"/>
  <c r="C2579" i="4"/>
  <c r="E2579" i="4"/>
  <c r="D2579" i="4"/>
  <c r="F2579" i="4"/>
  <c r="B2579" i="4"/>
  <c r="C2581" i="4"/>
  <c r="D2581" i="4"/>
  <c r="E2581" i="4"/>
  <c r="B2581" i="4"/>
  <c r="F2581" i="4"/>
  <c r="C2583" i="4"/>
  <c r="E2583" i="4"/>
  <c r="D2583" i="4"/>
  <c r="B2583" i="4"/>
  <c r="F2583" i="4"/>
  <c r="C2585" i="4"/>
  <c r="D2585" i="4"/>
  <c r="E2585" i="4"/>
  <c r="B2585" i="4"/>
  <c r="F2585" i="4"/>
  <c r="C2587" i="4"/>
  <c r="E2587" i="4"/>
  <c r="D2587" i="4"/>
  <c r="F2587" i="4"/>
  <c r="B2587" i="4"/>
  <c r="C2589" i="4"/>
  <c r="D2589" i="4"/>
  <c r="E2589" i="4"/>
  <c r="F2589" i="4"/>
  <c r="B2589" i="4"/>
  <c r="C2591" i="4"/>
  <c r="D2591" i="4"/>
  <c r="E2591" i="4"/>
  <c r="F2591" i="4"/>
  <c r="B2591" i="4"/>
  <c r="C2593" i="4"/>
  <c r="E2593" i="4"/>
  <c r="D2593" i="4"/>
  <c r="B2593" i="4"/>
  <c r="F2593" i="4"/>
  <c r="C2595" i="4"/>
  <c r="D2595" i="4"/>
  <c r="E2595" i="4"/>
  <c r="F2595" i="4"/>
  <c r="B2595" i="4"/>
  <c r="C2597" i="4"/>
  <c r="E2597" i="4"/>
  <c r="D2597" i="4"/>
  <c r="B2597" i="4"/>
  <c r="F2597" i="4"/>
  <c r="C2599" i="4"/>
  <c r="D2599" i="4"/>
  <c r="E2599" i="4"/>
  <c r="B2599" i="4"/>
  <c r="F2599" i="4"/>
  <c r="C2601" i="4"/>
  <c r="E2601" i="4"/>
  <c r="D2601" i="4"/>
  <c r="B2601" i="4"/>
  <c r="F2601" i="4"/>
  <c r="C2603" i="4"/>
  <c r="D2603" i="4"/>
  <c r="E2603" i="4"/>
  <c r="F2603" i="4"/>
  <c r="B2603" i="4"/>
  <c r="C2605" i="4"/>
  <c r="E2605" i="4"/>
  <c r="D2605" i="4"/>
  <c r="F2605" i="4"/>
  <c r="B2605" i="4"/>
  <c r="C2607" i="4"/>
  <c r="D2607" i="4"/>
  <c r="E2607" i="4"/>
  <c r="F2607" i="4"/>
  <c r="B2607" i="4"/>
  <c r="C2609" i="4"/>
  <c r="E2609" i="4"/>
  <c r="D2609" i="4"/>
  <c r="B2609" i="4"/>
  <c r="F2609" i="4"/>
  <c r="C2611" i="4"/>
  <c r="D2611" i="4"/>
  <c r="E2611" i="4"/>
  <c r="F2611" i="4"/>
  <c r="B2611" i="4"/>
  <c r="C2613" i="4"/>
  <c r="E2613" i="4"/>
  <c r="D2613" i="4"/>
  <c r="B2613" i="4"/>
  <c r="F2613" i="4"/>
  <c r="C2615" i="4"/>
  <c r="D2615" i="4"/>
  <c r="E2615" i="4"/>
  <c r="B2615" i="4"/>
  <c r="F2615" i="4"/>
  <c r="C2617" i="4"/>
  <c r="E2617" i="4"/>
  <c r="D2617" i="4"/>
  <c r="B2617" i="4"/>
  <c r="F2617" i="4"/>
  <c r="C2619" i="4"/>
  <c r="E2619" i="4"/>
  <c r="D2619" i="4"/>
  <c r="F2619" i="4"/>
  <c r="B2619" i="4"/>
  <c r="C2621" i="4"/>
  <c r="D2621" i="4"/>
  <c r="E2621" i="4"/>
  <c r="F2621" i="4"/>
  <c r="B2621" i="4"/>
  <c r="C2623" i="4"/>
  <c r="E2623" i="4"/>
  <c r="D2623" i="4"/>
  <c r="F2623" i="4"/>
  <c r="B2623" i="4"/>
  <c r="C2625" i="4"/>
  <c r="D2625" i="4"/>
  <c r="E2625" i="4"/>
  <c r="B2625" i="4"/>
  <c r="F2625" i="4"/>
  <c r="C2627" i="4"/>
  <c r="E2627" i="4"/>
  <c r="D2627" i="4"/>
  <c r="F2627" i="4"/>
  <c r="B2627" i="4"/>
  <c r="C2629" i="4"/>
  <c r="D2629" i="4"/>
  <c r="E2629" i="4"/>
  <c r="B2629" i="4"/>
  <c r="F2629" i="4"/>
  <c r="C2631" i="4"/>
  <c r="E2631" i="4"/>
  <c r="D2631" i="4"/>
  <c r="B2631" i="4"/>
  <c r="F2631" i="4"/>
  <c r="C2633" i="4"/>
  <c r="D2633" i="4"/>
  <c r="E2633" i="4"/>
  <c r="B2633" i="4"/>
  <c r="F2633" i="4"/>
  <c r="C2635" i="4"/>
  <c r="E2635" i="4"/>
  <c r="D2635" i="4"/>
  <c r="F2635" i="4"/>
  <c r="B2635" i="4"/>
  <c r="C2637" i="4"/>
  <c r="D2637" i="4"/>
  <c r="E2637" i="4"/>
  <c r="F2637" i="4"/>
  <c r="B2637" i="4"/>
  <c r="C2639" i="4"/>
  <c r="E2639" i="4"/>
  <c r="D2639" i="4"/>
  <c r="F2639" i="4"/>
  <c r="B2639" i="4"/>
  <c r="C2641" i="4"/>
  <c r="D2641" i="4"/>
  <c r="E2641" i="4"/>
  <c r="B2641" i="4"/>
  <c r="F2641" i="4"/>
  <c r="C2643" i="4"/>
  <c r="D2643" i="4"/>
  <c r="E2643" i="4"/>
  <c r="F2643" i="4"/>
  <c r="B2643" i="4"/>
  <c r="C2645" i="4"/>
  <c r="D2645" i="4"/>
  <c r="E2645" i="4"/>
  <c r="B2645" i="4"/>
  <c r="F2645" i="4"/>
  <c r="C2647" i="4"/>
  <c r="E2647" i="4"/>
  <c r="D2647" i="4"/>
  <c r="B2647" i="4"/>
  <c r="F2647" i="4"/>
  <c r="C2649" i="4"/>
  <c r="D2649" i="4"/>
  <c r="E2649" i="4"/>
  <c r="B2649" i="4"/>
  <c r="F2649" i="4"/>
  <c r="C2651" i="4"/>
  <c r="E2651" i="4"/>
  <c r="D2651" i="4"/>
  <c r="F2651" i="4"/>
  <c r="B2651" i="4"/>
  <c r="C2653" i="4"/>
  <c r="D2653" i="4"/>
  <c r="E2653" i="4"/>
  <c r="F2653" i="4"/>
  <c r="B2653" i="4"/>
  <c r="C2655" i="4"/>
  <c r="D2655" i="4"/>
  <c r="E2655" i="4"/>
  <c r="F2655" i="4"/>
  <c r="B2655" i="4"/>
  <c r="C2657" i="4"/>
  <c r="E2657" i="4"/>
  <c r="D2657" i="4"/>
  <c r="B2657" i="4"/>
  <c r="F2657" i="4"/>
  <c r="C2659" i="4"/>
  <c r="D2659" i="4"/>
  <c r="E2659" i="4"/>
  <c r="F2659" i="4"/>
  <c r="B2659" i="4"/>
  <c r="C2661" i="4"/>
  <c r="E2661" i="4"/>
  <c r="D2661" i="4"/>
  <c r="B2661" i="4"/>
  <c r="F2661" i="4"/>
  <c r="C2663" i="4"/>
  <c r="D2663" i="4"/>
  <c r="E2663" i="4"/>
  <c r="B2663" i="4"/>
  <c r="F2663" i="4"/>
  <c r="C2665" i="4"/>
  <c r="E2665" i="4"/>
  <c r="D2665" i="4"/>
  <c r="B2665" i="4"/>
  <c r="F2665" i="4"/>
  <c r="C2667" i="4"/>
  <c r="D2667" i="4"/>
  <c r="E2667" i="4"/>
  <c r="F2667" i="4"/>
  <c r="B2667" i="4"/>
  <c r="C2669" i="4"/>
  <c r="E2669" i="4"/>
  <c r="D2669" i="4"/>
  <c r="B2669" i="4"/>
  <c r="F2669" i="4"/>
  <c r="C2671" i="4"/>
  <c r="D2671" i="4"/>
  <c r="E2671" i="4"/>
  <c r="F2671" i="4"/>
  <c r="B2671" i="4"/>
  <c r="C2673" i="4"/>
  <c r="E2673" i="4"/>
  <c r="D2673" i="4"/>
  <c r="B2673" i="4"/>
  <c r="F2673" i="4"/>
  <c r="C2675" i="4"/>
  <c r="D2675" i="4"/>
  <c r="E2675" i="4"/>
  <c r="F2675" i="4"/>
  <c r="B2675" i="4"/>
  <c r="C2677" i="4"/>
  <c r="D2677" i="4"/>
  <c r="E2677" i="4"/>
  <c r="B2677" i="4"/>
  <c r="F2677" i="4"/>
  <c r="C2679" i="4"/>
  <c r="E2679" i="4"/>
  <c r="D2679" i="4"/>
  <c r="B2679" i="4"/>
  <c r="F2679" i="4"/>
  <c r="C2681" i="4"/>
  <c r="E2681" i="4"/>
  <c r="D2681" i="4"/>
  <c r="B2681" i="4"/>
  <c r="F2681" i="4"/>
  <c r="C2683" i="4"/>
  <c r="D2683" i="4"/>
  <c r="E2683" i="4"/>
  <c r="F2683" i="4"/>
  <c r="B2683" i="4"/>
  <c r="C2685" i="4"/>
  <c r="E2685" i="4"/>
  <c r="D2685" i="4"/>
  <c r="B2685" i="4"/>
  <c r="F2685" i="4"/>
  <c r="C2687" i="4"/>
  <c r="E2687" i="4"/>
  <c r="D2687" i="4"/>
  <c r="B2687" i="4"/>
  <c r="F2687" i="4"/>
  <c r="C2689" i="4"/>
  <c r="D2689" i="4"/>
  <c r="E2689" i="4"/>
  <c r="B2689" i="4"/>
  <c r="F2689" i="4"/>
  <c r="C2691" i="4"/>
  <c r="E2691" i="4"/>
  <c r="D2691" i="4"/>
  <c r="F2691" i="4"/>
  <c r="B2691" i="4"/>
  <c r="C2693" i="4"/>
  <c r="D2693" i="4"/>
  <c r="E2693" i="4"/>
  <c r="B2693" i="4"/>
  <c r="F2693" i="4"/>
  <c r="C2695" i="4"/>
  <c r="E2695" i="4"/>
  <c r="D2695" i="4"/>
  <c r="F2695" i="4"/>
  <c r="B2695" i="4"/>
  <c r="C2697" i="4"/>
  <c r="D2697" i="4"/>
  <c r="E2697" i="4"/>
  <c r="B2697" i="4"/>
  <c r="F2697" i="4"/>
  <c r="C2699" i="4"/>
  <c r="E2699" i="4"/>
  <c r="D2699" i="4"/>
  <c r="F2699" i="4"/>
  <c r="B2699" i="4"/>
  <c r="C2701" i="4"/>
  <c r="D2701" i="4"/>
  <c r="E2701" i="4"/>
  <c r="B2701" i="4"/>
  <c r="F2701" i="4"/>
  <c r="C2703" i="4"/>
  <c r="E2703" i="4"/>
  <c r="D2703" i="4"/>
  <c r="B2703" i="4"/>
  <c r="F2703" i="4"/>
  <c r="C2705" i="4"/>
  <c r="E2705" i="4"/>
  <c r="D2705" i="4"/>
  <c r="B2705" i="4"/>
  <c r="F2705" i="4"/>
  <c r="C2707" i="4"/>
  <c r="D2707" i="4"/>
  <c r="E2707" i="4"/>
  <c r="F2707" i="4"/>
  <c r="B2707" i="4"/>
  <c r="C2709" i="4"/>
  <c r="E2709" i="4"/>
  <c r="D2709" i="4"/>
  <c r="F2709" i="4"/>
  <c r="B2709" i="4"/>
  <c r="C2711" i="4"/>
  <c r="D2711" i="4"/>
  <c r="E2711" i="4"/>
  <c r="B2711" i="4"/>
  <c r="F2711" i="4"/>
  <c r="C2713" i="4"/>
  <c r="E2713" i="4"/>
  <c r="D2713" i="4"/>
  <c r="B2713" i="4"/>
  <c r="F2713" i="4"/>
  <c r="C2715" i="4"/>
  <c r="D2715" i="4"/>
  <c r="E2715" i="4"/>
  <c r="F2715" i="4"/>
  <c r="B2715" i="4"/>
  <c r="C2717" i="4"/>
  <c r="E2717" i="4"/>
  <c r="D2717" i="4"/>
  <c r="B2717" i="4"/>
  <c r="F2717" i="4"/>
  <c r="C2719" i="4"/>
  <c r="D2719" i="4"/>
  <c r="E2719" i="4"/>
  <c r="B2719" i="4"/>
  <c r="F2719" i="4"/>
  <c r="C2721" i="4"/>
  <c r="E2721" i="4"/>
  <c r="D2721" i="4"/>
  <c r="B2721" i="4"/>
  <c r="F2721" i="4"/>
  <c r="C2723" i="4"/>
  <c r="D2723" i="4"/>
  <c r="E2723" i="4"/>
  <c r="F2723" i="4"/>
  <c r="B2723" i="4"/>
  <c r="C2725" i="4"/>
  <c r="E2725" i="4"/>
  <c r="D2725" i="4"/>
  <c r="B2725" i="4"/>
  <c r="F2725" i="4"/>
  <c r="C2727" i="4"/>
  <c r="D2727" i="4"/>
  <c r="E2727" i="4"/>
  <c r="F2727" i="4"/>
  <c r="B2727" i="4"/>
  <c r="C2729" i="4"/>
  <c r="E2729" i="4"/>
  <c r="D2729" i="4"/>
  <c r="B2729" i="4"/>
  <c r="F2729" i="4"/>
  <c r="C2731" i="4"/>
  <c r="E2731" i="4"/>
  <c r="D2731" i="4"/>
  <c r="F2731" i="4"/>
  <c r="B2731" i="4"/>
  <c r="C2733" i="4"/>
  <c r="D2733" i="4"/>
  <c r="E2733" i="4"/>
  <c r="B2733" i="4"/>
  <c r="F2733" i="4"/>
  <c r="C2735" i="4"/>
  <c r="E2735" i="4"/>
  <c r="D2735" i="4"/>
  <c r="B2735" i="4"/>
  <c r="F2735" i="4"/>
  <c r="C2737" i="4"/>
  <c r="D2737" i="4"/>
  <c r="E2737" i="4"/>
  <c r="B2737" i="4"/>
  <c r="F2737" i="4"/>
  <c r="C2739" i="4"/>
  <c r="E2739" i="4"/>
  <c r="D2739" i="4"/>
  <c r="F2739" i="4"/>
  <c r="B2739" i="4"/>
  <c r="C2741" i="4"/>
  <c r="E2741" i="4"/>
  <c r="D2741" i="4"/>
  <c r="F2741" i="4"/>
  <c r="B2741" i="4"/>
  <c r="C2743" i="4"/>
  <c r="D2743" i="4"/>
  <c r="E2743" i="4"/>
  <c r="B2743" i="4"/>
  <c r="F2743" i="4"/>
  <c r="C2745" i="4"/>
  <c r="E2745" i="4"/>
  <c r="D2745" i="4"/>
  <c r="B2745" i="4"/>
  <c r="F2745" i="4"/>
  <c r="C2747" i="4"/>
  <c r="E2747" i="4"/>
  <c r="D2747" i="4"/>
  <c r="F2747" i="4"/>
  <c r="B2747" i="4"/>
  <c r="C2749" i="4"/>
  <c r="D2749" i="4"/>
  <c r="E2749" i="4"/>
  <c r="B2749" i="4"/>
  <c r="F2749" i="4"/>
  <c r="C2751" i="4"/>
  <c r="E2751" i="4"/>
  <c r="D2751" i="4"/>
  <c r="B2751" i="4"/>
  <c r="F2751" i="4"/>
  <c r="C2753" i="4"/>
  <c r="E2753" i="4"/>
  <c r="D2753" i="4"/>
  <c r="B2753" i="4"/>
  <c r="F2753" i="4"/>
  <c r="C2755" i="4"/>
  <c r="D2755" i="4"/>
  <c r="E2755" i="4"/>
  <c r="F2755" i="4"/>
  <c r="B2755" i="4"/>
  <c r="C2757" i="4"/>
  <c r="E2757" i="4"/>
  <c r="D2757" i="4"/>
  <c r="B2757" i="4"/>
  <c r="F2757" i="4"/>
  <c r="C2759" i="4"/>
  <c r="D2759" i="4"/>
  <c r="E2759" i="4"/>
  <c r="F2759" i="4"/>
  <c r="B2759" i="4"/>
  <c r="C2761" i="4"/>
  <c r="E2761" i="4"/>
  <c r="D2761" i="4"/>
  <c r="B2761" i="4"/>
  <c r="F2761" i="4"/>
  <c r="C2763" i="4"/>
  <c r="E2763" i="4"/>
  <c r="D2763" i="4"/>
  <c r="F2763" i="4"/>
  <c r="B2763" i="4"/>
  <c r="C2765" i="4"/>
  <c r="D2765" i="4"/>
  <c r="E2765" i="4"/>
  <c r="B2765" i="4"/>
  <c r="F2765" i="4"/>
  <c r="C2767" i="4"/>
  <c r="E2767" i="4"/>
  <c r="D2767" i="4"/>
  <c r="B2767" i="4"/>
  <c r="F2767" i="4"/>
  <c r="C2769" i="4"/>
  <c r="D2769" i="4"/>
  <c r="E2769" i="4"/>
  <c r="B2769" i="4"/>
  <c r="F2769" i="4"/>
  <c r="C2771" i="4"/>
  <c r="E2771" i="4"/>
  <c r="D2771" i="4"/>
  <c r="F2771" i="4"/>
  <c r="B2771" i="4"/>
  <c r="C2773" i="4"/>
  <c r="D2773" i="4"/>
  <c r="E2773" i="4"/>
  <c r="F2773" i="4"/>
  <c r="B2773" i="4"/>
  <c r="C2775" i="4"/>
  <c r="E2775" i="4"/>
  <c r="D2775" i="4"/>
  <c r="B2775" i="4"/>
  <c r="F2775" i="4"/>
  <c r="C2777" i="4"/>
  <c r="D2777" i="4"/>
  <c r="E2777" i="4"/>
  <c r="B2777" i="4"/>
  <c r="F2777" i="4"/>
  <c r="C2779" i="4"/>
  <c r="E2779" i="4"/>
  <c r="D2779" i="4"/>
  <c r="F2779" i="4"/>
  <c r="B2779" i="4"/>
  <c r="C2781" i="4"/>
  <c r="D2781" i="4"/>
  <c r="E2781" i="4"/>
  <c r="B2781" i="4"/>
  <c r="F2781" i="4"/>
  <c r="C2783" i="4"/>
  <c r="E2783" i="4"/>
  <c r="D2783" i="4"/>
  <c r="F2783" i="4"/>
  <c r="B2783" i="4"/>
  <c r="C2785" i="4"/>
  <c r="D2785" i="4"/>
  <c r="E2785" i="4"/>
  <c r="B2785" i="4"/>
  <c r="F2785" i="4"/>
  <c r="C2787" i="4"/>
  <c r="E2787" i="4"/>
  <c r="D2787" i="4"/>
  <c r="F2787" i="4"/>
  <c r="B2787" i="4"/>
  <c r="C2789" i="4"/>
  <c r="D2789" i="4"/>
  <c r="E2789" i="4"/>
  <c r="B2789" i="4"/>
  <c r="F2789" i="4"/>
  <c r="C2791" i="4"/>
  <c r="E2791" i="4"/>
  <c r="D2791" i="4"/>
  <c r="F2791" i="4"/>
  <c r="B2791" i="4"/>
  <c r="C2793" i="4"/>
  <c r="D2793" i="4"/>
  <c r="E2793" i="4"/>
  <c r="B2793" i="4"/>
  <c r="F2793" i="4"/>
  <c r="C2795" i="4"/>
  <c r="E2795" i="4"/>
  <c r="D2795" i="4"/>
  <c r="F2795" i="4"/>
  <c r="B2795" i="4"/>
  <c r="C2797" i="4"/>
  <c r="D2797" i="4"/>
  <c r="E2797" i="4"/>
  <c r="F2797" i="4"/>
  <c r="B2797" i="4"/>
  <c r="C2799" i="4"/>
  <c r="E2799" i="4"/>
  <c r="D2799" i="4"/>
  <c r="B2799" i="4"/>
  <c r="F2799" i="4"/>
  <c r="C2801" i="4"/>
  <c r="D2801" i="4"/>
  <c r="E2801" i="4"/>
  <c r="B2801" i="4"/>
  <c r="F2801" i="4"/>
  <c r="C2803" i="4"/>
  <c r="D2803" i="4"/>
  <c r="E2803" i="4"/>
  <c r="F2803" i="4"/>
  <c r="B2803" i="4"/>
  <c r="C2805" i="4"/>
  <c r="E2805" i="4"/>
  <c r="D2805" i="4"/>
  <c r="F2805" i="4"/>
  <c r="B2805" i="4"/>
  <c r="C2807" i="4"/>
  <c r="D2807" i="4"/>
  <c r="E2807" i="4"/>
  <c r="B2807" i="4"/>
  <c r="F2807" i="4"/>
  <c r="C2809" i="4"/>
  <c r="E2809" i="4"/>
  <c r="D2809" i="4"/>
  <c r="B2809" i="4"/>
  <c r="F2809" i="4"/>
  <c r="C2811" i="4"/>
  <c r="D2811" i="4"/>
  <c r="E2811" i="4"/>
  <c r="F2811" i="4"/>
  <c r="B2811" i="4"/>
  <c r="C2813" i="4"/>
  <c r="E2813" i="4"/>
  <c r="D2813" i="4"/>
  <c r="B2813" i="4"/>
  <c r="F2813" i="4"/>
  <c r="C2815" i="4"/>
  <c r="D2815" i="4"/>
  <c r="E2815" i="4"/>
  <c r="B2815" i="4"/>
  <c r="F2815" i="4"/>
  <c r="C2817" i="4"/>
  <c r="E2817" i="4"/>
  <c r="D2817" i="4"/>
  <c r="B2817" i="4"/>
  <c r="F2817" i="4"/>
  <c r="C2819" i="4"/>
  <c r="D2819" i="4"/>
  <c r="E2819" i="4"/>
  <c r="F2819" i="4"/>
  <c r="B2819" i="4"/>
  <c r="C2821" i="4"/>
  <c r="E2821" i="4"/>
  <c r="D2821" i="4"/>
  <c r="B2821" i="4"/>
  <c r="F2821" i="4"/>
  <c r="C2823" i="4"/>
  <c r="D2823" i="4"/>
  <c r="E2823" i="4"/>
  <c r="F2823" i="4"/>
  <c r="B2823" i="4"/>
  <c r="C2825" i="4"/>
  <c r="E2825" i="4"/>
  <c r="D2825" i="4"/>
  <c r="B2825" i="4"/>
  <c r="F2825" i="4"/>
  <c r="C2827" i="4"/>
  <c r="D2827" i="4"/>
  <c r="E2827" i="4"/>
  <c r="F2827" i="4"/>
  <c r="B2827" i="4"/>
  <c r="C2829" i="4"/>
  <c r="E2829" i="4"/>
  <c r="D2829" i="4"/>
  <c r="B2829" i="4"/>
  <c r="F2829" i="4"/>
  <c r="C2831" i="4"/>
  <c r="D2831" i="4"/>
  <c r="F2831" i="4"/>
  <c r="B2831" i="4"/>
  <c r="E2831" i="4"/>
  <c r="C2833" i="4"/>
  <c r="D2833" i="4"/>
  <c r="B2833" i="4"/>
  <c r="E2833" i="4"/>
  <c r="F2833" i="4"/>
  <c r="C2835" i="4"/>
  <c r="D2835" i="4"/>
  <c r="F2835" i="4"/>
  <c r="B2835" i="4"/>
  <c r="E2835" i="4"/>
  <c r="C2837" i="4"/>
  <c r="D2837" i="4"/>
  <c r="B2837" i="4"/>
  <c r="F2837" i="4"/>
  <c r="E2837" i="4"/>
  <c r="C2839" i="4"/>
  <c r="D2839" i="4"/>
  <c r="F2839" i="4"/>
  <c r="E2839" i="4"/>
  <c r="B2839" i="4"/>
  <c r="C2841" i="4"/>
  <c r="D2841" i="4"/>
  <c r="B2841" i="4"/>
  <c r="E2841" i="4"/>
  <c r="F2841" i="4"/>
  <c r="C2843" i="4"/>
  <c r="D2843" i="4"/>
  <c r="F2843" i="4"/>
  <c r="B2843" i="4"/>
  <c r="E2843" i="4"/>
  <c r="C2845" i="4"/>
  <c r="D2845" i="4"/>
  <c r="B2845" i="4"/>
  <c r="E2845" i="4"/>
  <c r="F2845" i="4"/>
  <c r="C2847" i="4"/>
  <c r="D2847" i="4"/>
  <c r="F2847" i="4"/>
  <c r="B2847" i="4"/>
  <c r="E2847" i="4"/>
  <c r="C2849" i="4"/>
  <c r="D2849" i="4"/>
  <c r="B2849" i="4"/>
  <c r="E2849" i="4"/>
  <c r="F2849" i="4"/>
  <c r="C2851" i="4"/>
  <c r="D2851" i="4"/>
  <c r="F2851" i="4"/>
  <c r="B2851" i="4"/>
  <c r="E2851" i="4"/>
  <c r="C2853" i="4"/>
  <c r="D2853" i="4"/>
  <c r="B2853" i="4"/>
  <c r="F2853" i="4"/>
  <c r="E2853" i="4"/>
  <c r="C2855" i="4"/>
  <c r="D2855" i="4"/>
  <c r="F2855" i="4"/>
  <c r="E2855" i="4"/>
  <c r="B2855" i="4"/>
  <c r="C2857" i="4"/>
  <c r="D2857" i="4"/>
  <c r="B2857" i="4"/>
  <c r="E2857" i="4"/>
  <c r="F2857" i="4"/>
  <c r="C2859" i="4"/>
  <c r="D2859" i="4"/>
  <c r="F2859" i="4"/>
  <c r="B2859" i="4"/>
  <c r="E2859" i="4"/>
  <c r="C2861" i="4"/>
  <c r="D2861" i="4"/>
  <c r="B2861" i="4"/>
  <c r="E2861" i="4"/>
  <c r="F2861" i="4"/>
  <c r="C2863" i="4"/>
  <c r="D2863" i="4"/>
  <c r="F2863" i="4"/>
  <c r="B2863" i="4"/>
  <c r="E2863" i="4"/>
  <c r="C2865" i="4"/>
  <c r="D2865" i="4"/>
  <c r="B2865" i="4"/>
  <c r="E2865" i="4"/>
  <c r="F2865" i="4"/>
  <c r="C2867" i="4"/>
  <c r="D2867" i="4"/>
  <c r="F2867" i="4"/>
  <c r="B2867" i="4"/>
  <c r="E2867" i="4"/>
  <c r="C2869" i="4"/>
  <c r="D2869" i="4"/>
  <c r="B2869" i="4"/>
  <c r="F2869" i="4"/>
  <c r="E2869" i="4"/>
  <c r="C2871" i="4"/>
  <c r="D2871" i="4"/>
  <c r="F2871" i="4"/>
  <c r="E2871" i="4"/>
  <c r="B2871" i="4"/>
  <c r="C2873" i="4"/>
  <c r="D2873" i="4"/>
  <c r="B2873" i="4"/>
  <c r="E2873" i="4"/>
  <c r="F2873" i="4"/>
  <c r="C2875" i="4"/>
  <c r="D2875" i="4"/>
  <c r="F2875" i="4"/>
  <c r="B2875" i="4"/>
  <c r="E2875" i="4"/>
  <c r="C2877" i="4"/>
  <c r="D2877" i="4"/>
  <c r="B2877" i="4"/>
  <c r="E2877" i="4"/>
  <c r="F2877" i="4"/>
  <c r="C2879" i="4"/>
  <c r="D2879" i="4"/>
  <c r="F2879" i="4"/>
  <c r="B2879" i="4"/>
  <c r="E2879" i="4"/>
  <c r="C2881" i="4"/>
  <c r="D2881" i="4"/>
  <c r="B2881" i="4"/>
  <c r="E2881" i="4"/>
  <c r="F2881" i="4"/>
  <c r="C2883" i="4"/>
  <c r="D2883" i="4"/>
  <c r="F2883" i="4"/>
  <c r="B2883" i="4"/>
  <c r="E2883" i="4"/>
  <c r="C2885" i="4"/>
  <c r="D2885" i="4"/>
  <c r="B2885" i="4"/>
  <c r="F2885" i="4"/>
  <c r="E2885" i="4"/>
  <c r="C2887" i="4"/>
  <c r="D2887" i="4"/>
  <c r="F2887" i="4"/>
  <c r="E2887" i="4"/>
  <c r="B2887" i="4"/>
  <c r="C2889" i="4"/>
  <c r="D2889" i="4"/>
  <c r="B2889" i="4"/>
  <c r="E2889" i="4"/>
  <c r="F2889" i="4"/>
  <c r="C2891" i="4"/>
  <c r="D2891" i="4"/>
  <c r="F2891" i="4"/>
  <c r="B2891" i="4"/>
  <c r="E2891" i="4"/>
  <c r="C2893" i="4"/>
  <c r="D2893" i="4"/>
  <c r="B2893" i="4"/>
  <c r="E2893" i="4"/>
  <c r="F2893" i="4"/>
  <c r="C2895" i="4"/>
  <c r="D2895" i="4"/>
  <c r="F2895" i="4"/>
  <c r="B2895" i="4"/>
  <c r="E2895" i="4"/>
  <c r="C2897" i="4"/>
  <c r="D2897" i="4"/>
  <c r="B2897" i="4"/>
  <c r="E2897" i="4"/>
  <c r="F2897" i="4"/>
  <c r="C2899" i="4"/>
  <c r="D2899" i="4"/>
  <c r="F2899" i="4"/>
  <c r="B2899" i="4"/>
  <c r="E2899" i="4"/>
  <c r="C2901" i="4"/>
  <c r="D2901" i="4"/>
  <c r="B2901" i="4"/>
  <c r="F2901" i="4"/>
  <c r="E2901" i="4"/>
  <c r="C2903" i="4"/>
  <c r="D2903" i="4"/>
  <c r="F2903" i="4"/>
  <c r="E2903" i="4"/>
  <c r="B2903" i="4"/>
  <c r="C2905" i="4"/>
  <c r="D2905" i="4"/>
  <c r="B2905" i="4"/>
  <c r="E2905" i="4"/>
  <c r="F2905" i="4"/>
  <c r="C2907" i="4"/>
  <c r="D2907" i="4"/>
  <c r="F2907" i="4"/>
  <c r="B2907" i="4"/>
  <c r="E2907" i="4"/>
  <c r="C2909" i="4"/>
  <c r="D2909" i="4"/>
  <c r="B2909" i="4"/>
  <c r="E2909" i="4"/>
  <c r="F2909" i="4"/>
  <c r="C2911" i="4"/>
  <c r="D2911" i="4"/>
  <c r="F2911" i="4"/>
  <c r="B2911" i="4"/>
  <c r="E2911" i="4"/>
  <c r="C2913" i="4"/>
  <c r="D2913" i="4"/>
  <c r="B2913" i="4"/>
  <c r="E2913" i="4"/>
  <c r="F2913" i="4"/>
  <c r="C2915" i="4"/>
  <c r="D2915" i="4"/>
  <c r="F2915" i="4"/>
  <c r="B2915" i="4"/>
  <c r="E2915" i="4"/>
  <c r="C2917" i="4"/>
  <c r="D2917" i="4"/>
  <c r="B2917" i="4"/>
  <c r="F2917" i="4"/>
  <c r="E2917" i="4"/>
  <c r="C2919" i="4"/>
  <c r="D2919" i="4"/>
  <c r="F2919" i="4"/>
  <c r="E2919" i="4"/>
  <c r="B2919" i="4"/>
  <c r="C2921" i="4"/>
  <c r="D2921" i="4"/>
  <c r="B2921" i="4"/>
  <c r="E2921" i="4"/>
  <c r="F2921" i="4"/>
  <c r="C2923" i="4"/>
  <c r="D2923" i="4"/>
  <c r="F2923" i="4"/>
  <c r="B2923" i="4"/>
  <c r="E2923" i="4"/>
  <c r="C2925" i="4"/>
  <c r="D2925" i="4"/>
  <c r="B2925" i="4"/>
  <c r="E2925" i="4"/>
  <c r="F2925" i="4"/>
  <c r="C2927" i="4"/>
  <c r="D2927" i="4"/>
  <c r="F2927" i="4"/>
  <c r="B2927" i="4"/>
  <c r="E2927" i="4"/>
  <c r="C2929" i="4"/>
  <c r="D2929" i="4"/>
  <c r="B2929" i="4"/>
  <c r="E2929" i="4"/>
  <c r="F2929" i="4"/>
  <c r="C2931" i="4"/>
  <c r="D2931" i="4"/>
  <c r="F2931" i="4"/>
  <c r="B2931" i="4"/>
  <c r="E2931" i="4"/>
  <c r="C2933" i="4"/>
  <c r="D2933" i="4"/>
  <c r="B2933" i="4"/>
  <c r="F2933" i="4"/>
  <c r="E2933" i="4"/>
  <c r="C2935" i="4"/>
  <c r="D2935" i="4"/>
  <c r="F2935" i="4"/>
  <c r="E2935" i="4"/>
  <c r="B2935" i="4"/>
  <c r="C2937" i="4"/>
  <c r="D2937" i="4"/>
  <c r="B2937" i="4"/>
  <c r="E2937" i="4"/>
  <c r="F2937" i="4"/>
  <c r="C2939" i="4"/>
  <c r="D2939" i="4"/>
  <c r="F2939" i="4"/>
  <c r="B2939" i="4"/>
  <c r="E2939" i="4"/>
  <c r="C2941" i="4"/>
  <c r="D2941" i="4"/>
  <c r="B2941" i="4"/>
  <c r="E2941" i="4"/>
  <c r="F2941" i="4"/>
  <c r="C2943" i="4"/>
  <c r="D2943" i="4"/>
  <c r="F2943" i="4"/>
  <c r="B2943" i="4"/>
  <c r="E2943" i="4"/>
  <c r="C2945" i="4"/>
  <c r="D2945" i="4"/>
  <c r="B2945" i="4"/>
  <c r="E2945" i="4"/>
  <c r="F2945" i="4"/>
  <c r="C2947" i="4"/>
  <c r="D2947" i="4"/>
  <c r="F2947" i="4"/>
  <c r="B2947" i="4"/>
  <c r="E2947" i="4"/>
  <c r="C2949" i="4"/>
  <c r="D2949" i="4"/>
  <c r="B2949" i="4"/>
  <c r="F2949" i="4"/>
  <c r="E2949" i="4"/>
  <c r="C2951" i="4"/>
  <c r="D2951" i="4"/>
  <c r="F2951" i="4"/>
  <c r="E2951" i="4"/>
  <c r="B2951" i="4"/>
  <c r="C2953" i="4"/>
  <c r="D2953" i="4"/>
  <c r="B2953" i="4"/>
  <c r="E2953" i="4"/>
  <c r="F2953" i="4"/>
  <c r="C2955" i="4"/>
  <c r="D2955" i="4"/>
  <c r="F2955" i="4"/>
  <c r="B2955" i="4"/>
  <c r="E2955" i="4"/>
  <c r="C2957" i="4"/>
  <c r="D2957" i="4"/>
  <c r="B2957" i="4"/>
  <c r="E2957" i="4"/>
  <c r="F2957" i="4"/>
  <c r="C2959" i="4"/>
  <c r="D2959" i="4"/>
  <c r="F2959" i="4"/>
  <c r="B2959" i="4"/>
  <c r="E2959" i="4"/>
  <c r="E2962" i="4"/>
  <c r="B2962" i="4"/>
  <c r="F2962" i="4"/>
  <c r="C2962" i="4"/>
  <c r="D2962" i="4"/>
  <c r="E2966" i="4"/>
  <c r="B2966" i="4"/>
  <c r="F2966" i="4"/>
  <c r="C2966" i="4"/>
  <c r="D2966" i="4"/>
  <c r="B32" i="4"/>
  <c r="F32" i="4"/>
  <c r="D32" i="4"/>
  <c r="E32" i="4"/>
  <c r="C32" i="4"/>
  <c r="B40" i="4"/>
  <c r="F40" i="4"/>
  <c r="D40" i="4"/>
  <c r="C40" i="4"/>
  <c r="E40" i="4"/>
  <c r="B44" i="4"/>
  <c r="F44" i="4"/>
  <c r="D44" i="4"/>
  <c r="E44" i="4"/>
  <c r="C44" i="4"/>
  <c r="B48" i="4"/>
  <c r="F48" i="4"/>
  <c r="D48" i="4"/>
  <c r="C48" i="4"/>
  <c r="E48" i="4"/>
  <c r="B52" i="4"/>
  <c r="F52" i="4"/>
  <c r="E52" i="4"/>
  <c r="C52" i="4"/>
  <c r="D52" i="4"/>
  <c r="B56" i="4"/>
  <c r="F56" i="4"/>
  <c r="D56" i="4"/>
  <c r="C56" i="4"/>
  <c r="E56" i="4"/>
  <c r="C60" i="4"/>
  <c r="D60" i="4"/>
  <c r="B60" i="4"/>
  <c r="F60" i="4"/>
  <c r="E60" i="4"/>
  <c r="C64" i="4"/>
  <c r="F64" i="4"/>
  <c r="B64" i="4"/>
  <c r="D64" i="4"/>
  <c r="E64" i="4"/>
  <c r="C76" i="4"/>
  <c r="D76" i="4"/>
  <c r="F76" i="4"/>
  <c r="E76" i="4"/>
  <c r="B76" i="4"/>
  <c r="C84" i="4"/>
  <c r="D84" i="4"/>
  <c r="E84" i="4"/>
  <c r="F84" i="4"/>
  <c r="B84" i="4"/>
  <c r="C88" i="4"/>
  <c r="F88" i="4"/>
  <c r="E88" i="4"/>
  <c r="B88" i="4"/>
  <c r="D88" i="4"/>
  <c r="E97" i="4"/>
  <c r="F97" i="4"/>
  <c r="B97" i="4"/>
  <c r="C97" i="4"/>
  <c r="D97" i="4"/>
  <c r="E101" i="4"/>
  <c r="C101" i="4"/>
  <c r="F101" i="4"/>
  <c r="B101" i="4"/>
  <c r="D101" i="4"/>
  <c r="E117" i="4"/>
  <c r="C117" i="4"/>
  <c r="B117" i="4"/>
  <c r="F117" i="4"/>
  <c r="D117" i="4"/>
  <c r="E121" i="4"/>
  <c r="F121" i="4"/>
  <c r="B121" i="4"/>
  <c r="C121" i="4"/>
  <c r="D121" i="4"/>
  <c r="E129" i="4"/>
  <c r="F129" i="4"/>
  <c r="B129" i="4"/>
  <c r="C129" i="4"/>
  <c r="D129" i="4"/>
  <c r="C133" i="4"/>
  <c r="E133" i="4"/>
  <c r="D133" i="4"/>
  <c r="F133" i="4"/>
  <c r="B133" i="4"/>
  <c r="C137" i="4"/>
  <c r="B137" i="4"/>
  <c r="D137" i="4"/>
  <c r="E137" i="4"/>
  <c r="F137" i="4"/>
  <c r="C143" i="4"/>
  <c r="D143" i="4"/>
  <c r="B143" i="4"/>
  <c r="E143" i="4"/>
  <c r="F143" i="4"/>
  <c r="C147" i="4"/>
  <c r="F147" i="4"/>
  <c r="E147" i="4"/>
  <c r="B147" i="4"/>
  <c r="D147" i="4"/>
  <c r="C159" i="4"/>
  <c r="D159" i="4"/>
  <c r="E159" i="4"/>
  <c r="F159" i="4"/>
  <c r="B159" i="4"/>
  <c r="C163" i="4"/>
  <c r="F163" i="4"/>
  <c r="B163" i="4"/>
  <c r="E163" i="4"/>
  <c r="D163" i="4"/>
  <c r="E176" i="4"/>
  <c r="C176" i="4"/>
  <c r="B176" i="4"/>
  <c r="D176" i="4"/>
  <c r="F176" i="4"/>
  <c r="E180" i="4"/>
  <c r="F180" i="4"/>
  <c r="D180" i="4"/>
  <c r="B180" i="4"/>
  <c r="C180" i="4"/>
  <c r="E184" i="4"/>
  <c r="C184" i="4"/>
  <c r="D184" i="4"/>
  <c r="B184" i="4"/>
  <c r="F184" i="4"/>
  <c r="E188" i="4"/>
  <c r="F188" i="4"/>
  <c r="B188" i="4"/>
  <c r="C188" i="4"/>
  <c r="D188" i="4"/>
  <c r="E192" i="4"/>
  <c r="C192" i="4"/>
  <c r="F192" i="4"/>
  <c r="B192" i="4"/>
  <c r="D192" i="4"/>
  <c r="E196" i="4"/>
  <c r="F196" i="4"/>
  <c r="C196" i="4"/>
  <c r="B196" i="4"/>
  <c r="D196" i="4"/>
  <c r="E200" i="4"/>
  <c r="C200" i="4"/>
  <c r="B200" i="4"/>
  <c r="D200" i="4"/>
  <c r="F200" i="4"/>
  <c r="C217" i="4"/>
  <c r="B217" i="4"/>
  <c r="E217" i="4"/>
  <c r="D217" i="4"/>
  <c r="F217" i="4"/>
  <c r="C221" i="4"/>
  <c r="E221" i="4"/>
  <c r="B221" i="4"/>
  <c r="D221" i="4"/>
  <c r="F221" i="4"/>
  <c r="E230" i="4"/>
  <c r="D230" i="4"/>
  <c r="F230" i="4"/>
  <c r="B230" i="4"/>
  <c r="C230" i="4"/>
  <c r="E234" i="4"/>
  <c r="B234" i="4"/>
  <c r="C234" i="4"/>
  <c r="F234" i="4"/>
  <c r="D234" i="4"/>
  <c r="E238" i="4"/>
  <c r="D238" i="4"/>
  <c r="B238" i="4"/>
  <c r="C238" i="4"/>
  <c r="F238" i="4"/>
  <c r="E250" i="4"/>
  <c r="B250" i="4"/>
  <c r="F250" i="4"/>
  <c r="D250" i="4"/>
  <c r="C250" i="4"/>
  <c r="E258" i="4"/>
  <c r="B258" i="4"/>
  <c r="D258" i="4"/>
  <c r="F258" i="4"/>
  <c r="C258" i="4"/>
  <c r="E266" i="4"/>
  <c r="B266" i="4"/>
  <c r="C266" i="4"/>
  <c r="D266" i="4"/>
  <c r="F266" i="4"/>
  <c r="B274" i="4"/>
  <c r="F274" i="4"/>
  <c r="D274" i="4"/>
  <c r="C274" i="4"/>
  <c r="E274" i="4"/>
  <c r="B278" i="4"/>
  <c r="F278" i="4"/>
  <c r="D278" i="4"/>
  <c r="E278" i="4"/>
  <c r="C278" i="4"/>
  <c r="B286" i="4"/>
  <c r="F286" i="4"/>
  <c r="C286" i="4"/>
  <c r="D286" i="4"/>
  <c r="E286" i="4"/>
  <c r="B302" i="4"/>
  <c r="F302" i="4"/>
  <c r="E302" i="4"/>
  <c r="C302" i="4"/>
  <c r="D302" i="4"/>
  <c r="D311" i="4"/>
  <c r="F311" i="4"/>
  <c r="B311" i="4"/>
  <c r="E311" i="4"/>
  <c r="C311" i="4"/>
  <c r="D319" i="4"/>
  <c r="F319" i="4"/>
  <c r="C319" i="4"/>
  <c r="E319" i="4"/>
  <c r="B319" i="4"/>
  <c r="D323" i="4"/>
  <c r="C323" i="4"/>
  <c r="B323" i="4"/>
  <c r="E323" i="4"/>
  <c r="F323" i="4"/>
  <c r="B332" i="4"/>
  <c r="F332" i="4"/>
  <c r="C332" i="4"/>
  <c r="D332" i="4"/>
  <c r="E332" i="4"/>
  <c r="B336" i="4"/>
  <c r="F336" i="4"/>
  <c r="E336" i="4"/>
  <c r="C336" i="4"/>
  <c r="D336" i="4"/>
  <c r="B346" i="4"/>
  <c r="F346" i="4"/>
  <c r="D346" i="4"/>
  <c r="E346" i="4"/>
  <c r="C346" i="4"/>
  <c r="B354" i="4"/>
  <c r="F354" i="4"/>
  <c r="D354" i="4"/>
  <c r="C354" i="4"/>
  <c r="E354" i="4"/>
  <c r="B358" i="4"/>
  <c r="F358" i="4"/>
  <c r="D358" i="4"/>
  <c r="C358" i="4"/>
  <c r="E358" i="4"/>
  <c r="B362" i="4"/>
  <c r="F362" i="4"/>
  <c r="D362" i="4"/>
  <c r="C362" i="4"/>
  <c r="E362" i="4"/>
  <c r="B366" i="4"/>
  <c r="F366" i="4"/>
  <c r="E366" i="4"/>
  <c r="C366" i="4"/>
  <c r="D366" i="4"/>
  <c r="B370" i="4"/>
  <c r="F370" i="4"/>
  <c r="D370" i="4"/>
  <c r="C370" i="4"/>
  <c r="E370" i="4"/>
  <c r="B378" i="4"/>
  <c r="F378" i="4"/>
  <c r="D378" i="4"/>
  <c r="E378" i="4"/>
  <c r="C378" i="4"/>
  <c r="B386" i="4"/>
  <c r="F386" i="4"/>
  <c r="D386" i="4"/>
  <c r="C386" i="4"/>
  <c r="E386" i="4"/>
  <c r="B390" i="4"/>
  <c r="F390" i="4"/>
  <c r="D390" i="4"/>
  <c r="E390" i="4"/>
  <c r="C390" i="4"/>
  <c r="B398" i="4"/>
  <c r="F398" i="4"/>
  <c r="E398" i="4"/>
  <c r="D398" i="4"/>
  <c r="C398" i="4"/>
  <c r="B402" i="4"/>
  <c r="F402" i="4"/>
  <c r="D402" i="4"/>
  <c r="C402" i="4"/>
  <c r="E402" i="4"/>
  <c r="B406" i="4"/>
  <c r="F406" i="4"/>
  <c r="D406" i="4"/>
  <c r="C406" i="4"/>
  <c r="E406" i="4"/>
  <c r="B410" i="4"/>
  <c r="F410" i="4"/>
  <c r="D410" i="4"/>
  <c r="E410" i="4"/>
  <c r="C410" i="4"/>
  <c r="B414" i="4"/>
  <c r="F414" i="4"/>
  <c r="C414" i="4"/>
  <c r="D414" i="4"/>
  <c r="E414" i="4"/>
  <c r="B418" i="4"/>
  <c r="F418" i="4"/>
  <c r="D418" i="4"/>
  <c r="C418" i="4"/>
  <c r="E418" i="4"/>
  <c r="B422" i="4"/>
  <c r="F422" i="4"/>
  <c r="D422" i="4"/>
  <c r="C422" i="4"/>
  <c r="E422" i="4"/>
  <c r="D427" i="4"/>
  <c r="C427" i="4"/>
  <c r="B427" i="4"/>
  <c r="E427" i="4"/>
  <c r="F427" i="4"/>
  <c r="D431" i="4"/>
  <c r="F431" i="4"/>
  <c r="E431" i="4"/>
  <c r="B431" i="4"/>
  <c r="C431" i="4"/>
  <c r="D435" i="4"/>
  <c r="C435" i="4"/>
  <c r="E435" i="4"/>
  <c r="B435" i="4"/>
  <c r="F435" i="4"/>
  <c r="D439" i="4"/>
  <c r="F439" i="4"/>
  <c r="B439" i="4"/>
  <c r="E439" i="4"/>
  <c r="C439" i="4"/>
  <c r="B444" i="4"/>
  <c r="F444" i="4"/>
  <c r="C444" i="4"/>
  <c r="D444" i="4"/>
  <c r="E444" i="4"/>
  <c r="B707" i="4"/>
  <c r="F707" i="4"/>
  <c r="C707" i="4"/>
  <c r="D707" i="4"/>
  <c r="E707" i="4"/>
  <c r="B751" i="4"/>
  <c r="F751" i="4"/>
  <c r="E751" i="4"/>
  <c r="C751" i="4"/>
  <c r="D751" i="4"/>
  <c r="D768" i="4"/>
  <c r="E768" i="4"/>
  <c r="F768" i="4"/>
  <c r="B768" i="4"/>
  <c r="C768" i="4"/>
  <c r="D772" i="4"/>
  <c r="B772" i="4"/>
  <c r="E772" i="4"/>
  <c r="C772" i="4"/>
  <c r="F772" i="4"/>
  <c r="B789" i="4"/>
  <c r="F789" i="4"/>
  <c r="C789" i="4"/>
  <c r="D789" i="4"/>
  <c r="E789" i="4"/>
  <c r="B797" i="4"/>
  <c r="F797" i="4"/>
  <c r="D797" i="4"/>
  <c r="C797" i="4"/>
  <c r="E797" i="4"/>
  <c r="B799" i="4"/>
  <c r="F799" i="4"/>
  <c r="E799" i="4"/>
  <c r="C799" i="4"/>
  <c r="D799" i="4"/>
  <c r="B805" i="4"/>
  <c r="F805" i="4"/>
  <c r="E805" i="4"/>
  <c r="C805" i="4"/>
  <c r="D805" i="4"/>
  <c r="E809" i="4"/>
  <c r="F809" i="4"/>
  <c r="C809" i="4"/>
  <c r="D809" i="4"/>
  <c r="B809" i="4"/>
  <c r="E817" i="4"/>
  <c r="F817" i="4"/>
  <c r="D817" i="4"/>
  <c r="B817" i="4"/>
  <c r="C817" i="4"/>
  <c r="E819" i="4"/>
  <c r="D819" i="4"/>
  <c r="B819" i="4"/>
  <c r="C819" i="4"/>
  <c r="F819" i="4"/>
  <c r="C826" i="4"/>
  <c r="E826" i="4"/>
  <c r="B826" i="4"/>
  <c r="D826" i="4"/>
  <c r="F826" i="4"/>
  <c r="C828" i="4"/>
  <c r="D828" i="4"/>
  <c r="B828" i="4"/>
  <c r="E828" i="4"/>
  <c r="F828" i="4"/>
  <c r="E833" i="4"/>
  <c r="F833" i="4"/>
  <c r="B833" i="4"/>
  <c r="C833" i="4"/>
  <c r="D833" i="4"/>
  <c r="C838" i="4"/>
  <c r="B838" i="4"/>
  <c r="F838" i="4"/>
  <c r="E838" i="4"/>
  <c r="D838" i="4"/>
  <c r="E843" i="4"/>
  <c r="D843" i="4"/>
  <c r="F843" i="4"/>
  <c r="C843" i="4"/>
  <c r="B843" i="4"/>
  <c r="E847" i="4"/>
  <c r="B847" i="4"/>
  <c r="C847" i="4"/>
  <c r="D847" i="4"/>
  <c r="F847" i="4"/>
  <c r="E851" i="4"/>
  <c r="D851" i="4"/>
  <c r="C851" i="4"/>
  <c r="F851" i="4"/>
  <c r="B851" i="4"/>
  <c r="E855" i="4"/>
  <c r="B855" i="4"/>
  <c r="D855" i="4"/>
  <c r="C855" i="4"/>
  <c r="F855" i="4"/>
  <c r="E863" i="4"/>
  <c r="B863" i="4"/>
  <c r="F863" i="4"/>
  <c r="C863" i="4"/>
  <c r="D863" i="4"/>
  <c r="E867" i="4"/>
  <c r="D867" i="4"/>
  <c r="C867" i="4"/>
  <c r="B867" i="4"/>
  <c r="F867" i="4"/>
  <c r="E869" i="4"/>
  <c r="C869" i="4"/>
  <c r="F869" i="4"/>
  <c r="B869" i="4"/>
  <c r="D869" i="4"/>
  <c r="E875" i="4"/>
  <c r="D875" i="4"/>
  <c r="F875" i="4"/>
  <c r="B875" i="4"/>
  <c r="C875" i="4"/>
  <c r="C880" i="4"/>
  <c r="F880" i="4"/>
  <c r="D880" i="4"/>
  <c r="B880" i="4"/>
  <c r="E880" i="4"/>
  <c r="E885" i="4"/>
  <c r="C885" i="4"/>
  <c r="B885" i="4"/>
  <c r="D885" i="4"/>
  <c r="F885" i="4"/>
  <c r="E889" i="4"/>
  <c r="F889" i="4"/>
  <c r="C889" i="4"/>
  <c r="D889" i="4"/>
  <c r="B889" i="4"/>
  <c r="E893" i="4"/>
  <c r="C893" i="4"/>
  <c r="D893" i="4"/>
  <c r="B893" i="4"/>
  <c r="F893" i="4"/>
  <c r="E899" i="4"/>
  <c r="D899" i="4"/>
  <c r="C899" i="4"/>
  <c r="B899" i="4"/>
  <c r="F899" i="4"/>
  <c r="E907" i="4"/>
  <c r="D907" i="4"/>
  <c r="F907" i="4"/>
  <c r="B907" i="4"/>
  <c r="C907" i="4"/>
  <c r="E909" i="4"/>
  <c r="C909" i="4"/>
  <c r="F909" i="4"/>
  <c r="B909" i="4"/>
  <c r="D909" i="4"/>
  <c r="E913" i="4"/>
  <c r="F913" i="4"/>
  <c r="D913" i="4"/>
  <c r="B913" i="4"/>
  <c r="C913" i="4"/>
  <c r="C920" i="4"/>
  <c r="F920" i="4"/>
  <c r="E920" i="4"/>
  <c r="B920" i="4"/>
  <c r="D920" i="4"/>
  <c r="C922" i="4"/>
  <c r="E922" i="4"/>
  <c r="D922" i="4"/>
  <c r="F922" i="4"/>
  <c r="B922" i="4"/>
  <c r="E925" i="4"/>
  <c r="C925" i="4"/>
  <c r="D925" i="4"/>
  <c r="F925" i="4"/>
  <c r="B925" i="4"/>
  <c r="E927" i="4"/>
  <c r="B927" i="4"/>
  <c r="F927" i="4"/>
  <c r="C927" i="4"/>
  <c r="D927" i="4"/>
  <c r="C942" i="4"/>
  <c r="B942" i="4"/>
  <c r="F942" i="4"/>
  <c r="D942" i="4"/>
  <c r="E942" i="4"/>
  <c r="C944" i="4"/>
  <c r="F944" i="4"/>
  <c r="D944" i="4"/>
  <c r="E944" i="4"/>
  <c r="B944" i="4"/>
  <c r="C948" i="4"/>
  <c r="D948" i="4"/>
  <c r="B948" i="4"/>
  <c r="E948" i="4"/>
  <c r="F948" i="4"/>
  <c r="E955" i="4"/>
  <c r="D955" i="4"/>
  <c r="B955" i="4"/>
  <c r="F955" i="4"/>
  <c r="C955" i="4"/>
  <c r="E957" i="4"/>
  <c r="C957" i="4"/>
  <c r="D957" i="4"/>
  <c r="B957" i="4"/>
  <c r="F957" i="4"/>
  <c r="E963" i="4"/>
  <c r="D963" i="4"/>
  <c r="C963" i="4"/>
  <c r="F963" i="4"/>
  <c r="B963" i="4"/>
  <c r="E965" i="4"/>
  <c r="C965" i="4"/>
  <c r="F965" i="4"/>
  <c r="B965" i="4"/>
  <c r="D965" i="4"/>
  <c r="C970" i="4"/>
  <c r="E970" i="4"/>
  <c r="D970" i="4"/>
  <c r="B970" i="4"/>
  <c r="F970" i="4"/>
  <c r="C974" i="4"/>
  <c r="B974" i="4"/>
  <c r="E974" i="4"/>
  <c r="F974" i="4"/>
  <c r="D974" i="4"/>
  <c r="E981" i="4"/>
  <c r="C981" i="4"/>
  <c r="B981" i="4"/>
  <c r="D981" i="4"/>
  <c r="F981" i="4"/>
  <c r="C984" i="4"/>
  <c r="F984" i="4"/>
  <c r="E984" i="4"/>
  <c r="B984" i="4"/>
  <c r="D984" i="4"/>
  <c r="C990" i="4"/>
  <c r="B990" i="4"/>
  <c r="E990" i="4"/>
  <c r="D990" i="4"/>
  <c r="F990" i="4"/>
  <c r="C994" i="4"/>
  <c r="E994" i="4"/>
  <c r="B994" i="4"/>
  <c r="D994" i="4"/>
  <c r="F994" i="4"/>
  <c r="C996" i="4"/>
  <c r="D996" i="4"/>
  <c r="E996" i="4"/>
  <c r="F996" i="4"/>
  <c r="B996" i="4"/>
  <c r="C998" i="4"/>
  <c r="B998" i="4"/>
  <c r="F998" i="4"/>
  <c r="D998" i="4"/>
  <c r="E998" i="4"/>
  <c r="C1004" i="4"/>
  <c r="D1004" i="4"/>
  <c r="F1004" i="4"/>
  <c r="E1004" i="4"/>
  <c r="B1004" i="4"/>
  <c r="C1010" i="4"/>
  <c r="E1010" i="4"/>
  <c r="F1010" i="4"/>
  <c r="B1010" i="4"/>
  <c r="D1010" i="4"/>
  <c r="C1012" i="4"/>
  <c r="D1012" i="4"/>
  <c r="B1012" i="4"/>
  <c r="E1012" i="4"/>
  <c r="F1012" i="4"/>
  <c r="C1026" i="4"/>
  <c r="E1026" i="4"/>
  <c r="B1026" i="4"/>
  <c r="D1026" i="4"/>
  <c r="F1026" i="4"/>
  <c r="E1031" i="4"/>
  <c r="B1031" i="4"/>
  <c r="C1031" i="4"/>
  <c r="D1031" i="4"/>
  <c r="F1031" i="4"/>
  <c r="C1034" i="4"/>
  <c r="E1034" i="4"/>
  <c r="D1034" i="4"/>
  <c r="F1034" i="4"/>
  <c r="B1034" i="4"/>
  <c r="C1040" i="4"/>
  <c r="F1040" i="4"/>
  <c r="D1040" i="4"/>
  <c r="E1040" i="4"/>
  <c r="B1040" i="4"/>
  <c r="C1046" i="4"/>
  <c r="B1046" i="4"/>
  <c r="D1046" i="4"/>
  <c r="E1046" i="4"/>
  <c r="F1046" i="4"/>
  <c r="C1048" i="4"/>
  <c r="F1048" i="4"/>
  <c r="E1048" i="4"/>
  <c r="B1048" i="4"/>
  <c r="D1048" i="4"/>
  <c r="C1056" i="4"/>
  <c r="F1056" i="4"/>
  <c r="B1056" i="4"/>
  <c r="D1056" i="4"/>
  <c r="E1056" i="4"/>
  <c r="C1058" i="4"/>
  <c r="E1058" i="4"/>
  <c r="B1058" i="4"/>
  <c r="D1058" i="4"/>
  <c r="F1058" i="4"/>
  <c r="E1061" i="4"/>
  <c r="C1061" i="4"/>
  <c r="F1061" i="4"/>
  <c r="B1061" i="4"/>
  <c r="D1061" i="4"/>
  <c r="E1067" i="4"/>
  <c r="D1067" i="4"/>
  <c r="F1067" i="4"/>
  <c r="B1067" i="4"/>
  <c r="C1067" i="4"/>
  <c r="E1475" i="4"/>
  <c r="D1475" i="4"/>
  <c r="F1475" i="4"/>
  <c r="B1475" i="4"/>
  <c r="C1475" i="4"/>
  <c r="E1487" i="4"/>
  <c r="B1487" i="4"/>
  <c r="C1487" i="4"/>
  <c r="D1487" i="4"/>
  <c r="F1487" i="4"/>
  <c r="E1499" i="4"/>
  <c r="D1499" i="4"/>
  <c r="F1499" i="4"/>
  <c r="C1499" i="4"/>
  <c r="B1499" i="4"/>
  <c r="E1511" i="4"/>
  <c r="B1511" i="4"/>
  <c r="C1511" i="4"/>
  <c r="F1511" i="4"/>
  <c r="D1511" i="4"/>
  <c r="B1523" i="4"/>
  <c r="F1523" i="4"/>
  <c r="C1523" i="4"/>
  <c r="D1523" i="4"/>
  <c r="E1523" i="4"/>
  <c r="B1531" i="4"/>
  <c r="F1531" i="4"/>
  <c r="C1531" i="4"/>
  <c r="D1531" i="4"/>
  <c r="E1531" i="4"/>
  <c r="B1539" i="4"/>
  <c r="F1539" i="4"/>
  <c r="C1539" i="4"/>
  <c r="D1539" i="4"/>
  <c r="E1539" i="4"/>
  <c r="D1551" i="4"/>
  <c r="E1551" i="4"/>
  <c r="B1551" i="4"/>
  <c r="F1551" i="4"/>
  <c r="C1551" i="4"/>
  <c r="D1559" i="4"/>
  <c r="E1559" i="4"/>
  <c r="B1559" i="4"/>
  <c r="F1559" i="4"/>
  <c r="C1559" i="4"/>
  <c r="D1567" i="4"/>
  <c r="E1567" i="4"/>
  <c r="B1567" i="4"/>
  <c r="F1567" i="4"/>
  <c r="C1567" i="4"/>
  <c r="D1579" i="4"/>
  <c r="E1579" i="4"/>
  <c r="B1579" i="4"/>
  <c r="C1579" i="4"/>
  <c r="F1579" i="4"/>
  <c r="D1587" i="4"/>
  <c r="E1587" i="4"/>
  <c r="B1587" i="4"/>
  <c r="C1587" i="4"/>
  <c r="F1587" i="4"/>
  <c r="D1595" i="4"/>
  <c r="E1595" i="4"/>
  <c r="B1595" i="4"/>
  <c r="C1595" i="4"/>
  <c r="F1595" i="4"/>
  <c r="D1607" i="4"/>
  <c r="E1607" i="4"/>
  <c r="B1607" i="4"/>
  <c r="C1607" i="4"/>
  <c r="F1607" i="4"/>
  <c r="D1615" i="4"/>
  <c r="E1615" i="4"/>
  <c r="B1615" i="4"/>
  <c r="C1615" i="4"/>
  <c r="F1615" i="4"/>
  <c r="D1627" i="4"/>
  <c r="E1627" i="4"/>
  <c r="B1627" i="4"/>
  <c r="F1627" i="4"/>
  <c r="C1627" i="4"/>
  <c r="D1635" i="4"/>
  <c r="E1635" i="4"/>
  <c r="B1635" i="4"/>
  <c r="C1635" i="4"/>
  <c r="F1635" i="4"/>
  <c r="D1647" i="4"/>
  <c r="E1647" i="4"/>
  <c r="B1647" i="4"/>
  <c r="F1647" i="4"/>
  <c r="C1647" i="4"/>
  <c r="D1659" i="4"/>
  <c r="E1659" i="4"/>
  <c r="B1659" i="4"/>
  <c r="C1659" i="4"/>
  <c r="F1659" i="4"/>
  <c r="D1675" i="4"/>
  <c r="E1675" i="4"/>
  <c r="B1675" i="4"/>
  <c r="F1675" i="4"/>
  <c r="C1675" i="4"/>
  <c r="D1679" i="4"/>
  <c r="E1679" i="4"/>
  <c r="B1679" i="4"/>
  <c r="C1679" i="4"/>
  <c r="F1679" i="4"/>
  <c r="D1691" i="4"/>
  <c r="E1691" i="4"/>
  <c r="B1691" i="4"/>
  <c r="F1691" i="4"/>
  <c r="C1691" i="4"/>
  <c r="D1703" i="4"/>
  <c r="E1703" i="4"/>
  <c r="B1703" i="4"/>
  <c r="C1703" i="4"/>
  <c r="F1703" i="4"/>
  <c r="D1711" i="4"/>
  <c r="E1711" i="4"/>
  <c r="B1711" i="4"/>
  <c r="F1711" i="4"/>
  <c r="C1711" i="4"/>
  <c r="D1719" i="4"/>
  <c r="E1719" i="4"/>
  <c r="B1719" i="4"/>
  <c r="F1719" i="4"/>
  <c r="C1719" i="4"/>
  <c r="D1735" i="4"/>
  <c r="E1735" i="4"/>
  <c r="B1735" i="4"/>
  <c r="C1735" i="4"/>
  <c r="F1735" i="4"/>
  <c r="D1743" i="4"/>
  <c r="E1743" i="4"/>
  <c r="B1743" i="4"/>
  <c r="C1743" i="4"/>
  <c r="F1743" i="4"/>
  <c r="D1755" i="4"/>
  <c r="E1755" i="4"/>
  <c r="B1755" i="4"/>
  <c r="F1755" i="4"/>
  <c r="C1755" i="4"/>
  <c r="D1763" i="4"/>
  <c r="E1763" i="4"/>
  <c r="B1763" i="4"/>
  <c r="C1763" i="4"/>
  <c r="F1763" i="4"/>
  <c r="D1775" i="4"/>
  <c r="E1775" i="4"/>
  <c r="B1775" i="4"/>
  <c r="F1775" i="4"/>
  <c r="C1775" i="4"/>
  <c r="D1787" i="4"/>
  <c r="E1787" i="4"/>
  <c r="B1787" i="4"/>
  <c r="C1787" i="4"/>
  <c r="F1787" i="4"/>
  <c r="D1795" i="4"/>
  <c r="E1795" i="4"/>
  <c r="B1795" i="4"/>
  <c r="C1795" i="4"/>
  <c r="F1795" i="4"/>
  <c r="B1808" i="4"/>
  <c r="F1808" i="4"/>
  <c r="C1808" i="4"/>
  <c r="D1808" i="4"/>
  <c r="E1808" i="4"/>
  <c r="B1816" i="4"/>
  <c r="F1816" i="4"/>
  <c r="C1816" i="4"/>
  <c r="D1816" i="4"/>
  <c r="E1816" i="4"/>
  <c r="B1828" i="4"/>
  <c r="F1828" i="4"/>
  <c r="C1828" i="4"/>
  <c r="D1828" i="4"/>
  <c r="E1828" i="4"/>
  <c r="B1840" i="4"/>
  <c r="F1840" i="4"/>
  <c r="C1840" i="4"/>
  <c r="D1840" i="4"/>
  <c r="E1840" i="4"/>
  <c r="B1852" i="4"/>
  <c r="F1852" i="4"/>
  <c r="C1852" i="4"/>
  <c r="D1852" i="4"/>
  <c r="E1852" i="4"/>
  <c r="B1860" i="4"/>
  <c r="F1860" i="4"/>
  <c r="C1860" i="4"/>
  <c r="D1860" i="4"/>
  <c r="E1860" i="4"/>
  <c r="B1872" i="4"/>
  <c r="F1872" i="4"/>
  <c r="C1872" i="4"/>
  <c r="D1872" i="4"/>
  <c r="E1872" i="4"/>
  <c r="B1884" i="4"/>
  <c r="F1884" i="4"/>
  <c r="C1884" i="4"/>
  <c r="D1884" i="4"/>
  <c r="E1884" i="4"/>
  <c r="B1896" i="4"/>
  <c r="F1896" i="4"/>
  <c r="C1896" i="4"/>
  <c r="D1896" i="4"/>
  <c r="E1896" i="4"/>
  <c r="B1908" i="4"/>
  <c r="F1908" i="4"/>
  <c r="C1908" i="4"/>
  <c r="D1908" i="4"/>
  <c r="E1908" i="4"/>
  <c r="B1912" i="4"/>
  <c r="F1912" i="4"/>
  <c r="C1912" i="4"/>
  <c r="D1912" i="4"/>
  <c r="E1912" i="4"/>
  <c r="B1924" i="4"/>
  <c r="F1924" i="4"/>
  <c r="C1924" i="4"/>
  <c r="D1924" i="4"/>
  <c r="E1924" i="4"/>
  <c r="B1936" i="4"/>
  <c r="F1936" i="4"/>
  <c r="C1936" i="4"/>
  <c r="D1936" i="4"/>
  <c r="E1936" i="4"/>
  <c r="B1948" i="4"/>
  <c r="F1948" i="4"/>
  <c r="C1948" i="4"/>
  <c r="D1948" i="4"/>
  <c r="E1948" i="4"/>
  <c r="B1960" i="4"/>
  <c r="F1960" i="4"/>
  <c r="C1960" i="4"/>
  <c r="D1960" i="4"/>
  <c r="E1960" i="4"/>
  <c r="B1976" i="4"/>
  <c r="F1976" i="4"/>
  <c r="C1976" i="4"/>
  <c r="D1976" i="4"/>
  <c r="E1976" i="4"/>
  <c r="B1984" i="4"/>
  <c r="F1984" i="4"/>
  <c r="C1984" i="4"/>
  <c r="D1984" i="4"/>
  <c r="E1984" i="4"/>
  <c r="B1992" i="4"/>
  <c r="F1992" i="4"/>
  <c r="C1992" i="4"/>
  <c r="D1992" i="4"/>
  <c r="E1992" i="4"/>
  <c r="B2004" i="4"/>
  <c r="F2004" i="4"/>
  <c r="C2004" i="4"/>
  <c r="D2004" i="4"/>
  <c r="E2004" i="4"/>
  <c r="B2016" i="4"/>
  <c r="F2016" i="4"/>
  <c r="C2016" i="4"/>
  <c r="D2016" i="4"/>
  <c r="E2016" i="4"/>
  <c r="B2028" i="4"/>
  <c r="F2028" i="4"/>
  <c r="C2028" i="4"/>
  <c r="D2028" i="4"/>
  <c r="E2028" i="4"/>
  <c r="B2036" i="4"/>
  <c r="F2036" i="4"/>
  <c r="C2036" i="4"/>
  <c r="D2036" i="4"/>
  <c r="E2036" i="4"/>
  <c r="B2044" i="4"/>
  <c r="F2044" i="4"/>
  <c r="C2044" i="4"/>
  <c r="D2044" i="4"/>
  <c r="E2044" i="4"/>
  <c r="B2056" i="4"/>
  <c r="F2056" i="4"/>
  <c r="C2056" i="4"/>
  <c r="D2056" i="4"/>
  <c r="E2056" i="4"/>
  <c r="B2064" i="4"/>
  <c r="F2064" i="4"/>
  <c r="C2064" i="4"/>
  <c r="D2064" i="4"/>
  <c r="E2064" i="4"/>
  <c r="B2076" i="4"/>
  <c r="F2076" i="4"/>
  <c r="C2076" i="4"/>
  <c r="D2076" i="4"/>
  <c r="E2076" i="4"/>
  <c r="B2084" i="4"/>
  <c r="F2084" i="4"/>
  <c r="C2084" i="4"/>
  <c r="D2084" i="4"/>
  <c r="E2084" i="4"/>
  <c r="B2096" i="4"/>
  <c r="F2096" i="4"/>
  <c r="C2096" i="4"/>
  <c r="D2096" i="4"/>
  <c r="E2096" i="4"/>
  <c r="B2104" i="4"/>
  <c r="F2104" i="4"/>
  <c r="C2104" i="4"/>
  <c r="D2104" i="4"/>
  <c r="E2104" i="4"/>
  <c r="B2116" i="4"/>
  <c r="F2116" i="4"/>
  <c r="C2116" i="4"/>
  <c r="D2116" i="4"/>
  <c r="E2116" i="4"/>
  <c r="B2128" i="4"/>
  <c r="F2128" i="4"/>
  <c r="C2128" i="4"/>
  <c r="D2128" i="4"/>
  <c r="E2128" i="4"/>
  <c r="B2136" i="4"/>
  <c r="F2136" i="4"/>
  <c r="C2136" i="4"/>
  <c r="D2136" i="4"/>
  <c r="E2136" i="4"/>
  <c r="B2148" i="4"/>
  <c r="F2148" i="4"/>
  <c r="C2148" i="4"/>
  <c r="D2148" i="4"/>
  <c r="E2148" i="4"/>
  <c r="B2160" i="4"/>
  <c r="F2160" i="4"/>
  <c r="C2160" i="4"/>
  <c r="D2160" i="4"/>
  <c r="E2160" i="4"/>
  <c r="B2172" i="4"/>
  <c r="F2172" i="4"/>
  <c r="C2172" i="4"/>
  <c r="D2172" i="4"/>
  <c r="E2172" i="4"/>
  <c r="B2180" i="4"/>
  <c r="F2180" i="4"/>
  <c r="C2180" i="4"/>
  <c r="D2180" i="4"/>
  <c r="E2180" i="4"/>
  <c r="B2192" i="4"/>
  <c r="F2192" i="4"/>
  <c r="C2192" i="4"/>
  <c r="D2192" i="4"/>
  <c r="E2192" i="4"/>
  <c r="C2211" i="4"/>
  <c r="D2211" i="4"/>
  <c r="E2211" i="4"/>
  <c r="B2211" i="4"/>
  <c r="F2211" i="4"/>
  <c r="C2217" i="4"/>
  <c r="D2217" i="4"/>
  <c r="E2217" i="4"/>
  <c r="B2217" i="4"/>
  <c r="F2217" i="4"/>
  <c r="C2221" i="4"/>
  <c r="D2221" i="4"/>
  <c r="E2221" i="4"/>
  <c r="B2221" i="4"/>
  <c r="F2221" i="4"/>
  <c r="C2225" i="4"/>
  <c r="D2225" i="4"/>
  <c r="E2225" i="4"/>
  <c r="F2225" i="4"/>
  <c r="B2225" i="4"/>
  <c r="C2231" i="4"/>
  <c r="E2231" i="4"/>
  <c r="D2231" i="4"/>
  <c r="F2231" i="4"/>
  <c r="B2231" i="4"/>
  <c r="C2237" i="4"/>
  <c r="D2237" i="4"/>
  <c r="E2237" i="4"/>
  <c r="B2237" i="4"/>
  <c r="F2237" i="4"/>
  <c r="C2241" i="4"/>
  <c r="D2241" i="4"/>
  <c r="E2241" i="4"/>
  <c r="F2241" i="4"/>
  <c r="B2241" i="4"/>
  <c r="C2245" i="4"/>
  <c r="D2245" i="4"/>
  <c r="E2245" i="4"/>
  <c r="B2245" i="4"/>
  <c r="F2245" i="4"/>
  <c r="C2251" i="4"/>
  <c r="E2251" i="4"/>
  <c r="D2251" i="4"/>
  <c r="B2251" i="4"/>
  <c r="F2251" i="4"/>
  <c r="C2257" i="4"/>
  <c r="E2257" i="4"/>
  <c r="D2257" i="4"/>
  <c r="F2257" i="4"/>
  <c r="B2257" i="4"/>
  <c r="C2261" i="4"/>
  <c r="E2261" i="4"/>
  <c r="D2261" i="4"/>
  <c r="B2261" i="4"/>
  <c r="F2261" i="4"/>
  <c r="C2267" i="4"/>
  <c r="D2267" i="4"/>
  <c r="E2267" i="4"/>
  <c r="B2267" i="4"/>
  <c r="F2267" i="4"/>
  <c r="C2273" i="4"/>
  <c r="D2273" i="4"/>
  <c r="E2273" i="4"/>
  <c r="F2273" i="4"/>
  <c r="B2273" i="4"/>
  <c r="C2275" i="4"/>
  <c r="D2275" i="4"/>
  <c r="E2275" i="4"/>
  <c r="B2275" i="4"/>
  <c r="F2275" i="4"/>
  <c r="C2281" i="4"/>
  <c r="E2281" i="4"/>
  <c r="D2281" i="4"/>
  <c r="F2281" i="4"/>
  <c r="B2281" i="4"/>
  <c r="C2287" i="4"/>
  <c r="D2287" i="4"/>
  <c r="E2287" i="4"/>
  <c r="F2287" i="4"/>
  <c r="B2287" i="4"/>
  <c r="C2291" i="4"/>
  <c r="E2291" i="4"/>
  <c r="D2291" i="4"/>
  <c r="B2291" i="4"/>
  <c r="F2291" i="4"/>
  <c r="C2295" i="4"/>
  <c r="E2295" i="4"/>
  <c r="D2295" i="4"/>
  <c r="F2295" i="4"/>
  <c r="B2295" i="4"/>
  <c r="C2301" i="4"/>
  <c r="D2301" i="4"/>
  <c r="E2301" i="4"/>
  <c r="B2301" i="4"/>
  <c r="F2301" i="4"/>
  <c r="C2307" i="4"/>
  <c r="E2307" i="4"/>
  <c r="D2307" i="4"/>
  <c r="B2307" i="4"/>
  <c r="F2307" i="4"/>
  <c r="C2313" i="4"/>
  <c r="D2313" i="4"/>
  <c r="E2313" i="4"/>
  <c r="F2313" i="4"/>
  <c r="B2313" i="4"/>
  <c r="C2317" i="4"/>
  <c r="D2317" i="4"/>
  <c r="E2317" i="4"/>
  <c r="B2317" i="4"/>
  <c r="F2317" i="4"/>
  <c r="C2321" i="4"/>
  <c r="D2321" i="4"/>
  <c r="E2321" i="4"/>
  <c r="F2321" i="4"/>
  <c r="B2321" i="4"/>
  <c r="C2327" i="4"/>
  <c r="D2327" i="4"/>
  <c r="E2327" i="4"/>
  <c r="B2327" i="4"/>
  <c r="F2327" i="4"/>
  <c r="C2331" i="4"/>
  <c r="D2331" i="4"/>
  <c r="E2331" i="4"/>
  <c r="F2331" i="4"/>
  <c r="B2331" i="4"/>
  <c r="C2335" i="4"/>
  <c r="D2335" i="4"/>
  <c r="E2335" i="4"/>
  <c r="B2335" i="4"/>
  <c r="F2335" i="4"/>
  <c r="C2337" i="4"/>
  <c r="D2337" i="4"/>
  <c r="E2337" i="4"/>
  <c r="F2337" i="4"/>
  <c r="B2337" i="4"/>
  <c r="C2343" i="4"/>
  <c r="D2343" i="4"/>
  <c r="E2343" i="4"/>
  <c r="B2343" i="4"/>
  <c r="F2343" i="4"/>
  <c r="C2349" i="4"/>
  <c r="D2349" i="4"/>
  <c r="E2349" i="4"/>
  <c r="B2349" i="4"/>
  <c r="F2349" i="4"/>
  <c r="C2355" i="4"/>
  <c r="D2355" i="4"/>
  <c r="E2355" i="4"/>
  <c r="F2355" i="4"/>
  <c r="B2355" i="4"/>
  <c r="C2361" i="4"/>
  <c r="D2361" i="4"/>
  <c r="E2361" i="4"/>
  <c r="F2361" i="4"/>
  <c r="B2361" i="4"/>
  <c r="C2367" i="4"/>
  <c r="E2367" i="4"/>
  <c r="D2367" i="4"/>
  <c r="B2367" i="4"/>
  <c r="F2367" i="4"/>
  <c r="C2371" i="4"/>
  <c r="D2371" i="4"/>
  <c r="E2371" i="4"/>
  <c r="F2371" i="4"/>
  <c r="B2371" i="4"/>
  <c r="C2375" i="4"/>
  <c r="E2375" i="4"/>
  <c r="D2375" i="4"/>
  <c r="B2375" i="4"/>
  <c r="F2375" i="4"/>
  <c r="C2381" i="4"/>
  <c r="D2381" i="4"/>
  <c r="E2381" i="4"/>
  <c r="B2381" i="4"/>
  <c r="F2381" i="4"/>
  <c r="C2385" i="4"/>
  <c r="E2385" i="4"/>
  <c r="D2385" i="4"/>
  <c r="F2385" i="4"/>
  <c r="B2385" i="4"/>
  <c r="C2391" i="4"/>
  <c r="D2391" i="4"/>
  <c r="E2391" i="4"/>
  <c r="B2391" i="4"/>
  <c r="F2391" i="4"/>
  <c r="C2397" i="4"/>
  <c r="E2397" i="4"/>
  <c r="D2397" i="4"/>
  <c r="B2397" i="4"/>
  <c r="F2397" i="4"/>
  <c r="C2401" i="4"/>
  <c r="E2401" i="4"/>
  <c r="D2401" i="4"/>
  <c r="F2401" i="4"/>
  <c r="B2401" i="4"/>
  <c r="C2405" i="4"/>
  <c r="E2405" i="4"/>
  <c r="D2405" i="4"/>
  <c r="B2405" i="4"/>
  <c r="F2405" i="4"/>
  <c r="C2411" i="4"/>
  <c r="E2411" i="4"/>
  <c r="D2411" i="4"/>
  <c r="F2411" i="4"/>
  <c r="B2411" i="4"/>
  <c r="C2417" i="4"/>
  <c r="E2417" i="4"/>
  <c r="D2417" i="4"/>
  <c r="F2417" i="4"/>
  <c r="B2417" i="4"/>
  <c r="C2421" i="4"/>
  <c r="D2421" i="4"/>
  <c r="E2421" i="4"/>
  <c r="B2421" i="4"/>
  <c r="F2421" i="4"/>
  <c r="C2425" i="4"/>
  <c r="D2425" i="4"/>
  <c r="E2425" i="4"/>
  <c r="F2425" i="4"/>
  <c r="B2425" i="4"/>
  <c r="C2431" i="4"/>
  <c r="E2431" i="4"/>
  <c r="D2431" i="4"/>
  <c r="B2431" i="4"/>
  <c r="F2431" i="4"/>
  <c r="C2437" i="4"/>
  <c r="D2437" i="4"/>
  <c r="E2437" i="4"/>
  <c r="B2437" i="4"/>
  <c r="F2437" i="4"/>
  <c r="C2439" i="4"/>
  <c r="E2439" i="4"/>
  <c r="D2439" i="4"/>
  <c r="B2439" i="4"/>
  <c r="F2439" i="4"/>
  <c r="C2445" i="4"/>
  <c r="E2445" i="4"/>
  <c r="D2445" i="4"/>
  <c r="F2445" i="4"/>
  <c r="B2445" i="4"/>
  <c r="C2451" i="4"/>
  <c r="D2451" i="4"/>
  <c r="E2451" i="4"/>
  <c r="B2451" i="4"/>
  <c r="F2451" i="4"/>
  <c r="C2457" i="4"/>
  <c r="E2457" i="4"/>
  <c r="D2457" i="4"/>
  <c r="F2457" i="4"/>
  <c r="B2457" i="4"/>
  <c r="C2463" i="4"/>
  <c r="D2463" i="4"/>
  <c r="E2463" i="4"/>
  <c r="B2463" i="4"/>
  <c r="F2463" i="4"/>
  <c r="C2467" i="4"/>
  <c r="E2467" i="4"/>
  <c r="D2467" i="4"/>
  <c r="B2467" i="4"/>
  <c r="F2467" i="4"/>
  <c r="C2471" i="4"/>
  <c r="D2471" i="4"/>
  <c r="E2471" i="4"/>
  <c r="B2471" i="4"/>
  <c r="F2471" i="4"/>
  <c r="C2477" i="4"/>
  <c r="E2477" i="4"/>
  <c r="D2477" i="4"/>
  <c r="F2477" i="4"/>
  <c r="B2477" i="4"/>
  <c r="C2483" i="4"/>
  <c r="E2483" i="4"/>
  <c r="D2483" i="4"/>
  <c r="B2483" i="4"/>
  <c r="F2483" i="4"/>
  <c r="C2487" i="4"/>
  <c r="E2487" i="4"/>
  <c r="D2487" i="4"/>
  <c r="B2487" i="4"/>
  <c r="F2487" i="4"/>
  <c r="C2491" i="4"/>
  <c r="E2491" i="4"/>
  <c r="D2491" i="4"/>
  <c r="F2491" i="4"/>
  <c r="B2491" i="4"/>
  <c r="C2497" i="4"/>
  <c r="E2497" i="4"/>
  <c r="D2497" i="4"/>
  <c r="F2497" i="4"/>
  <c r="B2497" i="4"/>
  <c r="C2503" i="4"/>
  <c r="D2503" i="4"/>
  <c r="E2503" i="4"/>
  <c r="B2503" i="4"/>
  <c r="F2503" i="4"/>
  <c r="C2507" i="4"/>
  <c r="E2507" i="4"/>
  <c r="D2507" i="4"/>
  <c r="F2507" i="4"/>
  <c r="B2507" i="4"/>
  <c r="C2513" i="4"/>
  <c r="D2513" i="4"/>
  <c r="E2513" i="4"/>
  <c r="F2513" i="4"/>
  <c r="B2513" i="4"/>
  <c r="C2517" i="4"/>
  <c r="D2517" i="4"/>
  <c r="E2517" i="4"/>
  <c r="B2517" i="4"/>
  <c r="F2517" i="4"/>
  <c r="C2521" i="4"/>
  <c r="D2521" i="4"/>
  <c r="E2521" i="4"/>
  <c r="F2521" i="4"/>
  <c r="B2521" i="4"/>
  <c r="C2525" i="4"/>
  <c r="D2525" i="4"/>
  <c r="E2525" i="4"/>
  <c r="F2525" i="4"/>
  <c r="B2525" i="4"/>
  <c r="C2963" i="4"/>
  <c r="D2963" i="4"/>
  <c r="E2963" i="4"/>
  <c r="F2963" i="4"/>
  <c r="B2963" i="4"/>
  <c r="B18" i="4"/>
  <c r="F18" i="4"/>
  <c r="C18" i="4"/>
  <c r="D18" i="4"/>
  <c r="E18" i="4"/>
  <c r="B22" i="4"/>
  <c r="F22" i="4"/>
  <c r="E22" i="4"/>
  <c r="C22" i="4"/>
  <c r="D22" i="4"/>
  <c r="B26" i="4"/>
  <c r="F26" i="4"/>
  <c r="C26" i="4"/>
  <c r="E26" i="4"/>
  <c r="D26" i="4"/>
  <c r="B30" i="4"/>
  <c r="F30" i="4"/>
  <c r="E30" i="4"/>
  <c r="C30" i="4"/>
  <c r="D30" i="4"/>
  <c r="B34" i="4"/>
  <c r="F34" i="4"/>
  <c r="C34" i="4"/>
  <c r="D34" i="4"/>
  <c r="E34" i="4"/>
  <c r="B38" i="4"/>
  <c r="F38" i="4"/>
  <c r="E38" i="4"/>
  <c r="D38" i="4"/>
  <c r="C38" i="4"/>
  <c r="B42" i="4"/>
  <c r="F42" i="4"/>
  <c r="C42" i="4"/>
  <c r="E42" i="4"/>
  <c r="D42" i="4"/>
  <c r="B46" i="4"/>
  <c r="F46" i="4"/>
  <c r="E46" i="4"/>
  <c r="D46" i="4"/>
  <c r="C46" i="4"/>
  <c r="B50" i="4"/>
  <c r="F50" i="4"/>
  <c r="C50" i="4"/>
  <c r="D50" i="4"/>
  <c r="E50" i="4"/>
  <c r="B54" i="4"/>
  <c r="F54" i="4"/>
  <c r="E54" i="4"/>
  <c r="D54" i="4"/>
  <c r="C54" i="4"/>
  <c r="B58" i="4"/>
  <c r="C58" i="4"/>
  <c r="E58" i="4"/>
  <c r="D58" i="4"/>
  <c r="F58" i="4"/>
  <c r="C62" i="4"/>
  <c r="B62" i="4"/>
  <c r="E62" i="4"/>
  <c r="D62" i="4"/>
  <c r="F62" i="4"/>
  <c r="C66" i="4"/>
  <c r="E66" i="4"/>
  <c r="B66" i="4"/>
  <c r="D66" i="4"/>
  <c r="F66" i="4"/>
  <c r="C70" i="4"/>
  <c r="B70" i="4"/>
  <c r="F70" i="4"/>
  <c r="D70" i="4"/>
  <c r="E70" i="4"/>
  <c r="C74" i="4"/>
  <c r="E74" i="4"/>
  <c r="D74" i="4"/>
  <c r="F74" i="4"/>
  <c r="B74" i="4"/>
  <c r="C78" i="4"/>
  <c r="B78" i="4"/>
  <c r="D78" i="4"/>
  <c r="E78" i="4"/>
  <c r="F78" i="4"/>
  <c r="C82" i="4"/>
  <c r="E82" i="4"/>
  <c r="F82" i="4"/>
  <c r="B82" i="4"/>
  <c r="D82" i="4"/>
  <c r="C86" i="4"/>
  <c r="B86" i="4"/>
  <c r="D86" i="4"/>
  <c r="E86" i="4"/>
  <c r="F86" i="4"/>
  <c r="C90" i="4"/>
  <c r="E90" i="4"/>
  <c r="F90" i="4"/>
  <c r="B90" i="4"/>
  <c r="D90" i="4"/>
  <c r="C94" i="4"/>
  <c r="B94" i="4"/>
  <c r="E94" i="4"/>
  <c r="D94" i="4"/>
  <c r="F94" i="4"/>
  <c r="E99" i="4"/>
  <c r="D99" i="4"/>
  <c r="C99" i="4"/>
  <c r="B99" i="4"/>
  <c r="F99" i="4"/>
  <c r="E103" i="4"/>
  <c r="B103" i="4"/>
  <c r="D103" i="4"/>
  <c r="F103" i="4"/>
  <c r="C103" i="4"/>
  <c r="E107" i="4"/>
  <c r="D107" i="4"/>
  <c r="F107" i="4"/>
  <c r="B107" i="4"/>
  <c r="C107" i="4"/>
  <c r="E111" i="4"/>
  <c r="B111" i="4"/>
  <c r="C111" i="4"/>
  <c r="D111" i="4"/>
  <c r="F111" i="4"/>
  <c r="E115" i="4"/>
  <c r="D115" i="4"/>
  <c r="B115" i="4"/>
  <c r="C115" i="4"/>
  <c r="F115" i="4"/>
  <c r="E119" i="4"/>
  <c r="B119" i="4"/>
  <c r="D119" i="4"/>
  <c r="C119" i="4"/>
  <c r="F119" i="4"/>
  <c r="E123" i="4"/>
  <c r="D123" i="4"/>
  <c r="B123" i="4"/>
  <c r="C123" i="4"/>
  <c r="F123" i="4"/>
  <c r="E127" i="4"/>
  <c r="B127" i="4"/>
  <c r="F127" i="4"/>
  <c r="C127" i="4"/>
  <c r="D127" i="4"/>
  <c r="E131" i="4"/>
  <c r="D131" i="4"/>
  <c r="C131" i="4"/>
  <c r="B131" i="4"/>
  <c r="F131" i="4"/>
  <c r="C135" i="4"/>
  <c r="D135" i="4"/>
  <c r="F135" i="4"/>
  <c r="B135" i="4"/>
  <c r="E135" i="4"/>
  <c r="C141" i="4"/>
  <c r="E141" i="4"/>
  <c r="F141" i="4"/>
  <c r="B141" i="4"/>
  <c r="D141" i="4"/>
  <c r="C145" i="4"/>
  <c r="B145" i="4"/>
  <c r="D145" i="4"/>
  <c r="E145" i="4"/>
  <c r="F145" i="4"/>
  <c r="C149" i="4"/>
  <c r="E149" i="4"/>
  <c r="B149" i="4"/>
  <c r="D149" i="4"/>
  <c r="F149" i="4"/>
  <c r="C153" i="4"/>
  <c r="B153" i="4"/>
  <c r="E153" i="4"/>
  <c r="F153" i="4"/>
  <c r="D153" i="4"/>
  <c r="C157" i="4"/>
  <c r="E157" i="4"/>
  <c r="B157" i="4"/>
  <c r="D157" i="4"/>
  <c r="F157" i="4"/>
  <c r="C161" i="4"/>
  <c r="B161" i="4"/>
  <c r="F161" i="4"/>
  <c r="E161" i="4"/>
  <c r="D161" i="4"/>
  <c r="C165" i="4"/>
  <c r="E165" i="4"/>
  <c r="D165" i="4"/>
  <c r="B165" i="4"/>
  <c r="F165" i="4"/>
  <c r="C169" i="4"/>
  <c r="B169" i="4"/>
  <c r="F169" i="4"/>
  <c r="D169" i="4"/>
  <c r="E169" i="4"/>
  <c r="E174" i="4"/>
  <c r="D174" i="4"/>
  <c r="F174" i="4"/>
  <c r="C174" i="4"/>
  <c r="B174" i="4"/>
  <c r="E178" i="4"/>
  <c r="B178" i="4"/>
  <c r="D178" i="4"/>
  <c r="F178" i="4"/>
  <c r="C178" i="4"/>
  <c r="E182" i="4"/>
  <c r="D182" i="4"/>
  <c r="B182" i="4"/>
  <c r="F182" i="4"/>
  <c r="C182" i="4"/>
  <c r="E186" i="4"/>
  <c r="B186" i="4"/>
  <c r="F186" i="4"/>
  <c r="C186" i="4"/>
  <c r="D186" i="4"/>
  <c r="E190" i="4"/>
  <c r="D190" i="4"/>
  <c r="C190" i="4"/>
  <c r="F190" i="4"/>
  <c r="B190" i="4"/>
  <c r="E194" i="4"/>
  <c r="B194" i="4"/>
  <c r="C194" i="4"/>
  <c r="D194" i="4"/>
  <c r="F194" i="4"/>
  <c r="E198" i="4"/>
  <c r="D198" i="4"/>
  <c r="F198" i="4"/>
  <c r="C198" i="4"/>
  <c r="B198" i="4"/>
  <c r="E202" i="4"/>
  <c r="B202" i="4"/>
  <c r="C202" i="4"/>
  <c r="D202" i="4"/>
  <c r="F202" i="4"/>
  <c r="E206" i="4"/>
  <c r="D206" i="4"/>
  <c r="C206" i="4"/>
  <c r="B206" i="4"/>
  <c r="F206" i="4"/>
  <c r="E210" i="4"/>
  <c r="B210" i="4"/>
  <c r="D210" i="4"/>
  <c r="C210" i="4"/>
  <c r="F210" i="4"/>
  <c r="E214" i="4"/>
  <c r="D214" i="4"/>
  <c r="B214" i="4"/>
  <c r="C214" i="4"/>
  <c r="F214" i="4"/>
  <c r="C219" i="4"/>
  <c r="F219" i="4"/>
  <c r="B219" i="4"/>
  <c r="D219" i="4"/>
  <c r="E219" i="4"/>
  <c r="E224" i="4"/>
  <c r="C224" i="4"/>
  <c r="F224" i="4"/>
  <c r="B224" i="4"/>
  <c r="D224" i="4"/>
  <c r="E228" i="4"/>
  <c r="F228" i="4"/>
  <c r="C228" i="4"/>
  <c r="D228" i="4"/>
  <c r="B228" i="4"/>
  <c r="E232" i="4"/>
  <c r="C232" i="4"/>
  <c r="B232" i="4"/>
  <c r="D232" i="4"/>
  <c r="F232" i="4"/>
  <c r="E236" i="4"/>
  <c r="F236" i="4"/>
  <c r="D236" i="4"/>
  <c r="C236" i="4"/>
  <c r="B236" i="4"/>
  <c r="E240" i="4"/>
  <c r="C240" i="4"/>
  <c r="B240" i="4"/>
  <c r="D240" i="4"/>
  <c r="F240" i="4"/>
  <c r="E244" i="4"/>
  <c r="F244" i="4"/>
  <c r="C244" i="4"/>
  <c r="B244" i="4"/>
  <c r="D244" i="4"/>
  <c r="E248" i="4"/>
  <c r="C248" i="4"/>
  <c r="D248" i="4"/>
  <c r="B248" i="4"/>
  <c r="F248" i="4"/>
  <c r="E252" i="4"/>
  <c r="F252" i="4"/>
  <c r="B252" i="4"/>
  <c r="C252" i="4"/>
  <c r="D252" i="4"/>
  <c r="E256" i="4"/>
  <c r="C256" i="4"/>
  <c r="F256" i="4"/>
  <c r="D256" i="4"/>
  <c r="B256" i="4"/>
  <c r="E260" i="4"/>
  <c r="F260" i="4"/>
  <c r="C260" i="4"/>
  <c r="B260" i="4"/>
  <c r="D260" i="4"/>
  <c r="E264" i="4"/>
  <c r="C264" i="4"/>
  <c r="F264" i="4"/>
  <c r="B264" i="4"/>
  <c r="D264" i="4"/>
  <c r="E268" i="4"/>
  <c r="F268" i="4"/>
  <c r="D268" i="4"/>
  <c r="B268" i="4"/>
  <c r="C268" i="4"/>
  <c r="E272" i="4"/>
  <c r="C272" i="4"/>
  <c r="B272" i="4"/>
  <c r="F272" i="4"/>
  <c r="D272" i="4"/>
  <c r="B276" i="4"/>
  <c r="F276" i="4"/>
  <c r="C276" i="4"/>
  <c r="E276" i="4"/>
  <c r="D276" i="4"/>
  <c r="B280" i="4"/>
  <c r="F280" i="4"/>
  <c r="E280" i="4"/>
  <c r="C280" i="4"/>
  <c r="D280" i="4"/>
  <c r="B284" i="4"/>
  <c r="F284" i="4"/>
  <c r="C284" i="4"/>
  <c r="E284" i="4"/>
  <c r="D284" i="4"/>
  <c r="B288" i="4"/>
  <c r="F288" i="4"/>
  <c r="E288" i="4"/>
  <c r="D288" i="4"/>
  <c r="C288" i="4"/>
  <c r="B292" i="4"/>
  <c r="F292" i="4"/>
  <c r="C292" i="4"/>
  <c r="E292" i="4"/>
  <c r="D292" i="4"/>
  <c r="B296" i="4"/>
  <c r="F296" i="4"/>
  <c r="E296" i="4"/>
  <c r="C296" i="4"/>
  <c r="D296" i="4"/>
  <c r="B300" i="4"/>
  <c r="F300" i="4"/>
  <c r="C300" i="4"/>
  <c r="D300" i="4"/>
  <c r="E300" i="4"/>
  <c r="D305" i="4"/>
  <c r="E305" i="4"/>
  <c r="B305" i="4"/>
  <c r="C305" i="4"/>
  <c r="F305" i="4"/>
  <c r="D309" i="4"/>
  <c r="B309" i="4"/>
  <c r="F309" i="4"/>
  <c r="C309" i="4"/>
  <c r="E309" i="4"/>
  <c r="D313" i="4"/>
  <c r="E313" i="4"/>
  <c r="C313" i="4"/>
  <c r="B313" i="4"/>
  <c r="F313" i="4"/>
  <c r="D317" i="4"/>
  <c r="B317" i="4"/>
  <c r="F317" i="4"/>
  <c r="C317" i="4"/>
  <c r="E317" i="4"/>
  <c r="D321" i="4"/>
  <c r="E321" i="4"/>
  <c r="F321" i="4"/>
  <c r="B321" i="4"/>
  <c r="C321" i="4"/>
  <c r="D325" i="4"/>
  <c r="B325" i="4"/>
  <c r="C325" i="4"/>
  <c r="F325" i="4"/>
  <c r="E325" i="4"/>
  <c r="B330" i="4"/>
  <c r="F330" i="4"/>
  <c r="D330" i="4"/>
  <c r="E330" i="4"/>
  <c r="C330" i="4"/>
  <c r="B334" i="4"/>
  <c r="F334" i="4"/>
  <c r="E334" i="4"/>
  <c r="C334" i="4"/>
  <c r="D334" i="4"/>
  <c r="D339" i="4"/>
  <c r="C339" i="4"/>
  <c r="E339" i="4"/>
  <c r="B339" i="4"/>
  <c r="F339" i="4"/>
  <c r="D343" i="4"/>
  <c r="F343" i="4"/>
  <c r="B343" i="4"/>
  <c r="C343" i="4"/>
  <c r="E343" i="4"/>
  <c r="B348" i="4"/>
  <c r="F348" i="4"/>
  <c r="C348" i="4"/>
  <c r="D348" i="4"/>
  <c r="E348" i="4"/>
  <c r="B352" i="4"/>
  <c r="F352" i="4"/>
  <c r="E352" i="4"/>
  <c r="D352" i="4"/>
  <c r="C352" i="4"/>
  <c r="B356" i="4"/>
  <c r="F356" i="4"/>
  <c r="C356" i="4"/>
  <c r="D356" i="4"/>
  <c r="E356" i="4"/>
  <c r="B360" i="4"/>
  <c r="F360" i="4"/>
  <c r="E360" i="4"/>
  <c r="D360" i="4"/>
  <c r="C360" i="4"/>
  <c r="B364" i="4"/>
  <c r="F364" i="4"/>
  <c r="C364" i="4"/>
  <c r="D364" i="4"/>
  <c r="E364" i="4"/>
  <c r="B368" i="4"/>
  <c r="F368" i="4"/>
  <c r="E368" i="4"/>
  <c r="D368" i="4"/>
  <c r="C368" i="4"/>
  <c r="B372" i="4"/>
  <c r="F372" i="4"/>
  <c r="C372" i="4"/>
  <c r="E372" i="4"/>
  <c r="D372" i="4"/>
  <c r="B376" i="4"/>
  <c r="F376" i="4"/>
  <c r="E376" i="4"/>
  <c r="C376" i="4"/>
  <c r="D376" i="4"/>
  <c r="B380" i="4"/>
  <c r="F380" i="4"/>
  <c r="C380" i="4"/>
  <c r="D380" i="4"/>
  <c r="E380" i="4"/>
  <c r="B384" i="4"/>
  <c r="F384" i="4"/>
  <c r="E384" i="4"/>
  <c r="D384" i="4"/>
  <c r="C384" i="4"/>
  <c r="B388" i="4"/>
  <c r="F388" i="4"/>
  <c r="C388" i="4"/>
  <c r="D388" i="4"/>
  <c r="E388" i="4"/>
  <c r="B392" i="4"/>
  <c r="F392" i="4"/>
  <c r="E392" i="4"/>
  <c r="C392" i="4"/>
  <c r="D392" i="4"/>
  <c r="B396" i="4"/>
  <c r="F396" i="4"/>
  <c r="C396" i="4"/>
  <c r="D396" i="4"/>
  <c r="E396" i="4"/>
  <c r="B400" i="4"/>
  <c r="F400" i="4"/>
  <c r="E400" i="4"/>
  <c r="C400" i="4"/>
  <c r="D400" i="4"/>
  <c r="B404" i="4"/>
  <c r="F404" i="4"/>
  <c r="C404" i="4"/>
  <c r="E404" i="4"/>
  <c r="D404" i="4"/>
  <c r="B408" i="4"/>
  <c r="F408" i="4"/>
  <c r="E408" i="4"/>
  <c r="C408" i="4"/>
  <c r="D408" i="4"/>
  <c r="B412" i="4"/>
  <c r="F412" i="4"/>
  <c r="C412" i="4"/>
  <c r="E412" i="4"/>
  <c r="D412" i="4"/>
  <c r="B416" i="4"/>
  <c r="F416" i="4"/>
  <c r="E416" i="4"/>
  <c r="D416" i="4"/>
  <c r="C416" i="4"/>
  <c r="B420" i="4"/>
  <c r="F420" i="4"/>
  <c r="C420" i="4"/>
  <c r="E420" i="4"/>
  <c r="D420" i="4"/>
  <c r="B424" i="4"/>
  <c r="F424" i="4"/>
  <c r="E424" i="4"/>
  <c r="D424" i="4"/>
  <c r="C424" i="4"/>
  <c r="D429" i="4"/>
  <c r="B429" i="4"/>
  <c r="E429" i="4"/>
  <c r="C429" i="4"/>
  <c r="F429" i="4"/>
  <c r="D433" i="4"/>
  <c r="E433" i="4"/>
  <c r="B433" i="4"/>
  <c r="C433" i="4"/>
  <c r="F433" i="4"/>
  <c r="D437" i="4"/>
  <c r="B437" i="4"/>
  <c r="F437" i="4"/>
  <c r="C437" i="4"/>
  <c r="E437" i="4"/>
  <c r="D441" i="4"/>
  <c r="E441" i="4"/>
  <c r="C441" i="4"/>
  <c r="B441" i="4"/>
  <c r="F441" i="4"/>
  <c r="D447" i="4"/>
  <c r="F447" i="4"/>
  <c r="C447" i="4"/>
  <c r="E447" i="4"/>
  <c r="B447" i="4"/>
  <c r="D449" i="4"/>
  <c r="E449" i="4"/>
  <c r="F449" i="4"/>
  <c r="B449" i="4"/>
  <c r="C449" i="4"/>
  <c r="B452" i="4"/>
  <c r="F452" i="4"/>
  <c r="C452" i="4"/>
  <c r="D452" i="4"/>
  <c r="E452" i="4"/>
  <c r="D453" i="4"/>
  <c r="B453" i="4"/>
  <c r="C453" i="4"/>
  <c r="F453" i="4"/>
  <c r="E453" i="4"/>
  <c r="B454" i="4"/>
  <c r="F454" i="4"/>
  <c r="D454" i="4"/>
  <c r="C454" i="4"/>
  <c r="E454" i="4"/>
  <c r="D455" i="4"/>
  <c r="F455" i="4"/>
  <c r="E455" i="4"/>
  <c r="C455" i="4"/>
  <c r="B455" i="4"/>
  <c r="B456" i="4"/>
  <c r="F456" i="4"/>
  <c r="E456" i="4"/>
  <c r="C456" i="4"/>
  <c r="D456" i="4"/>
  <c r="D457" i="4"/>
  <c r="E457" i="4"/>
  <c r="B457" i="4"/>
  <c r="C457" i="4"/>
  <c r="F457" i="4"/>
  <c r="B458" i="4"/>
  <c r="F458" i="4"/>
  <c r="D458" i="4"/>
  <c r="E458" i="4"/>
  <c r="C458" i="4"/>
  <c r="D459" i="4"/>
  <c r="C459" i="4"/>
  <c r="B459" i="4"/>
  <c r="E459" i="4"/>
  <c r="F459" i="4"/>
  <c r="B460" i="4"/>
  <c r="F460" i="4"/>
  <c r="C460" i="4"/>
  <c r="D460" i="4"/>
  <c r="E460" i="4"/>
  <c r="D461" i="4"/>
  <c r="B461" i="4"/>
  <c r="E461" i="4"/>
  <c r="F461" i="4"/>
  <c r="C461" i="4"/>
  <c r="B462" i="4"/>
  <c r="F462" i="4"/>
  <c r="E462" i="4"/>
  <c r="D462" i="4"/>
  <c r="C462" i="4"/>
  <c r="D463" i="4"/>
  <c r="F463" i="4"/>
  <c r="C463" i="4"/>
  <c r="B463" i="4"/>
  <c r="E463" i="4"/>
  <c r="D465" i="4"/>
  <c r="E465" i="4"/>
  <c r="B465" i="4"/>
  <c r="C465" i="4"/>
  <c r="F465" i="4"/>
  <c r="B466" i="4"/>
  <c r="F466" i="4"/>
  <c r="D466" i="4"/>
  <c r="C466" i="4"/>
  <c r="E466" i="4"/>
  <c r="D467" i="4"/>
  <c r="C467" i="4"/>
  <c r="E467" i="4"/>
  <c r="B467" i="4"/>
  <c r="F467" i="4"/>
  <c r="D469" i="4"/>
  <c r="B469" i="4"/>
  <c r="F469" i="4"/>
  <c r="E469" i="4"/>
  <c r="C469" i="4"/>
  <c r="D471" i="4"/>
  <c r="F471" i="4"/>
  <c r="B471" i="4"/>
  <c r="C471" i="4"/>
  <c r="E471" i="4"/>
  <c r="B472" i="4"/>
  <c r="F472" i="4"/>
  <c r="E472" i="4"/>
  <c r="C472" i="4"/>
  <c r="D472" i="4"/>
  <c r="D473" i="4"/>
  <c r="E473" i="4"/>
  <c r="C473" i="4"/>
  <c r="B473" i="4"/>
  <c r="F473" i="4"/>
  <c r="B474" i="4"/>
  <c r="F474" i="4"/>
  <c r="D474" i="4"/>
  <c r="E474" i="4"/>
  <c r="C474" i="4"/>
  <c r="D475" i="4"/>
  <c r="C475" i="4"/>
  <c r="F475" i="4"/>
  <c r="B475" i="4"/>
  <c r="E475" i="4"/>
  <c r="D477" i="4"/>
  <c r="B477" i="4"/>
  <c r="E477" i="4"/>
  <c r="C477" i="4"/>
  <c r="F477" i="4"/>
  <c r="B478" i="4"/>
  <c r="F478" i="4"/>
  <c r="C478" i="4"/>
  <c r="D478" i="4"/>
  <c r="E478" i="4"/>
  <c r="D479" i="4"/>
  <c r="F479" i="4"/>
  <c r="C479" i="4"/>
  <c r="B479" i="4"/>
  <c r="E479" i="4"/>
  <c r="B480" i="4"/>
  <c r="F480" i="4"/>
  <c r="E480" i="4"/>
  <c r="D480" i="4"/>
  <c r="C480" i="4"/>
  <c r="D481" i="4"/>
  <c r="E481" i="4"/>
  <c r="F481" i="4"/>
  <c r="C481" i="4"/>
  <c r="B481" i="4"/>
  <c r="B482" i="4"/>
  <c r="F482" i="4"/>
  <c r="D482" i="4"/>
  <c r="C482" i="4"/>
  <c r="E482" i="4"/>
  <c r="D483" i="4"/>
  <c r="C483" i="4"/>
  <c r="F483" i="4"/>
  <c r="E483" i="4"/>
  <c r="B483" i="4"/>
  <c r="B484" i="4"/>
  <c r="F484" i="4"/>
  <c r="C484" i="4"/>
  <c r="D484" i="4"/>
  <c r="E484" i="4"/>
  <c r="D485" i="4"/>
  <c r="B485" i="4"/>
  <c r="C485" i="4"/>
  <c r="E485" i="4"/>
  <c r="F485" i="4"/>
  <c r="B486" i="4"/>
  <c r="F486" i="4"/>
  <c r="D486" i="4"/>
  <c r="C486" i="4"/>
  <c r="E486" i="4"/>
  <c r="D487" i="4"/>
  <c r="F487" i="4"/>
  <c r="E487" i="4"/>
  <c r="B487" i="4"/>
  <c r="C487" i="4"/>
  <c r="B488" i="4"/>
  <c r="F488" i="4"/>
  <c r="E488" i="4"/>
  <c r="D488" i="4"/>
  <c r="C488" i="4"/>
  <c r="D489" i="4"/>
  <c r="E489" i="4"/>
  <c r="F489" i="4"/>
  <c r="B489" i="4"/>
  <c r="C489" i="4"/>
  <c r="B490" i="4"/>
  <c r="F490" i="4"/>
  <c r="D490" i="4"/>
  <c r="C490" i="4"/>
  <c r="E490" i="4"/>
  <c r="D491" i="4"/>
  <c r="C491" i="4"/>
  <c r="B491" i="4"/>
  <c r="F491" i="4"/>
  <c r="E491" i="4"/>
  <c r="B492" i="4"/>
  <c r="F492" i="4"/>
  <c r="C492" i="4"/>
  <c r="D492" i="4"/>
  <c r="E492" i="4"/>
  <c r="D493" i="4"/>
  <c r="B493" i="4"/>
  <c r="E493" i="4"/>
  <c r="C493" i="4"/>
  <c r="F493" i="4"/>
  <c r="B494" i="4"/>
  <c r="F494" i="4"/>
  <c r="E494" i="4"/>
  <c r="C494" i="4"/>
  <c r="D494" i="4"/>
  <c r="D495" i="4"/>
  <c r="F495" i="4"/>
  <c r="B495" i="4"/>
  <c r="C495" i="4"/>
  <c r="E495" i="4"/>
  <c r="B496" i="4"/>
  <c r="F496" i="4"/>
  <c r="E496" i="4"/>
  <c r="D496" i="4"/>
  <c r="C496" i="4"/>
  <c r="D497" i="4"/>
  <c r="E497" i="4"/>
  <c r="B497" i="4"/>
  <c r="C497" i="4"/>
  <c r="F497" i="4"/>
  <c r="B498" i="4"/>
  <c r="F498" i="4"/>
  <c r="D498" i="4"/>
  <c r="C498" i="4"/>
  <c r="E498" i="4"/>
  <c r="D499" i="4"/>
  <c r="C499" i="4"/>
  <c r="E499" i="4"/>
  <c r="F499" i="4"/>
  <c r="B499" i="4"/>
  <c r="B500" i="4"/>
  <c r="F500" i="4"/>
  <c r="C500" i="4"/>
  <c r="E500" i="4"/>
  <c r="D500" i="4"/>
  <c r="D501" i="4"/>
  <c r="B501" i="4"/>
  <c r="F501" i="4"/>
  <c r="C501" i="4"/>
  <c r="E501" i="4"/>
  <c r="B502" i="4"/>
  <c r="F502" i="4"/>
  <c r="E502" i="4"/>
  <c r="D502" i="4"/>
  <c r="C502" i="4"/>
  <c r="D503" i="4"/>
  <c r="F503" i="4"/>
  <c r="B503" i="4"/>
  <c r="C503" i="4"/>
  <c r="E503" i="4"/>
  <c r="B506" i="4"/>
  <c r="F506" i="4"/>
  <c r="D506" i="4"/>
  <c r="E506" i="4"/>
  <c r="C506" i="4"/>
  <c r="D507" i="4"/>
  <c r="C507" i="4"/>
  <c r="F507" i="4"/>
  <c r="E507" i="4"/>
  <c r="B507" i="4"/>
  <c r="B508" i="4"/>
  <c r="F508" i="4"/>
  <c r="C508" i="4"/>
  <c r="E508" i="4"/>
  <c r="D508" i="4"/>
  <c r="B510" i="4"/>
  <c r="F510" i="4"/>
  <c r="C510" i="4"/>
  <c r="E510" i="4"/>
  <c r="D510" i="4"/>
  <c r="D511" i="4"/>
  <c r="F511" i="4"/>
  <c r="C511" i="4"/>
  <c r="B511" i="4"/>
  <c r="E511" i="4"/>
  <c r="B512" i="4"/>
  <c r="F512" i="4"/>
  <c r="E512" i="4"/>
  <c r="D512" i="4"/>
  <c r="C512" i="4"/>
  <c r="B516" i="4"/>
  <c r="F516" i="4"/>
  <c r="C516" i="4"/>
  <c r="D516" i="4"/>
  <c r="E516" i="4"/>
  <c r="D517" i="4"/>
  <c r="B517" i="4"/>
  <c r="C517" i="4"/>
  <c r="E517" i="4"/>
  <c r="F517" i="4"/>
  <c r="B518" i="4"/>
  <c r="F518" i="4"/>
  <c r="D518" i="4"/>
  <c r="E518" i="4"/>
  <c r="C518" i="4"/>
  <c r="D519" i="4"/>
  <c r="F519" i="4"/>
  <c r="E519" i="4"/>
  <c r="C519" i="4"/>
  <c r="B519" i="4"/>
  <c r="B520" i="4"/>
  <c r="F520" i="4"/>
  <c r="E520" i="4"/>
  <c r="C520" i="4"/>
  <c r="D520" i="4"/>
  <c r="D521" i="4"/>
  <c r="E521" i="4"/>
  <c r="F521" i="4"/>
  <c r="C521" i="4"/>
  <c r="B521" i="4"/>
  <c r="B522" i="4"/>
  <c r="F522" i="4"/>
  <c r="D522" i="4"/>
  <c r="C522" i="4"/>
  <c r="E522" i="4"/>
  <c r="D523" i="4"/>
  <c r="C523" i="4"/>
  <c r="B523" i="4"/>
  <c r="E523" i="4"/>
  <c r="F523" i="4"/>
  <c r="B524" i="4"/>
  <c r="F524" i="4"/>
  <c r="C524" i="4"/>
  <c r="D524" i="4"/>
  <c r="E524" i="4"/>
  <c r="B526" i="4"/>
  <c r="F526" i="4"/>
  <c r="E526" i="4"/>
  <c r="D526" i="4"/>
  <c r="C526" i="4"/>
  <c r="D527" i="4"/>
  <c r="F527" i="4"/>
  <c r="E527" i="4"/>
  <c r="B527" i="4"/>
  <c r="C527" i="4"/>
  <c r="B528" i="4"/>
  <c r="F528" i="4"/>
  <c r="E528" i="4"/>
  <c r="C528" i="4"/>
  <c r="D528" i="4"/>
  <c r="D529" i="4"/>
  <c r="E529" i="4"/>
  <c r="B529" i="4"/>
  <c r="F529" i="4"/>
  <c r="C529" i="4"/>
  <c r="B530" i="4"/>
  <c r="F530" i="4"/>
  <c r="D530" i="4"/>
  <c r="C530" i="4"/>
  <c r="E530" i="4"/>
  <c r="B532" i="4"/>
  <c r="F532" i="4"/>
  <c r="C532" i="4"/>
  <c r="E532" i="4"/>
  <c r="D532" i="4"/>
  <c r="D533" i="4"/>
  <c r="B533" i="4"/>
  <c r="F533" i="4"/>
  <c r="C533" i="4"/>
  <c r="E533" i="4"/>
  <c r="B534" i="4"/>
  <c r="F534" i="4"/>
  <c r="D534" i="4"/>
  <c r="C534" i="4"/>
  <c r="E534" i="4"/>
  <c r="D535" i="4"/>
  <c r="F535" i="4"/>
  <c r="B535" i="4"/>
  <c r="C535" i="4"/>
  <c r="E535" i="4"/>
  <c r="B536" i="4"/>
  <c r="F536" i="4"/>
  <c r="E536" i="4"/>
  <c r="C536" i="4"/>
  <c r="D536" i="4"/>
  <c r="D537" i="4"/>
  <c r="E537" i="4"/>
  <c r="C537" i="4"/>
  <c r="F537" i="4"/>
  <c r="B537" i="4"/>
  <c r="B538" i="4"/>
  <c r="F538" i="4"/>
  <c r="D538" i="4"/>
  <c r="E538" i="4"/>
  <c r="C538" i="4"/>
  <c r="D539" i="4"/>
  <c r="C539" i="4"/>
  <c r="F539" i="4"/>
  <c r="B539" i="4"/>
  <c r="E539" i="4"/>
  <c r="B540" i="4"/>
  <c r="F540" i="4"/>
  <c r="C540" i="4"/>
  <c r="E540" i="4"/>
  <c r="D540" i="4"/>
  <c r="D541" i="4"/>
  <c r="B541" i="4"/>
  <c r="C541" i="4"/>
  <c r="E541" i="4"/>
  <c r="F541" i="4"/>
  <c r="B542" i="4"/>
  <c r="F542" i="4"/>
  <c r="C542" i="4"/>
  <c r="D542" i="4"/>
  <c r="E542" i="4"/>
  <c r="D543" i="4"/>
  <c r="F543" i="4"/>
  <c r="C543" i="4"/>
  <c r="B543" i="4"/>
  <c r="E543" i="4"/>
  <c r="B544" i="4"/>
  <c r="F544" i="4"/>
  <c r="E544" i="4"/>
  <c r="D544" i="4"/>
  <c r="C544" i="4"/>
  <c r="D545" i="4"/>
  <c r="E545" i="4"/>
  <c r="F545" i="4"/>
  <c r="C545" i="4"/>
  <c r="B545" i="4"/>
  <c r="B546" i="4"/>
  <c r="F546" i="4"/>
  <c r="D546" i="4"/>
  <c r="E546" i="4"/>
  <c r="C546" i="4"/>
  <c r="D547" i="4"/>
  <c r="C547" i="4"/>
  <c r="B547" i="4"/>
  <c r="E547" i="4"/>
  <c r="F547" i="4"/>
  <c r="B548" i="4"/>
  <c r="F548" i="4"/>
  <c r="C548" i="4"/>
  <c r="E548" i="4"/>
  <c r="D548" i="4"/>
  <c r="D549" i="4"/>
  <c r="B549" i="4"/>
  <c r="C549" i="4"/>
  <c r="E549" i="4"/>
  <c r="F549" i="4"/>
  <c r="B550" i="4"/>
  <c r="F550" i="4"/>
  <c r="D550" i="4"/>
  <c r="C550" i="4"/>
  <c r="E550" i="4"/>
  <c r="D551" i="4"/>
  <c r="F551" i="4"/>
  <c r="E551" i="4"/>
  <c r="B551" i="4"/>
  <c r="C551" i="4"/>
  <c r="B552" i="4"/>
  <c r="F552" i="4"/>
  <c r="E552" i="4"/>
  <c r="C552" i="4"/>
  <c r="D552" i="4"/>
  <c r="D553" i="4"/>
  <c r="E553" i="4"/>
  <c r="C553" i="4"/>
  <c r="B553" i="4"/>
  <c r="F553" i="4"/>
  <c r="B554" i="4"/>
  <c r="F554" i="4"/>
  <c r="D554" i="4"/>
  <c r="C554" i="4"/>
  <c r="E554" i="4"/>
  <c r="D555" i="4"/>
  <c r="C555" i="4"/>
  <c r="B555" i="4"/>
  <c r="E555" i="4"/>
  <c r="F555" i="4"/>
  <c r="B556" i="4"/>
  <c r="F556" i="4"/>
  <c r="C556" i="4"/>
  <c r="D556" i="4"/>
  <c r="E556" i="4"/>
  <c r="D557" i="4"/>
  <c r="B557" i="4"/>
  <c r="E557" i="4"/>
  <c r="C557" i="4"/>
  <c r="F557" i="4"/>
  <c r="B558" i="4"/>
  <c r="F558" i="4"/>
  <c r="E558" i="4"/>
  <c r="C558" i="4"/>
  <c r="D558" i="4"/>
  <c r="D559" i="4"/>
  <c r="F559" i="4"/>
  <c r="E559" i="4"/>
  <c r="C559" i="4"/>
  <c r="B559" i="4"/>
  <c r="B560" i="4"/>
  <c r="F560" i="4"/>
  <c r="E560" i="4"/>
  <c r="C560" i="4"/>
  <c r="D560" i="4"/>
  <c r="D561" i="4"/>
  <c r="E561" i="4"/>
  <c r="B561" i="4"/>
  <c r="C561" i="4"/>
  <c r="F561" i="4"/>
  <c r="B562" i="4"/>
  <c r="D562" i="4"/>
  <c r="C562" i="4"/>
  <c r="F562" i="4"/>
  <c r="E562" i="4"/>
  <c r="B563" i="4"/>
  <c r="F563" i="4"/>
  <c r="C563" i="4"/>
  <c r="D563" i="4"/>
  <c r="E563" i="4"/>
  <c r="D564" i="4"/>
  <c r="B564" i="4"/>
  <c r="F564" i="4"/>
  <c r="C564" i="4"/>
  <c r="E564" i="4"/>
  <c r="B565" i="4"/>
  <c r="F565" i="4"/>
  <c r="C565" i="4"/>
  <c r="D565" i="4"/>
  <c r="E565" i="4"/>
  <c r="D566" i="4"/>
  <c r="F566" i="4"/>
  <c r="C566" i="4"/>
  <c r="E566" i="4"/>
  <c r="B566" i="4"/>
  <c r="B567" i="4"/>
  <c r="F567" i="4"/>
  <c r="E567" i="4"/>
  <c r="D567" i="4"/>
  <c r="C567" i="4"/>
  <c r="D568" i="4"/>
  <c r="E568" i="4"/>
  <c r="F568" i="4"/>
  <c r="B568" i="4"/>
  <c r="C568" i="4"/>
  <c r="B569" i="4"/>
  <c r="F569" i="4"/>
  <c r="D569" i="4"/>
  <c r="E569" i="4"/>
  <c r="C569" i="4"/>
  <c r="D570" i="4"/>
  <c r="C570" i="4"/>
  <c r="B570" i="4"/>
  <c r="E570" i="4"/>
  <c r="F570" i="4"/>
  <c r="B571" i="4"/>
  <c r="F571" i="4"/>
  <c r="C571" i="4"/>
  <c r="D571" i="4"/>
  <c r="E571" i="4"/>
  <c r="D572" i="4"/>
  <c r="B572" i="4"/>
  <c r="C572" i="4"/>
  <c r="F572" i="4"/>
  <c r="E572" i="4"/>
  <c r="B573" i="4"/>
  <c r="F573" i="4"/>
  <c r="D573" i="4"/>
  <c r="C573" i="4"/>
  <c r="E573" i="4"/>
  <c r="D574" i="4"/>
  <c r="F574" i="4"/>
  <c r="E574" i="4"/>
  <c r="C574" i="4"/>
  <c r="B574" i="4"/>
  <c r="B575" i="4"/>
  <c r="F575" i="4"/>
  <c r="E575" i="4"/>
  <c r="C575" i="4"/>
  <c r="D575" i="4"/>
  <c r="D576" i="4"/>
  <c r="E576" i="4"/>
  <c r="B576" i="4"/>
  <c r="C576" i="4"/>
  <c r="F576" i="4"/>
  <c r="B577" i="4"/>
  <c r="F577" i="4"/>
  <c r="D577" i="4"/>
  <c r="E577" i="4"/>
  <c r="C577" i="4"/>
  <c r="D578" i="4"/>
  <c r="C578" i="4"/>
  <c r="B578" i="4"/>
  <c r="E578" i="4"/>
  <c r="F578" i="4"/>
  <c r="B579" i="4"/>
  <c r="F579" i="4"/>
  <c r="C579" i="4"/>
  <c r="D579" i="4"/>
  <c r="E579" i="4"/>
  <c r="D580" i="4"/>
  <c r="B580" i="4"/>
  <c r="E580" i="4"/>
  <c r="F580" i="4"/>
  <c r="C580" i="4"/>
  <c r="B581" i="4"/>
  <c r="F581" i="4"/>
  <c r="E581" i="4"/>
  <c r="C581" i="4"/>
  <c r="D581" i="4"/>
  <c r="D582" i="4"/>
  <c r="F582" i="4"/>
  <c r="C582" i="4"/>
  <c r="E582" i="4"/>
  <c r="B582" i="4"/>
  <c r="B583" i="4"/>
  <c r="F583" i="4"/>
  <c r="E583" i="4"/>
  <c r="C583" i="4"/>
  <c r="D583" i="4"/>
  <c r="D584" i="4"/>
  <c r="E584" i="4"/>
  <c r="B584" i="4"/>
  <c r="C584" i="4"/>
  <c r="F584" i="4"/>
  <c r="B585" i="4"/>
  <c r="F585" i="4"/>
  <c r="D585" i="4"/>
  <c r="C585" i="4"/>
  <c r="E585" i="4"/>
  <c r="D586" i="4"/>
  <c r="C586" i="4"/>
  <c r="E586" i="4"/>
  <c r="B586" i="4"/>
  <c r="F586" i="4"/>
  <c r="B587" i="4"/>
  <c r="F587" i="4"/>
  <c r="C587" i="4"/>
  <c r="E587" i="4"/>
  <c r="D587" i="4"/>
  <c r="D588" i="4"/>
  <c r="B588" i="4"/>
  <c r="F588" i="4"/>
  <c r="E588" i="4"/>
  <c r="C588" i="4"/>
  <c r="B589" i="4"/>
  <c r="F589" i="4"/>
  <c r="C589" i="4"/>
  <c r="D589" i="4"/>
  <c r="E589" i="4"/>
  <c r="D590" i="4"/>
  <c r="F590" i="4"/>
  <c r="B590" i="4"/>
  <c r="C590" i="4"/>
  <c r="E590" i="4"/>
  <c r="B591" i="4"/>
  <c r="F591" i="4"/>
  <c r="E591" i="4"/>
  <c r="C591" i="4"/>
  <c r="D591" i="4"/>
  <c r="D592" i="4"/>
  <c r="E592" i="4"/>
  <c r="C592" i="4"/>
  <c r="B592" i="4"/>
  <c r="F592" i="4"/>
  <c r="B593" i="4"/>
  <c r="F593" i="4"/>
  <c r="D593" i="4"/>
  <c r="E593" i="4"/>
  <c r="C593" i="4"/>
  <c r="D594" i="4"/>
  <c r="C594" i="4"/>
  <c r="F594" i="4"/>
  <c r="B594" i="4"/>
  <c r="E594" i="4"/>
  <c r="B595" i="4"/>
  <c r="F595" i="4"/>
  <c r="C595" i="4"/>
  <c r="D595" i="4"/>
  <c r="E595" i="4"/>
  <c r="D596" i="4"/>
  <c r="B596" i="4"/>
  <c r="E596" i="4"/>
  <c r="F596" i="4"/>
  <c r="C596" i="4"/>
  <c r="B597" i="4"/>
  <c r="F597" i="4"/>
  <c r="C597" i="4"/>
  <c r="D597" i="4"/>
  <c r="E597" i="4"/>
  <c r="D598" i="4"/>
  <c r="F598" i="4"/>
  <c r="C598" i="4"/>
  <c r="B598" i="4"/>
  <c r="E598" i="4"/>
  <c r="B599" i="4"/>
  <c r="F599" i="4"/>
  <c r="E599" i="4"/>
  <c r="D599" i="4"/>
  <c r="C599" i="4"/>
  <c r="D600" i="4"/>
  <c r="E600" i="4"/>
  <c r="F600" i="4"/>
  <c r="B600" i="4"/>
  <c r="C600" i="4"/>
  <c r="B601" i="4"/>
  <c r="F601" i="4"/>
  <c r="D601" i="4"/>
  <c r="C601" i="4"/>
  <c r="E601" i="4"/>
  <c r="B603" i="4"/>
  <c r="F603" i="4"/>
  <c r="C603" i="4"/>
  <c r="D603" i="4"/>
  <c r="E603" i="4"/>
  <c r="D604" i="4"/>
  <c r="B604" i="4"/>
  <c r="C604" i="4"/>
  <c r="E604" i="4"/>
  <c r="F604" i="4"/>
  <c r="B605" i="4"/>
  <c r="F605" i="4"/>
  <c r="D605" i="4"/>
  <c r="C605" i="4"/>
  <c r="E605" i="4"/>
  <c r="D606" i="4"/>
  <c r="F606" i="4"/>
  <c r="E606" i="4"/>
  <c r="B606" i="4"/>
  <c r="C606" i="4"/>
  <c r="B607" i="4"/>
  <c r="F607" i="4"/>
  <c r="E607" i="4"/>
  <c r="D607" i="4"/>
  <c r="C607" i="4"/>
  <c r="D608" i="4"/>
  <c r="E608" i="4"/>
  <c r="B608" i="4"/>
  <c r="C608" i="4"/>
  <c r="F608" i="4"/>
  <c r="B609" i="4"/>
  <c r="F609" i="4"/>
  <c r="D609" i="4"/>
  <c r="C609" i="4"/>
  <c r="E609" i="4"/>
  <c r="D610" i="4"/>
  <c r="C610" i="4"/>
  <c r="B610" i="4"/>
  <c r="F610" i="4"/>
  <c r="E610" i="4"/>
  <c r="B611" i="4"/>
  <c r="F611" i="4"/>
  <c r="C611" i="4"/>
  <c r="D611" i="4"/>
  <c r="E611" i="4"/>
  <c r="D612" i="4"/>
  <c r="B612" i="4"/>
  <c r="E612" i="4"/>
  <c r="C612" i="4"/>
  <c r="F612" i="4"/>
  <c r="B613" i="4"/>
  <c r="F613" i="4"/>
  <c r="E613" i="4"/>
  <c r="C613" i="4"/>
  <c r="D613" i="4"/>
  <c r="B615" i="4"/>
  <c r="F615" i="4"/>
  <c r="E615" i="4"/>
  <c r="D615" i="4"/>
  <c r="C615" i="4"/>
  <c r="D616" i="4"/>
  <c r="E616" i="4"/>
  <c r="B616" i="4"/>
  <c r="C616" i="4"/>
  <c r="F616" i="4"/>
  <c r="D618" i="4"/>
  <c r="C618" i="4"/>
  <c r="E618" i="4"/>
  <c r="F618" i="4"/>
  <c r="B618" i="4"/>
  <c r="B619" i="4"/>
  <c r="F619" i="4"/>
  <c r="C619" i="4"/>
  <c r="E619" i="4"/>
  <c r="D619" i="4"/>
  <c r="B621" i="4"/>
  <c r="F621" i="4"/>
  <c r="E621" i="4"/>
  <c r="C621" i="4"/>
  <c r="D621" i="4"/>
  <c r="D622" i="4"/>
  <c r="F622" i="4"/>
  <c r="B622" i="4"/>
  <c r="C622" i="4"/>
  <c r="E622" i="4"/>
  <c r="D624" i="4"/>
  <c r="E624" i="4"/>
  <c r="C624" i="4"/>
  <c r="B624" i="4"/>
  <c r="F624" i="4"/>
  <c r="B625" i="4"/>
  <c r="F625" i="4"/>
  <c r="D625" i="4"/>
  <c r="E625" i="4"/>
  <c r="C625" i="4"/>
  <c r="D626" i="4"/>
  <c r="C626" i="4"/>
  <c r="F626" i="4"/>
  <c r="E626" i="4"/>
  <c r="B626" i="4"/>
  <c r="B627" i="4"/>
  <c r="F627" i="4"/>
  <c r="C627" i="4"/>
  <c r="D627" i="4"/>
  <c r="E627" i="4"/>
  <c r="D628" i="4"/>
  <c r="B628" i="4"/>
  <c r="C628" i="4"/>
  <c r="E628" i="4"/>
  <c r="F628" i="4"/>
  <c r="B629" i="4"/>
  <c r="F629" i="4"/>
  <c r="C629" i="4"/>
  <c r="E629" i="4"/>
  <c r="D629" i="4"/>
  <c r="D630" i="4"/>
  <c r="F630" i="4"/>
  <c r="C630" i="4"/>
  <c r="B630" i="4"/>
  <c r="E630" i="4"/>
  <c r="B631" i="4"/>
  <c r="F631" i="4"/>
  <c r="E631" i="4"/>
  <c r="D631" i="4"/>
  <c r="C631" i="4"/>
  <c r="D632" i="4"/>
  <c r="E632" i="4"/>
  <c r="F632" i="4"/>
  <c r="B632" i="4"/>
  <c r="C632" i="4"/>
  <c r="B633" i="4"/>
  <c r="F633" i="4"/>
  <c r="D633" i="4"/>
  <c r="C633" i="4"/>
  <c r="E633" i="4"/>
  <c r="D634" i="4"/>
  <c r="C634" i="4"/>
  <c r="E634" i="4"/>
  <c r="F634" i="4"/>
  <c r="B634" i="4"/>
  <c r="B635" i="4"/>
  <c r="F635" i="4"/>
  <c r="C635" i="4"/>
  <c r="D635" i="4"/>
  <c r="E635" i="4"/>
  <c r="D636" i="4"/>
  <c r="B636" i="4"/>
  <c r="C636" i="4"/>
  <c r="E636" i="4"/>
  <c r="F636" i="4"/>
  <c r="B637" i="4"/>
  <c r="F637" i="4"/>
  <c r="D637" i="4"/>
  <c r="E637" i="4"/>
  <c r="C637" i="4"/>
  <c r="D638" i="4"/>
  <c r="F638" i="4"/>
  <c r="E638" i="4"/>
  <c r="B638" i="4"/>
  <c r="C638" i="4"/>
  <c r="B639" i="4"/>
  <c r="F639" i="4"/>
  <c r="E639" i="4"/>
  <c r="C639" i="4"/>
  <c r="D639" i="4"/>
  <c r="D640" i="4"/>
  <c r="E640" i="4"/>
  <c r="F640" i="4"/>
  <c r="B640" i="4"/>
  <c r="C640" i="4"/>
  <c r="B641" i="4"/>
  <c r="F641" i="4"/>
  <c r="D641" i="4"/>
  <c r="C641" i="4"/>
  <c r="E641" i="4"/>
  <c r="D642" i="4"/>
  <c r="C642" i="4"/>
  <c r="B642" i="4"/>
  <c r="E642" i="4"/>
  <c r="F642" i="4"/>
  <c r="B643" i="4"/>
  <c r="F643" i="4"/>
  <c r="C643" i="4"/>
  <c r="D643" i="4"/>
  <c r="E643" i="4"/>
  <c r="D644" i="4"/>
  <c r="B644" i="4"/>
  <c r="E644" i="4"/>
  <c r="C644" i="4"/>
  <c r="F644" i="4"/>
  <c r="B645" i="4"/>
  <c r="F645" i="4"/>
  <c r="E645" i="4"/>
  <c r="D645" i="4"/>
  <c r="C645" i="4"/>
  <c r="D646" i="4"/>
  <c r="F646" i="4"/>
  <c r="B646" i="4"/>
  <c r="C646" i="4"/>
  <c r="E646" i="4"/>
  <c r="B647" i="4"/>
  <c r="F647" i="4"/>
  <c r="E647" i="4"/>
  <c r="C647" i="4"/>
  <c r="D647" i="4"/>
  <c r="D648" i="4"/>
  <c r="E648" i="4"/>
  <c r="B648" i="4"/>
  <c r="F648" i="4"/>
  <c r="C648" i="4"/>
  <c r="B649" i="4"/>
  <c r="F649" i="4"/>
  <c r="D649" i="4"/>
  <c r="C649" i="4"/>
  <c r="E649" i="4"/>
  <c r="D650" i="4"/>
  <c r="C650" i="4"/>
  <c r="E650" i="4"/>
  <c r="B650" i="4"/>
  <c r="F650" i="4"/>
  <c r="B651" i="4"/>
  <c r="F651" i="4"/>
  <c r="C651" i="4"/>
  <c r="E651" i="4"/>
  <c r="D651" i="4"/>
  <c r="D652" i="4"/>
  <c r="B652" i="4"/>
  <c r="F652" i="4"/>
  <c r="C652" i="4"/>
  <c r="E652" i="4"/>
  <c r="B653" i="4"/>
  <c r="F653" i="4"/>
  <c r="D653" i="4"/>
  <c r="E653" i="4"/>
  <c r="C653" i="4"/>
  <c r="D654" i="4"/>
  <c r="F654" i="4"/>
  <c r="B654" i="4"/>
  <c r="C654" i="4"/>
  <c r="E654" i="4"/>
  <c r="B655" i="4"/>
  <c r="F655" i="4"/>
  <c r="E655" i="4"/>
  <c r="C655" i="4"/>
  <c r="D655" i="4"/>
  <c r="D656" i="4"/>
  <c r="E656" i="4"/>
  <c r="C656" i="4"/>
  <c r="F656" i="4"/>
  <c r="B656" i="4"/>
  <c r="B657" i="4"/>
  <c r="F657" i="4"/>
  <c r="D657" i="4"/>
  <c r="E657" i="4"/>
  <c r="C657" i="4"/>
  <c r="D658" i="4"/>
  <c r="C658" i="4"/>
  <c r="F658" i="4"/>
  <c r="B658" i="4"/>
  <c r="E658" i="4"/>
  <c r="B659" i="4"/>
  <c r="F659" i="4"/>
  <c r="C659" i="4"/>
  <c r="E659" i="4"/>
  <c r="D659" i="4"/>
  <c r="D660" i="4"/>
  <c r="B660" i="4"/>
  <c r="C660" i="4"/>
  <c r="E660" i="4"/>
  <c r="F660" i="4"/>
  <c r="B661" i="4"/>
  <c r="F661" i="4"/>
  <c r="C661" i="4"/>
  <c r="D661" i="4"/>
  <c r="E661" i="4"/>
  <c r="D662" i="4"/>
  <c r="F662" i="4"/>
  <c r="C662" i="4"/>
  <c r="B662" i="4"/>
  <c r="E662" i="4"/>
  <c r="B663" i="4"/>
  <c r="F663" i="4"/>
  <c r="E663" i="4"/>
  <c r="D663" i="4"/>
  <c r="C663" i="4"/>
  <c r="D664" i="4"/>
  <c r="E664" i="4"/>
  <c r="F664" i="4"/>
  <c r="C664" i="4"/>
  <c r="B664" i="4"/>
  <c r="B665" i="4"/>
  <c r="F665" i="4"/>
  <c r="D665" i="4"/>
  <c r="C665" i="4"/>
  <c r="E665" i="4"/>
  <c r="D666" i="4"/>
  <c r="C666" i="4"/>
  <c r="B666" i="4"/>
  <c r="E666" i="4"/>
  <c r="F666" i="4"/>
  <c r="B667" i="4"/>
  <c r="F667" i="4"/>
  <c r="C667" i="4"/>
  <c r="E667" i="4"/>
  <c r="D667" i="4"/>
  <c r="D668" i="4"/>
  <c r="B668" i="4"/>
  <c r="C668" i="4"/>
  <c r="E668" i="4"/>
  <c r="F668" i="4"/>
  <c r="D670" i="4"/>
  <c r="F670" i="4"/>
  <c r="E670" i="4"/>
  <c r="B670" i="4"/>
  <c r="C670" i="4"/>
  <c r="B671" i="4"/>
  <c r="F671" i="4"/>
  <c r="E671" i="4"/>
  <c r="C671" i="4"/>
  <c r="D671" i="4"/>
  <c r="D672" i="4"/>
  <c r="E672" i="4"/>
  <c r="C672" i="4"/>
  <c r="F672" i="4"/>
  <c r="B672" i="4"/>
  <c r="B675" i="4"/>
  <c r="F675" i="4"/>
  <c r="C675" i="4"/>
  <c r="D675" i="4"/>
  <c r="E675" i="4"/>
  <c r="D676" i="4"/>
  <c r="B676" i="4"/>
  <c r="E676" i="4"/>
  <c r="C676" i="4"/>
  <c r="F676" i="4"/>
  <c r="B677" i="4"/>
  <c r="F677" i="4"/>
  <c r="E677" i="4"/>
  <c r="C677" i="4"/>
  <c r="D677" i="4"/>
  <c r="D678" i="4"/>
  <c r="F678" i="4"/>
  <c r="E678" i="4"/>
  <c r="B678" i="4"/>
  <c r="C678" i="4"/>
  <c r="B679" i="4"/>
  <c r="F679" i="4"/>
  <c r="E679" i="4"/>
  <c r="C679" i="4"/>
  <c r="D679" i="4"/>
  <c r="D680" i="4"/>
  <c r="E680" i="4"/>
  <c r="B680" i="4"/>
  <c r="C680" i="4"/>
  <c r="F680" i="4"/>
  <c r="B681" i="4"/>
  <c r="F681" i="4"/>
  <c r="D681" i="4"/>
  <c r="C681" i="4"/>
  <c r="E681" i="4"/>
  <c r="D684" i="4"/>
  <c r="B684" i="4"/>
  <c r="F684" i="4"/>
  <c r="C684" i="4"/>
  <c r="E684" i="4"/>
  <c r="B685" i="4"/>
  <c r="F685" i="4"/>
  <c r="C685" i="4"/>
  <c r="D685" i="4"/>
  <c r="E685" i="4"/>
  <c r="D686" i="4"/>
  <c r="F686" i="4"/>
  <c r="B686" i="4"/>
  <c r="E686" i="4"/>
  <c r="C686" i="4"/>
  <c r="B687" i="4"/>
  <c r="F687" i="4"/>
  <c r="E687" i="4"/>
  <c r="C687" i="4"/>
  <c r="D687" i="4"/>
  <c r="D688" i="4"/>
  <c r="E688" i="4"/>
  <c r="C688" i="4"/>
  <c r="B688" i="4"/>
  <c r="F688" i="4"/>
  <c r="B689" i="4"/>
  <c r="F689" i="4"/>
  <c r="D689" i="4"/>
  <c r="E689" i="4"/>
  <c r="C689" i="4"/>
  <c r="D690" i="4"/>
  <c r="C690" i="4"/>
  <c r="F690" i="4"/>
  <c r="B690" i="4"/>
  <c r="E690" i="4"/>
  <c r="B691" i="4"/>
  <c r="F691" i="4"/>
  <c r="C691" i="4"/>
  <c r="D691" i="4"/>
  <c r="E691" i="4"/>
  <c r="D692" i="4"/>
  <c r="B692" i="4"/>
  <c r="F692" i="4"/>
  <c r="C692" i="4"/>
  <c r="E692" i="4"/>
  <c r="B693" i="4"/>
  <c r="F693" i="4"/>
  <c r="C693" i="4"/>
  <c r="D693" i="4"/>
  <c r="E693" i="4"/>
  <c r="D694" i="4"/>
  <c r="F694" i="4"/>
  <c r="C694" i="4"/>
  <c r="E694" i="4"/>
  <c r="B694" i="4"/>
  <c r="B695" i="4"/>
  <c r="F695" i="4"/>
  <c r="E695" i="4"/>
  <c r="D695" i="4"/>
  <c r="C695" i="4"/>
  <c r="D696" i="4"/>
  <c r="E696" i="4"/>
  <c r="F696" i="4"/>
  <c r="B696" i="4"/>
  <c r="C696" i="4"/>
  <c r="B697" i="4"/>
  <c r="F697" i="4"/>
  <c r="D697" i="4"/>
  <c r="E697" i="4"/>
  <c r="C697" i="4"/>
  <c r="D698" i="4"/>
  <c r="C698" i="4"/>
  <c r="B698" i="4"/>
  <c r="E698" i="4"/>
  <c r="F698" i="4"/>
  <c r="B699" i="4"/>
  <c r="F699" i="4"/>
  <c r="C699" i="4"/>
  <c r="D699" i="4"/>
  <c r="E699" i="4"/>
  <c r="B701" i="4"/>
  <c r="F701" i="4"/>
  <c r="D701" i="4"/>
  <c r="C701" i="4"/>
  <c r="E701" i="4"/>
  <c r="B709" i="4"/>
  <c r="F709" i="4"/>
  <c r="E709" i="4"/>
  <c r="C709" i="4"/>
  <c r="D709" i="4"/>
  <c r="B713" i="4"/>
  <c r="F713" i="4"/>
  <c r="D713" i="4"/>
  <c r="C713" i="4"/>
  <c r="E713" i="4"/>
  <c r="B717" i="4"/>
  <c r="F717" i="4"/>
  <c r="C717" i="4"/>
  <c r="D717" i="4"/>
  <c r="E717" i="4"/>
  <c r="B721" i="4"/>
  <c r="F721" i="4"/>
  <c r="D721" i="4"/>
  <c r="E721" i="4"/>
  <c r="C721" i="4"/>
  <c r="B731" i="4"/>
  <c r="F731" i="4"/>
  <c r="C731" i="4"/>
  <c r="D731" i="4"/>
  <c r="E731" i="4"/>
  <c r="B735" i="4"/>
  <c r="F735" i="4"/>
  <c r="E735" i="4"/>
  <c r="D735" i="4"/>
  <c r="C735" i="4"/>
  <c r="B739" i="4"/>
  <c r="F739" i="4"/>
  <c r="C739" i="4"/>
  <c r="D739" i="4"/>
  <c r="E739" i="4"/>
  <c r="D744" i="4"/>
  <c r="E744" i="4"/>
  <c r="B744" i="4"/>
  <c r="C744" i="4"/>
  <c r="F744" i="4"/>
  <c r="B749" i="4"/>
  <c r="F749" i="4"/>
  <c r="E749" i="4"/>
  <c r="C749" i="4"/>
  <c r="D749" i="4"/>
  <c r="D754" i="4"/>
  <c r="C754" i="4"/>
  <c r="F754" i="4"/>
  <c r="E754" i="4"/>
  <c r="B754" i="4"/>
  <c r="D758" i="4"/>
  <c r="F758" i="4"/>
  <c r="C758" i="4"/>
  <c r="B758" i="4"/>
  <c r="E758" i="4"/>
  <c r="D762" i="4"/>
  <c r="C762" i="4"/>
  <c r="E762" i="4"/>
  <c r="F762" i="4"/>
  <c r="B762" i="4"/>
  <c r="D766" i="4"/>
  <c r="F766" i="4"/>
  <c r="E766" i="4"/>
  <c r="B766" i="4"/>
  <c r="C766" i="4"/>
  <c r="D770" i="4"/>
  <c r="C770" i="4"/>
  <c r="B770" i="4"/>
  <c r="E770" i="4"/>
  <c r="F770" i="4"/>
  <c r="D774" i="4"/>
  <c r="F774" i="4"/>
  <c r="B774" i="4"/>
  <c r="C774" i="4"/>
  <c r="E774" i="4"/>
  <c r="D778" i="4"/>
  <c r="C778" i="4"/>
  <c r="E778" i="4"/>
  <c r="B778" i="4"/>
  <c r="F778" i="4"/>
  <c r="D782" i="4"/>
  <c r="F782" i="4"/>
  <c r="B782" i="4"/>
  <c r="C782" i="4"/>
  <c r="E782" i="4"/>
  <c r="D786" i="4"/>
  <c r="C786" i="4"/>
  <c r="F786" i="4"/>
  <c r="B786" i="4"/>
  <c r="E786" i="4"/>
  <c r="D792" i="4"/>
  <c r="E792" i="4"/>
  <c r="F792" i="4"/>
  <c r="C792" i="4"/>
  <c r="B792" i="4"/>
  <c r="D796" i="4"/>
  <c r="B796" i="4"/>
  <c r="C796" i="4"/>
  <c r="E796" i="4"/>
  <c r="F796" i="4"/>
  <c r="D798" i="4"/>
  <c r="F798" i="4"/>
  <c r="E798" i="4"/>
  <c r="B798" i="4"/>
  <c r="C798" i="4"/>
  <c r="D800" i="4"/>
  <c r="E800" i="4"/>
  <c r="C800" i="4"/>
  <c r="F800" i="4"/>
  <c r="B800" i="4"/>
  <c r="D802" i="4"/>
  <c r="C802" i="4"/>
  <c r="B802" i="4"/>
  <c r="E802" i="4"/>
  <c r="F802" i="4"/>
  <c r="D804" i="4"/>
  <c r="B804" i="4"/>
  <c r="E804" i="4"/>
  <c r="C804" i="4"/>
  <c r="F804" i="4"/>
  <c r="D806" i="4"/>
  <c r="F806" i="4"/>
  <c r="E806" i="4"/>
  <c r="B806" i="4"/>
  <c r="C806" i="4"/>
  <c r="C808" i="4"/>
  <c r="F808" i="4"/>
  <c r="B808" i="4"/>
  <c r="D808" i="4"/>
  <c r="E808" i="4"/>
  <c r="C810" i="4"/>
  <c r="E810" i="4"/>
  <c r="D810" i="4"/>
  <c r="F810" i="4"/>
  <c r="B810" i="4"/>
  <c r="C812" i="4"/>
  <c r="D812" i="4"/>
  <c r="F812" i="4"/>
  <c r="B812" i="4"/>
  <c r="E812" i="4"/>
  <c r="C816" i="4"/>
  <c r="F816" i="4"/>
  <c r="D816" i="4"/>
  <c r="E816" i="4"/>
  <c r="B816" i="4"/>
  <c r="C818" i="4"/>
  <c r="E818" i="4"/>
  <c r="F818" i="4"/>
  <c r="B818" i="4"/>
  <c r="D818" i="4"/>
  <c r="C820" i="4"/>
  <c r="D820" i="4"/>
  <c r="B820" i="4"/>
  <c r="E820" i="4"/>
  <c r="F820" i="4"/>
  <c r="C822" i="4"/>
  <c r="B822" i="4"/>
  <c r="D822" i="4"/>
  <c r="E822" i="4"/>
  <c r="F822" i="4"/>
  <c r="C824" i="4"/>
  <c r="F824" i="4"/>
  <c r="E824" i="4"/>
  <c r="B824" i="4"/>
  <c r="D824" i="4"/>
  <c r="E827" i="4"/>
  <c r="D827" i="4"/>
  <c r="B827" i="4"/>
  <c r="C827" i="4"/>
  <c r="F827" i="4"/>
  <c r="C830" i="4"/>
  <c r="B830" i="4"/>
  <c r="E830" i="4"/>
  <c r="F830" i="4"/>
  <c r="D830" i="4"/>
  <c r="C832" i="4"/>
  <c r="F832" i="4"/>
  <c r="B832" i="4"/>
  <c r="D832" i="4"/>
  <c r="E832" i="4"/>
  <c r="C834" i="4"/>
  <c r="E834" i="4"/>
  <c r="B834" i="4"/>
  <c r="D834" i="4"/>
  <c r="F834" i="4"/>
  <c r="E837" i="4"/>
  <c r="C837" i="4"/>
  <c r="F837" i="4"/>
  <c r="B837" i="4"/>
  <c r="D837" i="4"/>
  <c r="C840" i="4"/>
  <c r="F840" i="4"/>
  <c r="B840" i="4"/>
  <c r="D840" i="4"/>
  <c r="E840" i="4"/>
  <c r="C842" i="4"/>
  <c r="E842" i="4"/>
  <c r="D842" i="4"/>
  <c r="B842" i="4"/>
  <c r="F842" i="4"/>
  <c r="C844" i="4"/>
  <c r="D844" i="4"/>
  <c r="F844" i="4"/>
  <c r="B844" i="4"/>
  <c r="E844" i="4"/>
  <c r="C846" i="4"/>
  <c r="B846" i="4"/>
  <c r="E846" i="4"/>
  <c r="F846" i="4"/>
  <c r="D846" i="4"/>
  <c r="C848" i="4"/>
  <c r="F848" i="4"/>
  <c r="D848" i="4"/>
  <c r="B848" i="4"/>
  <c r="E848" i="4"/>
  <c r="C850" i="4"/>
  <c r="E850" i="4"/>
  <c r="F850" i="4"/>
  <c r="B850" i="4"/>
  <c r="D850" i="4"/>
  <c r="C852" i="4"/>
  <c r="D852" i="4"/>
  <c r="F852" i="4"/>
  <c r="B852" i="4"/>
  <c r="E852" i="4"/>
  <c r="C854" i="4"/>
  <c r="B854" i="4"/>
  <c r="D854" i="4"/>
  <c r="E854" i="4"/>
  <c r="F854" i="4"/>
  <c r="C856" i="4"/>
  <c r="F856" i="4"/>
  <c r="E856" i="4"/>
  <c r="B856" i="4"/>
  <c r="D856" i="4"/>
  <c r="C858" i="4"/>
  <c r="E858" i="4"/>
  <c r="B858" i="4"/>
  <c r="D858" i="4"/>
  <c r="F858" i="4"/>
  <c r="C860" i="4"/>
  <c r="D860" i="4"/>
  <c r="B860" i="4"/>
  <c r="F860" i="4"/>
  <c r="E860" i="4"/>
  <c r="C862" i="4"/>
  <c r="B862" i="4"/>
  <c r="E862" i="4"/>
  <c r="D862" i="4"/>
  <c r="F862" i="4"/>
  <c r="C864" i="4"/>
  <c r="F864" i="4"/>
  <c r="B864" i="4"/>
  <c r="D864" i="4"/>
  <c r="E864" i="4"/>
  <c r="C866" i="4"/>
  <c r="E866" i="4"/>
  <c r="B866" i="4"/>
  <c r="D866" i="4"/>
  <c r="F866" i="4"/>
  <c r="C868" i="4"/>
  <c r="D868" i="4"/>
  <c r="E868" i="4"/>
  <c r="F868" i="4"/>
  <c r="B868" i="4"/>
  <c r="E871" i="4"/>
  <c r="B871" i="4"/>
  <c r="F871" i="4"/>
  <c r="C871" i="4"/>
  <c r="D871" i="4"/>
  <c r="E873" i="4"/>
  <c r="F873" i="4"/>
  <c r="C873" i="4"/>
  <c r="D873" i="4"/>
  <c r="B873" i="4"/>
  <c r="C876" i="4"/>
  <c r="D876" i="4"/>
  <c r="F876" i="4"/>
  <c r="E876" i="4"/>
  <c r="B876" i="4"/>
  <c r="C878" i="4"/>
  <c r="B878" i="4"/>
  <c r="D878" i="4"/>
  <c r="E878" i="4"/>
  <c r="F878" i="4"/>
  <c r="C882" i="4"/>
  <c r="E882" i="4"/>
  <c r="F882" i="4"/>
  <c r="B882" i="4"/>
  <c r="D882" i="4"/>
  <c r="C884" i="4"/>
  <c r="D884" i="4"/>
  <c r="E884" i="4"/>
  <c r="F884" i="4"/>
  <c r="B884" i="4"/>
  <c r="C886" i="4"/>
  <c r="B886" i="4"/>
  <c r="D886" i="4"/>
  <c r="E886" i="4"/>
  <c r="F886" i="4"/>
  <c r="C888" i="4"/>
  <c r="F888" i="4"/>
  <c r="E888" i="4"/>
  <c r="B888" i="4"/>
  <c r="D888" i="4"/>
  <c r="C890" i="4"/>
  <c r="E890" i="4"/>
  <c r="F890" i="4"/>
  <c r="B890" i="4"/>
  <c r="D890" i="4"/>
  <c r="C892" i="4"/>
  <c r="D892" i="4"/>
  <c r="B892" i="4"/>
  <c r="E892" i="4"/>
  <c r="F892" i="4"/>
  <c r="C894" i="4"/>
  <c r="B894" i="4"/>
  <c r="E894" i="4"/>
  <c r="D894" i="4"/>
  <c r="F894" i="4"/>
  <c r="C896" i="4"/>
  <c r="F896" i="4"/>
  <c r="B896" i="4"/>
  <c r="D896" i="4"/>
  <c r="E896" i="4"/>
  <c r="C898" i="4"/>
  <c r="E898" i="4"/>
  <c r="B898" i="4"/>
  <c r="F898" i="4"/>
  <c r="D898" i="4"/>
  <c r="C900" i="4"/>
  <c r="D900" i="4"/>
  <c r="E900" i="4"/>
  <c r="B900" i="4"/>
  <c r="F900" i="4"/>
  <c r="E903" i="4"/>
  <c r="B903" i="4"/>
  <c r="D903" i="4"/>
  <c r="F903" i="4"/>
  <c r="C903" i="4"/>
  <c r="C906" i="4"/>
  <c r="E906" i="4"/>
  <c r="D906" i="4"/>
  <c r="F906" i="4"/>
  <c r="B906" i="4"/>
  <c r="C908" i="4"/>
  <c r="D908" i="4"/>
  <c r="F908" i="4"/>
  <c r="B908" i="4"/>
  <c r="E908" i="4"/>
  <c r="C910" i="4"/>
  <c r="B910" i="4"/>
  <c r="D910" i="4"/>
  <c r="E910" i="4"/>
  <c r="F910" i="4"/>
  <c r="C912" i="4"/>
  <c r="F912" i="4"/>
  <c r="D912" i="4"/>
  <c r="B912" i="4"/>
  <c r="E912" i="4"/>
  <c r="C914" i="4"/>
  <c r="E914" i="4"/>
  <c r="F914" i="4"/>
  <c r="D914" i="4"/>
  <c r="B914" i="4"/>
  <c r="C916" i="4"/>
  <c r="D916" i="4"/>
  <c r="B916" i="4"/>
  <c r="E916" i="4"/>
  <c r="F916" i="4"/>
  <c r="E919" i="4"/>
  <c r="B919" i="4"/>
  <c r="D919" i="4"/>
  <c r="C919" i="4"/>
  <c r="F919" i="4"/>
  <c r="E921" i="4"/>
  <c r="F921" i="4"/>
  <c r="B921" i="4"/>
  <c r="C921" i="4"/>
  <c r="D921" i="4"/>
  <c r="E923" i="4"/>
  <c r="D923" i="4"/>
  <c r="B923" i="4"/>
  <c r="C923" i="4"/>
  <c r="F923" i="4"/>
  <c r="C926" i="4"/>
  <c r="B926" i="4"/>
  <c r="E926" i="4"/>
  <c r="D926" i="4"/>
  <c r="F926" i="4"/>
  <c r="C928" i="4"/>
  <c r="F928" i="4"/>
  <c r="E928" i="4"/>
  <c r="B928" i="4"/>
  <c r="D928" i="4"/>
  <c r="C930" i="4"/>
  <c r="E930" i="4"/>
  <c r="B930" i="4"/>
  <c r="D930" i="4"/>
  <c r="F930" i="4"/>
  <c r="C932" i="4"/>
  <c r="D932" i="4"/>
  <c r="E932" i="4"/>
  <c r="B932" i="4"/>
  <c r="F932" i="4"/>
  <c r="E935" i="4"/>
  <c r="B935" i="4"/>
  <c r="C935" i="4"/>
  <c r="D935" i="4"/>
  <c r="F935" i="4"/>
  <c r="E941" i="4"/>
  <c r="C941" i="4"/>
  <c r="D941" i="4"/>
  <c r="F941" i="4"/>
  <c r="B941" i="4"/>
  <c r="E943" i="4"/>
  <c r="B943" i="4"/>
  <c r="C943" i="4"/>
  <c r="D943" i="4"/>
  <c r="F943" i="4"/>
  <c r="E945" i="4"/>
  <c r="F945" i="4"/>
  <c r="D945" i="4"/>
  <c r="B945" i="4"/>
  <c r="C945" i="4"/>
  <c r="E947" i="4"/>
  <c r="D947" i="4"/>
  <c r="F947" i="4"/>
  <c r="B947" i="4"/>
  <c r="C947" i="4"/>
  <c r="E949" i="4"/>
  <c r="C949" i="4"/>
  <c r="B949" i="4"/>
  <c r="D949" i="4"/>
  <c r="F949" i="4"/>
  <c r="E951" i="4"/>
  <c r="B951" i="4"/>
  <c r="D951" i="4"/>
  <c r="C951" i="4"/>
  <c r="F951" i="4"/>
  <c r="C954" i="4"/>
  <c r="E954" i="4"/>
  <c r="B954" i="4"/>
  <c r="D954" i="4"/>
  <c r="F954" i="4"/>
  <c r="C956" i="4"/>
  <c r="D956" i="4"/>
  <c r="B956" i="4"/>
  <c r="E956" i="4"/>
  <c r="F956" i="4"/>
  <c r="C958" i="4"/>
  <c r="B958" i="4"/>
  <c r="E958" i="4"/>
  <c r="F958" i="4"/>
  <c r="D958" i="4"/>
  <c r="C960" i="4"/>
  <c r="F960" i="4"/>
  <c r="D960" i="4"/>
  <c r="E960" i="4"/>
  <c r="B960" i="4"/>
  <c r="C962" i="4"/>
  <c r="E962" i="4"/>
  <c r="B962" i="4"/>
  <c r="D962" i="4"/>
  <c r="F962" i="4"/>
  <c r="C964" i="4"/>
  <c r="D964" i="4"/>
  <c r="E964" i="4"/>
  <c r="B964" i="4"/>
  <c r="F964" i="4"/>
  <c r="C966" i="4"/>
  <c r="B966" i="4"/>
  <c r="F966" i="4"/>
  <c r="E966" i="4"/>
  <c r="D966" i="4"/>
  <c r="E969" i="4"/>
  <c r="F969" i="4"/>
  <c r="C969" i="4"/>
  <c r="B969" i="4"/>
  <c r="D969" i="4"/>
  <c r="E971" i="4"/>
  <c r="D971" i="4"/>
  <c r="F971" i="4"/>
  <c r="C971" i="4"/>
  <c r="B971" i="4"/>
  <c r="E973" i="4"/>
  <c r="C973" i="4"/>
  <c r="B973" i="4"/>
  <c r="D973" i="4"/>
  <c r="F973" i="4"/>
  <c r="E975" i="4"/>
  <c r="B975" i="4"/>
  <c r="C975" i="4"/>
  <c r="D975" i="4"/>
  <c r="F975" i="4"/>
  <c r="E977" i="4"/>
  <c r="F977" i="4"/>
  <c r="D977" i="4"/>
  <c r="B977" i="4"/>
  <c r="C977" i="4"/>
  <c r="C980" i="4"/>
  <c r="D980" i="4"/>
  <c r="F980" i="4"/>
  <c r="B980" i="4"/>
  <c r="E980" i="4"/>
  <c r="E983" i="4"/>
  <c r="B983" i="4"/>
  <c r="D983" i="4"/>
  <c r="C983" i="4"/>
  <c r="F983" i="4"/>
  <c r="E985" i="4"/>
  <c r="F985" i="4"/>
  <c r="D985" i="4"/>
  <c r="B985" i="4"/>
  <c r="C985" i="4"/>
  <c r="E987" i="4"/>
  <c r="D987" i="4"/>
  <c r="B987" i="4"/>
  <c r="C987" i="4"/>
  <c r="F987" i="4"/>
  <c r="E989" i="4"/>
  <c r="C989" i="4"/>
  <c r="D989" i="4"/>
  <c r="B989" i="4"/>
  <c r="F989" i="4"/>
  <c r="E991" i="4"/>
  <c r="B991" i="4"/>
  <c r="F991" i="4"/>
  <c r="C991" i="4"/>
  <c r="D991" i="4"/>
  <c r="E993" i="4"/>
  <c r="F993" i="4"/>
  <c r="B993" i="4"/>
  <c r="D993" i="4"/>
  <c r="C993" i="4"/>
  <c r="E995" i="4"/>
  <c r="D995" i="4"/>
  <c r="C995" i="4"/>
  <c r="B995" i="4"/>
  <c r="F995" i="4"/>
  <c r="E997" i="4"/>
  <c r="C997" i="4"/>
  <c r="F997" i="4"/>
  <c r="B997" i="4"/>
  <c r="D997" i="4"/>
  <c r="E999" i="4"/>
  <c r="B999" i="4"/>
  <c r="F999" i="4"/>
  <c r="C999" i="4"/>
  <c r="D999" i="4"/>
  <c r="E1001" i="4"/>
  <c r="F1001" i="4"/>
  <c r="C1001" i="4"/>
  <c r="D1001" i="4"/>
  <c r="B1001" i="4"/>
  <c r="E1003" i="4"/>
  <c r="D1003" i="4"/>
  <c r="F1003" i="4"/>
  <c r="B1003" i="4"/>
  <c r="C1003" i="4"/>
  <c r="E1005" i="4"/>
  <c r="C1005" i="4"/>
  <c r="B1005" i="4"/>
  <c r="D1005" i="4"/>
  <c r="F1005" i="4"/>
  <c r="E1007" i="4"/>
  <c r="B1007" i="4"/>
  <c r="C1007" i="4"/>
  <c r="D1007" i="4"/>
  <c r="F1007" i="4"/>
  <c r="E1009" i="4"/>
  <c r="F1009" i="4"/>
  <c r="D1009" i="4"/>
  <c r="B1009" i="4"/>
  <c r="C1009" i="4"/>
  <c r="E1011" i="4"/>
  <c r="D1011" i="4"/>
  <c r="B1011" i="4"/>
  <c r="C1011" i="4"/>
  <c r="F1011" i="4"/>
  <c r="E1013" i="4"/>
  <c r="C1013" i="4"/>
  <c r="B1013" i="4"/>
  <c r="D1013" i="4"/>
  <c r="F1013" i="4"/>
  <c r="E1015" i="4"/>
  <c r="B1015" i="4"/>
  <c r="D1015" i="4"/>
  <c r="F1015" i="4"/>
  <c r="C1015" i="4"/>
  <c r="E1017" i="4"/>
  <c r="F1017" i="4"/>
  <c r="B1017" i="4"/>
  <c r="C1017" i="4"/>
  <c r="D1017" i="4"/>
  <c r="E1019" i="4"/>
  <c r="D1019" i="4"/>
  <c r="B1019" i="4"/>
  <c r="C1019" i="4"/>
  <c r="F1019" i="4"/>
  <c r="E1023" i="4"/>
  <c r="B1023" i="4"/>
  <c r="F1023" i="4"/>
  <c r="C1023" i="4"/>
  <c r="D1023" i="4"/>
  <c r="E1027" i="4"/>
  <c r="D1027" i="4"/>
  <c r="C1027" i="4"/>
  <c r="F1027" i="4"/>
  <c r="B1027" i="4"/>
  <c r="C1030" i="4"/>
  <c r="B1030" i="4"/>
  <c r="F1030" i="4"/>
  <c r="D1030" i="4"/>
  <c r="E1030" i="4"/>
  <c r="E1033" i="4"/>
  <c r="F1033" i="4"/>
  <c r="C1033" i="4"/>
  <c r="D1033" i="4"/>
  <c r="B1033" i="4"/>
  <c r="E1035" i="4"/>
  <c r="D1035" i="4"/>
  <c r="F1035" i="4"/>
  <c r="B1035" i="4"/>
  <c r="C1035" i="4"/>
  <c r="E1039" i="4"/>
  <c r="B1039" i="4"/>
  <c r="C1039" i="4"/>
  <c r="D1039" i="4"/>
  <c r="F1039" i="4"/>
  <c r="E1041" i="4"/>
  <c r="F1041" i="4"/>
  <c r="D1041" i="4"/>
  <c r="B1041" i="4"/>
  <c r="C1041" i="4"/>
  <c r="E1043" i="4"/>
  <c r="D1043" i="4"/>
  <c r="B1043" i="4"/>
  <c r="C1043" i="4"/>
  <c r="F1043" i="4"/>
  <c r="E1045" i="4"/>
  <c r="C1045" i="4"/>
  <c r="B1045" i="4"/>
  <c r="D1045" i="4"/>
  <c r="F1045" i="4"/>
  <c r="E1047" i="4"/>
  <c r="B1047" i="4"/>
  <c r="D1047" i="4"/>
  <c r="F1047" i="4"/>
  <c r="C1047" i="4"/>
  <c r="C1050" i="4"/>
  <c r="E1050" i="4"/>
  <c r="B1050" i="4"/>
  <c r="D1050" i="4"/>
  <c r="F1050" i="4"/>
  <c r="E1053" i="4"/>
  <c r="C1053" i="4"/>
  <c r="D1053" i="4"/>
  <c r="F1053" i="4"/>
  <c r="B1053" i="4"/>
  <c r="E1055" i="4"/>
  <c r="B1055" i="4"/>
  <c r="F1055" i="4"/>
  <c r="C1055" i="4"/>
  <c r="D1055" i="4"/>
  <c r="E1057" i="4"/>
  <c r="F1057" i="4"/>
  <c r="B1057" i="4"/>
  <c r="C1057" i="4"/>
  <c r="D1057" i="4"/>
  <c r="E1059" i="4"/>
  <c r="D1059" i="4"/>
  <c r="C1059" i="4"/>
  <c r="F1059" i="4"/>
  <c r="B1059" i="4"/>
  <c r="C1062" i="4"/>
  <c r="B1062" i="4"/>
  <c r="F1062" i="4"/>
  <c r="D1062" i="4"/>
  <c r="E1062" i="4"/>
  <c r="C1064" i="4"/>
  <c r="F1064" i="4"/>
  <c r="B1064" i="4"/>
  <c r="D1064" i="4"/>
  <c r="E1064" i="4"/>
  <c r="C1066" i="4"/>
  <c r="E1066" i="4"/>
  <c r="D1066" i="4"/>
  <c r="F1066" i="4"/>
  <c r="B1066" i="4"/>
  <c r="E1069" i="4"/>
  <c r="C1069" i="4"/>
  <c r="B1069" i="4"/>
  <c r="D1069" i="4"/>
  <c r="F1069" i="4"/>
  <c r="E1473" i="4"/>
  <c r="F1473" i="4"/>
  <c r="B1473" i="4"/>
  <c r="C1473" i="4"/>
  <c r="D1473" i="4"/>
  <c r="E1477" i="4"/>
  <c r="C1477" i="4"/>
  <c r="D1477" i="4"/>
  <c r="B1477" i="4"/>
  <c r="F1477" i="4"/>
  <c r="E1481" i="4"/>
  <c r="F1481" i="4"/>
  <c r="B1481" i="4"/>
  <c r="D1481" i="4"/>
  <c r="C1481" i="4"/>
  <c r="E1485" i="4"/>
  <c r="C1485" i="4"/>
  <c r="D1485" i="4"/>
  <c r="B1485" i="4"/>
  <c r="F1485" i="4"/>
  <c r="E1489" i="4"/>
  <c r="F1489" i="4"/>
  <c r="B1489" i="4"/>
  <c r="C1489" i="4"/>
  <c r="D1489" i="4"/>
  <c r="E1493" i="4"/>
  <c r="C1493" i="4"/>
  <c r="D1493" i="4"/>
  <c r="B1493" i="4"/>
  <c r="F1493" i="4"/>
  <c r="E1497" i="4"/>
  <c r="F1497" i="4"/>
  <c r="B1497" i="4"/>
  <c r="D1497" i="4"/>
  <c r="C1497" i="4"/>
  <c r="E1501" i="4"/>
  <c r="C1501" i="4"/>
  <c r="D1501" i="4"/>
  <c r="B1501" i="4"/>
  <c r="F1501" i="4"/>
  <c r="E1505" i="4"/>
  <c r="F1505" i="4"/>
  <c r="B1505" i="4"/>
  <c r="C1505" i="4"/>
  <c r="D1505" i="4"/>
  <c r="E1509" i="4"/>
  <c r="C1509" i="4"/>
  <c r="D1509" i="4"/>
  <c r="B1509" i="4"/>
  <c r="F1509" i="4"/>
  <c r="E1513" i="4"/>
  <c r="F1513" i="4"/>
  <c r="B1513" i="4"/>
  <c r="D1513" i="4"/>
  <c r="C1513" i="4"/>
  <c r="B1517" i="4"/>
  <c r="F1517" i="4"/>
  <c r="E1517" i="4"/>
  <c r="C1517" i="4"/>
  <c r="D1517" i="4"/>
  <c r="B1521" i="4"/>
  <c r="F1521" i="4"/>
  <c r="C1521" i="4"/>
  <c r="D1521" i="4"/>
  <c r="E1521" i="4"/>
  <c r="B1525" i="4"/>
  <c r="F1525" i="4"/>
  <c r="E1525" i="4"/>
  <c r="C1525" i="4"/>
  <c r="D1525" i="4"/>
  <c r="B1529" i="4"/>
  <c r="F1529" i="4"/>
  <c r="C1529" i="4"/>
  <c r="D1529" i="4"/>
  <c r="E1529" i="4"/>
  <c r="B1533" i="4"/>
  <c r="F1533" i="4"/>
  <c r="E1533" i="4"/>
  <c r="C1533" i="4"/>
  <c r="D1533" i="4"/>
  <c r="B1537" i="4"/>
  <c r="F1537" i="4"/>
  <c r="C1537" i="4"/>
  <c r="D1537" i="4"/>
  <c r="E1537" i="4"/>
  <c r="B1541" i="4"/>
  <c r="F1541" i="4"/>
  <c r="E1541" i="4"/>
  <c r="C1541" i="4"/>
  <c r="D1541" i="4"/>
  <c r="D1545" i="4"/>
  <c r="E1545" i="4"/>
  <c r="F1545" i="4"/>
  <c r="B1545" i="4"/>
  <c r="C1545" i="4"/>
  <c r="D1549" i="4"/>
  <c r="E1549" i="4"/>
  <c r="F1549" i="4"/>
  <c r="B1549" i="4"/>
  <c r="C1549" i="4"/>
  <c r="D1553" i="4"/>
  <c r="E1553" i="4"/>
  <c r="F1553" i="4"/>
  <c r="B1553" i="4"/>
  <c r="C1553" i="4"/>
  <c r="D1557" i="4"/>
  <c r="E1557" i="4"/>
  <c r="F1557" i="4"/>
  <c r="B1557" i="4"/>
  <c r="C1557" i="4"/>
  <c r="D1561" i="4"/>
  <c r="E1561" i="4"/>
  <c r="F1561" i="4"/>
  <c r="B1561" i="4"/>
  <c r="C1561" i="4"/>
  <c r="D1565" i="4"/>
  <c r="E1565" i="4"/>
  <c r="F1565" i="4"/>
  <c r="B1565" i="4"/>
  <c r="C1565" i="4"/>
  <c r="D1569" i="4"/>
  <c r="E1569" i="4"/>
  <c r="F1569" i="4"/>
  <c r="B1569" i="4"/>
  <c r="C1569" i="4"/>
  <c r="D1573" i="4"/>
  <c r="E1573" i="4"/>
  <c r="F1573" i="4"/>
  <c r="B1573" i="4"/>
  <c r="C1573" i="4"/>
  <c r="D1577" i="4"/>
  <c r="E1577" i="4"/>
  <c r="F1577" i="4"/>
  <c r="B1577" i="4"/>
  <c r="C1577" i="4"/>
  <c r="D1581" i="4"/>
  <c r="E1581" i="4"/>
  <c r="F1581" i="4"/>
  <c r="B1581" i="4"/>
  <c r="C1581" i="4"/>
  <c r="D1585" i="4"/>
  <c r="E1585" i="4"/>
  <c r="F1585" i="4"/>
  <c r="B1585" i="4"/>
  <c r="C1585" i="4"/>
  <c r="D1589" i="4"/>
  <c r="E1589" i="4"/>
  <c r="F1589" i="4"/>
  <c r="B1589" i="4"/>
  <c r="C1589" i="4"/>
  <c r="D1593" i="4"/>
  <c r="E1593" i="4"/>
  <c r="F1593" i="4"/>
  <c r="B1593" i="4"/>
  <c r="C1593" i="4"/>
  <c r="D1597" i="4"/>
  <c r="E1597" i="4"/>
  <c r="F1597" i="4"/>
  <c r="B1597" i="4"/>
  <c r="C1597" i="4"/>
  <c r="D1601" i="4"/>
  <c r="E1601" i="4"/>
  <c r="F1601" i="4"/>
  <c r="B1601" i="4"/>
  <c r="C1601" i="4"/>
  <c r="D1605" i="4"/>
  <c r="E1605" i="4"/>
  <c r="F1605" i="4"/>
  <c r="B1605" i="4"/>
  <c r="C1605" i="4"/>
  <c r="D1609" i="4"/>
  <c r="E1609" i="4"/>
  <c r="F1609" i="4"/>
  <c r="B1609" i="4"/>
  <c r="C1609" i="4"/>
  <c r="D1613" i="4"/>
  <c r="E1613" i="4"/>
  <c r="F1613" i="4"/>
  <c r="B1613" i="4"/>
  <c r="C1613" i="4"/>
  <c r="D1617" i="4"/>
  <c r="E1617" i="4"/>
  <c r="F1617" i="4"/>
  <c r="B1617" i="4"/>
  <c r="C1617" i="4"/>
  <c r="D1621" i="4"/>
  <c r="E1621" i="4"/>
  <c r="F1621" i="4"/>
  <c r="B1621" i="4"/>
  <c r="C1621" i="4"/>
  <c r="D1625" i="4"/>
  <c r="E1625" i="4"/>
  <c r="F1625" i="4"/>
  <c r="B1625" i="4"/>
  <c r="C1625" i="4"/>
  <c r="D1629" i="4"/>
  <c r="E1629" i="4"/>
  <c r="F1629" i="4"/>
  <c r="B1629" i="4"/>
  <c r="C1629" i="4"/>
  <c r="D1633" i="4"/>
  <c r="E1633" i="4"/>
  <c r="F1633" i="4"/>
  <c r="B1633" i="4"/>
  <c r="C1633" i="4"/>
  <c r="D1637" i="4"/>
  <c r="E1637" i="4"/>
  <c r="F1637" i="4"/>
  <c r="B1637" i="4"/>
  <c r="C1637" i="4"/>
  <c r="D1641" i="4"/>
  <c r="E1641" i="4"/>
  <c r="F1641" i="4"/>
  <c r="B1641" i="4"/>
  <c r="C1641" i="4"/>
  <c r="D1645" i="4"/>
  <c r="E1645" i="4"/>
  <c r="F1645" i="4"/>
  <c r="B1645" i="4"/>
  <c r="C1645" i="4"/>
  <c r="D1649" i="4"/>
  <c r="E1649" i="4"/>
  <c r="F1649" i="4"/>
  <c r="B1649" i="4"/>
  <c r="C1649" i="4"/>
  <c r="D1653" i="4"/>
  <c r="E1653" i="4"/>
  <c r="F1653" i="4"/>
  <c r="B1653" i="4"/>
  <c r="C1653" i="4"/>
  <c r="D1657" i="4"/>
  <c r="E1657" i="4"/>
  <c r="F1657" i="4"/>
  <c r="B1657" i="4"/>
  <c r="C1657" i="4"/>
  <c r="D1661" i="4"/>
  <c r="E1661" i="4"/>
  <c r="F1661" i="4"/>
  <c r="B1661" i="4"/>
  <c r="C1661" i="4"/>
  <c r="D1665" i="4"/>
  <c r="E1665" i="4"/>
  <c r="F1665" i="4"/>
  <c r="B1665" i="4"/>
  <c r="C1665" i="4"/>
  <c r="D1669" i="4"/>
  <c r="E1669" i="4"/>
  <c r="F1669" i="4"/>
  <c r="B1669" i="4"/>
  <c r="C1669" i="4"/>
  <c r="D1673" i="4"/>
  <c r="E1673" i="4"/>
  <c r="F1673" i="4"/>
  <c r="B1673" i="4"/>
  <c r="C1673" i="4"/>
  <c r="D1677" i="4"/>
  <c r="E1677" i="4"/>
  <c r="F1677" i="4"/>
  <c r="B1677" i="4"/>
  <c r="C1677" i="4"/>
  <c r="D1681" i="4"/>
  <c r="E1681" i="4"/>
  <c r="F1681" i="4"/>
  <c r="B1681" i="4"/>
  <c r="C1681" i="4"/>
  <c r="D1685" i="4"/>
  <c r="E1685" i="4"/>
  <c r="F1685" i="4"/>
  <c r="B1685" i="4"/>
  <c r="C1685" i="4"/>
  <c r="D1689" i="4"/>
  <c r="E1689" i="4"/>
  <c r="F1689" i="4"/>
  <c r="B1689" i="4"/>
  <c r="C1689" i="4"/>
  <c r="D1693" i="4"/>
  <c r="E1693" i="4"/>
  <c r="F1693" i="4"/>
  <c r="B1693" i="4"/>
  <c r="C1693" i="4"/>
  <c r="D1697" i="4"/>
  <c r="E1697" i="4"/>
  <c r="F1697" i="4"/>
  <c r="B1697" i="4"/>
  <c r="C1697" i="4"/>
  <c r="D1701" i="4"/>
  <c r="E1701" i="4"/>
  <c r="F1701" i="4"/>
  <c r="B1701" i="4"/>
  <c r="C1701" i="4"/>
  <c r="D1705" i="4"/>
  <c r="E1705" i="4"/>
  <c r="F1705" i="4"/>
  <c r="B1705" i="4"/>
  <c r="C1705" i="4"/>
  <c r="D1709" i="4"/>
  <c r="E1709" i="4"/>
  <c r="F1709" i="4"/>
  <c r="B1709" i="4"/>
  <c r="C1709" i="4"/>
  <c r="D1713" i="4"/>
  <c r="E1713" i="4"/>
  <c r="F1713" i="4"/>
  <c r="B1713" i="4"/>
  <c r="C1713" i="4"/>
  <c r="D1717" i="4"/>
  <c r="E1717" i="4"/>
  <c r="F1717" i="4"/>
  <c r="B1717" i="4"/>
  <c r="C1717" i="4"/>
  <c r="D1721" i="4"/>
  <c r="E1721" i="4"/>
  <c r="F1721" i="4"/>
  <c r="B1721" i="4"/>
  <c r="C1721" i="4"/>
  <c r="D1725" i="4"/>
  <c r="E1725" i="4"/>
  <c r="F1725" i="4"/>
  <c r="B1725" i="4"/>
  <c r="C1725" i="4"/>
  <c r="D1729" i="4"/>
  <c r="E1729" i="4"/>
  <c r="F1729" i="4"/>
  <c r="B1729" i="4"/>
  <c r="C1729" i="4"/>
  <c r="D1733" i="4"/>
  <c r="E1733" i="4"/>
  <c r="F1733" i="4"/>
  <c r="B1733" i="4"/>
  <c r="C1733" i="4"/>
  <c r="D1737" i="4"/>
  <c r="E1737" i="4"/>
  <c r="F1737" i="4"/>
  <c r="B1737" i="4"/>
  <c r="C1737" i="4"/>
  <c r="D1741" i="4"/>
  <c r="E1741" i="4"/>
  <c r="F1741" i="4"/>
  <c r="B1741" i="4"/>
  <c r="C1741" i="4"/>
  <c r="D1745" i="4"/>
  <c r="E1745" i="4"/>
  <c r="F1745" i="4"/>
  <c r="B1745" i="4"/>
  <c r="C1745" i="4"/>
  <c r="D1749" i="4"/>
  <c r="E1749" i="4"/>
  <c r="F1749" i="4"/>
  <c r="B1749" i="4"/>
  <c r="C1749" i="4"/>
  <c r="D1753" i="4"/>
  <c r="E1753" i="4"/>
  <c r="F1753" i="4"/>
  <c r="B1753" i="4"/>
  <c r="C1753" i="4"/>
  <c r="D1757" i="4"/>
  <c r="E1757" i="4"/>
  <c r="F1757" i="4"/>
  <c r="B1757" i="4"/>
  <c r="C1757" i="4"/>
  <c r="D1761" i="4"/>
  <c r="E1761" i="4"/>
  <c r="F1761" i="4"/>
  <c r="B1761" i="4"/>
  <c r="C1761" i="4"/>
  <c r="D1765" i="4"/>
  <c r="E1765" i="4"/>
  <c r="F1765" i="4"/>
  <c r="B1765" i="4"/>
  <c r="C1765" i="4"/>
  <c r="D1769" i="4"/>
  <c r="E1769" i="4"/>
  <c r="F1769" i="4"/>
  <c r="B1769" i="4"/>
  <c r="C1769" i="4"/>
  <c r="D1773" i="4"/>
  <c r="E1773" i="4"/>
  <c r="F1773" i="4"/>
  <c r="B1773" i="4"/>
  <c r="C1773" i="4"/>
  <c r="D1777" i="4"/>
  <c r="E1777" i="4"/>
  <c r="F1777" i="4"/>
  <c r="B1777" i="4"/>
  <c r="C1777" i="4"/>
  <c r="D1781" i="4"/>
  <c r="E1781" i="4"/>
  <c r="F1781" i="4"/>
  <c r="B1781" i="4"/>
  <c r="C1781" i="4"/>
  <c r="D1785" i="4"/>
  <c r="E1785" i="4"/>
  <c r="F1785" i="4"/>
  <c r="B1785" i="4"/>
  <c r="C1785" i="4"/>
  <c r="D1789" i="4"/>
  <c r="E1789" i="4"/>
  <c r="F1789" i="4"/>
  <c r="B1789" i="4"/>
  <c r="C1789" i="4"/>
  <c r="D1793" i="4"/>
  <c r="E1793" i="4"/>
  <c r="F1793" i="4"/>
  <c r="B1793" i="4"/>
  <c r="C1793" i="4"/>
  <c r="D1797" i="4"/>
  <c r="E1797" i="4"/>
  <c r="F1797" i="4"/>
  <c r="B1797" i="4"/>
  <c r="C1797" i="4"/>
  <c r="B1802" i="4"/>
  <c r="F1802" i="4"/>
  <c r="C1802" i="4"/>
  <c r="D1802" i="4"/>
  <c r="E1802" i="4"/>
  <c r="B1806" i="4"/>
  <c r="F1806" i="4"/>
  <c r="C1806" i="4"/>
  <c r="D1806" i="4"/>
  <c r="E1806" i="4"/>
  <c r="B1810" i="4"/>
  <c r="F1810" i="4"/>
  <c r="C1810" i="4"/>
  <c r="D1810" i="4"/>
  <c r="E1810" i="4"/>
  <c r="B1814" i="4"/>
  <c r="F1814" i="4"/>
  <c r="C1814" i="4"/>
  <c r="D1814" i="4"/>
  <c r="E1814" i="4"/>
  <c r="B1818" i="4"/>
  <c r="F1818" i="4"/>
  <c r="C1818" i="4"/>
  <c r="D1818" i="4"/>
  <c r="E1818" i="4"/>
  <c r="B1822" i="4"/>
  <c r="F1822" i="4"/>
  <c r="C1822" i="4"/>
  <c r="D1822" i="4"/>
  <c r="E1822" i="4"/>
  <c r="B1826" i="4"/>
  <c r="F1826" i="4"/>
  <c r="C1826" i="4"/>
  <c r="D1826" i="4"/>
  <c r="E1826" i="4"/>
  <c r="B1830" i="4"/>
  <c r="F1830" i="4"/>
  <c r="C1830" i="4"/>
  <c r="D1830" i="4"/>
  <c r="E1830" i="4"/>
  <c r="B1834" i="4"/>
  <c r="F1834" i="4"/>
  <c r="C1834" i="4"/>
  <c r="D1834" i="4"/>
  <c r="E1834" i="4"/>
  <c r="B1838" i="4"/>
  <c r="F1838" i="4"/>
  <c r="C1838" i="4"/>
  <c r="D1838" i="4"/>
  <c r="E1838" i="4"/>
  <c r="B1842" i="4"/>
  <c r="F1842" i="4"/>
  <c r="C1842" i="4"/>
  <c r="D1842" i="4"/>
  <c r="E1842" i="4"/>
  <c r="B1846" i="4"/>
  <c r="F1846" i="4"/>
  <c r="C1846" i="4"/>
  <c r="D1846" i="4"/>
  <c r="E1846" i="4"/>
  <c r="B1850" i="4"/>
  <c r="F1850" i="4"/>
  <c r="C1850" i="4"/>
  <c r="D1850" i="4"/>
  <c r="E1850" i="4"/>
  <c r="B1854" i="4"/>
  <c r="F1854" i="4"/>
  <c r="C1854" i="4"/>
  <c r="D1854" i="4"/>
  <c r="E1854" i="4"/>
  <c r="B1858" i="4"/>
  <c r="F1858" i="4"/>
  <c r="C1858" i="4"/>
  <c r="D1858" i="4"/>
  <c r="E1858" i="4"/>
  <c r="B1862" i="4"/>
  <c r="F1862" i="4"/>
  <c r="C1862" i="4"/>
  <c r="D1862" i="4"/>
  <c r="E1862" i="4"/>
  <c r="B1866" i="4"/>
  <c r="F1866" i="4"/>
  <c r="C1866" i="4"/>
  <c r="D1866" i="4"/>
  <c r="E1866" i="4"/>
  <c r="B1870" i="4"/>
  <c r="F1870" i="4"/>
  <c r="C1870" i="4"/>
  <c r="D1870" i="4"/>
  <c r="E1870" i="4"/>
  <c r="B1874" i="4"/>
  <c r="F1874" i="4"/>
  <c r="C1874" i="4"/>
  <c r="D1874" i="4"/>
  <c r="E1874" i="4"/>
  <c r="B1878" i="4"/>
  <c r="F1878" i="4"/>
  <c r="C1878" i="4"/>
  <c r="D1878" i="4"/>
  <c r="E1878" i="4"/>
  <c r="B1882" i="4"/>
  <c r="F1882" i="4"/>
  <c r="C1882" i="4"/>
  <c r="D1882" i="4"/>
  <c r="E1882" i="4"/>
  <c r="B1886" i="4"/>
  <c r="F1886" i="4"/>
  <c r="C1886" i="4"/>
  <c r="D1886" i="4"/>
  <c r="E1886" i="4"/>
  <c r="B1890" i="4"/>
  <c r="F1890" i="4"/>
  <c r="C1890" i="4"/>
  <c r="D1890" i="4"/>
  <c r="E1890" i="4"/>
  <c r="B1894" i="4"/>
  <c r="F1894" i="4"/>
  <c r="C1894" i="4"/>
  <c r="D1894" i="4"/>
  <c r="E1894" i="4"/>
  <c r="B1898" i="4"/>
  <c r="F1898" i="4"/>
  <c r="C1898" i="4"/>
  <c r="D1898" i="4"/>
  <c r="E1898" i="4"/>
  <c r="B1902" i="4"/>
  <c r="F1902" i="4"/>
  <c r="C1902" i="4"/>
  <c r="D1902" i="4"/>
  <c r="E1902" i="4"/>
  <c r="B1906" i="4"/>
  <c r="F1906" i="4"/>
  <c r="C1906" i="4"/>
  <c r="D1906" i="4"/>
  <c r="E1906" i="4"/>
  <c r="B1910" i="4"/>
  <c r="F1910" i="4"/>
  <c r="C1910" i="4"/>
  <c r="D1910" i="4"/>
  <c r="E1910" i="4"/>
  <c r="B1914" i="4"/>
  <c r="F1914" i="4"/>
  <c r="C1914" i="4"/>
  <c r="D1914" i="4"/>
  <c r="E1914" i="4"/>
  <c r="B1918" i="4"/>
  <c r="F1918" i="4"/>
  <c r="C1918" i="4"/>
  <c r="D1918" i="4"/>
  <c r="E1918" i="4"/>
  <c r="B1922" i="4"/>
  <c r="F1922" i="4"/>
  <c r="C1922" i="4"/>
  <c r="D1922" i="4"/>
  <c r="E1922" i="4"/>
  <c r="B1926" i="4"/>
  <c r="F1926" i="4"/>
  <c r="C1926" i="4"/>
  <c r="D1926" i="4"/>
  <c r="E1926" i="4"/>
  <c r="B1930" i="4"/>
  <c r="F1930" i="4"/>
  <c r="C1930" i="4"/>
  <c r="D1930" i="4"/>
  <c r="E1930" i="4"/>
  <c r="B1934" i="4"/>
  <c r="F1934" i="4"/>
  <c r="C1934" i="4"/>
  <c r="D1934" i="4"/>
  <c r="E1934" i="4"/>
  <c r="B1938" i="4"/>
  <c r="F1938" i="4"/>
  <c r="C1938" i="4"/>
  <c r="D1938" i="4"/>
  <c r="E1938" i="4"/>
  <c r="B1942" i="4"/>
  <c r="F1942" i="4"/>
  <c r="C1942" i="4"/>
  <c r="D1942" i="4"/>
  <c r="E1942" i="4"/>
  <c r="B1946" i="4"/>
  <c r="F1946" i="4"/>
  <c r="C1946" i="4"/>
  <c r="D1946" i="4"/>
  <c r="E1946" i="4"/>
  <c r="B1950" i="4"/>
  <c r="F1950" i="4"/>
  <c r="C1950" i="4"/>
  <c r="D1950" i="4"/>
  <c r="E1950" i="4"/>
  <c r="B1954" i="4"/>
  <c r="F1954" i="4"/>
  <c r="C1954" i="4"/>
  <c r="D1954" i="4"/>
  <c r="E1954" i="4"/>
  <c r="B1958" i="4"/>
  <c r="F1958" i="4"/>
  <c r="C1958" i="4"/>
  <c r="D1958" i="4"/>
  <c r="E1958" i="4"/>
  <c r="B1962" i="4"/>
  <c r="F1962" i="4"/>
  <c r="C1962" i="4"/>
  <c r="D1962" i="4"/>
  <c r="E1962" i="4"/>
  <c r="B1966" i="4"/>
  <c r="F1966" i="4"/>
  <c r="C1966" i="4"/>
  <c r="D1966" i="4"/>
  <c r="E1966" i="4"/>
  <c r="B1970" i="4"/>
  <c r="F1970" i="4"/>
  <c r="C1970" i="4"/>
  <c r="D1970" i="4"/>
  <c r="E1970" i="4"/>
  <c r="B1974" i="4"/>
  <c r="F1974" i="4"/>
  <c r="C1974" i="4"/>
  <c r="D1974" i="4"/>
  <c r="E1974" i="4"/>
  <c r="B1978" i="4"/>
  <c r="F1978" i="4"/>
  <c r="C1978" i="4"/>
  <c r="D1978" i="4"/>
  <c r="E1978" i="4"/>
  <c r="B1982" i="4"/>
  <c r="F1982" i="4"/>
  <c r="C1982" i="4"/>
  <c r="D1982" i="4"/>
  <c r="E1982" i="4"/>
  <c r="B1986" i="4"/>
  <c r="F1986" i="4"/>
  <c r="C1986" i="4"/>
  <c r="D1986" i="4"/>
  <c r="E1986" i="4"/>
  <c r="B1990" i="4"/>
  <c r="F1990" i="4"/>
  <c r="C1990" i="4"/>
  <c r="D1990" i="4"/>
  <c r="E1990" i="4"/>
  <c r="B1994" i="4"/>
  <c r="F1994" i="4"/>
  <c r="C1994" i="4"/>
  <c r="D1994" i="4"/>
  <c r="E1994" i="4"/>
  <c r="B1998" i="4"/>
  <c r="F1998" i="4"/>
  <c r="C1998" i="4"/>
  <c r="D1998" i="4"/>
  <c r="E1998" i="4"/>
  <c r="B2002" i="4"/>
  <c r="F2002" i="4"/>
  <c r="C2002" i="4"/>
  <c r="D2002" i="4"/>
  <c r="E2002" i="4"/>
  <c r="B2006" i="4"/>
  <c r="F2006" i="4"/>
  <c r="C2006" i="4"/>
  <c r="D2006" i="4"/>
  <c r="E2006" i="4"/>
  <c r="B2010" i="4"/>
  <c r="F2010" i="4"/>
  <c r="C2010" i="4"/>
  <c r="D2010" i="4"/>
  <c r="E2010" i="4"/>
  <c r="B2014" i="4"/>
  <c r="F2014" i="4"/>
  <c r="C2014" i="4"/>
  <c r="D2014" i="4"/>
  <c r="E2014" i="4"/>
  <c r="B2018" i="4"/>
  <c r="F2018" i="4"/>
  <c r="C2018" i="4"/>
  <c r="D2018" i="4"/>
  <c r="E2018" i="4"/>
  <c r="B2022" i="4"/>
  <c r="F2022" i="4"/>
  <c r="C2022" i="4"/>
  <c r="D2022" i="4"/>
  <c r="E2022" i="4"/>
  <c r="B2026" i="4"/>
  <c r="F2026" i="4"/>
  <c r="C2026" i="4"/>
  <c r="D2026" i="4"/>
  <c r="E2026" i="4"/>
  <c r="B2030" i="4"/>
  <c r="F2030" i="4"/>
  <c r="C2030" i="4"/>
  <c r="D2030" i="4"/>
  <c r="E2030" i="4"/>
  <c r="B2034" i="4"/>
  <c r="F2034" i="4"/>
  <c r="C2034" i="4"/>
  <c r="D2034" i="4"/>
  <c r="E2034" i="4"/>
  <c r="B2038" i="4"/>
  <c r="F2038" i="4"/>
  <c r="C2038" i="4"/>
  <c r="D2038" i="4"/>
  <c r="E2038" i="4"/>
  <c r="B2042" i="4"/>
  <c r="F2042" i="4"/>
  <c r="C2042" i="4"/>
  <c r="D2042" i="4"/>
  <c r="E2042" i="4"/>
  <c r="B2046" i="4"/>
  <c r="F2046" i="4"/>
  <c r="C2046" i="4"/>
  <c r="D2046" i="4"/>
  <c r="E2046" i="4"/>
  <c r="B2050" i="4"/>
  <c r="F2050" i="4"/>
  <c r="C2050" i="4"/>
  <c r="D2050" i="4"/>
  <c r="E2050" i="4"/>
  <c r="B2054" i="4"/>
  <c r="F2054" i="4"/>
  <c r="C2054" i="4"/>
  <c r="D2054" i="4"/>
  <c r="E2054" i="4"/>
  <c r="B2058" i="4"/>
  <c r="F2058" i="4"/>
  <c r="C2058" i="4"/>
  <c r="D2058" i="4"/>
  <c r="E2058" i="4"/>
  <c r="B2062" i="4"/>
  <c r="F2062" i="4"/>
  <c r="C2062" i="4"/>
  <c r="D2062" i="4"/>
  <c r="E2062" i="4"/>
  <c r="B2066" i="4"/>
  <c r="F2066" i="4"/>
  <c r="C2066" i="4"/>
  <c r="D2066" i="4"/>
  <c r="E2066" i="4"/>
  <c r="B2070" i="4"/>
  <c r="F2070" i="4"/>
  <c r="C2070" i="4"/>
  <c r="D2070" i="4"/>
  <c r="E2070" i="4"/>
  <c r="B2074" i="4"/>
  <c r="F2074" i="4"/>
  <c r="C2074" i="4"/>
  <c r="D2074" i="4"/>
  <c r="E2074" i="4"/>
  <c r="B2078" i="4"/>
  <c r="F2078" i="4"/>
  <c r="C2078" i="4"/>
  <c r="D2078" i="4"/>
  <c r="E2078" i="4"/>
  <c r="B2082" i="4"/>
  <c r="F2082" i="4"/>
  <c r="C2082" i="4"/>
  <c r="D2082" i="4"/>
  <c r="E2082" i="4"/>
  <c r="B2086" i="4"/>
  <c r="F2086" i="4"/>
  <c r="C2086" i="4"/>
  <c r="D2086" i="4"/>
  <c r="E2086" i="4"/>
  <c r="B2090" i="4"/>
  <c r="F2090" i="4"/>
  <c r="C2090" i="4"/>
  <c r="D2090" i="4"/>
  <c r="E2090" i="4"/>
  <c r="B2094" i="4"/>
  <c r="F2094" i="4"/>
  <c r="C2094" i="4"/>
  <c r="D2094" i="4"/>
  <c r="E2094" i="4"/>
  <c r="B2098" i="4"/>
  <c r="F2098" i="4"/>
  <c r="C2098" i="4"/>
  <c r="D2098" i="4"/>
  <c r="E2098" i="4"/>
  <c r="B2102" i="4"/>
  <c r="F2102" i="4"/>
  <c r="C2102" i="4"/>
  <c r="D2102" i="4"/>
  <c r="E2102" i="4"/>
  <c r="B2106" i="4"/>
  <c r="F2106" i="4"/>
  <c r="C2106" i="4"/>
  <c r="D2106" i="4"/>
  <c r="E2106" i="4"/>
  <c r="B2110" i="4"/>
  <c r="F2110" i="4"/>
  <c r="C2110" i="4"/>
  <c r="D2110" i="4"/>
  <c r="E2110" i="4"/>
  <c r="B2114" i="4"/>
  <c r="F2114" i="4"/>
  <c r="C2114" i="4"/>
  <c r="D2114" i="4"/>
  <c r="E2114" i="4"/>
  <c r="B2118" i="4"/>
  <c r="F2118" i="4"/>
  <c r="C2118" i="4"/>
  <c r="D2118" i="4"/>
  <c r="E2118" i="4"/>
  <c r="B2122" i="4"/>
  <c r="F2122" i="4"/>
  <c r="C2122" i="4"/>
  <c r="D2122" i="4"/>
  <c r="E2122" i="4"/>
  <c r="B2126" i="4"/>
  <c r="F2126" i="4"/>
  <c r="C2126" i="4"/>
  <c r="D2126" i="4"/>
  <c r="E2126" i="4"/>
  <c r="B2130" i="4"/>
  <c r="F2130" i="4"/>
  <c r="C2130" i="4"/>
  <c r="D2130" i="4"/>
  <c r="E2130" i="4"/>
  <c r="B2134" i="4"/>
  <c r="F2134" i="4"/>
  <c r="C2134" i="4"/>
  <c r="D2134" i="4"/>
  <c r="E2134" i="4"/>
  <c r="B2138" i="4"/>
  <c r="F2138" i="4"/>
  <c r="C2138" i="4"/>
  <c r="D2138" i="4"/>
  <c r="E2138" i="4"/>
  <c r="B2142" i="4"/>
  <c r="F2142" i="4"/>
  <c r="C2142" i="4"/>
  <c r="D2142" i="4"/>
  <c r="E2142" i="4"/>
  <c r="B2146" i="4"/>
  <c r="F2146" i="4"/>
  <c r="C2146" i="4"/>
  <c r="D2146" i="4"/>
  <c r="E2146" i="4"/>
  <c r="B2150" i="4"/>
  <c r="F2150" i="4"/>
  <c r="C2150" i="4"/>
  <c r="D2150" i="4"/>
  <c r="E2150" i="4"/>
  <c r="B2154" i="4"/>
  <c r="F2154" i="4"/>
  <c r="C2154" i="4"/>
  <c r="D2154" i="4"/>
  <c r="E2154" i="4"/>
  <c r="B2158" i="4"/>
  <c r="F2158" i="4"/>
  <c r="C2158" i="4"/>
  <c r="D2158" i="4"/>
  <c r="E2158" i="4"/>
  <c r="B2162" i="4"/>
  <c r="F2162" i="4"/>
  <c r="C2162" i="4"/>
  <c r="D2162" i="4"/>
  <c r="E2162" i="4"/>
  <c r="B2166" i="4"/>
  <c r="F2166" i="4"/>
  <c r="C2166" i="4"/>
  <c r="D2166" i="4"/>
  <c r="E2166" i="4"/>
  <c r="B2170" i="4"/>
  <c r="F2170" i="4"/>
  <c r="C2170" i="4"/>
  <c r="D2170" i="4"/>
  <c r="E2170" i="4"/>
  <c r="B2174" i="4"/>
  <c r="F2174" i="4"/>
  <c r="C2174" i="4"/>
  <c r="D2174" i="4"/>
  <c r="E2174" i="4"/>
  <c r="B2178" i="4"/>
  <c r="F2178" i="4"/>
  <c r="C2178" i="4"/>
  <c r="D2178" i="4"/>
  <c r="E2178" i="4"/>
  <c r="B2182" i="4"/>
  <c r="F2182" i="4"/>
  <c r="C2182" i="4"/>
  <c r="D2182" i="4"/>
  <c r="E2182" i="4"/>
  <c r="B2186" i="4"/>
  <c r="F2186" i="4"/>
  <c r="C2186" i="4"/>
  <c r="D2186" i="4"/>
  <c r="E2186" i="4"/>
  <c r="B2190" i="4"/>
  <c r="F2190" i="4"/>
  <c r="C2190" i="4"/>
  <c r="D2190" i="4"/>
  <c r="E2190" i="4"/>
  <c r="B2194" i="4"/>
  <c r="F2194" i="4"/>
  <c r="C2194" i="4"/>
  <c r="D2194" i="4"/>
  <c r="E2194" i="4"/>
  <c r="B2198" i="4"/>
  <c r="F2198" i="4"/>
  <c r="C2198" i="4"/>
  <c r="D2198" i="4"/>
  <c r="E2198" i="4"/>
  <c r="B2202" i="4"/>
  <c r="F2202" i="4"/>
  <c r="C2202" i="4"/>
  <c r="D2202" i="4"/>
  <c r="E2202" i="4"/>
  <c r="B2206" i="4"/>
  <c r="F2206" i="4"/>
  <c r="C2206" i="4"/>
  <c r="E2206" i="4"/>
  <c r="D2206" i="4"/>
  <c r="E2208" i="4"/>
  <c r="C2208" i="4"/>
  <c r="B2208" i="4"/>
  <c r="F2208" i="4"/>
  <c r="D2208" i="4"/>
  <c r="E2210" i="4"/>
  <c r="B2210" i="4"/>
  <c r="F2210" i="4"/>
  <c r="C2210" i="4"/>
  <c r="D2210" i="4"/>
  <c r="E2212" i="4"/>
  <c r="C2212" i="4"/>
  <c r="B2212" i="4"/>
  <c r="F2212" i="4"/>
  <c r="D2212" i="4"/>
  <c r="E2214" i="4"/>
  <c r="B2214" i="4"/>
  <c r="F2214" i="4"/>
  <c r="C2214" i="4"/>
  <c r="D2214" i="4"/>
  <c r="E2216" i="4"/>
  <c r="C2216" i="4"/>
  <c r="B2216" i="4"/>
  <c r="F2216" i="4"/>
  <c r="D2216" i="4"/>
  <c r="E2218" i="4"/>
  <c r="C2218" i="4"/>
  <c r="B2218" i="4"/>
  <c r="F2218" i="4"/>
  <c r="D2218" i="4"/>
  <c r="E2220" i="4"/>
  <c r="B2220" i="4"/>
  <c r="F2220" i="4"/>
  <c r="C2220" i="4"/>
  <c r="D2220" i="4"/>
  <c r="E2222" i="4"/>
  <c r="C2222" i="4"/>
  <c r="B2222" i="4"/>
  <c r="F2222" i="4"/>
  <c r="D2222" i="4"/>
  <c r="E2224" i="4"/>
  <c r="B2224" i="4"/>
  <c r="F2224" i="4"/>
  <c r="C2224" i="4"/>
  <c r="D2224" i="4"/>
  <c r="E2226" i="4"/>
  <c r="C2226" i="4"/>
  <c r="B2226" i="4"/>
  <c r="F2226" i="4"/>
  <c r="D2226" i="4"/>
  <c r="E2228" i="4"/>
  <c r="B2228" i="4"/>
  <c r="F2228" i="4"/>
  <c r="C2228" i="4"/>
  <c r="D2228" i="4"/>
  <c r="E2230" i="4"/>
  <c r="C2230" i="4"/>
  <c r="B2230" i="4"/>
  <c r="F2230" i="4"/>
  <c r="D2230" i="4"/>
  <c r="E2232" i="4"/>
  <c r="B2232" i="4"/>
  <c r="F2232" i="4"/>
  <c r="C2232" i="4"/>
  <c r="D2232" i="4"/>
  <c r="E2234" i="4"/>
  <c r="C2234" i="4"/>
  <c r="B2234" i="4"/>
  <c r="F2234" i="4"/>
  <c r="D2234" i="4"/>
  <c r="E2236" i="4"/>
  <c r="B2236" i="4"/>
  <c r="F2236" i="4"/>
  <c r="C2236" i="4"/>
  <c r="D2236" i="4"/>
  <c r="E2238" i="4"/>
  <c r="C2238" i="4"/>
  <c r="B2238" i="4"/>
  <c r="F2238" i="4"/>
  <c r="D2238" i="4"/>
  <c r="E2240" i="4"/>
  <c r="B2240" i="4"/>
  <c r="F2240" i="4"/>
  <c r="C2240" i="4"/>
  <c r="D2240" i="4"/>
  <c r="E2242" i="4"/>
  <c r="C2242" i="4"/>
  <c r="B2242" i="4"/>
  <c r="F2242" i="4"/>
  <c r="D2242" i="4"/>
  <c r="E2244" i="4"/>
  <c r="B2244" i="4"/>
  <c r="F2244" i="4"/>
  <c r="C2244" i="4"/>
  <c r="D2244" i="4"/>
  <c r="E2246" i="4"/>
  <c r="C2246" i="4"/>
  <c r="B2246" i="4"/>
  <c r="F2246" i="4"/>
  <c r="D2246" i="4"/>
  <c r="E2248" i="4"/>
  <c r="B2248" i="4"/>
  <c r="F2248" i="4"/>
  <c r="C2248" i="4"/>
  <c r="D2248" i="4"/>
  <c r="E2250" i="4"/>
  <c r="C2250" i="4"/>
  <c r="B2250" i="4"/>
  <c r="F2250" i="4"/>
  <c r="D2250" i="4"/>
  <c r="E2252" i="4"/>
  <c r="B2252" i="4"/>
  <c r="F2252" i="4"/>
  <c r="C2252" i="4"/>
  <c r="D2252" i="4"/>
  <c r="E2254" i="4"/>
  <c r="B2254" i="4"/>
  <c r="F2254" i="4"/>
  <c r="C2254" i="4"/>
  <c r="D2254" i="4"/>
  <c r="E2256" i="4"/>
  <c r="C2256" i="4"/>
  <c r="B2256" i="4"/>
  <c r="F2256" i="4"/>
  <c r="D2256" i="4"/>
  <c r="E2258" i="4"/>
  <c r="B2258" i="4"/>
  <c r="F2258" i="4"/>
  <c r="C2258" i="4"/>
  <c r="D2258" i="4"/>
  <c r="E2260" i="4"/>
  <c r="C2260" i="4"/>
  <c r="B2260" i="4"/>
  <c r="F2260" i="4"/>
  <c r="D2260" i="4"/>
  <c r="E2262" i="4"/>
  <c r="B2262" i="4"/>
  <c r="F2262" i="4"/>
  <c r="C2262" i="4"/>
  <c r="D2262" i="4"/>
  <c r="E2264" i="4"/>
  <c r="C2264" i="4"/>
  <c r="B2264" i="4"/>
  <c r="F2264" i="4"/>
  <c r="D2264" i="4"/>
  <c r="E2266" i="4"/>
  <c r="B2266" i="4"/>
  <c r="F2266" i="4"/>
  <c r="C2266" i="4"/>
  <c r="D2266" i="4"/>
  <c r="E2268" i="4"/>
  <c r="C2268" i="4"/>
  <c r="B2268" i="4"/>
  <c r="F2268" i="4"/>
  <c r="D2268" i="4"/>
  <c r="E2270" i="4"/>
  <c r="B2270" i="4"/>
  <c r="F2270" i="4"/>
  <c r="C2270" i="4"/>
  <c r="D2270" i="4"/>
  <c r="E2272" i="4"/>
  <c r="C2272" i="4"/>
  <c r="B2272" i="4"/>
  <c r="F2272" i="4"/>
  <c r="D2272" i="4"/>
  <c r="E2274" i="4"/>
  <c r="B2274" i="4"/>
  <c r="F2274" i="4"/>
  <c r="C2274" i="4"/>
  <c r="D2274" i="4"/>
  <c r="E2276" i="4"/>
  <c r="C2276" i="4"/>
  <c r="B2276" i="4"/>
  <c r="F2276" i="4"/>
  <c r="D2276" i="4"/>
  <c r="E2278" i="4"/>
  <c r="B2278" i="4"/>
  <c r="F2278" i="4"/>
  <c r="C2278" i="4"/>
  <c r="D2278" i="4"/>
  <c r="E2280" i="4"/>
  <c r="C2280" i="4"/>
  <c r="B2280" i="4"/>
  <c r="F2280" i="4"/>
  <c r="D2280" i="4"/>
  <c r="E2282" i="4"/>
  <c r="B2282" i="4"/>
  <c r="F2282" i="4"/>
  <c r="C2282" i="4"/>
  <c r="D2282" i="4"/>
  <c r="E2284" i="4"/>
  <c r="B2284" i="4"/>
  <c r="F2284" i="4"/>
  <c r="C2284" i="4"/>
  <c r="D2284" i="4"/>
  <c r="E2286" i="4"/>
  <c r="B2286" i="4"/>
  <c r="F2286" i="4"/>
  <c r="C2286" i="4"/>
  <c r="D2286" i="4"/>
  <c r="E2288" i="4"/>
  <c r="B2288" i="4"/>
  <c r="F2288" i="4"/>
  <c r="C2288" i="4"/>
  <c r="D2288" i="4"/>
  <c r="E2290" i="4"/>
  <c r="C2290" i="4"/>
  <c r="B2290" i="4"/>
  <c r="F2290" i="4"/>
  <c r="D2290" i="4"/>
  <c r="E2292" i="4"/>
  <c r="B2292" i="4"/>
  <c r="F2292" i="4"/>
  <c r="C2292" i="4"/>
  <c r="D2292" i="4"/>
  <c r="E2294" i="4"/>
  <c r="C2294" i="4"/>
  <c r="B2294" i="4"/>
  <c r="F2294" i="4"/>
  <c r="D2294" i="4"/>
  <c r="E2296" i="4"/>
  <c r="B2296" i="4"/>
  <c r="F2296" i="4"/>
  <c r="C2296" i="4"/>
  <c r="D2296" i="4"/>
  <c r="E2298" i="4"/>
  <c r="C2298" i="4"/>
  <c r="B2298" i="4"/>
  <c r="F2298" i="4"/>
  <c r="D2298" i="4"/>
  <c r="E2300" i="4"/>
  <c r="B2300" i="4"/>
  <c r="F2300" i="4"/>
  <c r="C2300" i="4"/>
  <c r="D2300" i="4"/>
  <c r="E2302" i="4"/>
  <c r="C2302" i="4"/>
  <c r="B2302" i="4"/>
  <c r="F2302" i="4"/>
  <c r="D2302" i="4"/>
  <c r="E2304" i="4"/>
  <c r="B2304" i="4"/>
  <c r="F2304" i="4"/>
  <c r="C2304" i="4"/>
  <c r="D2304" i="4"/>
  <c r="E2306" i="4"/>
  <c r="C2306" i="4"/>
  <c r="B2306" i="4"/>
  <c r="F2306" i="4"/>
  <c r="D2306" i="4"/>
  <c r="E2308" i="4"/>
  <c r="B2308" i="4"/>
  <c r="F2308" i="4"/>
  <c r="C2308" i="4"/>
  <c r="D2308" i="4"/>
  <c r="E2310" i="4"/>
  <c r="C2310" i="4"/>
  <c r="B2310" i="4"/>
  <c r="F2310" i="4"/>
  <c r="D2310" i="4"/>
  <c r="E2312" i="4"/>
  <c r="B2312" i="4"/>
  <c r="F2312" i="4"/>
  <c r="C2312" i="4"/>
  <c r="D2312" i="4"/>
  <c r="E2314" i="4"/>
  <c r="B2314" i="4"/>
  <c r="F2314" i="4"/>
  <c r="C2314" i="4"/>
  <c r="D2314" i="4"/>
  <c r="E2316" i="4"/>
  <c r="B2316" i="4"/>
  <c r="F2316" i="4"/>
  <c r="C2316" i="4"/>
  <c r="D2316" i="4"/>
  <c r="E2318" i="4"/>
  <c r="B2318" i="4"/>
  <c r="F2318" i="4"/>
  <c r="C2318" i="4"/>
  <c r="D2318" i="4"/>
  <c r="E2320" i="4"/>
  <c r="B2320" i="4"/>
  <c r="F2320" i="4"/>
  <c r="C2320" i="4"/>
  <c r="D2320" i="4"/>
  <c r="E2322" i="4"/>
  <c r="B2322" i="4"/>
  <c r="F2322" i="4"/>
  <c r="C2322" i="4"/>
  <c r="D2322" i="4"/>
  <c r="E2324" i="4"/>
  <c r="B2324" i="4"/>
  <c r="F2324" i="4"/>
  <c r="C2324" i="4"/>
  <c r="D2324" i="4"/>
  <c r="E2326" i="4"/>
  <c r="B2326" i="4"/>
  <c r="F2326" i="4"/>
  <c r="C2326" i="4"/>
  <c r="D2326" i="4"/>
  <c r="E2328" i="4"/>
  <c r="B2328" i="4"/>
  <c r="F2328" i="4"/>
  <c r="C2328" i="4"/>
  <c r="D2328" i="4"/>
  <c r="E2330" i="4"/>
  <c r="B2330" i="4"/>
  <c r="F2330" i="4"/>
  <c r="C2330" i="4"/>
  <c r="D2330" i="4"/>
  <c r="E2332" i="4"/>
  <c r="B2332" i="4"/>
  <c r="F2332" i="4"/>
  <c r="C2332" i="4"/>
  <c r="D2332" i="4"/>
  <c r="E2334" i="4"/>
  <c r="B2334" i="4"/>
  <c r="F2334" i="4"/>
  <c r="C2334" i="4"/>
  <c r="D2334" i="4"/>
  <c r="E2336" i="4"/>
  <c r="B2336" i="4"/>
  <c r="F2336" i="4"/>
  <c r="C2336" i="4"/>
  <c r="D2336" i="4"/>
  <c r="E2338" i="4"/>
  <c r="B2338" i="4"/>
  <c r="F2338" i="4"/>
  <c r="C2338" i="4"/>
  <c r="D2338" i="4"/>
  <c r="E2340" i="4"/>
  <c r="B2340" i="4"/>
  <c r="F2340" i="4"/>
  <c r="C2340" i="4"/>
  <c r="D2340" i="4"/>
  <c r="E2342" i="4"/>
  <c r="B2342" i="4"/>
  <c r="F2342" i="4"/>
  <c r="C2342" i="4"/>
  <c r="D2342" i="4"/>
  <c r="E2344" i="4"/>
  <c r="B2344" i="4"/>
  <c r="F2344" i="4"/>
  <c r="C2344" i="4"/>
  <c r="D2344" i="4"/>
  <c r="E2346" i="4"/>
  <c r="B2346" i="4"/>
  <c r="F2346" i="4"/>
  <c r="C2346" i="4"/>
  <c r="D2346" i="4"/>
  <c r="E2348" i="4"/>
  <c r="B2348" i="4"/>
  <c r="F2348" i="4"/>
  <c r="C2348" i="4"/>
  <c r="D2348" i="4"/>
  <c r="E2350" i="4"/>
  <c r="B2350" i="4"/>
  <c r="F2350" i="4"/>
  <c r="C2350" i="4"/>
  <c r="D2350" i="4"/>
  <c r="E2352" i="4"/>
  <c r="B2352" i="4"/>
  <c r="F2352" i="4"/>
  <c r="C2352" i="4"/>
  <c r="D2352" i="4"/>
  <c r="E2354" i="4"/>
  <c r="B2354" i="4"/>
  <c r="F2354" i="4"/>
  <c r="C2354" i="4"/>
  <c r="D2354" i="4"/>
  <c r="E2356" i="4"/>
  <c r="B2356" i="4"/>
  <c r="F2356" i="4"/>
  <c r="C2356" i="4"/>
  <c r="D2356" i="4"/>
  <c r="E2358" i="4"/>
  <c r="B2358" i="4"/>
  <c r="F2358" i="4"/>
  <c r="C2358" i="4"/>
  <c r="D2358" i="4"/>
  <c r="E2360" i="4"/>
  <c r="B2360" i="4"/>
  <c r="F2360" i="4"/>
  <c r="C2360" i="4"/>
  <c r="D2360" i="4"/>
  <c r="E2362" i="4"/>
  <c r="B2362" i="4"/>
  <c r="F2362" i="4"/>
  <c r="C2362" i="4"/>
  <c r="D2362" i="4"/>
  <c r="E2364" i="4"/>
  <c r="C2364" i="4"/>
  <c r="B2364" i="4"/>
  <c r="F2364" i="4"/>
  <c r="D2364" i="4"/>
  <c r="E2366" i="4"/>
  <c r="B2366" i="4"/>
  <c r="F2366" i="4"/>
  <c r="C2366" i="4"/>
  <c r="D2366" i="4"/>
  <c r="E2368" i="4"/>
  <c r="C2368" i="4"/>
  <c r="B2368" i="4"/>
  <c r="F2368" i="4"/>
  <c r="D2368" i="4"/>
  <c r="E2370" i="4"/>
  <c r="B2370" i="4"/>
  <c r="F2370" i="4"/>
  <c r="C2370" i="4"/>
  <c r="D2370" i="4"/>
  <c r="E2372" i="4"/>
  <c r="C2372" i="4"/>
  <c r="B2372" i="4"/>
  <c r="F2372" i="4"/>
  <c r="D2372" i="4"/>
  <c r="E2374" i="4"/>
  <c r="C2374" i="4"/>
  <c r="B2374" i="4"/>
  <c r="F2374" i="4"/>
  <c r="D2374" i="4"/>
  <c r="E2376" i="4"/>
  <c r="B2376" i="4"/>
  <c r="F2376" i="4"/>
  <c r="C2376" i="4"/>
  <c r="D2376" i="4"/>
  <c r="E2378" i="4"/>
  <c r="C2378" i="4"/>
  <c r="B2378" i="4"/>
  <c r="F2378" i="4"/>
  <c r="D2378" i="4"/>
  <c r="E2380" i="4"/>
  <c r="B2380" i="4"/>
  <c r="F2380" i="4"/>
  <c r="C2380" i="4"/>
  <c r="D2380" i="4"/>
  <c r="E2382" i="4"/>
  <c r="C2382" i="4"/>
  <c r="B2382" i="4"/>
  <c r="F2382" i="4"/>
  <c r="D2382" i="4"/>
  <c r="E2384" i="4"/>
  <c r="B2384" i="4"/>
  <c r="F2384" i="4"/>
  <c r="C2384" i="4"/>
  <c r="D2384" i="4"/>
  <c r="E2386" i="4"/>
  <c r="B2386" i="4"/>
  <c r="F2386" i="4"/>
  <c r="C2386" i="4"/>
  <c r="D2386" i="4"/>
  <c r="E2388" i="4"/>
  <c r="C2388" i="4"/>
  <c r="B2388" i="4"/>
  <c r="F2388" i="4"/>
  <c r="D2388" i="4"/>
  <c r="E2390" i="4"/>
  <c r="B2390" i="4"/>
  <c r="F2390" i="4"/>
  <c r="C2390" i="4"/>
  <c r="D2390" i="4"/>
  <c r="E2392" i="4"/>
  <c r="C2392" i="4"/>
  <c r="B2392" i="4"/>
  <c r="F2392" i="4"/>
  <c r="D2392" i="4"/>
  <c r="E2394" i="4"/>
  <c r="C2394" i="4"/>
  <c r="B2394" i="4"/>
  <c r="F2394" i="4"/>
  <c r="D2394" i="4"/>
  <c r="E2396" i="4"/>
  <c r="B2396" i="4"/>
  <c r="F2396" i="4"/>
  <c r="C2396" i="4"/>
  <c r="D2396" i="4"/>
  <c r="E2398" i="4"/>
  <c r="B2398" i="4"/>
  <c r="F2398" i="4"/>
  <c r="C2398" i="4"/>
  <c r="D2398" i="4"/>
  <c r="E2400" i="4"/>
  <c r="C2400" i="4"/>
  <c r="B2400" i="4"/>
  <c r="F2400" i="4"/>
  <c r="D2400" i="4"/>
  <c r="E2402" i="4"/>
  <c r="B2402" i="4"/>
  <c r="F2402" i="4"/>
  <c r="C2402" i="4"/>
  <c r="D2402" i="4"/>
  <c r="E2404" i="4"/>
  <c r="C2404" i="4"/>
  <c r="B2404" i="4"/>
  <c r="F2404" i="4"/>
  <c r="D2404" i="4"/>
  <c r="E2406" i="4"/>
  <c r="B2406" i="4"/>
  <c r="F2406" i="4"/>
  <c r="C2406" i="4"/>
  <c r="D2406" i="4"/>
  <c r="E2408" i="4"/>
  <c r="C2408" i="4"/>
  <c r="B2408" i="4"/>
  <c r="F2408" i="4"/>
  <c r="D2408" i="4"/>
  <c r="E2410" i="4"/>
  <c r="B2410" i="4"/>
  <c r="F2410" i="4"/>
  <c r="C2410" i="4"/>
  <c r="D2410" i="4"/>
  <c r="E2412" i="4"/>
  <c r="B2412" i="4"/>
  <c r="F2412" i="4"/>
  <c r="C2412" i="4"/>
  <c r="D2412" i="4"/>
  <c r="E2414" i="4"/>
  <c r="C2414" i="4"/>
  <c r="B2414" i="4"/>
  <c r="F2414" i="4"/>
  <c r="D2414" i="4"/>
  <c r="E2416" i="4"/>
  <c r="C2416" i="4"/>
  <c r="B2416" i="4"/>
  <c r="F2416" i="4"/>
  <c r="D2416" i="4"/>
  <c r="E2418" i="4"/>
  <c r="B2418" i="4"/>
  <c r="F2418" i="4"/>
  <c r="C2418" i="4"/>
  <c r="D2418" i="4"/>
  <c r="E2420" i="4"/>
  <c r="B2420" i="4"/>
  <c r="F2420" i="4"/>
  <c r="C2420" i="4"/>
  <c r="D2420" i="4"/>
  <c r="E2422" i="4"/>
  <c r="C2422" i="4"/>
  <c r="B2422" i="4"/>
  <c r="F2422" i="4"/>
  <c r="D2422" i="4"/>
  <c r="E2424" i="4"/>
  <c r="B2424" i="4"/>
  <c r="F2424" i="4"/>
  <c r="C2424" i="4"/>
  <c r="D2424" i="4"/>
  <c r="E2426" i="4"/>
  <c r="C2426" i="4"/>
  <c r="B2426" i="4"/>
  <c r="F2426" i="4"/>
  <c r="D2426" i="4"/>
  <c r="E2428" i="4"/>
  <c r="B2428" i="4"/>
  <c r="F2428" i="4"/>
  <c r="C2428" i="4"/>
  <c r="D2428" i="4"/>
  <c r="E2430" i="4"/>
  <c r="C2430" i="4"/>
  <c r="B2430" i="4"/>
  <c r="F2430" i="4"/>
  <c r="D2430" i="4"/>
  <c r="E2432" i="4"/>
  <c r="B2432" i="4"/>
  <c r="F2432" i="4"/>
  <c r="C2432" i="4"/>
  <c r="D2432" i="4"/>
  <c r="E2434" i="4"/>
  <c r="C2434" i="4"/>
  <c r="B2434" i="4"/>
  <c r="F2434" i="4"/>
  <c r="D2434" i="4"/>
  <c r="E2436" i="4"/>
  <c r="B2436" i="4"/>
  <c r="F2436" i="4"/>
  <c r="C2436" i="4"/>
  <c r="D2436" i="4"/>
  <c r="E2438" i="4"/>
  <c r="C2438" i="4"/>
  <c r="B2438" i="4"/>
  <c r="F2438" i="4"/>
  <c r="D2438" i="4"/>
  <c r="E2440" i="4"/>
  <c r="C2440" i="4"/>
  <c r="B2440" i="4"/>
  <c r="F2440" i="4"/>
  <c r="D2440" i="4"/>
  <c r="E2442" i="4"/>
  <c r="B2442" i="4"/>
  <c r="F2442" i="4"/>
  <c r="C2442" i="4"/>
  <c r="D2442" i="4"/>
  <c r="E2444" i="4"/>
  <c r="C2444" i="4"/>
  <c r="B2444" i="4"/>
  <c r="F2444" i="4"/>
  <c r="D2444" i="4"/>
  <c r="E2446" i="4"/>
  <c r="B2446" i="4"/>
  <c r="F2446" i="4"/>
  <c r="C2446" i="4"/>
  <c r="D2446" i="4"/>
  <c r="E2448" i="4"/>
  <c r="B2448" i="4"/>
  <c r="F2448" i="4"/>
  <c r="C2448" i="4"/>
  <c r="D2448" i="4"/>
  <c r="E2450" i="4"/>
  <c r="B2450" i="4"/>
  <c r="F2450" i="4"/>
  <c r="C2450" i="4"/>
  <c r="D2450" i="4"/>
  <c r="E2452" i="4"/>
  <c r="B2452" i="4"/>
  <c r="F2452" i="4"/>
  <c r="C2452" i="4"/>
  <c r="D2452" i="4"/>
  <c r="E2454" i="4"/>
  <c r="B2454" i="4"/>
  <c r="F2454" i="4"/>
  <c r="C2454" i="4"/>
  <c r="D2454" i="4"/>
  <c r="E2456" i="4"/>
  <c r="C2456" i="4"/>
  <c r="B2456" i="4"/>
  <c r="F2456" i="4"/>
  <c r="D2456" i="4"/>
  <c r="E2458" i="4"/>
  <c r="B2458" i="4"/>
  <c r="F2458" i="4"/>
  <c r="C2458" i="4"/>
  <c r="D2458" i="4"/>
  <c r="E2460" i="4"/>
  <c r="C2460" i="4"/>
  <c r="B2460" i="4"/>
  <c r="F2460" i="4"/>
  <c r="D2460" i="4"/>
  <c r="E2462" i="4"/>
  <c r="B2462" i="4"/>
  <c r="F2462" i="4"/>
  <c r="C2462" i="4"/>
  <c r="D2462" i="4"/>
  <c r="E2464" i="4"/>
  <c r="C2464" i="4"/>
  <c r="B2464" i="4"/>
  <c r="F2464" i="4"/>
  <c r="D2464" i="4"/>
  <c r="E2466" i="4"/>
  <c r="C2466" i="4"/>
  <c r="B2466" i="4"/>
  <c r="F2466" i="4"/>
  <c r="D2466" i="4"/>
  <c r="E2468" i="4"/>
  <c r="C2468" i="4"/>
  <c r="B2468" i="4"/>
  <c r="F2468" i="4"/>
  <c r="D2468" i="4"/>
  <c r="E2470" i="4"/>
  <c r="B2470" i="4"/>
  <c r="F2470" i="4"/>
  <c r="C2470" i="4"/>
  <c r="D2470" i="4"/>
  <c r="E2472" i="4"/>
  <c r="C2472" i="4"/>
  <c r="B2472" i="4"/>
  <c r="F2472" i="4"/>
  <c r="D2472" i="4"/>
  <c r="E2474" i="4"/>
  <c r="B2474" i="4"/>
  <c r="F2474" i="4"/>
  <c r="C2474" i="4"/>
  <c r="D2474" i="4"/>
  <c r="E2476" i="4"/>
  <c r="C2476" i="4"/>
  <c r="B2476" i="4"/>
  <c r="F2476" i="4"/>
  <c r="D2476" i="4"/>
  <c r="E2478" i="4"/>
  <c r="B2478" i="4"/>
  <c r="F2478" i="4"/>
  <c r="C2478" i="4"/>
  <c r="D2478" i="4"/>
  <c r="E2480" i="4"/>
  <c r="B2480" i="4"/>
  <c r="F2480" i="4"/>
  <c r="C2480" i="4"/>
  <c r="D2480" i="4"/>
  <c r="E2482" i="4"/>
  <c r="C2482" i="4"/>
  <c r="B2482" i="4"/>
  <c r="F2482" i="4"/>
  <c r="D2482" i="4"/>
  <c r="E2484" i="4"/>
  <c r="B2484" i="4"/>
  <c r="F2484" i="4"/>
  <c r="C2484" i="4"/>
  <c r="D2484" i="4"/>
  <c r="E2486" i="4"/>
  <c r="C2486" i="4"/>
  <c r="B2486" i="4"/>
  <c r="F2486" i="4"/>
  <c r="D2486" i="4"/>
  <c r="E2488" i="4"/>
  <c r="B2488" i="4"/>
  <c r="F2488" i="4"/>
  <c r="C2488" i="4"/>
  <c r="D2488" i="4"/>
  <c r="E2490" i="4"/>
  <c r="C2490" i="4"/>
  <c r="B2490" i="4"/>
  <c r="F2490" i="4"/>
  <c r="D2490" i="4"/>
  <c r="E2492" i="4"/>
  <c r="C2492" i="4"/>
  <c r="B2492" i="4"/>
  <c r="F2492" i="4"/>
  <c r="D2492" i="4"/>
  <c r="E2494" i="4"/>
  <c r="B2494" i="4"/>
  <c r="F2494" i="4"/>
  <c r="C2494" i="4"/>
  <c r="D2494" i="4"/>
  <c r="E2496" i="4"/>
  <c r="C2496" i="4"/>
  <c r="B2496" i="4"/>
  <c r="F2496" i="4"/>
  <c r="D2496" i="4"/>
  <c r="E2498" i="4"/>
  <c r="B2498" i="4"/>
  <c r="F2498" i="4"/>
  <c r="C2498" i="4"/>
  <c r="D2498" i="4"/>
  <c r="E2500" i="4"/>
  <c r="C2500" i="4"/>
  <c r="B2500" i="4"/>
  <c r="F2500" i="4"/>
  <c r="D2500" i="4"/>
  <c r="E2502" i="4"/>
  <c r="B2502" i="4"/>
  <c r="F2502" i="4"/>
  <c r="C2502" i="4"/>
  <c r="D2502" i="4"/>
  <c r="E2504" i="4"/>
  <c r="C2504" i="4"/>
  <c r="B2504" i="4"/>
  <c r="F2504" i="4"/>
  <c r="D2504" i="4"/>
  <c r="E2506" i="4"/>
  <c r="C2506" i="4"/>
  <c r="B2506" i="4"/>
  <c r="F2506" i="4"/>
  <c r="D2506" i="4"/>
  <c r="E2508" i="4"/>
  <c r="B2508" i="4"/>
  <c r="F2508" i="4"/>
  <c r="C2508" i="4"/>
  <c r="D2508" i="4"/>
  <c r="E2510" i="4"/>
  <c r="B2510" i="4"/>
  <c r="F2510" i="4"/>
  <c r="C2510" i="4"/>
  <c r="D2510" i="4"/>
  <c r="E2512" i="4"/>
  <c r="B2512" i="4"/>
  <c r="F2512" i="4"/>
  <c r="C2512" i="4"/>
  <c r="D2512" i="4"/>
  <c r="E2514" i="4"/>
  <c r="C2514" i="4"/>
  <c r="B2514" i="4"/>
  <c r="F2514" i="4"/>
  <c r="D2514" i="4"/>
  <c r="E2516" i="4"/>
  <c r="B2516" i="4"/>
  <c r="F2516" i="4"/>
  <c r="C2516" i="4"/>
  <c r="D2516" i="4"/>
  <c r="E2518" i="4"/>
  <c r="C2518" i="4"/>
  <c r="B2518" i="4"/>
  <c r="F2518" i="4"/>
  <c r="D2518" i="4"/>
  <c r="E2520" i="4"/>
  <c r="B2520" i="4"/>
  <c r="F2520" i="4"/>
  <c r="C2520" i="4"/>
  <c r="D2520" i="4"/>
  <c r="E2522" i="4"/>
  <c r="C2522" i="4"/>
  <c r="B2522" i="4"/>
  <c r="F2522" i="4"/>
  <c r="D2522" i="4"/>
  <c r="E2524" i="4"/>
  <c r="B2524" i="4"/>
  <c r="F2524" i="4"/>
  <c r="C2524" i="4"/>
  <c r="D2524" i="4"/>
  <c r="C2527" i="4"/>
  <c r="E2527" i="4"/>
  <c r="D2527" i="4"/>
  <c r="F2527" i="4"/>
  <c r="B2527" i="4"/>
  <c r="C2529" i="4"/>
  <c r="D2529" i="4"/>
  <c r="E2529" i="4"/>
  <c r="B2529" i="4"/>
  <c r="F2529" i="4"/>
  <c r="C2965" i="4"/>
  <c r="D2965" i="4"/>
  <c r="E2965" i="4"/>
  <c r="F2965" i="4"/>
  <c r="B2965" i="4"/>
  <c r="B16" i="4"/>
  <c r="F16" i="4"/>
  <c r="D16" i="4"/>
  <c r="E16" i="4"/>
  <c r="C16" i="4"/>
  <c r="B20" i="4"/>
  <c r="F20" i="4"/>
  <c r="E20" i="4"/>
  <c r="C20" i="4"/>
  <c r="D20" i="4"/>
  <c r="B24" i="4"/>
  <c r="F24" i="4"/>
  <c r="D24" i="4"/>
  <c r="C24" i="4"/>
  <c r="E24" i="4"/>
  <c r="B28" i="4"/>
  <c r="F28" i="4"/>
  <c r="C28" i="4"/>
  <c r="D28" i="4"/>
  <c r="E28" i="4"/>
  <c r="B36" i="4"/>
  <c r="F36" i="4"/>
  <c r="C36" i="4"/>
  <c r="D36" i="4"/>
  <c r="E36" i="4"/>
  <c r="C68" i="4"/>
  <c r="D68" i="4"/>
  <c r="E68" i="4"/>
  <c r="F68" i="4"/>
  <c r="B68" i="4"/>
  <c r="C72" i="4"/>
  <c r="F72" i="4"/>
  <c r="B72" i="4"/>
  <c r="D72" i="4"/>
  <c r="E72" i="4"/>
  <c r="C80" i="4"/>
  <c r="F80" i="4"/>
  <c r="D80" i="4"/>
  <c r="B80" i="4"/>
  <c r="E80" i="4"/>
  <c r="C92" i="4"/>
  <c r="D92" i="4"/>
  <c r="B92" i="4"/>
  <c r="E92" i="4"/>
  <c r="F92" i="4"/>
  <c r="E105" i="4"/>
  <c r="F105" i="4"/>
  <c r="C105" i="4"/>
  <c r="B105" i="4"/>
  <c r="D105" i="4"/>
  <c r="E109" i="4"/>
  <c r="C109" i="4"/>
  <c r="F109" i="4"/>
  <c r="B109" i="4"/>
  <c r="D109" i="4"/>
  <c r="E113" i="4"/>
  <c r="F113" i="4"/>
  <c r="D113" i="4"/>
  <c r="B113" i="4"/>
  <c r="C113" i="4"/>
  <c r="E125" i="4"/>
  <c r="C125" i="4"/>
  <c r="D125" i="4"/>
  <c r="F125" i="4"/>
  <c r="B125" i="4"/>
  <c r="C151" i="4"/>
  <c r="D151" i="4"/>
  <c r="B151" i="4"/>
  <c r="E151" i="4"/>
  <c r="F151" i="4"/>
  <c r="C155" i="4"/>
  <c r="F155" i="4"/>
  <c r="E155" i="4"/>
  <c r="D155" i="4"/>
  <c r="B155" i="4"/>
  <c r="C167" i="4"/>
  <c r="D167" i="4"/>
  <c r="F167" i="4"/>
  <c r="B167" i="4"/>
  <c r="E167" i="4"/>
  <c r="E172" i="4"/>
  <c r="F172" i="4"/>
  <c r="D172" i="4"/>
  <c r="C172" i="4"/>
  <c r="B172" i="4"/>
  <c r="E204" i="4"/>
  <c r="F204" i="4"/>
  <c r="D204" i="4"/>
  <c r="B204" i="4"/>
  <c r="C204" i="4"/>
  <c r="E208" i="4"/>
  <c r="C208" i="4"/>
  <c r="B208" i="4"/>
  <c r="D208" i="4"/>
  <c r="F208" i="4"/>
  <c r="E212" i="4"/>
  <c r="F212" i="4"/>
  <c r="D212" i="4"/>
  <c r="C212" i="4"/>
  <c r="B212" i="4"/>
  <c r="E226" i="4"/>
  <c r="B226" i="4"/>
  <c r="F226" i="4"/>
  <c r="C226" i="4"/>
  <c r="D226" i="4"/>
  <c r="E242" i="4"/>
  <c r="B242" i="4"/>
  <c r="D242" i="4"/>
  <c r="F242" i="4"/>
  <c r="C242" i="4"/>
  <c r="E246" i="4"/>
  <c r="D246" i="4"/>
  <c r="B246" i="4"/>
  <c r="C246" i="4"/>
  <c r="F246" i="4"/>
  <c r="E254" i="4"/>
  <c r="D254" i="4"/>
  <c r="C254" i="4"/>
  <c r="F254" i="4"/>
  <c r="B254" i="4"/>
  <c r="E262" i="4"/>
  <c r="D262" i="4"/>
  <c r="F262" i="4"/>
  <c r="B262" i="4"/>
  <c r="C262" i="4"/>
  <c r="E270" i="4"/>
  <c r="D270" i="4"/>
  <c r="B270" i="4"/>
  <c r="C270" i="4"/>
  <c r="F270" i="4"/>
  <c r="B282" i="4"/>
  <c r="F282" i="4"/>
  <c r="D282" i="4"/>
  <c r="E282" i="4"/>
  <c r="C282" i="4"/>
  <c r="B290" i="4"/>
  <c r="F290" i="4"/>
  <c r="D290" i="4"/>
  <c r="C290" i="4"/>
  <c r="E290" i="4"/>
  <c r="B294" i="4"/>
  <c r="F294" i="4"/>
  <c r="D294" i="4"/>
  <c r="C294" i="4"/>
  <c r="E294" i="4"/>
  <c r="B298" i="4"/>
  <c r="F298" i="4"/>
  <c r="D298" i="4"/>
  <c r="C298" i="4"/>
  <c r="E298" i="4"/>
  <c r="D307" i="4"/>
  <c r="C307" i="4"/>
  <c r="E307" i="4"/>
  <c r="B307" i="4"/>
  <c r="F307" i="4"/>
  <c r="D315" i="4"/>
  <c r="C315" i="4"/>
  <c r="F315" i="4"/>
  <c r="B315" i="4"/>
  <c r="E315" i="4"/>
  <c r="B328" i="4"/>
  <c r="F328" i="4"/>
  <c r="E328" i="4"/>
  <c r="C328" i="4"/>
  <c r="D328" i="4"/>
  <c r="D341" i="4"/>
  <c r="B341" i="4"/>
  <c r="F341" i="4"/>
  <c r="E341" i="4"/>
  <c r="C341" i="4"/>
  <c r="B350" i="4"/>
  <c r="F350" i="4"/>
  <c r="C350" i="4"/>
  <c r="D350" i="4"/>
  <c r="E350" i="4"/>
  <c r="B374" i="4"/>
  <c r="F374" i="4"/>
  <c r="E374" i="4"/>
  <c r="C374" i="4"/>
  <c r="D374" i="4"/>
  <c r="B382" i="4"/>
  <c r="F382" i="4"/>
  <c r="C382" i="4"/>
  <c r="E382" i="4"/>
  <c r="D382" i="4"/>
  <c r="B394" i="4"/>
  <c r="F394" i="4"/>
  <c r="D394" i="4"/>
  <c r="C394" i="4"/>
  <c r="E394" i="4"/>
  <c r="B715" i="4"/>
  <c r="F715" i="4"/>
  <c r="C715" i="4"/>
  <c r="E715" i="4"/>
  <c r="D715" i="4"/>
  <c r="B719" i="4"/>
  <c r="F719" i="4"/>
  <c r="E719" i="4"/>
  <c r="C719" i="4"/>
  <c r="D719" i="4"/>
  <c r="B733" i="4"/>
  <c r="F733" i="4"/>
  <c r="D733" i="4"/>
  <c r="C733" i="4"/>
  <c r="E733" i="4"/>
  <c r="B737" i="4"/>
  <c r="F737" i="4"/>
  <c r="D737" i="4"/>
  <c r="C737" i="4"/>
  <c r="E737" i="4"/>
  <c r="D746" i="4"/>
  <c r="C746" i="4"/>
  <c r="E746" i="4"/>
  <c r="F746" i="4"/>
  <c r="B746" i="4"/>
  <c r="D756" i="4"/>
  <c r="B756" i="4"/>
  <c r="C756" i="4"/>
  <c r="E756" i="4"/>
  <c r="F756" i="4"/>
  <c r="D764" i="4"/>
  <c r="B764" i="4"/>
  <c r="C764" i="4"/>
  <c r="E764" i="4"/>
  <c r="F764" i="4"/>
  <c r="D776" i="4"/>
  <c r="E776" i="4"/>
  <c r="B776" i="4"/>
  <c r="F776" i="4"/>
  <c r="C776" i="4"/>
  <c r="D784" i="4"/>
  <c r="E784" i="4"/>
  <c r="C784" i="4"/>
  <c r="F784" i="4"/>
  <c r="B784" i="4"/>
  <c r="B803" i="4"/>
  <c r="F803" i="4"/>
  <c r="C803" i="4"/>
  <c r="D803" i="4"/>
  <c r="E803" i="4"/>
  <c r="E813" i="4"/>
  <c r="C813" i="4"/>
  <c r="B813" i="4"/>
  <c r="D813" i="4"/>
  <c r="F813" i="4"/>
  <c r="E823" i="4"/>
  <c r="B823" i="4"/>
  <c r="D823" i="4"/>
  <c r="F823" i="4"/>
  <c r="C823" i="4"/>
  <c r="E835" i="4"/>
  <c r="D835" i="4"/>
  <c r="C835" i="4"/>
  <c r="F835" i="4"/>
  <c r="B835" i="4"/>
  <c r="E841" i="4"/>
  <c r="F841" i="4"/>
  <c r="C841" i="4"/>
  <c r="B841" i="4"/>
  <c r="D841" i="4"/>
  <c r="E849" i="4"/>
  <c r="F849" i="4"/>
  <c r="D849" i="4"/>
  <c r="B849" i="4"/>
  <c r="C849" i="4"/>
  <c r="E857" i="4"/>
  <c r="F857" i="4"/>
  <c r="D857" i="4"/>
  <c r="B857" i="4"/>
  <c r="C857" i="4"/>
  <c r="E859" i="4"/>
  <c r="D859" i="4"/>
  <c r="B859" i="4"/>
  <c r="C859" i="4"/>
  <c r="F859" i="4"/>
  <c r="E877" i="4"/>
  <c r="C877" i="4"/>
  <c r="B877" i="4"/>
  <c r="D877" i="4"/>
  <c r="F877" i="4"/>
  <c r="E887" i="4"/>
  <c r="B887" i="4"/>
  <c r="D887" i="4"/>
  <c r="F887" i="4"/>
  <c r="C887" i="4"/>
  <c r="E895" i="4"/>
  <c r="B895" i="4"/>
  <c r="F895" i="4"/>
  <c r="D895" i="4"/>
  <c r="C895" i="4"/>
  <c r="C902" i="4"/>
  <c r="B902" i="4"/>
  <c r="F902" i="4"/>
  <c r="D902" i="4"/>
  <c r="E902" i="4"/>
  <c r="C904" i="4"/>
  <c r="F904" i="4"/>
  <c r="B904" i="4"/>
  <c r="D904" i="4"/>
  <c r="E904" i="4"/>
  <c r="E917" i="4"/>
  <c r="C917" i="4"/>
  <c r="B917" i="4"/>
  <c r="F917" i="4"/>
  <c r="D917" i="4"/>
  <c r="E929" i="4"/>
  <c r="F929" i="4"/>
  <c r="B929" i="4"/>
  <c r="C929" i="4"/>
  <c r="D929" i="4"/>
  <c r="C940" i="4"/>
  <c r="D940" i="4"/>
  <c r="F940" i="4"/>
  <c r="B940" i="4"/>
  <c r="E940" i="4"/>
  <c r="C950" i="4"/>
  <c r="B950" i="4"/>
  <c r="D950" i="4"/>
  <c r="F950" i="4"/>
  <c r="E950" i="4"/>
  <c r="E961" i="4"/>
  <c r="F961" i="4"/>
  <c r="B961" i="4"/>
  <c r="C961" i="4"/>
  <c r="D961" i="4"/>
  <c r="E967" i="4"/>
  <c r="B967" i="4"/>
  <c r="C967" i="4"/>
  <c r="D967" i="4"/>
  <c r="F967" i="4"/>
  <c r="C972" i="4"/>
  <c r="D972" i="4"/>
  <c r="F972" i="4"/>
  <c r="B972" i="4"/>
  <c r="E972" i="4"/>
  <c r="C978" i="4"/>
  <c r="E978" i="4"/>
  <c r="F978" i="4"/>
  <c r="B978" i="4"/>
  <c r="D978" i="4"/>
  <c r="C986" i="4"/>
  <c r="E986" i="4"/>
  <c r="B986" i="4"/>
  <c r="D986" i="4"/>
  <c r="F986" i="4"/>
  <c r="C992" i="4"/>
  <c r="F992" i="4"/>
  <c r="B992" i="4"/>
  <c r="D992" i="4"/>
  <c r="E992" i="4"/>
  <c r="C1002" i="4"/>
  <c r="E1002" i="4"/>
  <c r="D1002" i="4"/>
  <c r="B1002" i="4"/>
  <c r="F1002" i="4"/>
  <c r="C1008" i="4"/>
  <c r="F1008" i="4"/>
  <c r="D1008" i="4"/>
  <c r="E1008" i="4"/>
  <c r="B1008" i="4"/>
  <c r="C1014" i="4"/>
  <c r="B1014" i="4"/>
  <c r="D1014" i="4"/>
  <c r="E1014" i="4"/>
  <c r="F1014" i="4"/>
  <c r="C1018" i="4"/>
  <c r="E1018" i="4"/>
  <c r="B1018" i="4"/>
  <c r="D1018" i="4"/>
  <c r="F1018" i="4"/>
  <c r="E1029" i="4"/>
  <c r="C1029" i="4"/>
  <c r="F1029" i="4"/>
  <c r="B1029" i="4"/>
  <c r="D1029" i="4"/>
  <c r="C1044" i="4"/>
  <c r="D1044" i="4"/>
  <c r="B1044" i="4"/>
  <c r="E1044" i="4"/>
  <c r="F1044" i="4"/>
  <c r="E1051" i="4"/>
  <c r="D1051" i="4"/>
  <c r="B1051" i="4"/>
  <c r="C1051" i="4"/>
  <c r="F1051" i="4"/>
  <c r="E1063" i="4"/>
  <c r="B1063" i="4"/>
  <c r="C1063" i="4"/>
  <c r="D1063" i="4"/>
  <c r="F1063" i="4"/>
  <c r="E1479" i="4"/>
  <c r="B1479" i="4"/>
  <c r="C1479" i="4"/>
  <c r="F1479" i="4"/>
  <c r="D1479" i="4"/>
  <c r="E1491" i="4"/>
  <c r="D1491" i="4"/>
  <c r="F1491" i="4"/>
  <c r="B1491" i="4"/>
  <c r="C1491" i="4"/>
  <c r="E1503" i="4"/>
  <c r="B1503" i="4"/>
  <c r="C1503" i="4"/>
  <c r="D1503" i="4"/>
  <c r="F1503" i="4"/>
  <c r="B1515" i="4"/>
  <c r="F1515" i="4"/>
  <c r="C1515" i="4"/>
  <c r="D1515" i="4"/>
  <c r="E1515" i="4"/>
  <c r="B1527" i="4"/>
  <c r="F1527" i="4"/>
  <c r="D1527" i="4"/>
  <c r="E1527" i="4"/>
  <c r="C1527" i="4"/>
  <c r="B1543" i="4"/>
  <c r="D1543" i="4"/>
  <c r="E1543" i="4"/>
  <c r="F1543" i="4"/>
  <c r="C1543" i="4"/>
  <c r="D1555" i="4"/>
  <c r="E1555" i="4"/>
  <c r="B1555" i="4"/>
  <c r="C1555" i="4"/>
  <c r="F1555" i="4"/>
  <c r="D1571" i="4"/>
  <c r="E1571" i="4"/>
  <c r="B1571" i="4"/>
  <c r="C1571" i="4"/>
  <c r="F1571" i="4"/>
  <c r="D1583" i="4"/>
  <c r="E1583" i="4"/>
  <c r="B1583" i="4"/>
  <c r="F1583" i="4"/>
  <c r="C1583" i="4"/>
  <c r="D1599" i="4"/>
  <c r="E1599" i="4"/>
  <c r="B1599" i="4"/>
  <c r="C1599" i="4"/>
  <c r="F1599" i="4"/>
  <c r="D1611" i="4"/>
  <c r="E1611" i="4"/>
  <c r="B1611" i="4"/>
  <c r="F1611" i="4"/>
  <c r="C1611" i="4"/>
  <c r="D1623" i="4"/>
  <c r="E1623" i="4"/>
  <c r="B1623" i="4"/>
  <c r="C1623" i="4"/>
  <c r="F1623" i="4"/>
  <c r="D1639" i="4"/>
  <c r="E1639" i="4"/>
  <c r="B1639" i="4"/>
  <c r="F1639" i="4"/>
  <c r="C1639" i="4"/>
  <c r="D1651" i="4"/>
  <c r="E1651" i="4"/>
  <c r="B1651" i="4"/>
  <c r="C1651" i="4"/>
  <c r="F1651" i="4"/>
  <c r="D1663" i="4"/>
  <c r="E1663" i="4"/>
  <c r="B1663" i="4"/>
  <c r="C1663" i="4"/>
  <c r="F1663" i="4"/>
  <c r="D1671" i="4"/>
  <c r="E1671" i="4"/>
  <c r="B1671" i="4"/>
  <c r="C1671" i="4"/>
  <c r="F1671" i="4"/>
  <c r="D1687" i="4"/>
  <c r="E1687" i="4"/>
  <c r="B1687" i="4"/>
  <c r="C1687" i="4"/>
  <c r="F1687" i="4"/>
  <c r="D1699" i="4"/>
  <c r="E1699" i="4"/>
  <c r="B1699" i="4"/>
  <c r="F1699" i="4"/>
  <c r="C1699" i="4"/>
  <c r="D1715" i="4"/>
  <c r="E1715" i="4"/>
  <c r="B1715" i="4"/>
  <c r="C1715" i="4"/>
  <c r="F1715" i="4"/>
  <c r="D1727" i="4"/>
  <c r="E1727" i="4"/>
  <c r="B1727" i="4"/>
  <c r="C1727" i="4"/>
  <c r="F1727" i="4"/>
  <c r="D1739" i="4"/>
  <c r="E1739" i="4"/>
  <c r="B1739" i="4"/>
  <c r="F1739" i="4"/>
  <c r="C1739" i="4"/>
  <c r="D1751" i="4"/>
  <c r="E1751" i="4"/>
  <c r="B1751" i="4"/>
  <c r="C1751" i="4"/>
  <c r="F1751" i="4"/>
  <c r="D1767" i="4"/>
  <c r="E1767" i="4"/>
  <c r="B1767" i="4"/>
  <c r="F1767" i="4"/>
  <c r="C1767" i="4"/>
  <c r="D1779" i="4"/>
  <c r="E1779" i="4"/>
  <c r="B1779" i="4"/>
  <c r="C1779" i="4"/>
  <c r="F1779" i="4"/>
  <c r="D1791" i="4"/>
  <c r="E1791" i="4"/>
  <c r="B1791" i="4"/>
  <c r="F1791" i="4"/>
  <c r="C1791" i="4"/>
  <c r="B1804" i="4"/>
  <c r="F1804" i="4"/>
  <c r="C1804" i="4"/>
  <c r="D1804" i="4"/>
  <c r="E1804" i="4"/>
  <c r="B1820" i="4"/>
  <c r="F1820" i="4"/>
  <c r="C1820" i="4"/>
  <c r="D1820" i="4"/>
  <c r="E1820" i="4"/>
  <c r="B1832" i="4"/>
  <c r="F1832" i="4"/>
  <c r="C1832" i="4"/>
  <c r="D1832" i="4"/>
  <c r="E1832" i="4"/>
  <c r="B1844" i="4"/>
  <c r="F1844" i="4"/>
  <c r="C1844" i="4"/>
  <c r="D1844" i="4"/>
  <c r="E1844" i="4"/>
  <c r="B1856" i="4"/>
  <c r="F1856" i="4"/>
  <c r="C1856" i="4"/>
  <c r="D1856" i="4"/>
  <c r="E1856" i="4"/>
  <c r="B1864" i="4"/>
  <c r="F1864" i="4"/>
  <c r="C1864" i="4"/>
  <c r="D1864" i="4"/>
  <c r="E1864" i="4"/>
  <c r="B1876" i="4"/>
  <c r="F1876" i="4"/>
  <c r="C1876" i="4"/>
  <c r="D1876" i="4"/>
  <c r="E1876" i="4"/>
  <c r="B1888" i="4"/>
  <c r="F1888" i="4"/>
  <c r="C1888" i="4"/>
  <c r="D1888" i="4"/>
  <c r="E1888" i="4"/>
  <c r="B1900" i="4"/>
  <c r="F1900" i="4"/>
  <c r="C1900" i="4"/>
  <c r="D1900" i="4"/>
  <c r="E1900" i="4"/>
  <c r="B1916" i="4"/>
  <c r="F1916" i="4"/>
  <c r="C1916" i="4"/>
  <c r="D1916" i="4"/>
  <c r="E1916" i="4"/>
  <c r="B1932" i="4"/>
  <c r="F1932" i="4"/>
  <c r="C1932" i="4"/>
  <c r="D1932" i="4"/>
  <c r="E1932" i="4"/>
  <c r="B1940" i="4"/>
  <c r="F1940" i="4"/>
  <c r="C1940" i="4"/>
  <c r="D1940" i="4"/>
  <c r="E1940" i="4"/>
  <c r="B1952" i="4"/>
  <c r="F1952" i="4"/>
  <c r="C1952" i="4"/>
  <c r="D1952" i="4"/>
  <c r="E1952" i="4"/>
  <c r="B1964" i="4"/>
  <c r="F1964" i="4"/>
  <c r="C1964" i="4"/>
  <c r="D1964" i="4"/>
  <c r="E1964" i="4"/>
  <c r="B1972" i="4"/>
  <c r="F1972" i="4"/>
  <c r="C1972" i="4"/>
  <c r="D1972" i="4"/>
  <c r="E1972" i="4"/>
  <c r="B1988" i="4"/>
  <c r="F1988" i="4"/>
  <c r="C1988" i="4"/>
  <c r="D1988" i="4"/>
  <c r="E1988" i="4"/>
  <c r="B2000" i="4"/>
  <c r="F2000" i="4"/>
  <c r="C2000" i="4"/>
  <c r="D2000" i="4"/>
  <c r="E2000" i="4"/>
  <c r="B2012" i="4"/>
  <c r="F2012" i="4"/>
  <c r="C2012" i="4"/>
  <c r="D2012" i="4"/>
  <c r="E2012" i="4"/>
  <c r="B2024" i="4"/>
  <c r="F2024" i="4"/>
  <c r="C2024" i="4"/>
  <c r="D2024" i="4"/>
  <c r="E2024" i="4"/>
  <c r="B2040" i="4"/>
  <c r="F2040" i="4"/>
  <c r="C2040" i="4"/>
  <c r="D2040" i="4"/>
  <c r="E2040" i="4"/>
  <c r="B2052" i="4"/>
  <c r="F2052" i="4"/>
  <c r="C2052" i="4"/>
  <c r="D2052" i="4"/>
  <c r="E2052" i="4"/>
  <c r="B2068" i="4"/>
  <c r="F2068" i="4"/>
  <c r="C2068" i="4"/>
  <c r="D2068" i="4"/>
  <c r="E2068" i="4"/>
  <c r="B2080" i="4"/>
  <c r="F2080" i="4"/>
  <c r="C2080" i="4"/>
  <c r="D2080" i="4"/>
  <c r="E2080" i="4"/>
  <c r="B2092" i="4"/>
  <c r="F2092" i="4"/>
  <c r="C2092" i="4"/>
  <c r="D2092" i="4"/>
  <c r="E2092" i="4"/>
  <c r="B2108" i="4"/>
  <c r="F2108" i="4"/>
  <c r="C2108" i="4"/>
  <c r="D2108" i="4"/>
  <c r="E2108" i="4"/>
  <c r="B2120" i="4"/>
  <c r="F2120" i="4"/>
  <c r="C2120" i="4"/>
  <c r="D2120" i="4"/>
  <c r="E2120" i="4"/>
  <c r="B2132" i="4"/>
  <c r="F2132" i="4"/>
  <c r="C2132" i="4"/>
  <c r="D2132" i="4"/>
  <c r="E2132" i="4"/>
  <c r="B2144" i="4"/>
  <c r="F2144" i="4"/>
  <c r="C2144" i="4"/>
  <c r="D2144" i="4"/>
  <c r="E2144" i="4"/>
  <c r="B2156" i="4"/>
  <c r="F2156" i="4"/>
  <c r="C2156" i="4"/>
  <c r="D2156" i="4"/>
  <c r="E2156" i="4"/>
  <c r="B2168" i="4"/>
  <c r="F2168" i="4"/>
  <c r="C2168" i="4"/>
  <c r="D2168" i="4"/>
  <c r="E2168" i="4"/>
  <c r="B2184" i="4"/>
  <c r="F2184" i="4"/>
  <c r="C2184" i="4"/>
  <c r="D2184" i="4"/>
  <c r="E2184" i="4"/>
  <c r="B2196" i="4"/>
  <c r="F2196" i="4"/>
  <c r="C2196" i="4"/>
  <c r="D2196" i="4"/>
  <c r="E2196" i="4"/>
  <c r="D2207" i="4"/>
  <c r="B2207" i="4"/>
  <c r="C2207" i="4"/>
  <c r="E2207" i="4"/>
  <c r="F2207" i="4"/>
  <c r="C2213" i="4"/>
  <c r="E2213" i="4"/>
  <c r="D2213" i="4"/>
  <c r="B2213" i="4"/>
  <c r="F2213" i="4"/>
  <c r="C2219" i="4"/>
  <c r="E2219" i="4"/>
  <c r="D2219" i="4"/>
  <c r="B2219" i="4"/>
  <c r="F2219" i="4"/>
  <c r="C2227" i="4"/>
  <c r="E2227" i="4"/>
  <c r="D2227" i="4"/>
  <c r="B2227" i="4"/>
  <c r="F2227" i="4"/>
  <c r="C2233" i="4"/>
  <c r="D2233" i="4"/>
  <c r="E2233" i="4"/>
  <c r="F2233" i="4"/>
  <c r="B2233" i="4"/>
  <c r="C2239" i="4"/>
  <c r="E2239" i="4"/>
  <c r="D2239" i="4"/>
  <c r="F2239" i="4"/>
  <c r="B2239" i="4"/>
  <c r="C2247" i="4"/>
  <c r="E2247" i="4"/>
  <c r="D2247" i="4"/>
  <c r="F2247" i="4"/>
  <c r="B2247" i="4"/>
  <c r="C2253" i="4"/>
  <c r="E2253" i="4"/>
  <c r="D2253" i="4"/>
  <c r="B2253" i="4"/>
  <c r="F2253" i="4"/>
  <c r="C2259" i="4"/>
  <c r="D2259" i="4"/>
  <c r="E2259" i="4"/>
  <c r="B2259" i="4"/>
  <c r="F2259" i="4"/>
  <c r="C2265" i="4"/>
  <c r="E2265" i="4"/>
  <c r="D2265" i="4"/>
  <c r="F2265" i="4"/>
  <c r="B2265" i="4"/>
  <c r="C2269" i="4"/>
  <c r="E2269" i="4"/>
  <c r="D2269" i="4"/>
  <c r="B2269" i="4"/>
  <c r="F2269" i="4"/>
  <c r="C2277" i="4"/>
  <c r="E2277" i="4"/>
  <c r="D2277" i="4"/>
  <c r="B2277" i="4"/>
  <c r="F2277" i="4"/>
  <c r="C2283" i="4"/>
  <c r="E2283" i="4"/>
  <c r="D2283" i="4"/>
  <c r="B2283" i="4"/>
  <c r="F2283" i="4"/>
  <c r="C2293" i="4"/>
  <c r="D2293" i="4"/>
  <c r="E2293" i="4"/>
  <c r="B2293" i="4"/>
  <c r="F2293" i="4"/>
  <c r="C2299" i="4"/>
  <c r="E2299" i="4"/>
  <c r="D2299" i="4"/>
  <c r="B2299" i="4"/>
  <c r="F2299" i="4"/>
  <c r="C2305" i="4"/>
  <c r="D2305" i="4"/>
  <c r="E2305" i="4"/>
  <c r="F2305" i="4"/>
  <c r="B2305" i="4"/>
  <c r="C2311" i="4"/>
  <c r="E2311" i="4"/>
  <c r="D2311" i="4"/>
  <c r="F2311" i="4"/>
  <c r="B2311" i="4"/>
  <c r="C2319" i="4"/>
  <c r="D2319" i="4"/>
  <c r="E2319" i="4"/>
  <c r="F2319" i="4"/>
  <c r="B2319" i="4"/>
  <c r="C2325" i="4"/>
  <c r="D2325" i="4"/>
  <c r="E2325" i="4"/>
  <c r="B2325" i="4"/>
  <c r="F2325" i="4"/>
  <c r="C2329" i="4"/>
  <c r="D2329" i="4"/>
  <c r="E2329" i="4"/>
  <c r="F2329" i="4"/>
  <c r="B2329" i="4"/>
  <c r="C2339" i="4"/>
  <c r="D2339" i="4"/>
  <c r="E2339" i="4"/>
  <c r="F2339" i="4"/>
  <c r="B2339" i="4"/>
  <c r="C2345" i="4"/>
  <c r="D2345" i="4"/>
  <c r="E2345" i="4"/>
  <c r="F2345" i="4"/>
  <c r="B2345" i="4"/>
  <c r="C2351" i="4"/>
  <c r="D2351" i="4"/>
  <c r="E2351" i="4"/>
  <c r="B2351" i="4"/>
  <c r="F2351" i="4"/>
  <c r="C2357" i="4"/>
  <c r="D2357" i="4"/>
  <c r="E2357" i="4"/>
  <c r="B2357" i="4"/>
  <c r="F2357" i="4"/>
  <c r="C2363" i="4"/>
  <c r="D2363" i="4"/>
  <c r="E2363" i="4"/>
  <c r="F2363" i="4"/>
  <c r="B2363" i="4"/>
  <c r="C2369" i="4"/>
  <c r="E2369" i="4"/>
  <c r="D2369" i="4"/>
  <c r="F2369" i="4"/>
  <c r="B2369" i="4"/>
  <c r="C2377" i="4"/>
  <c r="D2377" i="4"/>
  <c r="E2377" i="4"/>
  <c r="F2377" i="4"/>
  <c r="B2377" i="4"/>
  <c r="C2383" i="4"/>
  <c r="E2383" i="4"/>
  <c r="D2383" i="4"/>
  <c r="B2383" i="4"/>
  <c r="F2383" i="4"/>
  <c r="C2389" i="4"/>
  <c r="E2389" i="4"/>
  <c r="D2389" i="4"/>
  <c r="B2389" i="4"/>
  <c r="F2389" i="4"/>
  <c r="C2395" i="4"/>
  <c r="E2395" i="4"/>
  <c r="D2395" i="4"/>
  <c r="F2395" i="4"/>
  <c r="B2395" i="4"/>
  <c r="C2403" i="4"/>
  <c r="D2403" i="4"/>
  <c r="E2403" i="4"/>
  <c r="F2403" i="4"/>
  <c r="B2403" i="4"/>
  <c r="C2409" i="4"/>
  <c r="E2409" i="4"/>
  <c r="D2409" i="4"/>
  <c r="F2409" i="4"/>
  <c r="B2409" i="4"/>
  <c r="C2415" i="4"/>
  <c r="E2415" i="4"/>
  <c r="D2415" i="4"/>
  <c r="B2415" i="4"/>
  <c r="F2415" i="4"/>
  <c r="C2423" i="4"/>
  <c r="E2423" i="4"/>
  <c r="D2423" i="4"/>
  <c r="B2423" i="4"/>
  <c r="F2423" i="4"/>
  <c r="C2427" i="4"/>
  <c r="E2427" i="4"/>
  <c r="D2427" i="4"/>
  <c r="F2427" i="4"/>
  <c r="B2427" i="4"/>
  <c r="C2435" i="4"/>
  <c r="E2435" i="4"/>
  <c r="D2435" i="4"/>
  <c r="B2435" i="4"/>
  <c r="F2435" i="4"/>
  <c r="C2443" i="4"/>
  <c r="D2443" i="4"/>
  <c r="E2443" i="4"/>
  <c r="F2443" i="4"/>
  <c r="B2443" i="4"/>
  <c r="C2449" i="4"/>
  <c r="E2449" i="4"/>
  <c r="D2449" i="4"/>
  <c r="F2449" i="4"/>
  <c r="B2449" i="4"/>
  <c r="C2455" i="4"/>
  <c r="D2455" i="4"/>
  <c r="E2455" i="4"/>
  <c r="B2455" i="4"/>
  <c r="F2455" i="4"/>
  <c r="C2461" i="4"/>
  <c r="E2461" i="4"/>
  <c r="D2461" i="4"/>
  <c r="F2461" i="4"/>
  <c r="B2461" i="4"/>
  <c r="C2469" i="4"/>
  <c r="E2469" i="4"/>
  <c r="D2469" i="4"/>
  <c r="B2469" i="4"/>
  <c r="F2469" i="4"/>
  <c r="C2475" i="4"/>
  <c r="D2475" i="4"/>
  <c r="E2475" i="4"/>
  <c r="F2475" i="4"/>
  <c r="B2475" i="4"/>
  <c r="C2481" i="4"/>
  <c r="D2481" i="4"/>
  <c r="E2481" i="4"/>
  <c r="F2481" i="4"/>
  <c r="B2481" i="4"/>
  <c r="C2489" i="4"/>
  <c r="D2489" i="4"/>
  <c r="E2489" i="4"/>
  <c r="F2489" i="4"/>
  <c r="B2489" i="4"/>
  <c r="C2493" i="4"/>
  <c r="E2493" i="4"/>
  <c r="D2493" i="4"/>
  <c r="F2493" i="4"/>
  <c r="B2493" i="4"/>
  <c r="C2499" i="4"/>
  <c r="D2499" i="4"/>
  <c r="E2499" i="4"/>
  <c r="B2499" i="4"/>
  <c r="F2499" i="4"/>
  <c r="C2505" i="4"/>
  <c r="D2505" i="4"/>
  <c r="E2505" i="4"/>
  <c r="F2505" i="4"/>
  <c r="B2505" i="4"/>
  <c r="C2511" i="4"/>
  <c r="E2511" i="4"/>
  <c r="D2511" i="4"/>
  <c r="B2511" i="4"/>
  <c r="F2511" i="4"/>
  <c r="C2519" i="4"/>
  <c r="E2519" i="4"/>
  <c r="D2519" i="4"/>
  <c r="B2519" i="4"/>
  <c r="F2519" i="4"/>
  <c r="E2528" i="4"/>
  <c r="B2528" i="4"/>
  <c r="F2528" i="4"/>
  <c r="C2528" i="4"/>
  <c r="D2528" i="4"/>
  <c r="D17" i="4"/>
  <c r="C17" i="4"/>
  <c r="B17" i="4"/>
  <c r="E17" i="4"/>
  <c r="F17" i="4"/>
  <c r="D21" i="4"/>
  <c r="F21" i="4"/>
  <c r="C21" i="4"/>
  <c r="E21" i="4"/>
  <c r="B21" i="4"/>
  <c r="D25" i="4"/>
  <c r="C25" i="4"/>
  <c r="E25" i="4"/>
  <c r="F25" i="4"/>
  <c r="B25" i="4"/>
  <c r="D29" i="4"/>
  <c r="F29" i="4"/>
  <c r="B29" i="4"/>
  <c r="C29" i="4"/>
  <c r="E29" i="4"/>
  <c r="D33" i="4"/>
  <c r="C33" i="4"/>
  <c r="F33" i="4"/>
  <c r="B33" i="4"/>
  <c r="E33" i="4"/>
  <c r="D37" i="4"/>
  <c r="F37" i="4"/>
  <c r="C37" i="4"/>
  <c r="B37" i="4"/>
  <c r="E37" i="4"/>
  <c r="D41" i="4"/>
  <c r="C41" i="4"/>
  <c r="F41" i="4"/>
  <c r="B41" i="4"/>
  <c r="E41" i="4"/>
  <c r="D45" i="4"/>
  <c r="F45" i="4"/>
  <c r="E45" i="4"/>
  <c r="B45" i="4"/>
  <c r="C45" i="4"/>
  <c r="D49" i="4"/>
  <c r="C49" i="4"/>
  <c r="B49" i="4"/>
  <c r="F49" i="4"/>
  <c r="E49" i="4"/>
  <c r="D53" i="4"/>
  <c r="F53" i="4"/>
  <c r="B53" i="4"/>
  <c r="C53" i="4"/>
  <c r="E53" i="4"/>
  <c r="D57" i="4"/>
  <c r="C57" i="4"/>
  <c r="E57" i="4"/>
  <c r="F57" i="4"/>
  <c r="B57" i="4"/>
  <c r="E61" i="4"/>
  <c r="C61" i="4"/>
  <c r="D61" i="4"/>
  <c r="B61" i="4"/>
  <c r="F61" i="4"/>
  <c r="E65" i="4"/>
  <c r="F65" i="4"/>
  <c r="B65" i="4"/>
  <c r="D65" i="4"/>
  <c r="C65" i="4"/>
  <c r="E69" i="4"/>
  <c r="C69" i="4"/>
  <c r="F69" i="4"/>
  <c r="B69" i="4"/>
  <c r="D69" i="4"/>
  <c r="E73" i="4"/>
  <c r="F73" i="4"/>
  <c r="C73" i="4"/>
  <c r="D73" i="4"/>
  <c r="B73" i="4"/>
  <c r="E77" i="4"/>
  <c r="C77" i="4"/>
  <c r="B77" i="4"/>
  <c r="D77" i="4"/>
  <c r="F77" i="4"/>
  <c r="E81" i="4"/>
  <c r="F81" i="4"/>
  <c r="D81" i="4"/>
  <c r="C81" i="4"/>
  <c r="B81" i="4"/>
  <c r="E85" i="4"/>
  <c r="C85" i="4"/>
  <c r="B85" i="4"/>
  <c r="D85" i="4"/>
  <c r="F85" i="4"/>
  <c r="E89" i="4"/>
  <c r="F89" i="4"/>
  <c r="C89" i="4"/>
  <c r="D89" i="4"/>
  <c r="B89" i="4"/>
  <c r="E93" i="4"/>
  <c r="C93" i="4"/>
  <c r="D93" i="4"/>
  <c r="B93" i="4"/>
  <c r="F93" i="4"/>
  <c r="C98" i="4"/>
  <c r="E98" i="4"/>
  <c r="B98" i="4"/>
  <c r="F98" i="4"/>
  <c r="D98" i="4"/>
  <c r="C102" i="4"/>
  <c r="B102" i="4"/>
  <c r="F102" i="4"/>
  <c r="D102" i="4"/>
  <c r="E102" i="4"/>
  <c r="C106" i="4"/>
  <c r="E106" i="4"/>
  <c r="D106" i="4"/>
  <c r="F106" i="4"/>
  <c r="B106" i="4"/>
  <c r="C110" i="4"/>
  <c r="B110" i="4"/>
  <c r="D110" i="4"/>
  <c r="E110" i="4"/>
  <c r="F110" i="4"/>
  <c r="C114" i="4"/>
  <c r="E114" i="4"/>
  <c r="F114" i="4"/>
  <c r="D114" i="4"/>
  <c r="B114" i="4"/>
  <c r="C118" i="4"/>
  <c r="B118" i="4"/>
  <c r="D118" i="4"/>
  <c r="E118" i="4"/>
  <c r="F118" i="4"/>
  <c r="C122" i="4"/>
  <c r="E122" i="4"/>
  <c r="D122" i="4"/>
  <c r="F122" i="4"/>
  <c r="B122" i="4"/>
  <c r="C126" i="4"/>
  <c r="B126" i="4"/>
  <c r="E126" i="4"/>
  <c r="D126" i="4"/>
  <c r="F126" i="4"/>
  <c r="C130" i="4"/>
  <c r="E130" i="4"/>
  <c r="B130" i="4"/>
  <c r="D130" i="4"/>
  <c r="F130" i="4"/>
  <c r="E134" i="4"/>
  <c r="D134" i="4"/>
  <c r="F134" i="4"/>
  <c r="B134" i="4"/>
  <c r="C134" i="4"/>
  <c r="C139" i="4"/>
  <c r="F139" i="4"/>
  <c r="D139" i="4"/>
  <c r="E139" i="4"/>
  <c r="B139" i="4"/>
  <c r="E144" i="4"/>
  <c r="C144" i="4"/>
  <c r="B144" i="4"/>
  <c r="D144" i="4"/>
  <c r="F144" i="4"/>
  <c r="E148" i="4"/>
  <c r="F148" i="4"/>
  <c r="B148" i="4"/>
  <c r="C148" i="4"/>
  <c r="D148" i="4"/>
  <c r="E152" i="4"/>
  <c r="C152" i="4"/>
  <c r="D152" i="4"/>
  <c r="F152" i="4"/>
  <c r="B152" i="4"/>
  <c r="E156" i="4"/>
  <c r="F156" i="4"/>
  <c r="B156" i="4"/>
  <c r="C156" i="4"/>
  <c r="D156" i="4"/>
  <c r="E160" i="4"/>
  <c r="C160" i="4"/>
  <c r="F160" i="4"/>
  <c r="D160" i="4"/>
  <c r="B160" i="4"/>
  <c r="E164" i="4"/>
  <c r="F164" i="4"/>
  <c r="C164" i="4"/>
  <c r="B164" i="4"/>
  <c r="D164" i="4"/>
  <c r="E168" i="4"/>
  <c r="C168" i="4"/>
  <c r="D168" i="4"/>
  <c r="B168" i="4"/>
  <c r="F168" i="4"/>
  <c r="C173" i="4"/>
  <c r="E173" i="4"/>
  <c r="F173" i="4"/>
  <c r="B173" i="4"/>
  <c r="D173" i="4"/>
  <c r="C177" i="4"/>
  <c r="B177" i="4"/>
  <c r="D177" i="4"/>
  <c r="F177" i="4"/>
  <c r="E177" i="4"/>
  <c r="C181" i="4"/>
  <c r="E181" i="4"/>
  <c r="B181" i="4"/>
  <c r="D181" i="4"/>
  <c r="F181" i="4"/>
  <c r="C185" i="4"/>
  <c r="B185" i="4"/>
  <c r="E185" i="4"/>
  <c r="F185" i="4"/>
  <c r="D185" i="4"/>
  <c r="C189" i="4"/>
  <c r="E189" i="4"/>
  <c r="B189" i="4"/>
  <c r="D189" i="4"/>
  <c r="F189" i="4"/>
  <c r="C193" i="4"/>
  <c r="B193" i="4"/>
  <c r="F193" i="4"/>
  <c r="E193" i="4"/>
  <c r="D193" i="4"/>
  <c r="C197" i="4"/>
  <c r="E197" i="4"/>
  <c r="D197" i="4"/>
  <c r="F197" i="4"/>
  <c r="B197" i="4"/>
  <c r="C201" i="4"/>
  <c r="B201" i="4"/>
  <c r="E201" i="4"/>
  <c r="F201" i="4"/>
  <c r="D201" i="4"/>
  <c r="C205" i="4"/>
  <c r="E205" i="4"/>
  <c r="F205" i="4"/>
  <c r="B205" i="4"/>
  <c r="D205" i="4"/>
  <c r="C209" i="4"/>
  <c r="B209" i="4"/>
  <c r="D209" i="4"/>
  <c r="E209" i="4"/>
  <c r="F209" i="4"/>
  <c r="C213" i="4"/>
  <c r="E213" i="4"/>
  <c r="B213" i="4"/>
  <c r="D213" i="4"/>
  <c r="F213" i="4"/>
  <c r="E218" i="4"/>
  <c r="B218" i="4"/>
  <c r="F218" i="4"/>
  <c r="D218" i="4"/>
  <c r="C218" i="4"/>
  <c r="C223" i="4"/>
  <c r="D223" i="4"/>
  <c r="E223" i="4"/>
  <c r="F223" i="4"/>
  <c r="B223" i="4"/>
  <c r="C227" i="4"/>
  <c r="F227" i="4"/>
  <c r="B227" i="4"/>
  <c r="D227" i="4"/>
  <c r="E227" i="4"/>
  <c r="C231" i="4"/>
  <c r="D231" i="4"/>
  <c r="F231" i="4"/>
  <c r="E231" i="4"/>
  <c r="B231" i="4"/>
  <c r="C235" i="4"/>
  <c r="F235" i="4"/>
  <c r="D235" i="4"/>
  <c r="E235" i="4"/>
  <c r="B235" i="4"/>
  <c r="C239" i="4"/>
  <c r="D239" i="4"/>
  <c r="E239" i="4"/>
  <c r="F239" i="4"/>
  <c r="B239" i="4"/>
  <c r="C243" i="4"/>
  <c r="F243" i="4"/>
  <c r="E243" i="4"/>
  <c r="B243" i="4"/>
  <c r="D243" i="4"/>
  <c r="C247" i="4"/>
  <c r="D247" i="4"/>
  <c r="B247" i="4"/>
  <c r="E247" i="4"/>
  <c r="F247" i="4"/>
  <c r="C251" i="4"/>
  <c r="F251" i="4"/>
  <c r="B251" i="4"/>
  <c r="D251" i="4"/>
  <c r="E251" i="4"/>
  <c r="C255" i="4"/>
  <c r="D255" i="4"/>
  <c r="E255" i="4"/>
  <c r="B255" i="4"/>
  <c r="F255" i="4"/>
  <c r="C259" i="4"/>
  <c r="F259" i="4"/>
  <c r="B259" i="4"/>
  <c r="D259" i="4"/>
  <c r="E259" i="4"/>
  <c r="C263" i="4"/>
  <c r="D263" i="4"/>
  <c r="F263" i="4"/>
  <c r="B263" i="4"/>
  <c r="E263" i="4"/>
  <c r="C267" i="4"/>
  <c r="F267" i="4"/>
  <c r="D267" i="4"/>
  <c r="B267" i="4"/>
  <c r="E267" i="4"/>
  <c r="C271" i="4"/>
  <c r="D271" i="4"/>
  <c r="B271" i="4"/>
  <c r="E271" i="4"/>
  <c r="F271" i="4"/>
  <c r="D275" i="4"/>
  <c r="C275" i="4"/>
  <c r="E275" i="4"/>
  <c r="B275" i="4"/>
  <c r="F275" i="4"/>
  <c r="D279" i="4"/>
  <c r="F279" i="4"/>
  <c r="B279" i="4"/>
  <c r="C279" i="4"/>
  <c r="E279" i="4"/>
  <c r="D283" i="4"/>
  <c r="C283" i="4"/>
  <c r="F283" i="4"/>
  <c r="B283" i="4"/>
  <c r="E283" i="4"/>
  <c r="D287" i="4"/>
  <c r="F287" i="4"/>
  <c r="C287" i="4"/>
  <c r="B287" i="4"/>
  <c r="E287" i="4"/>
  <c r="D291" i="4"/>
  <c r="C291" i="4"/>
  <c r="B291" i="4"/>
  <c r="E291" i="4"/>
  <c r="F291" i="4"/>
  <c r="D295" i="4"/>
  <c r="F295" i="4"/>
  <c r="E295" i="4"/>
  <c r="B295" i="4"/>
  <c r="C295" i="4"/>
  <c r="D299" i="4"/>
  <c r="C299" i="4"/>
  <c r="B299" i="4"/>
  <c r="E299" i="4"/>
  <c r="F299" i="4"/>
  <c r="D303" i="4"/>
  <c r="F303" i="4"/>
  <c r="E303" i="4"/>
  <c r="B303" i="4"/>
  <c r="C303" i="4"/>
  <c r="B308" i="4"/>
  <c r="F308" i="4"/>
  <c r="C308" i="4"/>
  <c r="E308" i="4"/>
  <c r="D308" i="4"/>
  <c r="B312" i="4"/>
  <c r="F312" i="4"/>
  <c r="E312" i="4"/>
  <c r="C312" i="4"/>
  <c r="D312" i="4"/>
  <c r="B316" i="4"/>
  <c r="F316" i="4"/>
  <c r="C316" i="4"/>
  <c r="D316" i="4"/>
  <c r="E316" i="4"/>
  <c r="B320" i="4"/>
  <c r="F320" i="4"/>
  <c r="E320" i="4"/>
  <c r="D320" i="4"/>
  <c r="C320" i="4"/>
  <c r="B324" i="4"/>
  <c r="F324" i="4"/>
  <c r="C324" i="4"/>
  <c r="D324" i="4"/>
  <c r="E324" i="4"/>
  <c r="D329" i="4"/>
  <c r="E329" i="4"/>
  <c r="B329" i="4"/>
  <c r="C329" i="4"/>
  <c r="F329" i="4"/>
  <c r="D333" i="4"/>
  <c r="B333" i="4"/>
  <c r="E333" i="4"/>
  <c r="F333" i="4"/>
  <c r="C333" i="4"/>
  <c r="D337" i="4"/>
  <c r="E337" i="4"/>
  <c r="B337" i="4"/>
  <c r="C337" i="4"/>
  <c r="F337" i="4"/>
  <c r="B342" i="4"/>
  <c r="F342" i="4"/>
  <c r="C342" i="4"/>
  <c r="D342" i="4"/>
  <c r="E342" i="4"/>
  <c r="D347" i="4"/>
  <c r="C347" i="4"/>
  <c r="F347" i="4"/>
  <c r="B347" i="4"/>
  <c r="E347" i="4"/>
  <c r="D351" i="4"/>
  <c r="F351" i="4"/>
  <c r="C351" i="4"/>
  <c r="B351" i="4"/>
  <c r="E351" i="4"/>
  <c r="D355" i="4"/>
  <c r="C355" i="4"/>
  <c r="F355" i="4"/>
  <c r="B355" i="4"/>
  <c r="E355" i="4"/>
  <c r="D359" i="4"/>
  <c r="F359" i="4"/>
  <c r="E359" i="4"/>
  <c r="B359" i="4"/>
  <c r="C359" i="4"/>
  <c r="D363" i="4"/>
  <c r="C363" i="4"/>
  <c r="B363" i="4"/>
  <c r="F363" i="4"/>
  <c r="E363" i="4"/>
  <c r="D367" i="4"/>
  <c r="F367" i="4"/>
  <c r="B367" i="4"/>
  <c r="C367" i="4"/>
  <c r="E367" i="4"/>
  <c r="D371" i="4"/>
  <c r="C371" i="4"/>
  <c r="E371" i="4"/>
  <c r="F371" i="4"/>
  <c r="B371" i="4"/>
  <c r="D375" i="4"/>
  <c r="F375" i="4"/>
  <c r="B375" i="4"/>
  <c r="C375" i="4"/>
  <c r="E375" i="4"/>
  <c r="D379" i="4"/>
  <c r="C379" i="4"/>
  <c r="F379" i="4"/>
  <c r="E379" i="4"/>
  <c r="B379" i="4"/>
  <c r="D383" i="4"/>
  <c r="F383" i="4"/>
  <c r="C383" i="4"/>
  <c r="B383" i="4"/>
  <c r="E383" i="4"/>
  <c r="D387" i="4"/>
  <c r="C387" i="4"/>
  <c r="E387" i="4"/>
  <c r="F387" i="4"/>
  <c r="B387" i="4"/>
  <c r="D391" i="4"/>
  <c r="F391" i="4"/>
  <c r="E391" i="4"/>
  <c r="B391" i="4"/>
  <c r="C391" i="4"/>
  <c r="D395" i="4"/>
  <c r="C395" i="4"/>
  <c r="B395" i="4"/>
  <c r="E395" i="4"/>
  <c r="F395" i="4"/>
  <c r="D399" i="4"/>
  <c r="F399" i="4"/>
  <c r="B399" i="4"/>
  <c r="C399" i="4"/>
  <c r="E399" i="4"/>
  <c r="D403" i="4"/>
  <c r="C403" i="4"/>
  <c r="E403" i="4"/>
  <c r="B403" i="4"/>
  <c r="F403" i="4"/>
  <c r="D407" i="4"/>
  <c r="F407" i="4"/>
  <c r="B407" i="4"/>
  <c r="E407" i="4"/>
  <c r="C407" i="4"/>
  <c r="D411" i="4"/>
  <c r="C411" i="4"/>
  <c r="F411" i="4"/>
  <c r="B411" i="4"/>
  <c r="E411" i="4"/>
  <c r="D415" i="4"/>
  <c r="F415" i="4"/>
  <c r="C415" i="4"/>
  <c r="B415" i="4"/>
  <c r="E415" i="4"/>
  <c r="D419" i="4"/>
  <c r="C419" i="4"/>
  <c r="B419" i="4"/>
  <c r="E419" i="4"/>
  <c r="F419" i="4"/>
  <c r="D423" i="4"/>
  <c r="F423" i="4"/>
  <c r="E423" i="4"/>
  <c r="B423" i="4"/>
  <c r="C423" i="4"/>
  <c r="B428" i="4"/>
  <c r="F428" i="4"/>
  <c r="C428" i="4"/>
  <c r="D428" i="4"/>
  <c r="E428" i="4"/>
  <c r="B432" i="4"/>
  <c r="F432" i="4"/>
  <c r="E432" i="4"/>
  <c r="C432" i="4"/>
  <c r="D432" i="4"/>
  <c r="B436" i="4"/>
  <c r="F436" i="4"/>
  <c r="C436" i="4"/>
  <c r="E436" i="4"/>
  <c r="D436" i="4"/>
  <c r="B440" i="4"/>
  <c r="F440" i="4"/>
  <c r="E440" i="4"/>
  <c r="C440" i="4"/>
  <c r="D440" i="4"/>
  <c r="D445" i="4"/>
  <c r="B445" i="4"/>
  <c r="F445" i="4"/>
  <c r="E445" i="4"/>
  <c r="C445" i="4"/>
  <c r="D708" i="4"/>
  <c r="B708" i="4"/>
  <c r="E708" i="4"/>
  <c r="F708" i="4"/>
  <c r="C708" i="4"/>
  <c r="D712" i="4"/>
  <c r="E712" i="4"/>
  <c r="B712" i="4"/>
  <c r="C712" i="4"/>
  <c r="F712" i="4"/>
  <c r="D716" i="4"/>
  <c r="B716" i="4"/>
  <c r="F716" i="4"/>
  <c r="E716" i="4"/>
  <c r="C716" i="4"/>
  <c r="D720" i="4"/>
  <c r="E720" i="4"/>
  <c r="C720" i="4"/>
  <c r="B720" i="4"/>
  <c r="F720" i="4"/>
  <c r="D730" i="4"/>
  <c r="C730" i="4"/>
  <c r="F730" i="4"/>
  <c r="B730" i="4"/>
  <c r="E730" i="4"/>
  <c r="D734" i="4"/>
  <c r="F734" i="4"/>
  <c r="E734" i="4"/>
  <c r="B734" i="4"/>
  <c r="C734" i="4"/>
  <c r="D738" i="4"/>
  <c r="C738" i="4"/>
  <c r="B738" i="4"/>
  <c r="F738" i="4"/>
  <c r="E738" i="4"/>
  <c r="B743" i="4"/>
  <c r="F743" i="4"/>
  <c r="E743" i="4"/>
  <c r="D743" i="4"/>
  <c r="C743" i="4"/>
  <c r="B747" i="4"/>
  <c r="F747" i="4"/>
  <c r="C747" i="4"/>
  <c r="E747" i="4"/>
  <c r="D747" i="4"/>
  <c r="D752" i="4"/>
  <c r="E752" i="4"/>
  <c r="C752" i="4"/>
  <c r="B752" i="4"/>
  <c r="F752" i="4"/>
  <c r="B757" i="4"/>
  <c r="F757" i="4"/>
  <c r="C757" i="4"/>
  <c r="E757" i="4"/>
  <c r="D757" i="4"/>
  <c r="B761" i="4"/>
  <c r="F761" i="4"/>
  <c r="D761" i="4"/>
  <c r="C761" i="4"/>
  <c r="E761" i="4"/>
  <c r="B765" i="4"/>
  <c r="F765" i="4"/>
  <c r="D765" i="4"/>
  <c r="E765" i="4"/>
  <c r="C765" i="4"/>
  <c r="B769" i="4"/>
  <c r="F769" i="4"/>
  <c r="D769" i="4"/>
  <c r="C769" i="4"/>
  <c r="E769" i="4"/>
  <c r="B773" i="4"/>
  <c r="F773" i="4"/>
  <c r="E773" i="4"/>
  <c r="D773" i="4"/>
  <c r="C773" i="4"/>
  <c r="B777" i="4"/>
  <c r="F777" i="4"/>
  <c r="D777" i="4"/>
  <c r="C777" i="4"/>
  <c r="E777" i="4"/>
  <c r="B781" i="4"/>
  <c r="F781" i="4"/>
  <c r="D781" i="4"/>
  <c r="E781" i="4"/>
  <c r="C781" i="4"/>
  <c r="B785" i="4"/>
  <c r="F785" i="4"/>
  <c r="D785" i="4"/>
  <c r="E785" i="4"/>
  <c r="C785" i="4"/>
  <c r="B791" i="4"/>
  <c r="F791" i="4"/>
  <c r="E791" i="4"/>
  <c r="D791" i="4"/>
  <c r="C791" i="4"/>
  <c r="B795" i="4"/>
  <c r="F795" i="4"/>
  <c r="C795" i="4"/>
  <c r="E795" i="4"/>
  <c r="D795" i="4"/>
  <c r="C1474" i="4"/>
  <c r="E1474" i="4"/>
  <c r="F1474" i="4"/>
  <c r="D1474" i="4"/>
  <c r="B1474" i="4"/>
  <c r="C1478" i="4"/>
  <c r="B1478" i="4"/>
  <c r="D1478" i="4"/>
  <c r="E1478" i="4"/>
  <c r="F1478" i="4"/>
  <c r="C1482" i="4"/>
  <c r="E1482" i="4"/>
  <c r="F1482" i="4"/>
  <c r="B1482" i="4"/>
  <c r="D1482" i="4"/>
  <c r="C1486" i="4"/>
  <c r="B1486" i="4"/>
  <c r="D1486" i="4"/>
  <c r="F1486" i="4"/>
  <c r="E1486" i="4"/>
  <c r="C1490" i="4"/>
  <c r="E1490" i="4"/>
  <c r="F1490" i="4"/>
  <c r="D1490" i="4"/>
  <c r="B1490" i="4"/>
  <c r="C1494" i="4"/>
  <c r="B1494" i="4"/>
  <c r="D1494" i="4"/>
  <c r="E1494" i="4"/>
  <c r="F1494" i="4"/>
  <c r="C1498" i="4"/>
  <c r="E1498" i="4"/>
  <c r="F1498" i="4"/>
  <c r="B1498" i="4"/>
  <c r="D1498" i="4"/>
  <c r="C1502" i="4"/>
  <c r="B1502" i="4"/>
  <c r="D1502" i="4"/>
  <c r="F1502" i="4"/>
  <c r="E1502" i="4"/>
  <c r="C1506" i="4"/>
  <c r="E1506" i="4"/>
  <c r="F1506" i="4"/>
  <c r="D1506" i="4"/>
  <c r="B1506" i="4"/>
  <c r="C1510" i="4"/>
  <c r="B1510" i="4"/>
  <c r="D1510" i="4"/>
  <c r="E1510" i="4"/>
  <c r="F1510" i="4"/>
  <c r="D1514" i="4"/>
  <c r="E1514" i="4"/>
  <c r="B1514" i="4"/>
  <c r="C1514" i="4"/>
  <c r="F1514" i="4"/>
  <c r="D1518" i="4"/>
  <c r="E1518" i="4"/>
  <c r="F1518" i="4"/>
  <c r="B1518" i="4"/>
  <c r="C1518" i="4"/>
  <c r="D1522" i="4"/>
  <c r="B1522" i="4"/>
  <c r="C1522" i="4"/>
  <c r="E1522" i="4"/>
  <c r="F1522" i="4"/>
  <c r="D1526" i="4"/>
  <c r="E1526" i="4"/>
  <c r="F1526" i="4"/>
  <c r="B1526" i="4"/>
  <c r="C1526" i="4"/>
  <c r="D1530" i="4"/>
  <c r="B1530" i="4"/>
  <c r="C1530" i="4"/>
  <c r="E1530" i="4"/>
  <c r="F1530" i="4"/>
  <c r="D1534" i="4"/>
  <c r="E1534" i="4"/>
  <c r="F1534" i="4"/>
  <c r="B1534" i="4"/>
  <c r="C1534" i="4"/>
  <c r="D1538" i="4"/>
  <c r="B1538" i="4"/>
  <c r="C1538" i="4"/>
  <c r="E1538" i="4"/>
  <c r="F1538" i="4"/>
  <c r="D1542" i="4"/>
  <c r="E1542" i="4"/>
  <c r="F1542" i="4"/>
  <c r="B1542" i="4"/>
  <c r="C1542" i="4"/>
  <c r="B1546" i="4"/>
  <c r="F1546" i="4"/>
  <c r="C1546" i="4"/>
  <c r="D1546" i="4"/>
  <c r="E1546" i="4"/>
  <c r="B1550" i="4"/>
  <c r="F1550" i="4"/>
  <c r="C1550" i="4"/>
  <c r="D1550" i="4"/>
  <c r="E1550" i="4"/>
  <c r="B1554" i="4"/>
  <c r="F1554" i="4"/>
  <c r="C1554" i="4"/>
  <c r="D1554" i="4"/>
  <c r="E1554" i="4"/>
  <c r="B1558" i="4"/>
  <c r="F1558" i="4"/>
  <c r="C1558" i="4"/>
  <c r="D1558" i="4"/>
  <c r="E1558" i="4"/>
  <c r="B1562" i="4"/>
  <c r="F1562" i="4"/>
  <c r="C1562" i="4"/>
  <c r="D1562" i="4"/>
  <c r="E1562" i="4"/>
  <c r="B1566" i="4"/>
  <c r="F1566" i="4"/>
  <c r="C1566" i="4"/>
  <c r="D1566" i="4"/>
  <c r="E1566" i="4"/>
  <c r="B1570" i="4"/>
  <c r="F1570" i="4"/>
  <c r="C1570" i="4"/>
  <c r="D1570" i="4"/>
  <c r="E1570" i="4"/>
  <c r="B1574" i="4"/>
  <c r="F1574" i="4"/>
  <c r="C1574" i="4"/>
  <c r="D1574" i="4"/>
  <c r="E1574" i="4"/>
  <c r="B1578" i="4"/>
  <c r="F1578" i="4"/>
  <c r="C1578" i="4"/>
  <c r="D1578" i="4"/>
  <c r="E1578" i="4"/>
  <c r="B1582" i="4"/>
  <c r="F1582" i="4"/>
  <c r="C1582" i="4"/>
  <c r="D1582" i="4"/>
  <c r="E1582" i="4"/>
  <c r="B1586" i="4"/>
  <c r="F1586" i="4"/>
  <c r="C1586" i="4"/>
  <c r="D1586" i="4"/>
  <c r="E1586" i="4"/>
  <c r="B1590" i="4"/>
  <c r="F1590" i="4"/>
  <c r="C1590" i="4"/>
  <c r="D1590" i="4"/>
  <c r="E1590" i="4"/>
  <c r="B1594" i="4"/>
  <c r="F1594" i="4"/>
  <c r="C1594" i="4"/>
  <c r="D1594" i="4"/>
  <c r="E1594" i="4"/>
  <c r="B1598" i="4"/>
  <c r="F1598" i="4"/>
  <c r="C1598" i="4"/>
  <c r="D1598" i="4"/>
  <c r="E1598" i="4"/>
  <c r="B1602" i="4"/>
  <c r="F1602" i="4"/>
  <c r="C1602" i="4"/>
  <c r="D1602" i="4"/>
  <c r="E1602" i="4"/>
  <c r="B1606" i="4"/>
  <c r="F1606" i="4"/>
  <c r="C1606" i="4"/>
  <c r="D1606" i="4"/>
  <c r="E1606" i="4"/>
  <c r="B1610" i="4"/>
  <c r="F1610" i="4"/>
  <c r="C1610" i="4"/>
  <c r="D1610" i="4"/>
  <c r="E1610" i="4"/>
  <c r="B1614" i="4"/>
  <c r="F1614" i="4"/>
  <c r="C1614" i="4"/>
  <c r="D1614" i="4"/>
  <c r="E1614" i="4"/>
  <c r="B1618" i="4"/>
  <c r="F1618" i="4"/>
  <c r="C1618" i="4"/>
  <c r="D1618" i="4"/>
  <c r="E1618" i="4"/>
  <c r="B1622" i="4"/>
  <c r="F1622" i="4"/>
  <c r="C1622" i="4"/>
  <c r="D1622" i="4"/>
  <c r="E1622" i="4"/>
  <c r="B1626" i="4"/>
  <c r="F1626" i="4"/>
  <c r="C1626" i="4"/>
  <c r="D1626" i="4"/>
  <c r="E1626" i="4"/>
  <c r="B1630" i="4"/>
  <c r="F1630" i="4"/>
  <c r="C1630" i="4"/>
  <c r="D1630" i="4"/>
  <c r="E1630" i="4"/>
  <c r="B1634" i="4"/>
  <c r="F1634" i="4"/>
  <c r="C1634" i="4"/>
  <c r="D1634" i="4"/>
  <c r="E1634" i="4"/>
  <c r="B1638" i="4"/>
  <c r="F1638" i="4"/>
  <c r="C1638" i="4"/>
  <c r="D1638" i="4"/>
  <c r="E1638" i="4"/>
  <c r="B1642" i="4"/>
  <c r="F1642" i="4"/>
  <c r="C1642" i="4"/>
  <c r="D1642" i="4"/>
  <c r="E1642" i="4"/>
  <c r="B1646" i="4"/>
  <c r="F1646" i="4"/>
  <c r="C1646" i="4"/>
  <c r="D1646" i="4"/>
  <c r="E1646" i="4"/>
  <c r="B1650" i="4"/>
  <c r="F1650" i="4"/>
  <c r="C1650" i="4"/>
  <c r="D1650" i="4"/>
  <c r="E1650" i="4"/>
  <c r="B1654" i="4"/>
  <c r="F1654" i="4"/>
  <c r="C1654" i="4"/>
  <c r="D1654" i="4"/>
  <c r="E1654" i="4"/>
  <c r="B1658" i="4"/>
  <c r="F1658" i="4"/>
  <c r="C1658" i="4"/>
  <c r="D1658" i="4"/>
  <c r="E1658" i="4"/>
  <c r="B1662" i="4"/>
  <c r="F1662" i="4"/>
  <c r="C1662" i="4"/>
  <c r="D1662" i="4"/>
  <c r="E1662" i="4"/>
  <c r="B1666" i="4"/>
  <c r="F1666" i="4"/>
  <c r="C1666" i="4"/>
  <c r="D1666" i="4"/>
  <c r="E1666" i="4"/>
  <c r="B1670" i="4"/>
  <c r="F1670" i="4"/>
  <c r="C1670" i="4"/>
  <c r="D1670" i="4"/>
  <c r="E1670" i="4"/>
  <c r="B1674" i="4"/>
  <c r="F1674" i="4"/>
  <c r="C1674" i="4"/>
  <c r="D1674" i="4"/>
  <c r="E1674" i="4"/>
  <c r="B1678" i="4"/>
  <c r="F1678" i="4"/>
  <c r="C1678" i="4"/>
  <c r="D1678" i="4"/>
  <c r="E1678" i="4"/>
  <c r="B1682" i="4"/>
  <c r="F1682" i="4"/>
  <c r="C1682" i="4"/>
  <c r="D1682" i="4"/>
  <c r="E1682" i="4"/>
  <c r="B1686" i="4"/>
  <c r="F1686" i="4"/>
  <c r="C1686" i="4"/>
  <c r="D1686" i="4"/>
  <c r="E1686" i="4"/>
  <c r="B1690" i="4"/>
  <c r="F1690" i="4"/>
  <c r="C1690" i="4"/>
  <c r="D1690" i="4"/>
  <c r="E1690" i="4"/>
  <c r="B1694" i="4"/>
  <c r="F1694" i="4"/>
  <c r="C1694" i="4"/>
  <c r="D1694" i="4"/>
  <c r="E1694" i="4"/>
  <c r="B1698" i="4"/>
  <c r="F1698" i="4"/>
  <c r="C1698" i="4"/>
  <c r="D1698" i="4"/>
  <c r="E1698" i="4"/>
  <c r="B1702" i="4"/>
  <c r="F1702" i="4"/>
  <c r="C1702" i="4"/>
  <c r="D1702" i="4"/>
  <c r="E1702" i="4"/>
  <c r="B1706" i="4"/>
  <c r="F1706" i="4"/>
  <c r="C1706" i="4"/>
  <c r="D1706" i="4"/>
  <c r="E1706" i="4"/>
  <c r="B1710" i="4"/>
  <c r="F1710" i="4"/>
  <c r="C1710" i="4"/>
  <c r="D1710" i="4"/>
  <c r="E1710" i="4"/>
  <c r="B1714" i="4"/>
  <c r="F1714" i="4"/>
  <c r="C1714" i="4"/>
  <c r="D1714" i="4"/>
  <c r="E1714" i="4"/>
  <c r="B1718" i="4"/>
  <c r="F1718" i="4"/>
  <c r="C1718" i="4"/>
  <c r="D1718" i="4"/>
  <c r="E1718" i="4"/>
  <c r="B1722" i="4"/>
  <c r="F1722" i="4"/>
  <c r="C1722" i="4"/>
  <c r="D1722" i="4"/>
  <c r="E1722" i="4"/>
  <c r="B1726" i="4"/>
  <c r="F1726" i="4"/>
  <c r="C1726" i="4"/>
  <c r="D1726" i="4"/>
  <c r="E1726" i="4"/>
  <c r="B1730" i="4"/>
  <c r="F1730" i="4"/>
  <c r="C1730" i="4"/>
  <c r="D1730" i="4"/>
  <c r="E1730" i="4"/>
  <c r="B1734" i="4"/>
  <c r="F1734" i="4"/>
  <c r="C1734" i="4"/>
  <c r="D1734" i="4"/>
  <c r="E1734" i="4"/>
  <c r="B1738" i="4"/>
  <c r="F1738" i="4"/>
  <c r="C1738" i="4"/>
  <c r="D1738" i="4"/>
  <c r="E1738" i="4"/>
  <c r="B1742" i="4"/>
  <c r="F1742" i="4"/>
  <c r="C1742" i="4"/>
  <c r="D1742" i="4"/>
  <c r="E1742" i="4"/>
  <c r="B1746" i="4"/>
  <c r="F1746" i="4"/>
  <c r="C1746" i="4"/>
  <c r="D1746" i="4"/>
  <c r="E1746" i="4"/>
  <c r="B1750" i="4"/>
  <c r="F1750" i="4"/>
  <c r="C1750" i="4"/>
  <c r="D1750" i="4"/>
  <c r="E1750" i="4"/>
  <c r="B1754" i="4"/>
  <c r="F1754" i="4"/>
  <c r="C1754" i="4"/>
  <c r="D1754" i="4"/>
  <c r="E1754" i="4"/>
  <c r="B1758" i="4"/>
  <c r="F1758" i="4"/>
  <c r="C1758" i="4"/>
  <c r="D1758" i="4"/>
  <c r="E1758" i="4"/>
  <c r="B1762" i="4"/>
  <c r="F1762" i="4"/>
  <c r="C1762" i="4"/>
  <c r="D1762" i="4"/>
  <c r="E1762" i="4"/>
  <c r="B1766" i="4"/>
  <c r="F1766" i="4"/>
  <c r="C1766" i="4"/>
  <c r="D1766" i="4"/>
  <c r="E1766" i="4"/>
  <c r="B1770" i="4"/>
  <c r="F1770" i="4"/>
  <c r="C1770" i="4"/>
  <c r="D1770" i="4"/>
  <c r="E1770" i="4"/>
  <c r="B1774" i="4"/>
  <c r="F1774" i="4"/>
  <c r="C1774" i="4"/>
  <c r="D1774" i="4"/>
  <c r="E1774" i="4"/>
  <c r="B1778" i="4"/>
  <c r="F1778" i="4"/>
  <c r="C1778" i="4"/>
  <c r="D1778" i="4"/>
  <c r="E1778" i="4"/>
  <c r="B1782" i="4"/>
  <c r="F1782" i="4"/>
  <c r="C1782" i="4"/>
  <c r="D1782" i="4"/>
  <c r="E1782" i="4"/>
  <c r="B1786" i="4"/>
  <c r="F1786" i="4"/>
  <c r="C1786" i="4"/>
  <c r="D1786" i="4"/>
  <c r="E1786" i="4"/>
  <c r="B1790" i="4"/>
  <c r="F1790" i="4"/>
  <c r="C1790" i="4"/>
  <c r="D1790" i="4"/>
  <c r="E1790" i="4"/>
  <c r="B1794" i="4"/>
  <c r="F1794" i="4"/>
  <c r="C1794" i="4"/>
  <c r="D1794" i="4"/>
  <c r="E1794" i="4"/>
  <c r="B1798" i="4"/>
  <c r="F1798" i="4"/>
  <c r="C1798" i="4"/>
  <c r="D1798" i="4"/>
  <c r="E1798" i="4"/>
  <c r="D1803" i="4"/>
  <c r="E1803" i="4"/>
  <c r="B1803" i="4"/>
  <c r="F1803" i="4"/>
  <c r="C1803" i="4"/>
  <c r="D1807" i="4"/>
  <c r="E1807" i="4"/>
  <c r="B1807" i="4"/>
  <c r="F1807" i="4"/>
  <c r="C1807" i="4"/>
  <c r="D1811" i="4"/>
  <c r="E1811" i="4"/>
  <c r="B1811" i="4"/>
  <c r="C1811" i="4"/>
  <c r="F1811" i="4"/>
  <c r="D1815" i="4"/>
  <c r="E1815" i="4"/>
  <c r="B1815" i="4"/>
  <c r="F1815" i="4"/>
  <c r="C1815" i="4"/>
  <c r="D1819" i="4"/>
  <c r="E1819" i="4"/>
  <c r="B1819" i="4"/>
  <c r="C1819" i="4"/>
  <c r="F1819" i="4"/>
  <c r="D1823" i="4"/>
  <c r="E1823" i="4"/>
  <c r="B1823" i="4"/>
  <c r="F1823" i="4"/>
  <c r="C1823" i="4"/>
  <c r="D1827" i="4"/>
  <c r="E1827" i="4"/>
  <c r="B1827" i="4"/>
  <c r="C1827" i="4"/>
  <c r="F1827" i="4"/>
  <c r="D1831" i="4"/>
  <c r="E1831" i="4"/>
  <c r="B1831" i="4"/>
  <c r="F1831" i="4"/>
  <c r="C1831" i="4"/>
  <c r="D1835" i="4"/>
  <c r="E1835" i="4"/>
  <c r="B1835" i="4"/>
  <c r="F1835" i="4"/>
  <c r="C1835" i="4"/>
  <c r="D1839" i="4"/>
  <c r="E1839" i="4"/>
  <c r="B1839" i="4"/>
  <c r="C1839" i="4"/>
  <c r="F1839" i="4"/>
  <c r="D1843" i="4"/>
  <c r="E1843" i="4"/>
  <c r="B1843" i="4"/>
  <c r="F1843" i="4"/>
  <c r="C1843" i="4"/>
  <c r="D1847" i="4"/>
  <c r="E1847" i="4"/>
  <c r="B1847" i="4"/>
  <c r="C1847" i="4"/>
  <c r="F1847" i="4"/>
  <c r="D1851" i="4"/>
  <c r="E1851" i="4"/>
  <c r="B1851" i="4"/>
  <c r="F1851" i="4"/>
  <c r="C1851" i="4"/>
  <c r="D1855" i="4"/>
  <c r="E1855" i="4"/>
  <c r="B1855" i="4"/>
  <c r="C1855" i="4"/>
  <c r="F1855" i="4"/>
  <c r="D1859" i="4"/>
  <c r="E1859" i="4"/>
  <c r="B1859" i="4"/>
  <c r="F1859" i="4"/>
  <c r="C1859" i="4"/>
  <c r="D1863" i="4"/>
  <c r="E1863" i="4"/>
  <c r="B1863" i="4"/>
  <c r="C1863" i="4"/>
  <c r="F1863" i="4"/>
  <c r="D1867" i="4"/>
  <c r="E1867" i="4"/>
  <c r="B1867" i="4"/>
  <c r="F1867" i="4"/>
  <c r="C1867" i="4"/>
  <c r="D1871" i="4"/>
  <c r="E1871" i="4"/>
  <c r="B1871" i="4"/>
  <c r="C1871" i="4"/>
  <c r="F1871" i="4"/>
  <c r="D1875" i="4"/>
  <c r="E1875" i="4"/>
  <c r="B1875" i="4"/>
  <c r="F1875" i="4"/>
  <c r="C1875" i="4"/>
  <c r="D1879" i="4"/>
  <c r="E1879" i="4"/>
  <c r="B1879" i="4"/>
  <c r="C1879" i="4"/>
  <c r="F1879" i="4"/>
  <c r="D1883" i="4"/>
  <c r="E1883" i="4"/>
  <c r="B1883" i="4"/>
  <c r="F1883" i="4"/>
  <c r="C1883" i="4"/>
  <c r="D1887" i="4"/>
  <c r="E1887" i="4"/>
  <c r="B1887" i="4"/>
  <c r="C1887" i="4"/>
  <c r="F1887" i="4"/>
  <c r="D1891" i="4"/>
  <c r="E1891" i="4"/>
  <c r="B1891" i="4"/>
  <c r="F1891" i="4"/>
  <c r="C1891" i="4"/>
  <c r="D1895" i="4"/>
  <c r="E1895" i="4"/>
  <c r="B1895" i="4"/>
  <c r="C1895" i="4"/>
  <c r="F1895" i="4"/>
  <c r="D1899" i="4"/>
  <c r="E1899" i="4"/>
  <c r="B1899" i="4"/>
  <c r="F1899" i="4"/>
  <c r="C1899" i="4"/>
  <c r="D1903" i="4"/>
  <c r="E1903" i="4"/>
  <c r="B1903" i="4"/>
  <c r="C1903" i="4"/>
  <c r="F1903" i="4"/>
  <c r="D1907" i="4"/>
  <c r="E1907" i="4"/>
  <c r="B1907" i="4"/>
  <c r="F1907" i="4"/>
  <c r="C1907" i="4"/>
  <c r="D1911" i="4"/>
  <c r="E1911" i="4"/>
  <c r="B1911" i="4"/>
  <c r="C1911" i="4"/>
  <c r="F1911" i="4"/>
  <c r="D1915" i="4"/>
  <c r="E1915" i="4"/>
  <c r="B1915" i="4"/>
  <c r="F1915" i="4"/>
  <c r="C1915" i="4"/>
  <c r="D1919" i="4"/>
  <c r="E1919" i="4"/>
  <c r="B1919" i="4"/>
  <c r="C1919" i="4"/>
  <c r="F1919" i="4"/>
  <c r="D1923" i="4"/>
  <c r="E1923" i="4"/>
  <c r="B1923" i="4"/>
  <c r="F1923" i="4"/>
  <c r="C1923" i="4"/>
  <c r="D1927" i="4"/>
  <c r="E1927" i="4"/>
  <c r="B1927" i="4"/>
  <c r="C1927" i="4"/>
  <c r="F1927" i="4"/>
  <c r="D1931" i="4"/>
  <c r="E1931" i="4"/>
  <c r="B1931" i="4"/>
  <c r="F1931" i="4"/>
  <c r="C1931" i="4"/>
  <c r="D1935" i="4"/>
  <c r="E1935" i="4"/>
  <c r="B1935" i="4"/>
  <c r="C1935" i="4"/>
  <c r="F1935" i="4"/>
  <c r="D1939" i="4"/>
  <c r="E1939" i="4"/>
  <c r="B1939" i="4"/>
  <c r="F1939" i="4"/>
  <c r="C1939" i="4"/>
  <c r="D1943" i="4"/>
  <c r="E1943" i="4"/>
  <c r="B1943" i="4"/>
  <c r="C1943" i="4"/>
  <c r="F1943" i="4"/>
  <c r="D1947" i="4"/>
  <c r="E1947" i="4"/>
  <c r="B1947" i="4"/>
  <c r="F1947" i="4"/>
  <c r="C1947" i="4"/>
  <c r="D1951" i="4"/>
  <c r="E1951" i="4"/>
  <c r="B1951" i="4"/>
  <c r="F1951" i="4"/>
  <c r="C1951" i="4"/>
  <c r="D1955" i="4"/>
  <c r="E1955" i="4"/>
  <c r="B1955" i="4"/>
  <c r="C1955" i="4"/>
  <c r="F1955" i="4"/>
  <c r="D1959" i="4"/>
  <c r="E1959" i="4"/>
  <c r="B1959" i="4"/>
  <c r="C1959" i="4"/>
  <c r="F1959" i="4"/>
  <c r="D1963" i="4"/>
  <c r="E1963" i="4"/>
  <c r="B1963" i="4"/>
  <c r="C1963" i="4"/>
  <c r="F1963" i="4"/>
  <c r="D1967" i="4"/>
  <c r="E1967" i="4"/>
  <c r="B1967" i="4"/>
  <c r="F1967" i="4"/>
  <c r="C1967" i="4"/>
  <c r="D1971" i="4"/>
  <c r="E1971" i="4"/>
  <c r="B1971" i="4"/>
  <c r="C1971" i="4"/>
  <c r="F1971" i="4"/>
  <c r="D1975" i="4"/>
  <c r="E1975" i="4"/>
  <c r="B1975" i="4"/>
  <c r="F1975" i="4"/>
  <c r="C1975" i="4"/>
  <c r="D1979" i="4"/>
  <c r="E1979" i="4"/>
  <c r="B1979" i="4"/>
  <c r="C1979" i="4"/>
  <c r="F1979" i="4"/>
  <c r="D1983" i="4"/>
  <c r="E1983" i="4"/>
  <c r="B1983" i="4"/>
  <c r="F1983" i="4"/>
  <c r="C1983" i="4"/>
  <c r="D1987" i="4"/>
  <c r="E1987" i="4"/>
  <c r="B1987" i="4"/>
  <c r="F1987" i="4"/>
  <c r="C1987" i="4"/>
  <c r="D1991" i="4"/>
  <c r="E1991" i="4"/>
  <c r="B1991" i="4"/>
  <c r="C1991" i="4"/>
  <c r="F1991" i="4"/>
  <c r="D1995" i="4"/>
  <c r="E1995" i="4"/>
  <c r="B1995" i="4"/>
  <c r="F1995" i="4"/>
  <c r="C1995" i="4"/>
  <c r="D1999" i="4"/>
  <c r="E1999" i="4"/>
  <c r="B1999" i="4"/>
  <c r="C1999" i="4"/>
  <c r="F1999" i="4"/>
  <c r="D2003" i="4"/>
  <c r="E2003" i="4"/>
  <c r="B2003" i="4"/>
  <c r="F2003" i="4"/>
  <c r="C2003" i="4"/>
  <c r="D2007" i="4"/>
  <c r="E2007" i="4"/>
  <c r="B2007" i="4"/>
  <c r="C2007" i="4"/>
  <c r="F2007" i="4"/>
  <c r="D2011" i="4"/>
  <c r="E2011" i="4"/>
  <c r="B2011" i="4"/>
  <c r="F2011" i="4"/>
  <c r="C2011" i="4"/>
  <c r="D2015" i="4"/>
  <c r="E2015" i="4"/>
  <c r="B2015" i="4"/>
  <c r="C2015" i="4"/>
  <c r="F2015" i="4"/>
  <c r="D2019" i="4"/>
  <c r="E2019" i="4"/>
  <c r="B2019" i="4"/>
  <c r="F2019" i="4"/>
  <c r="C2019" i="4"/>
  <c r="D2023" i="4"/>
  <c r="E2023" i="4"/>
  <c r="B2023" i="4"/>
  <c r="C2023" i="4"/>
  <c r="F2023" i="4"/>
  <c r="D2027" i="4"/>
  <c r="E2027" i="4"/>
  <c r="B2027" i="4"/>
  <c r="F2027" i="4"/>
  <c r="C2027" i="4"/>
  <c r="D2031" i="4"/>
  <c r="E2031" i="4"/>
  <c r="B2031" i="4"/>
  <c r="C2031" i="4"/>
  <c r="F2031" i="4"/>
  <c r="D2035" i="4"/>
  <c r="E2035" i="4"/>
  <c r="B2035" i="4"/>
  <c r="F2035" i="4"/>
  <c r="C2035" i="4"/>
  <c r="D2039" i="4"/>
  <c r="E2039" i="4"/>
  <c r="B2039" i="4"/>
  <c r="C2039" i="4"/>
  <c r="F2039" i="4"/>
  <c r="D2043" i="4"/>
  <c r="E2043" i="4"/>
  <c r="B2043" i="4"/>
  <c r="F2043" i="4"/>
  <c r="C2043" i="4"/>
  <c r="D2047" i="4"/>
  <c r="E2047" i="4"/>
  <c r="B2047" i="4"/>
  <c r="F2047" i="4"/>
  <c r="C2047" i="4"/>
  <c r="D2051" i="4"/>
  <c r="E2051" i="4"/>
  <c r="B2051" i="4"/>
  <c r="C2051" i="4"/>
  <c r="F2051" i="4"/>
  <c r="D2055" i="4"/>
  <c r="E2055" i="4"/>
  <c r="B2055" i="4"/>
  <c r="F2055" i="4"/>
  <c r="C2055" i="4"/>
  <c r="D2059" i="4"/>
  <c r="E2059" i="4"/>
  <c r="B2059" i="4"/>
  <c r="C2059" i="4"/>
  <c r="F2059" i="4"/>
  <c r="D2063" i="4"/>
  <c r="E2063" i="4"/>
  <c r="B2063" i="4"/>
  <c r="F2063" i="4"/>
  <c r="C2063" i="4"/>
  <c r="D2067" i="4"/>
  <c r="E2067" i="4"/>
  <c r="B2067" i="4"/>
  <c r="C2067" i="4"/>
  <c r="F2067" i="4"/>
  <c r="D2071" i="4"/>
  <c r="E2071" i="4"/>
  <c r="B2071" i="4"/>
  <c r="F2071" i="4"/>
  <c r="C2071" i="4"/>
  <c r="D2075" i="4"/>
  <c r="E2075" i="4"/>
  <c r="B2075" i="4"/>
  <c r="C2075" i="4"/>
  <c r="F2075" i="4"/>
  <c r="D2079" i="4"/>
  <c r="E2079" i="4"/>
  <c r="B2079" i="4"/>
  <c r="F2079" i="4"/>
  <c r="C2079" i="4"/>
  <c r="D2083" i="4"/>
  <c r="E2083" i="4"/>
  <c r="B2083" i="4"/>
  <c r="C2083" i="4"/>
  <c r="F2083" i="4"/>
  <c r="D2087" i="4"/>
  <c r="E2087" i="4"/>
  <c r="B2087" i="4"/>
  <c r="F2087" i="4"/>
  <c r="C2087" i="4"/>
  <c r="D2091" i="4"/>
  <c r="E2091" i="4"/>
  <c r="B2091" i="4"/>
  <c r="C2091" i="4"/>
  <c r="F2091" i="4"/>
  <c r="D2095" i="4"/>
  <c r="E2095" i="4"/>
  <c r="B2095" i="4"/>
  <c r="F2095" i="4"/>
  <c r="C2095" i="4"/>
  <c r="D2099" i="4"/>
  <c r="E2099" i="4"/>
  <c r="B2099" i="4"/>
  <c r="C2099" i="4"/>
  <c r="F2099" i="4"/>
  <c r="D2103" i="4"/>
  <c r="E2103" i="4"/>
  <c r="B2103" i="4"/>
  <c r="F2103" i="4"/>
  <c r="C2103" i="4"/>
  <c r="D2107" i="4"/>
  <c r="E2107" i="4"/>
  <c r="B2107" i="4"/>
  <c r="C2107" i="4"/>
  <c r="F2107" i="4"/>
  <c r="D2111" i="4"/>
  <c r="E2111" i="4"/>
  <c r="B2111" i="4"/>
  <c r="F2111" i="4"/>
  <c r="C2111" i="4"/>
  <c r="D2115" i="4"/>
  <c r="E2115" i="4"/>
  <c r="B2115" i="4"/>
  <c r="C2115" i="4"/>
  <c r="F2115" i="4"/>
  <c r="D2119" i="4"/>
  <c r="E2119" i="4"/>
  <c r="B2119" i="4"/>
  <c r="F2119" i="4"/>
  <c r="C2119" i="4"/>
  <c r="D2123" i="4"/>
  <c r="E2123" i="4"/>
  <c r="B2123" i="4"/>
  <c r="C2123" i="4"/>
  <c r="F2123" i="4"/>
  <c r="D2127" i="4"/>
  <c r="E2127" i="4"/>
  <c r="B2127" i="4"/>
  <c r="F2127" i="4"/>
  <c r="C2127" i="4"/>
  <c r="D2131" i="4"/>
  <c r="E2131" i="4"/>
  <c r="B2131" i="4"/>
  <c r="C2131" i="4"/>
  <c r="F2131" i="4"/>
  <c r="D2135" i="4"/>
  <c r="E2135" i="4"/>
  <c r="B2135" i="4"/>
  <c r="C2135" i="4"/>
  <c r="F2135" i="4"/>
  <c r="D2139" i="4"/>
  <c r="E2139" i="4"/>
  <c r="B2139" i="4"/>
  <c r="F2139" i="4"/>
  <c r="C2139" i="4"/>
  <c r="D2143" i="4"/>
  <c r="E2143" i="4"/>
  <c r="B2143" i="4"/>
  <c r="C2143" i="4"/>
  <c r="F2143" i="4"/>
  <c r="D2147" i="4"/>
  <c r="E2147" i="4"/>
  <c r="B2147" i="4"/>
  <c r="C2147" i="4"/>
  <c r="F2147" i="4"/>
  <c r="D2151" i="4"/>
  <c r="E2151" i="4"/>
  <c r="B2151" i="4"/>
  <c r="F2151" i="4"/>
  <c r="C2151" i="4"/>
  <c r="D2155" i="4"/>
  <c r="E2155" i="4"/>
  <c r="B2155" i="4"/>
  <c r="C2155" i="4"/>
  <c r="F2155" i="4"/>
  <c r="D2159" i="4"/>
  <c r="E2159" i="4"/>
  <c r="B2159" i="4"/>
  <c r="F2159" i="4"/>
  <c r="C2159" i="4"/>
  <c r="D2163" i="4"/>
  <c r="E2163" i="4"/>
  <c r="B2163" i="4"/>
  <c r="C2163" i="4"/>
  <c r="F2163" i="4"/>
  <c r="D2167" i="4"/>
  <c r="E2167" i="4"/>
  <c r="B2167" i="4"/>
  <c r="F2167" i="4"/>
  <c r="C2167" i="4"/>
  <c r="D2171" i="4"/>
  <c r="E2171" i="4"/>
  <c r="B2171" i="4"/>
  <c r="C2171" i="4"/>
  <c r="F2171" i="4"/>
  <c r="D2175" i="4"/>
  <c r="E2175" i="4"/>
  <c r="B2175" i="4"/>
  <c r="F2175" i="4"/>
  <c r="C2175" i="4"/>
  <c r="D2179" i="4"/>
  <c r="E2179" i="4"/>
  <c r="B2179" i="4"/>
  <c r="C2179" i="4"/>
  <c r="F2179" i="4"/>
  <c r="D2183" i="4"/>
  <c r="E2183" i="4"/>
  <c r="B2183" i="4"/>
  <c r="F2183" i="4"/>
  <c r="C2183" i="4"/>
  <c r="D2187" i="4"/>
  <c r="E2187" i="4"/>
  <c r="B2187" i="4"/>
  <c r="C2187" i="4"/>
  <c r="F2187" i="4"/>
  <c r="D2191" i="4"/>
  <c r="E2191" i="4"/>
  <c r="B2191" i="4"/>
  <c r="F2191" i="4"/>
  <c r="C2191" i="4"/>
  <c r="D2195" i="4"/>
  <c r="E2195" i="4"/>
  <c r="B2195" i="4"/>
  <c r="C2195" i="4"/>
  <c r="F2195" i="4"/>
  <c r="D2199" i="4"/>
  <c r="E2199" i="4"/>
  <c r="B2199" i="4"/>
  <c r="F2199" i="4"/>
  <c r="C2199" i="4"/>
  <c r="B2204" i="4"/>
  <c r="F2204" i="4"/>
  <c r="C2204" i="4"/>
  <c r="D2204" i="4"/>
  <c r="E2204" i="4"/>
  <c r="E2530" i="4"/>
  <c r="C2530" i="4"/>
  <c r="B2530" i="4"/>
  <c r="F2530" i="4"/>
  <c r="D2530" i="4"/>
  <c r="E2532" i="4"/>
  <c r="B2532" i="4"/>
  <c r="F2532" i="4"/>
  <c r="C2532" i="4"/>
  <c r="D2532" i="4"/>
  <c r="E2534" i="4"/>
  <c r="B2534" i="4"/>
  <c r="F2534" i="4"/>
  <c r="C2534" i="4"/>
  <c r="D2534" i="4"/>
  <c r="E2536" i="4"/>
  <c r="C2536" i="4"/>
  <c r="B2536" i="4"/>
  <c r="F2536" i="4"/>
  <c r="D2536" i="4"/>
  <c r="E2538" i="4"/>
  <c r="B2538" i="4"/>
  <c r="F2538" i="4"/>
  <c r="C2538" i="4"/>
  <c r="D2538" i="4"/>
  <c r="E2540" i="4"/>
  <c r="B2540" i="4"/>
  <c r="F2540" i="4"/>
  <c r="C2540" i="4"/>
  <c r="D2540" i="4"/>
  <c r="E2542" i="4"/>
  <c r="B2542" i="4"/>
  <c r="F2542" i="4"/>
  <c r="C2542" i="4"/>
  <c r="D2542" i="4"/>
  <c r="E2544" i="4"/>
  <c r="C2544" i="4"/>
  <c r="B2544" i="4"/>
  <c r="F2544" i="4"/>
  <c r="D2544" i="4"/>
  <c r="E2546" i="4"/>
  <c r="B2546" i="4"/>
  <c r="F2546" i="4"/>
  <c r="C2546" i="4"/>
  <c r="D2546" i="4"/>
  <c r="E2548" i="4"/>
  <c r="C2548" i="4"/>
  <c r="B2548" i="4"/>
  <c r="F2548" i="4"/>
  <c r="D2548" i="4"/>
  <c r="E2550" i="4"/>
  <c r="B2550" i="4"/>
  <c r="F2550" i="4"/>
  <c r="C2550" i="4"/>
  <c r="D2550" i="4"/>
  <c r="E2552" i="4"/>
  <c r="B2552" i="4"/>
  <c r="F2552" i="4"/>
  <c r="C2552" i="4"/>
  <c r="D2552" i="4"/>
  <c r="E2554" i="4"/>
  <c r="C2554" i="4"/>
  <c r="B2554" i="4"/>
  <c r="F2554" i="4"/>
  <c r="D2554" i="4"/>
  <c r="E2556" i="4"/>
  <c r="B2556" i="4"/>
  <c r="F2556" i="4"/>
  <c r="C2556" i="4"/>
  <c r="D2556" i="4"/>
  <c r="E2558" i="4"/>
  <c r="C2558" i="4"/>
  <c r="B2558" i="4"/>
  <c r="F2558" i="4"/>
  <c r="D2558" i="4"/>
  <c r="E2560" i="4"/>
  <c r="B2560" i="4"/>
  <c r="F2560" i="4"/>
  <c r="C2560" i="4"/>
  <c r="D2560" i="4"/>
  <c r="E2562" i="4"/>
  <c r="C2562" i="4"/>
  <c r="B2562" i="4"/>
  <c r="F2562" i="4"/>
  <c r="D2562" i="4"/>
  <c r="E2564" i="4"/>
  <c r="C2564" i="4"/>
  <c r="B2564" i="4"/>
  <c r="F2564" i="4"/>
  <c r="D2564" i="4"/>
  <c r="E2566" i="4"/>
  <c r="B2566" i="4"/>
  <c r="F2566" i="4"/>
  <c r="C2566" i="4"/>
  <c r="D2566" i="4"/>
  <c r="E2568" i="4"/>
  <c r="B2568" i="4"/>
  <c r="F2568" i="4"/>
  <c r="C2568" i="4"/>
  <c r="D2568" i="4"/>
  <c r="E2570" i="4"/>
  <c r="C2570" i="4"/>
  <c r="B2570" i="4"/>
  <c r="F2570" i="4"/>
  <c r="D2570" i="4"/>
  <c r="E2572" i="4"/>
  <c r="B2572" i="4"/>
  <c r="F2572" i="4"/>
  <c r="C2572" i="4"/>
  <c r="D2572" i="4"/>
  <c r="E2574" i="4"/>
  <c r="C2574" i="4"/>
  <c r="B2574" i="4"/>
  <c r="F2574" i="4"/>
  <c r="D2574" i="4"/>
  <c r="E2576" i="4"/>
  <c r="B2576" i="4"/>
  <c r="F2576" i="4"/>
  <c r="C2576" i="4"/>
  <c r="D2576" i="4"/>
  <c r="E2578" i="4"/>
  <c r="C2578" i="4"/>
  <c r="B2578" i="4"/>
  <c r="F2578" i="4"/>
  <c r="D2578" i="4"/>
  <c r="E2580" i="4"/>
  <c r="B2580" i="4"/>
  <c r="F2580" i="4"/>
  <c r="C2580" i="4"/>
  <c r="D2580" i="4"/>
  <c r="E2582" i="4"/>
  <c r="C2582" i="4"/>
  <c r="B2582" i="4"/>
  <c r="F2582" i="4"/>
  <c r="D2582" i="4"/>
  <c r="E2584" i="4"/>
  <c r="B2584" i="4"/>
  <c r="F2584" i="4"/>
  <c r="C2584" i="4"/>
  <c r="D2584" i="4"/>
  <c r="E2586" i="4"/>
  <c r="C2586" i="4"/>
  <c r="B2586" i="4"/>
  <c r="F2586" i="4"/>
  <c r="D2586" i="4"/>
  <c r="E2588" i="4"/>
  <c r="B2588" i="4"/>
  <c r="F2588" i="4"/>
  <c r="C2588" i="4"/>
  <c r="D2588" i="4"/>
  <c r="E2590" i="4"/>
  <c r="C2590" i="4"/>
  <c r="B2590" i="4"/>
  <c r="F2590" i="4"/>
  <c r="D2590" i="4"/>
  <c r="E2592" i="4"/>
  <c r="C2592" i="4"/>
  <c r="B2592" i="4"/>
  <c r="F2592" i="4"/>
  <c r="D2592" i="4"/>
  <c r="E2594" i="4"/>
  <c r="B2594" i="4"/>
  <c r="F2594" i="4"/>
  <c r="C2594" i="4"/>
  <c r="D2594" i="4"/>
  <c r="E2596" i="4"/>
  <c r="C2596" i="4"/>
  <c r="B2596" i="4"/>
  <c r="F2596" i="4"/>
  <c r="D2596" i="4"/>
  <c r="E2598" i="4"/>
  <c r="B2598" i="4"/>
  <c r="F2598" i="4"/>
  <c r="C2598" i="4"/>
  <c r="D2598" i="4"/>
  <c r="E2600" i="4"/>
  <c r="C2600" i="4"/>
  <c r="B2600" i="4"/>
  <c r="F2600" i="4"/>
  <c r="D2600" i="4"/>
  <c r="E2602" i="4"/>
  <c r="B2602" i="4"/>
  <c r="F2602" i="4"/>
  <c r="C2602" i="4"/>
  <c r="D2602" i="4"/>
  <c r="E2604" i="4"/>
  <c r="C2604" i="4"/>
  <c r="B2604" i="4"/>
  <c r="F2604" i="4"/>
  <c r="D2604" i="4"/>
  <c r="E2606" i="4"/>
  <c r="B2606" i="4"/>
  <c r="F2606" i="4"/>
  <c r="C2606" i="4"/>
  <c r="D2606" i="4"/>
  <c r="E2608" i="4"/>
  <c r="C2608" i="4"/>
  <c r="B2608" i="4"/>
  <c r="F2608" i="4"/>
  <c r="D2608" i="4"/>
  <c r="E2610" i="4"/>
  <c r="B2610" i="4"/>
  <c r="F2610" i="4"/>
  <c r="C2610" i="4"/>
  <c r="D2610" i="4"/>
  <c r="E2612" i="4"/>
  <c r="C2612" i="4"/>
  <c r="B2612" i="4"/>
  <c r="F2612" i="4"/>
  <c r="D2612" i="4"/>
  <c r="E2614" i="4"/>
  <c r="B2614" i="4"/>
  <c r="F2614" i="4"/>
  <c r="C2614" i="4"/>
  <c r="D2614" i="4"/>
  <c r="E2616" i="4"/>
  <c r="C2616" i="4"/>
  <c r="B2616" i="4"/>
  <c r="F2616" i="4"/>
  <c r="D2616" i="4"/>
  <c r="E2618" i="4"/>
  <c r="C2618" i="4"/>
  <c r="B2618" i="4"/>
  <c r="F2618" i="4"/>
  <c r="D2618" i="4"/>
  <c r="E2620" i="4"/>
  <c r="B2620" i="4"/>
  <c r="F2620" i="4"/>
  <c r="C2620" i="4"/>
  <c r="D2620" i="4"/>
  <c r="E2622" i="4"/>
  <c r="C2622" i="4"/>
  <c r="B2622" i="4"/>
  <c r="F2622" i="4"/>
  <c r="D2622" i="4"/>
  <c r="E2624" i="4"/>
  <c r="B2624" i="4"/>
  <c r="F2624" i="4"/>
  <c r="C2624" i="4"/>
  <c r="D2624" i="4"/>
  <c r="E2626" i="4"/>
  <c r="C2626" i="4"/>
  <c r="B2626" i="4"/>
  <c r="F2626" i="4"/>
  <c r="D2626" i="4"/>
  <c r="E2628" i="4"/>
  <c r="B2628" i="4"/>
  <c r="F2628" i="4"/>
  <c r="C2628" i="4"/>
  <c r="D2628" i="4"/>
  <c r="E2630" i="4"/>
  <c r="C2630" i="4"/>
  <c r="B2630" i="4"/>
  <c r="F2630" i="4"/>
  <c r="D2630" i="4"/>
  <c r="E2632" i="4"/>
  <c r="B2632" i="4"/>
  <c r="F2632" i="4"/>
  <c r="C2632" i="4"/>
  <c r="D2632" i="4"/>
  <c r="E2634" i="4"/>
  <c r="B2634" i="4"/>
  <c r="F2634" i="4"/>
  <c r="C2634" i="4"/>
  <c r="D2634" i="4"/>
  <c r="E2636" i="4"/>
  <c r="B2636" i="4"/>
  <c r="F2636" i="4"/>
  <c r="C2636" i="4"/>
  <c r="D2636" i="4"/>
  <c r="E2638" i="4"/>
  <c r="C2638" i="4"/>
  <c r="B2638" i="4"/>
  <c r="F2638" i="4"/>
  <c r="D2638" i="4"/>
  <c r="E2640" i="4"/>
  <c r="B2640" i="4"/>
  <c r="F2640" i="4"/>
  <c r="C2640" i="4"/>
  <c r="D2640" i="4"/>
  <c r="E2642" i="4"/>
  <c r="C2642" i="4"/>
  <c r="B2642" i="4"/>
  <c r="F2642" i="4"/>
  <c r="D2642" i="4"/>
  <c r="E2644" i="4"/>
  <c r="C2644" i="4"/>
  <c r="B2644" i="4"/>
  <c r="F2644" i="4"/>
  <c r="D2644" i="4"/>
  <c r="E2646" i="4"/>
  <c r="C2646" i="4"/>
  <c r="B2646" i="4"/>
  <c r="F2646" i="4"/>
  <c r="D2646" i="4"/>
  <c r="E2648" i="4"/>
  <c r="B2648" i="4"/>
  <c r="F2648" i="4"/>
  <c r="C2648" i="4"/>
  <c r="D2648" i="4"/>
  <c r="E2650" i="4"/>
  <c r="C2650" i="4"/>
  <c r="B2650" i="4"/>
  <c r="F2650" i="4"/>
  <c r="D2650" i="4"/>
  <c r="E2652" i="4"/>
  <c r="B2652" i="4"/>
  <c r="F2652" i="4"/>
  <c r="C2652" i="4"/>
  <c r="D2652" i="4"/>
  <c r="E2654" i="4"/>
  <c r="C2654" i="4"/>
  <c r="B2654" i="4"/>
  <c r="F2654" i="4"/>
  <c r="D2654" i="4"/>
  <c r="E2656" i="4"/>
  <c r="C2656" i="4"/>
  <c r="B2656" i="4"/>
  <c r="F2656" i="4"/>
  <c r="D2656" i="4"/>
  <c r="E2658" i="4"/>
  <c r="B2658" i="4"/>
  <c r="F2658" i="4"/>
  <c r="C2658" i="4"/>
  <c r="D2658" i="4"/>
  <c r="E2660" i="4"/>
  <c r="C2660" i="4"/>
  <c r="B2660" i="4"/>
  <c r="F2660" i="4"/>
  <c r="D2660" i="4"/>
  <c r="E2662" i="4"/>
  <c r="B2662" i="4"/>
  <c r="F2662" i="4"/>
  <c r="C2662" i="4"/>
  <c r="D2662" i="4"/>
  <c r="E2664" i="4"/>
  <c r="C2664" i="4"/>
  <c r="B2664" i="4"/>
  <c r="F2664" i="4"/>
  <c r="D2664" i="4"/>
  <c r="E2666" i="4"/>
  <c r="B2666" i="4"/>
  <c r="F2666" i="4"/>
  <c r="C2666" i="4"/>
  <c r="D2666" i="4"/>
  <c r="E2668" i="4"/>
  <c r="C2668" i="4"/>
  <c r="B2668" i="4"/>
  <c r="F2668" i="4"/>
  <c r="D2668" i="4"/>
  <c r="E2670" i="4"/>
  <c r="C2670" i="4"/>
  <c r="B2670" i="4"/>
  <c r="F2670" i="4"/>
  <c r="D2670" i="4"/>
  <c r="E2672" i="4"/>
  <c r="C2672" i="4"/>
  <c r="B2672" i="4"/>
  <c r="F2672" i="4"/>
  <c r="D2672" i="4"/>
  <c r="E2674" i="4"/>
  <c r="B2674" i="4"/>
  <c r="F2674" i="4"/>
  <c r="C2674" i="4"/>
  <c r="D2674" i="4"/>
  <c r="E2676" i="4"/>
  <c r="C2676" i="4"/>
  <c r="B2676" i="4"/>
  <c r="F2676" i="4"/>
  <c r="D2676" i="4"/>
  <c r="E2678" i="4"/>
  <c r="C2678" i="4"/>
  <c r="B2678" i="4"/>
  <c r="F2678" i="4"/>
  <c r="D2678" i="4"/>
  <c r="E2680" i="4"/>
  <c r="B2680" i="4"/>
  <c r="F2680" i="4"/>
  <c r="C2680" i="4"/>
  <c r="D2680" i="4"/>
  <c r="E2682" i="4"/>
  <c r="B2682" i="4"/>
  <c r="F2682" i="4"/>
  <c r="C2682" i="4"/>
  <c r="D2682" i="4"/>
  <c r="E2684" i="4"/>
  <c r="C2684" i="4"/>
  <c r="B2684" i="4"/>
  <c r="F2684" i="4"/>
  <c r="D2684" i="4"/>
  <c r="E2686" i="4"/>
  <c r="B2686" i="4"/>
  <c r="F2686" i="4"/>
  <c r="C2686" i="4"/>
  <c r="D2686" i="4"/>
  <c r="E2688" i="4"/>
  <c r="B2688" i="4"/>
  <c r="F2688" i="4"/>
  <c r="C2688" i="4"/>
  <c r="D2688" i="4"/>
  <c r="E2690" i="4"/>
  <c r="C2690" i="4"/>
  <c r="B2690" i="4"/>
  <c r="F2690" i="4"/>
  <c r="D2690" i="4"/>
  <c r="E2692" i="4"/>
  <c r="B2692" i="4"/>
  <c r="F2692" i="4"/>
  <c r="C2692" i="4"/>
  <c r="D2692" i="4"/>
  <c r="E2694" i="4"/>
  <c r="C2694" i="4"/>
  <c r="B2694" i="4"/>
  <c r="F2694" i="4"/>
  <c r="D2694" i="4"/>
  <c r="E2696" i="4"/>
  <c r="B2696" i="4"/>
  <c r="F2696" i="4"/>
  <c r="C2696" i="4"/>
  <c r="D2696" i="4"/>
  <c r="E2698" i="4"/>
  <c r="C2698" i="4"/>
  <c r="B2698" i="4"/>
  <c r="F2698" i="4"/>
  <c r="D2698" i="4"/>
  <c r="E2700" i="4"/>
  <c r="B2700" i="4"/>
  <c r="F2700" i="4"/>
  <c r="C2700" i="4"/>
  <c r="D2700" i="4"/>
  <c r="E2702" i="4"/>
  <c r="C2702" i="4"/>
  <c r="B2702" i="4"/>
  <c r="F2702" i="4"/>
  <c r="D2702" i="4"/>
  <c r="E2704" i="4"/>
  <c r="B2704" i="4"/>
  <c r="F2704" i="4"/>
  <c r="C2704" i="4"/>
  <c r="D2704" i="4"/>
  <c r="E2706" i="4"/>
  <c r="B2706" i="4"/>
  <c r="F2706" i="4"/>
  <c r="C2706" i="4"/>
  <c r="D2706" i="4"/>
  <c r="E2708" i="4"/>
  <c r="C2708" i="4"/>
  <c r="B2708" i="4"/>
  <c r="F2708" i="4"/>
  <c r="D2708" i="4"/>
  <c r="E2710" i="4"/>
  <c r="B2710" i="4"/>
  <c r="F2710" i="4"/>
  <c r="C2710" i="4"/>
  <c r="D2710" i="4"/>
  <c r="E2712" i="4"/>
  <c r="C2712" i="4"/>
  <c r="B2712" i="4"/>
  <c r="F2712" i="4"/>
  <c r="D2712" i="4"/>
  <c r="E2714" i="4"/>
  <c r="B2714" i="4"/>
  <c r="F2714" i="4"/>
  <c r="C2714" i="4"/>
  <c r="D2714" i="4"/>
  <c r="E2716" i="4"/>
  <c r="C2716" i="4"/>
  <c r="B2716" i="4"/>
  <c r="F2716" i="4"/>
  <c r="D2716" i="4"/>
  <c r="E2718" i="4"/>
  <c r="B2718" i="4"/>
  <c r="F2718" i="4"/>
  <c r="C2718" i="4"/>
  <c r="D2718" i="4"/>
  <c r="E2720" i="4"/>
  <c r="C2720" i="4"/>
  <c r="B2720" i="4"/>
  <c r="F2720" i="4"/>
  <c r="D2720" i="4"/>
  <c r="E2722" i="4"/>
  <c r="B2722" i="4"/>
  <c r="F2722" i="4"/>
  <c r="C2722" i="4"/>
  <c r="D2722" i="4"/>
  <c r="E2724" i="4"/>
  <c r="C2724" i="4"/>
  <c r="B2724" i="4"/>
  <c r="F2724" i="4"/>
  <c r="D2724" i="4"/>
  <c r="E2726" i="4"/>
  <c r="B2726" i="4"/>
  <c r="F2726" i="4"/>
  <c r="C2726" i="4"/>
  <c r="D2726" i="4"/>
  <c r="E2728" i="4"/>
  <c r="C2728" i="4"/>
  <c r="B2728" i="4"/>
  <c r="F2728" i="4"/>
  <c r="D2728" i="4"/>
  <c r="E2730" i="4"/>
  <c r="B2730" i="4"/>
  <c r="F2730" i="4"/>
  <c r="C2730" i="4"/>
  <c r="D2730" i="4"/>
  <c r="E2732" i="4"/>
  <c r="B2732" i="4"/>
  <c r="F2732" i="4"/>
  <c r="C2732" i="4"/>
  <c r="D2732" i="4"/>
  <c r="E2734" i="4"/>
  <c r="C2734" i="4"/>
  <c r="B2734" i="4"/>
  <c r="F2734" i="4"/>
  <c r="D2734" i="4"/>
  <c r="E2736" i="4"/>
  <c r="B2736" i="4"/>
  <c r="F2736" i="4"/>
  <c r="C2736" i="4"/>
  <c r="D2736" i="4"/>
  <c r="E2738" i="4"/>
  <c r="C2738" i="4"/>
  <c r="B2738" i="4"/>
  <c r="F2738" i="4"/>
  <c r="D2738" i="4"/>
  <c r="E2740" i="4"/>
  <c r="C2740" i="4"/>
  <c r="B2740" i="4"/>
  <c r="F2740" i="4"/>
  <c r="D2740" i="4"/>
  <c r="E2742" i="4"/>
  <c r="B2742" i="4"/>
  <c r="F2742" i="4"/>
  <c r="C2742" i="4"/>
  <c r="D2742" i="4"/>
  <c r="E2744" i="4"/>
  <c r="C2744" i="4"/>
  <c r="B2744" i="4"/>
  <c r="F2744" i="4"/>
  <c r="D2744" i="4"/>
  <c r="E2746" i="4"/>
  <c r="B2746" i="4"/>
  <c r="F2746" i="4"/>
  <c r="C2746" i="4"/>
  <c r="D2746" i="4"/>
  <c r="E2748" i="4"/>
  <c r="B2748" i="4"/>
  <c r="F2748" i="4"/>
  <c r="C2748" i="4"/>
  <c r="D2748" i="4"/>
  <c r="E2750" i="4"/>
  <c r="C2750" i="4"/>
  <c r="B2750" i="4"/>
  <c r="F2750" i="4"/>
  <c r="D2750" i="4"/>
  <c r="E2752" i="4"/>
  <c r="C2752" i="4"/>
  <c r="B2752" i="4"/>
  <c r="F2752" i="4"/>
  <c r="D2752" i="4"/>
  <c r="E2754" i="4"/>
  <c r="B2754" i="4"/>
  <c r="F2754" i="4"/>
  <c r="C2754" i="4"/>
  <c r="D2754" i="4"/>
  <c r="E2756" i="4"/>
  <c r="C2756" i="4"/>
  <c r="B2756" i="4"/>
  <c r="F2756" i="4"/>
  <c r="D2756" i="4"/>
  <c r="E2758" i="4"/>
  <c r="B2758" i="4"/>
  <c r="F2758" i="4"/>
  <c r="C2758" i="4"/>
  <c r="D2758" i="4"/>
  <c r="E2760" i="4"/>
  <c r="C2760" i="4"/>
  <c r="B2760" i="4"/>
  <c r="F2760" i="4"/>
  <c r="D2760" i="4"/>
  <c r="E2762" i="4"/>
  <c r="B2762" i="4"/>
  <c r="F2762" i="4"/>
  <c r="C2762" i="4"/>
  <c r="D2762" i="4"/>
  <c r="E2764" i="4"/>
  <c r="B2764" i="4"/>
  <c r="F2764" i="4"/>
  <c r="C2764" i="4"/>
  <c r="D2764" i="4"/>
  <c r="E2766" i="4"/>
  <c r="C2766" i="4"/>
  <c r="B2766" i="4"/>
  <c r="F2766" i="4"/>
  <c r="D2766" i="4"/>
  <c r="E2768" i="4"/>
  <c r="B2768" i="4"/>
  <c r="F2768" i="4"/>
  <c r="C2768" i="4"/>
  <c r="D2768" i="4"/>
  <c r="E2770" i="4"/>
  <c r="C2770" i="4"/>
  <c r="B2770" i="4"/>
  <c r="F2770" i="4"/>
  <c r="D2770" i="4"/>
  <c r="E2772" i="4"/>
  <c r="B2772" i="4"/>
  <c r="F2772" i="4"/>
  <c r="C2772" i="4"/>
  <c r="D2772" i="4"/>
  <c r="E2774" i="4"/>
  <c r="C2774" i="4"/>
  <c r="B2774" i="4"/>
  <c r="F2774" i="4"/>
  <c r="D2774" i="4"/>
  <c r="E2776" i="4"/>
  <c r="B2776" i="4"/>
  <c r="F2776" i="4"/>
  <c r="C2776" i="4"/>
  <c r="D2776" i="4"/>
  <c r="E2778" i="4"/>
  <c r="C2778" i="4"/>
  <c r="B2778" i="4"/>
  <c r="F2778" i="4"/>
  <c r="D2778" i="4"/>
  <c r="E2780" i="4"/>
  <c r="B2780" i="4"/>
  <c r="F2780" i="4"/>
  <c r="C2780" i="4"/>
  <c r="D2780" i="4"/>
  <c r="E2782" i="4"/>
  <c r="C2782" i="4"/>
  <c r="B2782" i="4"/>
  <c r="F2782" i="4"/>
  <c r="D2782" i="4"/>
  <c r="E2784" i="4"/>
  <c r="B2784" i="4"/>
  <c r="F2784" i="4"/>
  <c r="C2784" i="4"/>
  <c r="D2784" i="4"/>
  <c r="E2786" i="4"/>
  <c r="C2786" i="4"/>
  <c r="B2786" i="4"/>
  <c r="F2786" i="4"/>
  <c r="D2786" i="4"/>
  <c r="E2788" i="4"/>
  <c r="B2788" i="4"/>
  <c r="F2788" i="4"/>
  <c r="C2788" i="4"/>
  <c r="D2788" i="4"/>
  <c r="E2790" i="4"/>
  <c r="C2790" i="4"/>
  <c r="B2790" i="4"/>
  <c r="F2790" i="4"/>
  <c r="D2790" i="4"/>
  <c r="E2792" i="4"/>
  <c r="C2792" i="4"/>
  <c r="B2792" i="4"/>
  <c r="F2792" i="4"/>
  <c r="D2792" i="4"/>
  <c r="E2794" i="4"/>
  <c r="C2794" i="4"/>
  <c r="B2794" i="4"/>
  <c r="F2794" i="4"/>
  <c r="D2794" i="4"/>
  <c r="E2796" i="4"/>
  <c r="B2796" i="4"/>
  <c r="F2796" i="4"/>
  <c r="C2796" i="4"/>
  <c r="D2796" i="4"/>
  <c r="E2798" i="4"/>
  <c r="C2798" i="4"/>
  <c r="B2798" i="4"/>
  <c r="F2798" i="4"/>
  <c r="D2798" i="4"/>
  <c r="E2800" i="4"/>
  <c r="B2800" i="4"/>
  <c r="F2800" i="4"/>
  <c r="C2800" i="4"/>
  <c r="D2800" i="4"/>
  <c r="E2802" i="4"/>
  <c r="B2802" i="4"/>
  <c r="F2802" i="4"/>
  <c r="C2802" i="4"/>
  <c r="D2802" i="4"/>
  <c r="E2804" i="4"/>
  <c r="C2804" i="4"/>
  <c r="B2804" i="4"/>
  <c r="F2804" i="4"/>
  <c r="D2804" i="4"/>
  <c r="E2806" i="4"/>
  <c r="B2806" i="4"/>
  <c r="F2806" i="4"/>
  <c r="C2806" i="4"/>
  <c r="D2806" i="4"/>
  <c r="E2808" i="4"/>
  <c r="C2808" i="4"/>
  <c r="B2808" i="4"/>
  <c r="F2808" i="4"/>
  <c r="D2808" i="4"/>
  <c r="E2810" i="4"/>
  <c r="B2810" i="4"/>
  <c r="F2810" i="4"/>
  <c r="C2810" i="4"/>
  <c r="D2810" i="4"/>
  <c r="E2812" i="4"/>
  <c r="C2812" i="4"/>
  <c r="B2812" i="4"/>
  <c r="F2812" i="4"/>
  <c r="D2812" i="4"/>
  <c r="E2814" i="4"/>
  <c r="B2814" i="4"/>
  <c r="F2814" i="4"/>
  <c r="C2814" i="4"/>
  <c r="D2814" i="4"/>
  <c r="E2816" i="4"/>
  <c r="C2816" i="4"/>
  <c r="B2816" i="4"/>
  <c r="F2816" i="4"/>
  <c r="D2816" i="4"/>
  <c r="E2818" i="4"/>
  <c r="B2818" i="4"/>
  <c r="F2818" i="4"/>
  <c r="C2818" i="4"/>
  <c r="D2818" i="4"/>
  <c r="E2820" i="4"/>
  <c r="C2820" i="4"/>
  <c r="B2820" i="4"/>
  <c r="F2820" i="4"/>
  <c r="D2820" i="4"/>
  <c r="E2822" i="4"/>
  <c r="B2822" i="4"/>
  <c r="F2822" i="4"/>
  <c r="C2822" i="4"/>
  <c r="D2822" i="4"/>
  <c r="E2824" i="4"/>
  <c r="C2824" i="4"/>
  <c r="B2824" i="4"/>
  <c r="F2824" i="4"/>
  <c r="D2824" i="4"/>
  <c r="E2826" i="4"/>
  <c r="B2826" i="4"/>
  <c r="F2826" i="4"/>
  <c r="C2826" i="4"/>
  <c r="D2826" i="4"/>
  <c r="E2828" i="4"/>
  <c r="C2828" i="4"/>
  <c r="B2828" i="4"/>
  <c r="F2828" i="4"/>
  <c r="D2828" i="4"/>
  <c r="E2830" i="4"/>
  <c r="B2830" i="4"/>
  <c r="F2830" i="4"/>
  <c r="C2830" i="4"/>
  <c r="D2830" i="4"/>
  <c r="E2832" i="4"/>
  <c r="B2832" i="4"/>
  <c r="F2832" i="4"/>
  <c r="D2832" i="4"/>
  <c r="C2832" i="4"/>
  <c r="E2834" i="4"/>
  <c r="B2834" i="4"/>
  <c r="F2834" i="4"/>
  <c r="D2834" i="4"/>
  <c r="C2834" i="4"/>
  <c r="E2836" i="4"/>
  <c r="B2836" i="4"/>
  <c r="F2836" i="4"/>
  <c r="C2836" i="4"/>
  <c r="D2836" i="4"/>
  <c r="E2838" i="4"/>
  <c r="B2838" i="4"/>
  <c r="F2838" i="4"/>
  <c r="D2838" i="4"/>
  <c r="C2838" i="4"/>
  <c r="E2840" i="4"/>
  <c r="B2840" i="4"/>
  <c r="F2840" i="4"/>
  <c r="C2840" i="4"/>
  <c r="D2840" i="4"/>
  <c r="E2842" i="4"/>
  <c r="B2842" i="4"/>
  <c r="F2842" i="4"/>
  <c r="D2842" i="4"/>
  <c r="C2842" i="4"/>
  <c r="E2844" i="4"/>
  <c r="B2844" i="4"/>
  <c r="F2844" i="4"/>
  <c r="C2844" i="4"/>
  <c r="D2844" i="4"/>
  <c r="E2846" i="4"/>
  <c r="B2846" i="4"/>
  <c r="F2846" i="4"/>
  <c r="D2846" i="4"/>
  <c r="C2846" i="4"/>
  <c r="E2848" i="4"/>
  <c r="B2848" i="4"/>
  <c r="F2848" i="4"/>
  <c r="D2848" i="4"/>
  <c r="C2848" i="4"/>
  <c r="E2850" i="4"/>
  <c r="B2850" i="4"/>
  <c r="F2850" i="4"/>
  <c r="D2850" i="4"/>
  <c r="C2850" i="4"/>
  <c r="E2852" i="4"/>
  <c r="B2852" i="4"/>
  <c r="F2852" i="4"/>
  <c r="C2852" i="4"/>
  <c r="D2852" i="4"/>
  <c r="E2854" i="4"/>
  <c r="B2854" i="4"/>
  <c r="F2854" i="4"/>
  <c r="D2854" i="4"/>
  <c r="C2854" i="4"/>
  <c r="E2856" i="4"/>
  <c r="B2856" i="4"/>
  <c r="F2856" i="4"/>
  <c r="C2856" i="4"/>
  <c r="D2856" i="4"/>
  <c r="E2858" i="4"/>
  <c r="B2858" i="4"/>
  <c r="F2858" i="4"/>
  <c r="D2858" i="4"/>
  <c r="C2858" i="4"/>
  <c r="E2860" i="4"/>
  <c r="B2860" i="4"/>
  <c r="F2860" i="4"/>
  <c r="C2860" i="4"/>
  <c r="D2860" i="4"/>
  <c r="E2862" i="4"/>
  <c r="B2862" i="4"/>
  <c r="F2862" i="4"/>
  <c r="D2862" i="4"/>
  <c r="C2862" i="4"/>
  <c r="E2864" i="4"/>
  <c r="B2864" i="4"/>
  <c r="F2864" i="4"/>
  <c r="D2864" i="4"/>
  <c r="C2864" i="4"/>
  <c r="E2866" i="4"/>
  <c r="B2866" i="4"/>
  <c r="F2866" i="4"/>
  <c r="D2866" i="4"/>
  <c r="C2866" i="4"/>
  <c r="E2868" i="4"/>
  <c r="B2868" i="4"/>
  <c r="F2868" i="4"/>
  <c r="C2868" i="4"/>
  <c r="D2868" i="4"/>
  <c r="E2870" i="4"/>
  <c r="B2870" i="4"/>
  <c r="F2870" i="4"/>
  <c r="D2870" i="4"/>
  <c r="C2870" i="4"/>
  <c r="E2872" i="4"/>
  <c r="B2872" i="4"/>
  <c r="F2872" i="4"/>
  <c r="C2872" i="4"/>
  <c r="D2872" i="4"/>
  <c r="E2874" i="4"/>
  <c r="B2874" i="4"/>
  <c r="F2874" i="4"/>
  <c r="D2874" i="4"/>
  <c r="C2874" i="4"/>
  <c r="E2876" i="4"/>
  <c r="B2876" i="4"/>
  <c r="F2876" i="4"/>
  <c r="C2876" i="4"/>
  <c r="D2876" i="4"/>
  <c r="E2878" i="4"/>
  <c r="B2878" i="4"/>
  <c r="F2878" i="4"/>
  <c r="D2878" i="4"/>
  <c r="C2878" i="4"/>
  <c r="E2880" i="4"/>
  <c r="B2880" i="4"/>
  <c r="F2880" i="4"/>
  <c r="D2880" i="4"/>
  <c r="C2880" i="4"/>
  <c r="E2882" i="4"/>
  <c r="B2882" i="4"/>
  <c r="F2882" i="4"/>
  <c r="D2882" i="4"/>
  <c r="C2882" i="4"/>
  <c r="E2884" i="4"/>
  <c r="B2884" i="4"/>
  <c r="F2884" i="4"/>
  <c r="C2884" i="4"/>
  <c r="D2884" i="4"/>
  <c r="E2886" i="4"/>
  <c r="B2886" i="4"/>
  <c r="F2886" i="4"/>
  <c r="D2886" i="4"/>
  <c r="C2886" i="4"/>
  <c r="E2888" i="4"/>
  <c r="B2888" i="4"/>
  <c r="F2888" i="4"/>
  <c r="C2888" i="4"/>
  <c r="D2888" i="4"/>
  <c r="E2890" i="4"/>
  <c r="B2890" i="4"/>
  <c r="F2890" i="4"/>
  <c r="D2890" i="4"/>
  <c r="C2890" i="4"/>
  <c r="E2892" i="4"/>
  <c r="B2892" i="4"/>
  <c r="F2892" i="4"/>
  <c r="C2892" i="4"/>
  <c r="D2892" i="4"/>
  <c r="E2894" i="4"/>
  <c r="B2894" i="4"/>
  <c r="F2894" i="4"/>
  <c r="D2894" i="4"/>
  <c r="C2894" i="4"/>
  <c r="E2896" i="4"/>
  <c r="B2896" i="4"/>
  <c r="F2896" i="4"/>
  <c r="D2896" i="4"/>
  <c r="C2896" i="4"/>
  <c r="E2898" i="4"/>
  <c r="B2898" i="4"/>
  <c r="F2898" i="4"/>
  <c r="D2898" i="4"/>
  <c r="C2898" i="4"/>
  <c r="E2900" i="4"/>
  <c r="B2900" i="4"/>
  <c r="F2900" i="4"/>
  <c r="C2900" i="4"/>
  <c r="D2900" i="4"/>
  <c r="E2902" i="4"/>
  <c r="B2902" i="4"/>
  <c r="F2902" i="4"/>
  <c r="D2902" i="4"/>
  <c r="C2902" i="4"/>
  <c r="E2904" i="4"/>
  <c r="B2904" i="4"/>
  <c r="F2904" i="4"/>
  <c r="C2904" i="4"/>
  <c r="D2904" i="4"/>
  <c r="E2906" i="4"/>
  <c r="B2906" i="4"/>
  <c r="F2906" i="4"/>
  <c r="D2906" i="4"/>
  <c r="C2906" i="4"/>
  <c r="E2908" i="4"/>
  <c r="B2908" i="4"/>
  <c r="F2908" i="4"/>
  <c r="C2908" i="4"/>
  <c r="D2908" i="4"/>
  <c r="E2910" i="4"/>
  <c r="B2910" i="4"/>
  <c r="F2910" i="4"/>
  <c r="D2910" i="4"/>
  <c r="C2910" i="4"/>
  <c r="E2912" i="4"/>
  <c r="B2912" i="4"/>
  <c r="F2912" i="4"/>
  <c r="D2912" i="4"/>
  <c r="C2912" i="4"/>
  <c r="E2914" i="4"/>
  <c r="B2914" i="4"/>
  <c r="F2914" i="4"/>
  <c r="D2914" i="4"/>
  <c r="C2914" i="4"/>
  <c r="E2916" i="4"/>
  <c r="B2916" i="4"/>
  <c r="F2916" i="4"/>
  <c r="C2916" i="4"/>
  <c r="D2916" i="4"/>
  <c r="E2918" i="4"/>
  <c r="B2918" i="4"/>
  <c r="F2918" i="4"/>
  <c r="D2918" i="4"/>
  <c r="C2918" i="4"/>
  <c r="E2920" i="4"/>
  <c r="B2920" i="4"/>
  <c r="F2920" i="4"/>
  <c r="C2920" i="4"/>
  <c r="D2920" i="4"/>
  <c r="E2922" i="4"/>
  <c r="B2922" i="4"/>
  <c r="F2922" i="4"/>
  <c r="D2922" i="4"/>
  <c r="C2922" i="4"/>
  <c r="E2924" i="4"/>
  <c r="B2924" i="4"/>
  <c r="F2924" i="4"/>
  <c r="C2924" i="4"/>
  <c r="D2924" i="4"/>
  <c r="E2926" i="4"/>
  <c r="B2926" i="4"/>
  <c r="F2926" i="4"/>
  <c r="D2926" i="4"/>
  <c r="C2926" i="4"/>
  <c r="E2928" i="4"/>
  <c r="B2928" i="4"/>
  <c r="F2928" i="4"/>
  <c r="D2928" i="4"/>
  <c r="C2928" i="4"/>
  <c r="E2930" i="4"/>
  <c r="B2930" i="4"/>
  <c r="F2930" i="4"/>
  <c r="D2930" i="4"/>
  <c r="C2930" i="4"/>
  <c r="E2932" i="4"/>
  <c r="B2932" i="4"/>
  <c r="F2932" i="4"/>
  <c r="C2932" i="4"/>
  <c r="D2932" i="4"/>
  <c r="E2934" i="4"/>
  <c r="B2934" i="4"/>
  <c r="F2934" i="4"/>
  <c r="D2934" i="4"/>
  <c r="C2934" i="4"/>
  <c r="E2936" i="4"/>
  <c r="B2936" i="4"/>
  <c r="F2936" i="4"/>
  <c r="C2936" i="4"/>
  <c r="D2936" i="4"/>
  <c r="E2938" i="4"/>
  <c r="B2938" i="4"/>
  <c r="F2938" i="4"/>
  <c r="D2938" i="4"/>
  <c r="C2938" i="4"/>
  <c r="E2940" i="4"/>
  <c r="B2940" i="4"/>
  <c r="F2940" i="4"/>
  <c r="C2940" i="4"/>
  <c r="D2940" i="4"/>
  <c r="E2942" i="4"/>
  <c r="B2942" i="4"/>
  <c r="F2942" i="4"/>
  <c r="D2942" i="4"/>
  <c r="C2942" i="4"/>
  <c r="E2944" i="4"/>
  <c r="B2944" i="4"/>
  <c r="F2944" i="4"/>
  <c r="D2944" i="4"/>
  <c r="C2944" i="4"/>
  <c r="E2946" i="4"/>
  <c r="B2946" i="4"/>
  <c r="F2946" i="4"/>
  <c r="D2946" i="4"/>
  <c r="C2946" i="4"/>
  <c r="E2948" i="4"/>
  <c r="B2948" i="4"/>
  <c r="F2948" i="4"/>
  <c r="C2948" i="4"/>
  <c r="D2948" i="4"/>
  <c r="E2950" i="4"/>
  <c r="B2950" i="4"/>
  <c r="F2950" i="4"/>
  <c r="D2950" i="4"/>
  <c r="C2950" i="4"/>
  <c r="E2952" i="4"/>
  <c r="B2952" i="4"/>
  <c r="F2952" i="4"/>
  <c r="C2952" i="4"/>
  <c r="D2952" i="4"/>
  <c r="E2954" i="4"/>
  <c r="B2954" i="4"/>
  <c r="F2954" i="4"/>
  <c r="D2954" i="4"/>
  <c r="C2954" i="4"/>
  <c r="E2956" i="4"/>
  <c r="B2956" i="4"/>
  <c r="F2956" i="4"/>
  <c r="C2956" i="4"/>
  <c r="D2956" i="4"/>
  <c r="E2958" i="4"/>
  <c r="B2958" i="4"/>
  <c r="F2958" i="4"/>
  <c r="D2958" i="4"/>
  <c r="C2958" i="4"/>
  <c r="C2961" i="4"/>
  <c r="D2961" i="4"/>
  <c r="F2961" i="4"/>
  <c r="E2961" i="4"/>
  <c r="B2961" i="4"/>
  <c r="E2964" i="4"/>
  <c r="B2964" i="4"/>
  <c r="F2964" i="4"/>
  <c r="C2964" i="4"/>
  <c r="D2964" i="4"/>
  <c r="E2968" i="4"/>
  <c r="B2968" i="4"/>
  <c r="F2968" i="4"/>
  <c r="D2968" i="4"/>
  <c r="C2968" i="4"/>
  <c r="D1424" i="4"/>
  <c r="E1424" i="4"/>
  <c r="F1424" i="4"/>
  <c r="B1424" i="4"/>
  <c r="C1424" i="4"/>
  <c r="D1428" i="4"/>
  <c r="B1428" i="4"/>
  <c r="F1428" i="4"/>
  <c r="C1428" i="4"/>
  <c r="E1428" i="4"/>
  <c r="D1432" i="4"/>
  <c r="E1432" i="4"/>
  <c r="F1432" i="4"/>
  <c r="B1432" i="4"/>
  <c r="C1432" i="4"/>
  <c r="D1436" i="4"/>
  <c r="B1436" i="4"/>
  <c r="F1436" i="4"/>
  <c r="C1436" i="4"/>
  <c r="E1436" i="4"/>
  <c r="D1440" i="4"/>
  <c r="E1440" i="4"/>
  <c r="F1440" i="4"/>
  <c r="B1440" i="4"/>
  <c r="C1440" i="4"/>
  <c r="E1444" i="4"/>
  <c r="B1444" i="4"/>
  <c r="F1444" i="4"/>
  <c r="C1444" i="4"/>
  <c r="D1444" i="4"/>
  <c r="E1448" i="4"/>
  <c r="B1448" i="4"/>
  <c r="F1448" i="4"/>
  <c r="C1448" i="4"/>
  <c r="D1448" i="4"/>
  <c r="E1452" i="4"/>
  <c r="B1452" i="4"/>
  <c r="F1452" i="4"/>
  <c r="C1452" i="4"/>
  <c r="D1452" i="4"/>
  <c r="E1456" i="4"/>
  <c r="B1456" i="4"/>
  <c r="F1456" i="4"/>
  <c r="C1456" i="4"/>
  <c r="D1456" i="4"/>
  <c r="E1460" i="4"/>
  <c r="B1460" i="4"/>
  <c r="F1460" i="4"/>
  <c r="C1460" i="4"/>
  <c r="D1460" i="4"/>
  <c r="E1464" i="4"/>
  <c r="B1464" i="4"/>
  <c r="F1464" i="4"/>
  <c r="C1464" i="4"/>
  <c r="D1464" i="4"/>
  <c r="E1468" i="4"/>
  <c r="B1468" i="4"/>
  <c r="F1468" i="4"/>
  <c r="C1468" i="4"/>
  <c r="D1468" i="4"/>
  <c r="B1425" i="4"/>
  <c r="F1425" i="4"/>
  <c r="D1425" i="4"/>
  <c r="E1425" i="4"/>
  <c r="C1425" i="4"/>
  <c r="B1429" i="4"/>
  <c r="F1429" i="4"/>
  <c r="C1429" i="4"/>
  <c r="D1429" i="4"/>
  <c r="E1429" i="4"/>
  <c r="B1433" i="4"/>
  <c r="F1433" i="4"/>
  <c r="D1433" i="4"/>
  <c r="C1433" i="4"/>
  <c r="E1433" i="4"/>
  <c r="B1437" i="4"/>
  <c r="F1437" i="4"/>
  <c r="C1437" i="4"/>
  <c r="D1437" i="4"/>
  <c r="E1437" i="4"/>
  <c r="C1441" i="4"/>
  <c r="B1441" i="4"/>
  <c r="D1441" i="4"/>
  <c r="F1441" i="4"/>
  <c r="E1441" i="4"/>
  <c r="C1445" i="4"/>
  <c r="F1445" i="4"/>
  <c r="D1445" i="4"/>
  <c r="E1445" i="4"/>
  <c r="B1445" i="4"/>
  <c r="C1449" i="4"/>
  <c r="D1449" i="4"/>
  <c r="E1449" i="4"/>
  <c r="F1449" i="4"/>
  <c r="B1449" i="4"/>
  <c r="C1453" i="4"/>
  <c r="D1453" i="4"/>
  <c r="E1453" i="4"/>
  <c r="B1453" i="4"/>
  <c r="F1453" i="4"/>
  <c r="C1457" i="4"/>
  <c r="D1457" i="4"/>
  <c r="E1457" i="4"/>
  <c r="B1457" i="4"/>
  <c r="F1457" i="4"/>
  <c r="C1461" i="4"/>
  <c r="D1461" i="4"/>
  <c r="E1461" i="4"/>
  <c r="B1461" i="4"/>
  <c r="F1461" i="4"/>
  <c r="C1465" i="4"/>
  <c r="D1465" i="4"/>
  <c r="E1465" i="4"/>
  <c r="F1465" i="4"/>
  <c r="B1465" i="4"/>
  <c r="C1469" i="4"/>
  <c r="D1469" i="4"/>
  <c r="E1469" i="4"/>
  <c r="B1469" i="4"/>
  <c r="F1469" i="4"/>
  <c r="D1426" i="4"/>
  <c r="C1426" i="4"/>
  <c r="B1426" i="4"/>
  <c r="E1426" i="4"/>
  <c r="F1426" i="4"/>
  <c r="D1430" i="4"/>
  <c r="F1430" i="4"/>
  <c r="E1430" i="4"/>
  <c r="B1430" i="4"/>
  <c r="C1430" i="4"/>
  <c r="D1434" i="4"/>
  <c r="C1434" i="4"/>
  <c r="E1434" i="4"/>
  <c r="B1434" i="4"/>
  <c r="F1434" i="4"/>
  <c r="D1438" i="4"/>
  <c r="F1438" i="4"/>
  <c r="E1438" i="4"/>
  <c r="B1438" i="4"/>
  <c r="C1438" i="4"/>
  <c r="E1442" i="4"/>
  <c r="B1442" i="4"/>
  <c r="F1442" i="4"/>
  <c r="C1442" i="4"/>
  <c r="D1442" i="4"/>
  <c r="E1446" i="4"/>
  <c r="B1446" i="4"/>
  <c r="F1446" i="4"/>
  <c r="C1446" i="4"/>
  <c r="D1446" i="4"/>
  <c r="E1450" i="4"/>
  <c r="B1450" i="4"/>
  <c r="F1450" i="4"/>
  <c r="C1450" i="4"/>
  <c r="D1450" i="4"/>
  <c r="E1454" i="4"/>
  <c r="B1454" i="4"/>
  <c r="F1454" i="4"/>
  <c r="C1454" i="4"/>
  <c r="D1454" i="4"/>
  <c r="E1458" i="4"/>
  <c r="B1458" i="4"/>
  <c r="F1458" i="4"/>
  <c r="C1458" i="4"/>
  <c r="D1458" i="4"/>
  <c r="E1462" i="4"/>
  <c r="B1462" i="4"/>
  <c r="F1462" i="4"/>
  <c r="C1462" i="4"/>
  <c r="D1462" i="4"/>
  <c r="E1466" i="4"/>
  <c r="B1466" i="4"/>
  <c r="F1466" i="4"/>
  <c r="C1466" i="4"/>
  <c r="D1466" i="4"/>
  <c r="E1470" i="4"/>
  <c r="B1470" i="4"/>
  <c r="F1470" i="4"/>
  <c r="C1470" i="4"/>
  <c r="D1470" i="4"/>
  <c r="B1423" i="4"/>
  <c r="F1423" i="4"/>
  <c r="E1423" i="4"/>
  <c r="D1423" i="4"/>
  <c r="C1423" i="4"/>
  <c r="B1427" i="4"/>
  <c r="F1427" i="4"/>
  <c r="C1427" i="4"/>
  <c r="D1427" i="4"/>
  <c r="E1427" i="4"/>
  <c r="B1431" i="4"/>
  <c r="F1431" i="4"/>
  <c r="E1431" i="4"/>
  <c r="D1431" i="4"/>
  <c r="C1431" i="4"/>
  <c r="B1435" i="4"/>
  <c r="F1435" i="4"/>
  <c r="C1435" i="4"/>
  <c r="D1435" i="4"/>
  <c r="E1435" i="4"/>
  <c r="B1439" i="4"/>
  <c r="F1439" i="4"/>
  <c r="E1439" i="4"/>
  <c r="D1439" i="4"/>
  <c r="C1439" i="4"/>
  <c r="C1443" i="4"/>
  <c r="F1443" i="4"/>
  <c r="D1443" i="4"/>
  <c r="B1443" i="4"/>
  <c r="E1443" i="4"/>
  <c r="C1447" i="4"/>
  <c r="B1447" i="4"/>
  <c r="D1447" i="4"/>
  <c r="E1447" i="4"/>
  <c r="F1447" i="4"/>
  <c r="C1451" i="4"/>
  <c r="D1451" i="4"/>
  <c r="E1451" i="4"/>
  <c r="F1451" i="4"/>
  <c r="B1451" i="4"/>
  <c r="C1455" i="4"/>
  <c r="D1455" i="4"/>
  <c r="E1455" i="4"/>
  <c r="B1455" i="4"/>
  <c r="F1455" i="4"/>
  <c r="C1459" i="4"/>
  <c r="D1459" i="4"/>
  <c r="E1459" i="4"/>
  <c r="F1459" i="4"/>
  <c r="B1459" i="4"/>
  <c r="C1463" i="4"/>
  <c r="D1463" i="4"/>
  <c r="E1463" i="4"/>
  <c r="B1463" i="4"/>
  <c r="F1463" i="4"/>
  <c r="C1467" i="4"/>
  <c r="D1467" i="4"/>
  <c r="E1467" i="4"/>
  <c r="F1467" i="4"/>
  <c r="B1467" i="4"/>
  <c r="C1471" i="4"/>
  <c r="D1471" i="4"/>
  <c r="E1471" i="4"/>
  <c r="B1471" i="4"/>
  <c r="F1471" i="4"/>
  <c r="P11" i="2"/>
  <c r="P13" i="2"/>
  <c r="P15" i="2"/>
  <c r="P17" i="2"/>
  <c r="P19" i="2"/>
  <c r="P10" i="2"/>
  <c r="P12" i="2"/>
  <c r="P14" i="2"/>
  <c r="P16" i="2"/>
  <c r="P18" i="2"/>
  <c r="P22" i="2"/>
  <c r="P26" i="2"/>
  <c r="P30" i="2"/>
  <c r="P34" i="2"/>
  <c r="P38" i="2"/>
  <c r="P42" i="2"/>
  <c r="P46" i="2"/>
  <c r="P50" i="2"/>
  <c r="P54" i="2"/>
  <c r="P58" i="2"/>
  <c r="P62" i="2"/>
  <c r="P65" i="2"/>
  <c r="P68" i="2"/>
  <c r="P73" i="2"/>
  <c r="P76" i="2"/>
  <c r="P81" i="2"/>
  <c r="P84" i="2"/>
  <c r="P86" i="2"/>
  <c r="P88" i="2"/>
  <c r="P90" i="2"/>
  <c r="P92" i="2"/>
  <c r="P94" i="2"/>
  <c r="P96" i="2"/>
  <c r="P98" i="2"/>
  <c r="P100" i="2"/>
  <c r="P102" i="2"/>
  <c r="P104" i="2"/>
  <c r="P106" i="2"/>
  <c r="P108" i="2"/>
  <c r="P110" i="2"/>
  <c r="P112" i="2"/>
  <c r="P114" i="2"/>
  <c r="P116" i="2"/>
  <c r="P118" i="2"/>
  <c r="P120" i="2"/>
  <c r="P122" i="2"/>
  <c r="P124" i="2"/>
  <c r="P126" i="2"/>
  <c r="P128" i="2"/>
  <c r="P130" i="2"/>
  <c r="P132" i="2"/>
  <c r="P134" i="2"/>
  <c r="P136" i="2"/>
  <c r="P138" i="2"/>
  <c r="P140" i="2"/>
  <c r="P142" i="2"/>
  <c r="P144" i="2"/>
  <c r="P146" i="2"/>
  <c r="P148" i="2"/>
  <c r="P24" i="2"/>
  <c r="P32" i="2"/>
  <c r="P44" i="2"/>
  <c r="P56" i="2"/>
  <c r="P60" i="2"/>
  <c r="P64" i="2"/>
  <c r="P69" i="2"/>
  <c r="P87" i="2"/>
  <c r="P89" i="2"/>
  <c r="P91" i="2"/>
  <c r="P95" i="2"/>
  <c r="P97" i="2"/>
  <c r="P99" i="2"/>
  <c r="P109" i="2"/>
  <c r="P111" i="2"/>
  <c r="P113" i="2"/>
  <c r="P115" i="2"/>
  <c r="P21" i="2"/>
  <c r="P37" i="2"/>
  <c r="P41" i="2"/>
  <c r="P61" i="2"/>
  <c r="P70" i="2"/>
  <c r="P23" i="2"/>
  <c r="P27" i="2"/>
  <c r="P31" i="2"/>
  <c r="P35" i="2"/>
  <c r="P39" i="2"/>
  <c r="P43" i="2"/>
  <c r="P47" i="2"/>
  <c r="P51" i="2"/>
  <c r="P55" i="2"/>
  <c r="P59" i="2"/>
  <c r="P63" i="2"/>
  <c r="P66" i="2"/>
  <c r="P71" i="2"/>
  <c r="P74" i="2"/>
  <c r="P79" i="2"/>
  <c r="P82" i="2"/>
  <c r="P20" i="2"/>
  <c r="P28" i="2"/>
  <c r="P36" i="2"/>
  <c r="P40" i="2"/>
  <c r="P48" i="2"/>
  <c r="P52" i="2"/>
  <c r="P72" i="2"/>
  <c r="P77" i="2"/>
  <c r="P80" i="2"/>
  <c r="P85" i="2"/>
  <c r="P93" i="2"/>
  <c r="P101" i="2"/>
  <c r="P103" i="2"/>
  <c r="P105" i="2"/>
  <c r="P107" i="2"/>
  <c r="P117" i="2"/>
  <c r="P119" i="2"/>
  <c r="P121" i="2"/>
  <c r="P123" i="2"/>
  <c r="P125" i="2"/>
  <c r="P127" i="2"/>
  <c r="P129" i="2"/>
  <c r="P131" i="2"/>
  <c r="P133" i="2"/>
  <c r="P135" i="2"/>
  <c r="P137" i="2"/>
  <c r="P139" i="2"/>
  <c r="P141" i="2"/>
  <c r="P143" i="2"/>
  <c r="P145" i="2"/>
  <c r="P147" i="2"/>
  <c r="P25" i="2"/>
  <c r="P29" i="2"/>
  <c r="P33" i="2"/>
  <c r="P45" i="2"/>
  <c r="P49" i="2"/>
  <c r="P53" i="2"/>
  <c r="P57" i="2"/>
  <c r="P67" i="2"/>
  <c r="P75" i="2"/>
  <c r="P78" i="2"/>
  <c r="P83" i="2"/>
  <c r="P9" i="2"/>
  <c r="Q10" i="2"/>
  <c r="Q12" i="2"/>
  <c r="Q14" i="2"/>
  <c r="Q16" i="2"/>
  <c r="Q18" i="2"/>
  <c r="Q20" i="2"/>
  <c r="Q22" i="2"/>
  <c r="Q24" i="2"/>
  <c r="Q26" i="2"/>
  <c r="Q28" i="2"/>
  <c r="Q30" i="2"/>
  <c r="Q32" i="2"/>
  <c r="Q34" i="2"/>
  <c r="Q36" i="2"/>
  <c r="Q38" i="2"/>
  <c r="Q40" i="2"/>
  <c r="Q42" i="2"/>
  <c r="Q44" i="2"/>
  <c r="Q46" i="2"/>
  <c r="Q48" i="2"/>
  <c r="Q50" i="2"/>
  <c r="Q52" i="2"/>
  <c r="Q54" i="2"/>
  <c r="Q56" i="2"/>
  <c r="Q58" i="2"/>
  <c r="Q60" i="2"/>
  <c r="Q62" i="2"/>
  <c r="Q11" i="2"/>
  <c r="Q13" i="2"/>
  <c r="Q15" i="2"/>
  <c r="Q17" i="2"/>
  <c r="Q19" i="2"/>
  <c r="Q21" i="2"/>
  <c r="Q23" i="2"/>
  <c r="Q25" i="2"/>
  <c r="Q27" i="2"/>
  <c r="Q29" i="2"/>
  <c r="Q31" i="2"/>
  <c r="Q33" i="2"/>
  <c r="Q35" i="2"/>
  <c r="Q37" i="2"/>
  <c r="Q39" i="2"/>
  <c r="Q41" i="2"/>
  <c r="Q43" i="2"/>
  <c r="Q45" i="2"/>
  <c r="Q47" i="2"/>
  <c r="Q49" i="2"/>
  <c r="Q51" i="2"/>
  <c r="Q53" i="2"/>
  <c r="Q55" i="2"/>
  <c r="Q57" i="2"/>
  <c r="Q59" i="2"/>
  <c r="Q61" i="2"/>
  <c r="Q63" i="2"/>
  <c r="Q65" i="2"/>
  <c r="Q67" i="2"/>
  <c r="Q69" i="2"/>
  <c r="Q71" i="2"/>
  <c r="Q73" i="2"/>
  <c r="Q75" i="2"/>
  <c r="Q77" i="2"/>
  <c r="Q79" i="2"/>
  <c r="Q81" i="2"/>
  <c r="Q83" i="2"/>
  <c r="Q70" i="2"/>
  <c r="Q78" i="2"/>
  <c r="Q74" i="2"/>
  <c r="Q82" i="2"/>
  <c r="Q64" i="2"/>
  <c r="Q99" i="2"/>
  <c r="Q105" i="2"/>
  <c r="Q107" i="2"/>
  <c r="Q113" i="2"/>
  <c r="Q117" i="2"/>
  <c r="Q119" i="2"/>
  <c r="Q121" i="2"/>
  <c r="Q125" i="2"/>
  <c r="Q131" i="2"/>
  <c r="Q135" i="2"/>
  <c r="Q68" i="2"/>
  <c r="Q76" i="2"/>
  <c r="Q84" i="2"/>
  <c r="Q86" i="2"/>
  <c r="Q88" i="2"/>
  <c r="Q90" i="2"/>
  <c r="Q92" i="2"/>
  <c r="Q94" i="2"/>
  <c r="Q96" i="2"/>
  <c r="Q98" i="2"/>
  <c r="Q100" i="2"/>
  <c r="Q102" i="2"/>
  <c r="Q104" i="2"/>
  <c r="Q106" i="2"/>
  <c r="Q108" i="2"/>
  <c r="Q110" i="2"/>
  <c r="Q112" i="2"/>
  <c r="Q114" i="2"/>
  <c r="Q116" i="2"/>
  <c r="Q118" i="2"/>
  <c r="Q120" i="2"/>
  <c r="Q122" i="2"/>
  <c r="Q124" i="2"/>
  <c r="Q126" i="2"/>
  <c r="Q128" i="2"/>
  <c r="Q130" i="2"/>
  <c r="Q132" i="2"/>
  <c r="Q134" i="2"/>
  <c r="Q136" i="2"/>
  <c r="Q138" i="2"/>
  <c r="Q140" i="2"/>
  <c r="Q142" i="2"/>
  <c r="Q144" i="2"/>
  <c r="Q146" i="2"/>
  <c r="Q148" i="2"/>
  <c r="Q66" i="2"/>
  <c r="Q9" i="2"/>
  <c r="Q72" i="2"/>
  <c r="Q80" i="2"/>
  <c r="Q85" i="2"/>
  <c r="Q87" i="2"/>
  <c r="Q89" i="2"/>
  <c r="Q91" i="2"/>
  <c r="Q93" i="2"/>
  <c r="Q95" i="2"/>
  <c r="Q97" i="2"/>
  <c r="Q101" i="2"/>
  <c r="Q103" i="2"/>
  <c r="Q109" i="2"/>
  <c r="Q111" i="2"/>
  <c r="Q115" i="2"/>
  <c r="Q123" i="2"/>
  <c r="Q127" i="2"/>
  <c r="Q129" i="2"/>
  <c r="Q133" i="2"/>
  <c r="Q137" i="2"/>
  <c r="Q139" i="2"/>
  <c r="Q141" i="2"/>
  <c r="Q143" i="2"/>
  <c r="Q145" i="2"/>
  <c r="Q147" i="2"/>
  <c r="B13" i="4"/>
  <c r="F13" i="4"/>
  <c r="C13" i="4"/>
  <c r="D13" i="4"/>
  <c r="E13" i="4"/>
  <c r="G13" i="4"/>
  <c r="E12" i="4"/>
  <c r="D12" i="4"/>
  <c r="G12" i="4"/>
  <c r="B12" i="4"/>
  <c r="C12" i="4"/>
  <c r="F12" i="4"/>
  <c r="D143" i="2"/>
  <c r="D135" i="2"/>
  <c r="D127" i="2"/>
  <c r="D119" i="2"/>
  <c r="D111" i="2"/>
  <c r="D103" i="2"/>
  <c r="D95" i="2"/>
  <c r="D87" i="2"/>
  <c r="D79" i="2"/>
  <c r="D71" i="2"/>
  <c r="D63" i="2"/>
  <c r="D55" i="2"/>
  <c r="D47" i="2"/>
  <c r="D39" i="2"/>
  <c r="D31" i="2"/>
  <c r="D23" i="2"/>
  <c r="D15" i="2"/>
  <c r="D146" i="2"/>
  <c r="D138" i="2"/>
  <c r="D130" i="2"/>
  <c r="D122" i="2"/>
  <c r="D114" i="2"/>
  <c r="D106" i="2"/>
  <c r="D98" i="2"/>
  <c r="D90" i="2"/>
  <c r="D82" i="2"/>
  <c r="D74" i="2"/>
  <c r="D66" i="2"/>
  <c r="D58" i="2"/>
  <c r="D50" i="2"/>
  <c r="D42" i="2"/>
  <c r="D34" i="2"/>
  <c r="D26" i="2"/>
  <c r="D18" i="2"/>
  <c r="D72" i="2"/>
  <c r="D56" i="2"/>
  <c r="D40" i="2"/>
  <c r="D24" i="2"/>
  <c r="D16" i="2"/>
  <c r="D54" i="2"/>
  <c r="D30" i="2"/>
  <c r="D14" i="2"/>
  <c r="D9" i="2"/>
  <c r="D141" i="2"/>
  <c r="D133" i="2"/>
  <c r="D125" i="2"/>
  <c r="D117" i="2"/>
  <c r="D109" i="2"/>
  <c r="D101" i="2"/>
  <c r="D93" i="2"/>
  <c r="D85" i="2"/>
  <c r="D77" i="2"/>
  <c r="D69" i="2"/>
  <c r="D61" i="2"/>
  <c r="D53" i="2"/>
  <c r="D45" i="2"/>
  <c r="D37" i="2"/>
  <c r="D29" i="2"/>
  <c r="D21" i="2"/>
  <c r="D13" i="2"/>
  <c r="D144" i="2"/>
  <c r="D136" i="2"/>
  <c r="D128" i="2"/>
  <c r="D120" i="2"/>
  <c r="D112" i="2"/>
  <c r="D104" i="2"/>
  <c r="D96" i="2"/>
  <c r="D88" i="2"/>
  <c r="D80" i="2"/>
  <c r="D64" i="2"/>
  <c r="D48" i="2"/>
  <c r="D32" i="2"/>
  <c r="D62" i="2"/>
  <c r="D38" i="2"/>
  <c r="D147" i="2"/>
  <c r="D139" i="2"/>
  <c r="D131" i="2"/>
  <c r="D123" i="2"/>
  <c r="D115" i="2"/>
  <c r="D107" i="2"/>
  <c r="D99" i="2"/>
  <c r="D91" i="2"/>
  <c r="D83" i="2"/>
  <c r="D75" i="2"/>
  <c r="D67" i="2"/>
  <c r="D59" i="2"/>
  <c r="D51" i="2"/>
  <c r="D43" i="2"/>
  <c r="D35" i="2"/>
  <c r="D27" i="2"/>
  <c r="D19" i="2"/>
  <c r="D11" i="2"/>
  <c r="D142" i="2"/>
  <c r="D134" i="2"/>
  <c r="D126" i="2"/>
  <c r="D118" i="2"/>
  <c r="D110" i="2"/>
  <c r="D102" i="2"/>
  <c r="D94" i="2"/>
  <c r="D86" i="2"/>
  <c r="D78" i="2"/>
  <c r="D70" i="2"/>
  <c r="D46" i="2"/>
  <c r="D22" i="2"/>
  <c r="D145" i="2"/>
  <c r="D113" i="2"/>
  <c r="D81" i="2"/>
  <c r="D49" i="2"/>
  <c r="D17" i="2"/>
  <c r="D124" i="2"/>
  <c r="D92" i="2"/>
  <c r="D60" i="2"/>
  <c r="D28" i="2"/>
  <c r="D108" i="2"/>
  <c r="D12" i="2"/>
  <c r="D57" i="2"/>
  <c r="D100" i="2"/>
  <c r="D10" i="2"/>
  <c r="D137" i="2"/>
  <c r="D105" i="2"/>
  <c r="D73" i="2"/>
  <c r="D41" i="2"/>
  <c r="D148" i="2"/>
  <c r="D116" i="2"/>
  <c r="D84" i="2"/>
  <c r="D52" i="2"/>
  <c r="D20" i="2"/>
  <c r="D65" i="2"/>
  <c r="D140" i="2"/>
  <c r="D44" i="2"/>
  <c r="D89" i="2"/>
  <c r="D25" i="2"/>
  <c r="D68" i="2"/>
  <c r="D129" i="2"/>
  <c r="D97" i="2"/>
  <c r="D33" i="2"/>
  <c r="D76" i="2"/>
  <c r="D121" i="2"/>
  <c r="D132" i="2"/>
  <c r="D36" i="2"/>
  <c r="E73" i="2"/>
  <c r="E93" i="2"/>
  <c r="E123" i="2"/>
  <c r="E91" i="2"/>
  <c r="E117" i="2"/>
  <c r="E145" i="2"/>
  <c r="E113" i="2"/>
  <c r="E81" i="2"/>
  <c r="E29" i="2"/>
  <c r="E49" i="2"/>
  <c r="E16" i="2"/>
  <c r="E24" i="2"/>
  <c r="E32" i="2"/>
  <c r="E40" i="2"/>
  <c r="E48" i="2"/>
  <c r="E56" i="2"/>
  <c r="E64" i="2"/>
  <c r="E72" i="2"/>
  <c r="E80" i="2"/>
  <c r="E88" i="2"/>
  <c r="E96" i="2"/>
  <c r="E104" i="2"/>
  <c r="E112" i="2"/>
  <c r="E120" i="2"/>
  <c r="E128" i="2"/>
  <c r="E136" i="2"/>
  <c r="E144" i="2"/>
  <c r="E15" i="2"/>
  <c r="E27" i="2"/>
  <c r="E47" i="2"/>
  <c r="E65" i="2"/>
  <c r="E45" i="2"/>
  <c r="E63" i="2"/>
  <c r="E143" i="2"/>
  <c r="E111" i="2"/>
  <c r="E79" i="2"/>
  <c r="E99" i="2"/>
  <c r="E121" i="2"/>
  <c r="E43" i="2"/>
  <c r="E30" i="2"/>
  <c r="E54" i="2"/>
  <c r="E78" i="2"/>
  <c r="E102" i="2"/>
  <c r="E85" i="2"/>
  <c r="E115" i="2"/>
  <c r="E83" i="2"/>
  <c r="E101" i="2"/>
  <c r="E137" i="2"/>
  <c r="E105" i="2"/>
  <c r="E13" i="2"/>
  <c r="E35" i="2"/>
  <c r="E10" i="2"/>
  <c r="E18" i="2"/>
  <c r="E26" i="2"/>
  <c r="E34" i="2"/>
  <c r="E42" i="2"/>
  <c r="E50" i="2"/>
  <c r="E58" i="2"/>
  <c r="E66" i="2"/>
  <c r="E74" i="2"/>
  <c r="E82" i="2"/>
  <c r="E90" i="2"/>
  <c r="E98" i="2"/>
  <c r="E106" i="2"/>
  <c r="E114" i="2"/>
  <c r="E122" i="2"/>
  <c r="E130" i="2"/>
  <c r="E138" i="2"/>
  <c r="E146" i="2"/>
  <c r="E17" i="2"/>
  <c r="E33" i="2"/>
  <c r="E53" i="2"/>
  <c r="E67" i="2"/>
  <c r="E51" i="2"/>
  <c r="E69" i="2"/>
  <c r="E135" i="2"/>
  <c r="E103" i="2"/>
  <c r="E71" i="2"/>
  <c r="E131" i="2"/>
  <c r="E147" i="2"/>
  <c r="E25" i="2"/>
  <c r="E22" i="2"/>
  <c r="E46" i="2"/>
  <c r="E62" i="2"/>
  <c r="E86" i="2"/>
  <c r="E110" i="2"/>
  <c r="E125" i="2"/>
  <c r="E139" i="2"/>
  <c r="E107" i="2"/>
  <c r="E75" i="2"/>
  <c r="E77" i="2"/>
  <c r="E129" i="2"/>
  <c r="E97" i="2"/>
  <c r="E19" i="2"/>
  <c r="E39" i="2"/>
  <c r="E12" i="2"/>
  <c r="E20" i="2"/>
  <c r="E28" i="2"/>
  <c r="E36" i="2"/>
  <c r="E44" i="2"/>
  <c r="E52" i="2"/>
  <c r="E60" i="2"/>
  <c r="E68" i="2"/>
  <c r="E76" i="2"/>
  <c r="E84" i="2"/>
  <c r="E92" i="2"/>
  <c r="E100" i="2"/>
  <c r="E108" i="2"/>
  <c r="E116" i="2"/>
  <c r="E124" i="2"/>
  <c r="E132" i="2"/>
  <c r="E140" i="2"/>
  <c r="E148" i="2"/>
  <c r="E21" i="2"/>
  <c r="E37" i="2"/>
  <c r="E57" i="2"/>
  <c r="E9" i="2"/>
  <c r="E55" i="2"/>
  <c r="E133" i="2"/>
  <c r="E127" i="2"/>
  <c r="E95" i="2"/>
  <c r="E109" i="2"/>
  <c r="E141" i="2"/>
  <c r="E89" i="2"/>
  <c r="E14" i="2"/>
  <c r="E38" i="2"/>
  <c r="E70" i="2"/>
  <c r="E94" i="2"/>
  <c r="E118" i="2"/>
  <c r="E126" i="2"/>
  <c r="E23" i="2"/>
  <c r="E59" i="2"/>
  <c r="E87" i="2"/>
  <c r="E134" i="2"/>
  <c r="E41" i="2"/>
  <c r="E31" i="2"/>
  <c r="E142" i="2"/>
  <c r="E61" i="2"/>
  <c r="E119" i="2"/>
  <c r="E11" i="2"/>
  <c r="K142" i="2"/>
  <c r="K22" i="2"/>
  <c r="K54" i="2"/>
  <c r="K86" i="2"/>
  <c r="K118" i="2"/>
  <c r="J9" i="2"/>
  <c r="K30" i="2"/>
  <c r="K62" i="2"/>
  <c r="K94" i="2"/>
  <c r="K126" i="2"/>
  <c r="K38" i="2"/>
  <c r="K70" i="2"/>
  <c r="K102" i="2"/>
  <c r="K134" i="2"/>
  <c r="K14" i="2"/>
  <c r="K46" i="2"/>
  <c r="K78" i="2"/>
  <c r="K110" i="2"/>
  <c r="J123" i="2"/>
  <c r="J131" i="2"/>
  <c r="J139" i="2"/>
  <c r="J147" i="2"/>
  <c r="J16" i="2"/>
  <c r="J32" i="2"/>
  <c r="J40" i="2"/>
  <c r="J48" i="2"/>
  <c r="J56" i="2"/>
  <c r="J64" i="2"/>
  <c r="J72" i="2"/>
  <c r="J80" i="2"/>
  <c r="J88" i="2"/>
  <c r="J96" i="2"/>
  <c r="J104" i="2"/>
  <c r="J112" i="2"/>
  <c r="J120" i="2"/>
  <c r="J128" i="2"/>
  <c r="J136" i="2"/>
  <c r="J144" i="2"/>
  <c r="J11" i="2"/>
  <c r="J27" i="2"/>
  <c r="J51" i="2"/>
  <c r="J67" i="2"/>
  <c r="J91" i="2"/>
  <c r="J107" i="2"/>
  <c r="K17" i="2"/>
  <c r="K37" i="2"/>
  <c r="K53" i="2"/>
  <c r="K61" i="2"/>
  <c r="K19" i="2"/>
  <c r="K43" i="2"/>
  <c r="K49" i="2"/>
  <c r="K55" i="2"/>
  <c r="K59" i="2"/>
  <c r="K15" i="2"/>
  <c r="K21" i="2"/>
  <c r="K23" i="2"/>
  <c r="K25" i="2"/>
  <c r="K27" i="2"/>
  <c r="K29" i="2"/>
  <c r="K31" i="2"/>
  <c r="K33" i="2"/>
  <c r="K35" i="2"/>
  <c r="K39" i="2"/>
  <c r="K41" i="2"/>
  <c r="K45" i="2"/>
  <c r="K47" i="2"/>
  <c r="K51" i="2"/>
  <c r="K57" i="2"/>
  <c r="K11" i="2"/>
  <c r="K13" i="2"/>
  <c r="K63" i="2"/>
  <c r="K71" i="2"/>
  <c r="K79" i="2"/>
  <c r="K87" i="2"/>
  <c r="K95" i="2"/>
  <c r="K103" i="2"/>
  <c r="K111" i="2"/>
  <c r="K119" i="2"/>
  <c r="K127" i="2"/>
  <c r="K135" i="2"/>
  <c r="K143" i="2"/>
  <c r="K85" i="2"/>
  <c r="K65" i="2"/>
  <c r="K73" i="2"/>
  <c r="K81" i="2"/>
  <c r="K89" i="2"/>
  <c r="K97" i="2"/>
  <c r="K105" i="2"/>
  <c r="K113" i="2"/>
  <c r="K121" i="2"/>
  <c r="K129" i="2"/>
  <c r="K137" i="2"/>
  <c r="K145" i="2"/>
  <c r="K77" i="2"/>
  <c r="K67" i="2"/>
  <c r="K75" i="2"/>
  <c r="K83" i="2"/>
  <c r="K91" i="2"/>
  <c r="K99" i="2"/>
  <c r="K107" i="2"/>
  <c r="K115" i="2"/>
  <c r="K123" i="2"/>
  <c r="K131" i="2"/>
  <c r="K139" i="2"/>
  <c r="K147" i="2"/>
  <c r="K69" i="2"/>
  <c r="K93" i="2"/>
  <c r="K101" i="2"/>
  <c r="K109" i="2"/>
  <c r="K117" i="2"/>
  <c r="K125" i="2"/>
  <c r="K133" i="2"/>
  <c r="K141" i="2"/>
  <c r="J18" i="2"/>
  <c r="J26" i="2"/>
  <c r="J34" i="2"/>
  <c r="J42" i="2"/>
  <c r="J50" i="2"/>
  <c r="J58" i="2"/>
  <c r="J66" i="2"/>
  <c r="J74" i="2"/>
  <c r="J82" i="2"/>
  <c r="J90" i="2"/>
  <c r="J98" i="2"/>
  <c r="J106" i="2"/>
  <c r="J114" i="2"/>
  <c r="J122" i="2"/>
  <c r="J130" i="2"/>
  <c r="J138" i="2"/>
  <c r="J146" i="2"/>
  <c r="K16" i="2"/>
  <c r="K24" i="2"/>
  <c r="K32" i="2"/>
  <c r="K40" i="2"/>
  <c r="K48" i="2"/>
  <c r="K56" i="2"/>
  <c r="K64" i="2"/>
  <c r="K72" i="2"/>
  <c r="K80" i="2"/>
  <c r="K88" i="2"/>
  <c r="K96" i="2"/>
  <c r="K104" i="2"/>
  <c r="K112" i="2"/>
  <c r="K120" i="2"/>
  <c r="K128" i="2"/>
  <c r="K136" i="2"/>
  <c r="K144" i="2"/>
  <c r="J13" i="2"/>
  <c r="J21" i="2"/>
  <c r="J29" i="2"/>
  <c r="J37" i="2"/>
  <c r="J45" i="2"/>
  <c r="J53" i="2"/>
  <c r="J61" i="2"/>
  <c r="J69" i="2"/>
  <c r="J77" i="2"/>
  <c r="J85" i="2"/>
  <c r="J93" i="2"/>
  <c r="J101" i="2"/>
  <c r="J109" i="2"/>
  <c r="J117" i="2"/>
  <c r="J125" i="2"/>
  <c r="J133" i="2"/>
  <c r="J141" i="2"/>
  <c r="K9" i="2"/>
  <c r="J12" i="2"/>
  <c r="J20" i="2"/>
  <c r="J28" i="2"/>
  <c r="J36" i="2"/>
  <c r="J44" i="2"/>
  <c r="J52" i="2"/>
  <c r="J60" i="2"/>
  <c r="J68" i="2"/>
  <c r="J76" i="2"/>
  <c r="J84" i="2"/>
  <c r="J92" i="2"/>
  <c r="J100" i="2"/>
  <c r="J108" i="2"/>
  <c r="J116" i="2"/>
  <c r="J124" i="2"/>
  <c r="J132" i="2"/>
  <c r="J140" i="2"/>
  <c r="J148" i="2"/>
  <c r="K18" i="2"/>
  <c r="K26" i="2"/>
  <c r="K34" i="2"/>
  <c r="K42" i="2"/>
  <c r="K50" i="2"/>
  <c r="K58" i="2"/>
  <c r="K66" i="2"/>
  <c r="K74" i="2"/>
  <c r="K82" i="2"/>
  <c r="K90" i="2"/>
  <c r="K98" i="2"/>
  <c r="K106" i="2"/>
  <c r="K114" i="2"/>
  <c r="K122" i="2"/>
  <c r="K130" i="2"/>
  <c r="K138" i="2"/>
  <c r="K146" i="2"/>
  <c r="J15" i="2"/>
  <c r="J23" i="2"/>
  <c r="J31" i="2"/>
  <c r="J39" i="2"/>
  <c r="J47" i="2"/>
  <c r="J55" i="2"/>
  <c r="J63" i="2"/>
  <c r="J71" i="2"/>
  <c r="J79" i="2"/>
  <c r="J87" i="2"/>
  <c r="J95" i="2"/>
  <c r="J103" i="2"/>
  <c r="J111" i="2"/>
  <c r="J119" i="2"/>
  <c r="J127" i="2"/>
  <c r="J135" i="2"/>
  <c r="J143" i="2"/>
  <c r="K10" i="2"/>
  <c r="J24" i="2"/>
  <c r="J19" i="2"/>
  <c r="J35" i="2"/>
  <c r="J43" i="2"/>
  <c r="J59" i="2"/>
  <c r="J75" i="2"/>
  <c r="J83" i="2"/>
  <c r="J99" i="2"/>
  <c r="J115" i="2"/>
  <c r="J14" i="2"/>
  <c r="J22" i="2"/>
  <c r="J30" i="2"/>
  <c r="J38" i="2"/>
  <c r="J46" i="2"/>
  <c r="J54" i="2"/>
  <c r="J62" i="2"/>
  <c r="J70" i="2"/>
  <c r="J78" i="2"/>
  <c r="J86" i="2"/>
  <c r="J94" i="2"/>
  <c r="J102" i="2"/>
  <c r="J110" i="2"/>
  <c r="J118" i="2"/>
  <c r="J126" i="2"/>
  <c r="J134" i="2"/>
  <c r="J142" i="2"/>
  <c r="K12" i="2"/>
  <c r="K20" i="2"/>
  <c r="K28" i="2"/>
  <c r="K36" i="2"/>
  <c r="K44" i="2"/>
  <c r="K52" i="2"/>
  <c r="K60" i="2"/>
  <c r="K68" i="2"/>
  <c r="K76" i="2"/>
  <c r="K84" i="2"/>
  <c r="K92" i="2"/>
  <c r="K100" i="2"/>
  <c r="K108" i="2"/>
  <c r="K116" i="2"/>
  <c r="K124" i="2"/>
  <c r="K132" i="2"/>
  <c r="K140" i="2"/>
  <c r="K148" i="2"/>
  <c r="J17" i="2"/>
  <c r="J25" i="2"/>
  <c r="J33" i="2"/>
  <c r="J41" i="2"/>
  <c r="J49" i="2"/>
  <c r="J57" i="2"/>
  <c r="J65" i="2"/>
  <c r="J73" i="2"/>
  <c r="J81" i="2"/>
  <c r="J89" i="2"/>
  <c r="J97" i="2"/>
  <c r="J105" i="2"/>
  <c r="J113" i="2"/>
  <c r="J121" i="2"/>
  <c r="J129" i="2"/>
  <c r="J137" i="2"/>
  <c r="J145" i="2"/>
  <c r="J10" i="2"/>
  <c r="H11" i="2"/>
  <c r="G10" i="2"/>
  <c r="G14" i="2"/>
  <c r="G20" i="2"/>
  <c r="G22" i="2"/>
  <c r="G24" i="2"/>
  <c r="G28" i="2"/>
  <c r="G36" i="2"/>
  <c r="G40" i="2"/>
  <c r="G44" i="2"/>
  <c r="G48" i="2"/>
  <c r="G52" i="2"/>
  <c r="G56" i="2"/>
  <c r="G60" i="2"/>
  <c r="G64" i="2"/>
  <c r="G66" i="2"/>
  <c r="G72" i="2"/>
  <c r="G13" i="2"/>
  <c r="G15" i="2"/>
  <c r="G17" i="2"/>
  <c r="G19" i="2"/>
  <c r="G21" i="2"/>
  <c r="G23" i="2"/>
  <c r="G25" i="2"/>
  <c r="G27" i="2"/>
  <c r="G29" i="2"/>
  <c r="G31" i="2"/>
  <c r="G33" i="2"/>
  <c r="G35" i="2"/>
  <c r="G37" i="2"/>
  <c r="G39" i="2"/>
  <c r="G41" i="2"/>
  <c r="G43" i="2"/>
  <c r="G45" i="2"/>
  <c r="G47" i="2"/>
  <c r="G49" i="2"/>
  <c r="G51" i="2"/>
  <c r="G53" i="2"/>
  <c r="G55" i="2"/>
  <c r="G57" i="2"/>
  <c r="G59" i="2"/>
  <c r="G61" i="2"/>
  <c r="G63" i="2"/>
  <c r="G65" i="2"/>
  <c r="G67" i="2"/>
  <c r="G69" i="2"/>
  <c r="G71" i="2"/>
  <c r="G73" i="2"/>
  <c r="G75" i="2"/>
  <c r="G77" i="2"/>
  <c r="G79" i="2"/>
  <c r="G81" i="2"/>
  <c r="G83" i="2"/>
  <c r="G85" i="2"/>
  <c r="G87" i="2"/>
  <c r="G89" i="2"/>
  <c r="G91" i="2"/>
  <c r="G93" i="2"/>
  <c r="G95" i="2"/>
  <c r="G97" i="2"/>
  <c r="G99" i="2"/>
  <c r="G101" i="2"/>
  <c r="G103" i="2"/>
  <c r="G105" i="2"/>
  <c r="G107" i="2"/>
  <c r="G109" i="2"/>
  <c r="G111" i="2"/>
  <c r="G113" i="2"/>
  <c r="G115" i="2"/>
  <c r="G117" i="2"/>
  <c r="G119" i="2"/>
  <c r="G121" i="2"/>
  <c r="G123" i="2"/>
  <c r="G125" i="2"/>
  <c r="G127" i="2"/>
  <c r="G129" i="2"/>
  <c r="G131" i="2"/>
  <c r="G133" i="2"/>
  <c r="G135" i="2"/>
  <c r="G137" i="2"/>
  <c r="G139" i="2"/>
  <c r="G141" i="2"/>
  <c r="G143" i="2"/>
  <c r="G145" i="2"/>
  <c r="G147" i="2"/>
  <c r="G16" i="2"/>
  <c r="G11" i="2"/>
  <c r="G18" i="2"/>
  <c r="G26" i="2"/>
  <c r="G30" i="2"/>
  <c r="G32" i="2"/>
  <c r="G34" i="2"/>
  <c r="G38" i="2"/>
  <c r="G42" i="2"/>
  <c r="G46" i="2"/>
  <c r="G50" i="2"/>
  <c r="G54" i="2"/>
  <c r="G58" i="2"/>
  <c r="G62" i="2"/>
  <c r="G68" i="2"/>
  <c r="G70" i="2"/>
  <c r="G12" i="2"/>
  <c r="G74" i="2"/>
  <c r="G82" i="2"/>
  <c r="G90" i="2"/>
  <c r="G98" i="2"/>
  <c r="G106" i="2"/>
  <c r="G114" i="2"/>
  <c r="G122" i="2"/>
  <c r="G130" i="2"/>
  <c r="G138" i="2"/>
  <c r="G146" i="2"/>
  <c r="G76" i="2"/>
  <c r="G84" i="2"/>
  <c r="G92" i="2"/>
  <c r="G100" i="2"/>
  <c r="G108" i="2"/>
  <c r="G116" i="2"/>
  <c r="G124" i="2"/>
  <c r="G132" i="2"/>
  <c r="G140" i="2"/>
  <c r="G148" i="2"/>
  <c r="G78" i="2"/>
  <c r="G86" i="2"/>
  <c r="G94" i="2"/>
  <c r="G102" i="2"/>
  <c r="G110" i="2"/>
  <c r="G118" i="2"/>
  <c r="G126" i="2"/>
  <c r="G134" i="2"/>
  <c r="G142" i="2"/>
  <c r="G80" i="2"/>
  <c r="G88" i="2"/>
  <c r="G96" i="2"/>
  <c r="G104" i="2"/>
  <c r="G112" i="2"/>
  <c r="G120" i="2"/>
  <c r="G128" i="2"/>
  <c r="G136" i="2"/>
  <c r="G144" i="2"/>
  <c r="H12" i="2"/>
  <c r="H14" i="2"/>
  <c r="H16" i="2"/>
  <c r="H18" i="2"/>
  <c r="H20" i="2"/>
  <c r="H22" i="2"/>
  <c r="H24" i="2"/>
  <c r="H26" i="2"/>
  <c r="H28" i="2"/>
  <c r="H30" i="2"/>
  <c r="H32" i="2"/>
  <c r="H34" i="2"/>
  <c r="H36" i="2"/>
  <c r="H38" i="2"/>
  <c r="H40" i="2"/>
  <c r="H42" i="2"/>
  <c r="H44" i="2"/>
  <c r="H46" i="2"/>
  <c r="H48" i="2"/>
  <c r="H50" i="2"/>
  <c r="H52" i="2"/>
  <c r="H54" i="2"/>
  <c r="H56" i="2"/>
  <c r="H58" i="2"/>
  <c r="H60" i="2"/>
  <c r="H62" i="2"/>
  <c r="H64" i="2"/>
  <c r="H66" i="2"/>
  <c r="H68" i="2"/>
  <c r="H70" i="2"/>
  <c r="H72" i="2"/>
  <c r="H74" i="2"/>
  <c r="H76" i="2"/>
  <c r="H78" i="2"/>
  <c r="H80" i="2"/>
  <c r="H82" i="2"/>
  <c r="H84" i="2"/>
  <c r="H86" i="2"/>
  <c r="H88" i="2"/>
  <c r="H90" i="2"/>
  <c r="H92" i="2"/>
  <c r="H94" i="2"/>
  <c r="H96" i="2"/>
  <c r="H98" i="2"/>
  <c r="H100" i="2"/>
  <c r="H102" i="2"/>
  <c r="H104" i="2"/>
  <c r="H106" i="2"/>
  <c r="H108" i="2"/>
  <c r="H110" i="2"/>
  <c r="H112" i="2"/>
  <c r="H114" i="2"/>
  <c r="H116" i="2"/>
  <c r="H118" i="2"/>
  <c r="H120" i="2"/>
  <c r="H122" i="2"/>
  <c r="H124" i="2"/>
  <c r="H126" i="2"/>
  <c r="H128" i="2"/>
  <c r="H130" i="2"/>
  <c r="H132" i="2"/>
  <c r="H134" i="2"/>
  <c r="H136" i="2"/>
  <c r="H138" i="2"/>
  <c r="H140" i="2"/>
  <c r="H142" i="2"/>
  <c r="H144" i="2"/>
  <c r="H146" i="2"/>
  <c r="H148" i="2"/>
  <c r="H10" i="2"/>
  <c r="H13" i="2"/>
  <c r="H15" i="2"/>
  <c r="H17" i="2"/>
  <c r="H19" i="2"/>
  <c r="H21" i="2"/>
  <c r="H23" i="2"/>
  <c r="H25" i="2"/>
  <c r="H27" i="2"/>
  <c r="H29" i="2"/>
  <c r="H31" i="2"/>
  <c r="H33" i="2"/>
  <c r="H35" i="2"/>
  <c r="H37" i="2"/>
  <c r="H39" i="2"/>
  <c r="H41" i="2"/>
  <c r="H43" i="2"/>
  <c r="H45" i="2"/>
  <c r="H47" i="2"/>
  <c r="H49" i="2"/>
  <c r="H51" i="2"/>
  <c r="H53" i="2"/>
  <c r="H55" i="2"/>
  <c r="H57" i="2"/>
  <c r="H59" i="2"/>
  <c r="H61" i="2"/>
  <c r="H63" i="2"/>
  <c r="H65" i="2"/>
  <c r="H67" i="2"/>
  <c r="H69" i="2"/>
  <c r="H71" i="2"/>
  <c r="H73" i="2"/>
  <c r="H75" i="2"/>
  <c r="H77" i="2"/>
  <c r="H79" i="2"/>
  <c r="H81" i="2"/>
  <c r="H83" i="2"/>
  <c r="H85" i="2"/>
  <c r="H87" i="2"/>
  <c r="H89" i="2"/>
  <c r="H91" i="2"/>
  <c r="H93" i="2"/>
  <c r="H95" i="2"/>
  <c r="H97" i="2"/>
  <c r="H99" i="2"/>
  <c r="H101" i="2"/>
  <c r="H103" i="2"/>
  <c r="H105" i="2"/>
  <c r="H107" i="2"/>
  <c r="H109" i="2"/>
  <c r="H111" i="2"/>
  <c r="H113" i="2"/>
  <c r="H115" i="2"/>
  <c r="H117" i="2"/>
  <c r="H119" i="2"/>
  <c r="H121" i="2"/>
  <c r="H123" i="2"/>
  <c r="H125" i="2"/>
  <c r="H127" i="2"/>
  <c r="H129" i="2"/>
  <c r="H131" i="2"/>
  <c r="H133" i="2"/>
  <c r="H135" i="2"/>
  <c r="H137" i="2"/>
  <c r="H139" i="2"/>
  <c r="H141" i="2"/>
  <c r="H143" i="2"/>
  <c r="H145" i="2"/>
  <c r="H147" i="2"/>
  <c r="M10" i="2"/>
  <c r="M13" i="2"/>
  <c r="M15" i="2"/>
  <c r="M17" i="2"/>
  <c r="M19" i="2"/>
  <c r="M21" i="2"/>
  <c r="M23" i="2"/>
  <c r="M25" i="2"/>
  <c r="M27" i="2"/>
  <c r="M29" i="2"/>
  <c r="M31" i="2"/>
  <c r="M33" i="2"/>
  <c r="M35" i="2"/>
  <c r="M37" i="2"/>
  <c r="M39" i="2"/>
  <c r="M41" i="2"/>
  <c r="M43" i="2"/>
  <c r="M45" i="2"/>
  <c r="M47" i="2"/>
  <c r="M49" i="2"/>
  <c r="M51" i="2"/>
  <c r="M53" i="2"/>
  <c r="M55" i="2"/>
  <c r="M57" i="2"/>
  <c r="M59" i="2"/>
  <c r="M61" i="2"/>
  <c r="M63" i="2"/>
  <c r="M65" i="2"/>
  <c r="M67" i="2"/>
  <c r="M69" i="2"/>
  <c r="M71" i="2"/>
  <c r="M73" i="2"/>
  <c r="M75" i="2"/>
  <c r="M77" i="2"/>
  <c r="M79" i="2"/>
  <c r="M81" i="2"/>
  <c r="M83" i="2"/>
  <c r="M85" i="2"/>
  <c r="M87" i="2"/>
  <c r="M89" i="2"/>
  <c r="M91" i="2"/>
  <c r="M93" i="2"/>
  <c r="M95" i="2"/>
  <c r="M97" i="2"/>
  <c r="M99" i="2"/>
  <c r="M101" i="2"/>
  <c r="M103" i="2"/>
  <c r="M105" i="2"/>
  <c r="M107" i="2"/>
  <c r="M109" i="2"/>
  <c r="M111" i="2"/>
  <c r="M113" i="2"/>
  <c r="M115" i="2"/>
  <c r="M117" i="2"/>
  <c r="M119" i="2"/>
  <c r="M121" i="2"/>
  <c r="M123" i="2"/>
  <c r="M125" i="2"/>
  <c r="M127" i="2"/>
  <c r="M129" i="2"/>
  <c r="M131" i="2"/>
  <c r="M133" i="2"/>
  <c r="M135" i="2"/>
  <c r="M137" i="2"/>
  <c r="M139" i="2"/>
  <c r="M141" i="2"/>
  <c r="M143" i="2"/>
  <c r="M145" i="2"/>
  <c r="M147" i="2"/>
  <c r="M9" i="2"/>
  <c r="M11" i="2"/>
  <c r="M12" i="2"/>
  <c r="M14" i="2"/>
  <c r="M16" i="2"/>
  <c r="M18" i="2"/>
  <c r="M20" i="2"/>
  <c r="M22" i="2"/>
  <c r="M24" i="2"/>
  <c r="M26" i="2"/>
  <c r="M28" i="2"/>
  <c r="M30" i="2"/>
  <c r="M32" i="2"/>
  <c r="M34" i="2"/>
  <c r="M36" i="2"/>
  <c r="M38" i="2"/>
  <c r="M40" i="2"/>
  <c r="M42" i="2"/>
  <c r="M44" i="2"/>
  <c r="M46" i="2"/>
  <c r="M48" i="2"/>
  <c r="M50" i="2"/>
  <c r="M52" i="2"/>
  <c r="M54" i="2"/>
  <c r="M56" i="2"/>
  <c r="M58" i="2"/>
  <c r="M60" i="2"/>
  <c r="M62" i="2"/>
  <c r="M64" i="2"/>
  <c r="M66" i="2"/>
  <c r="M68" i="2"/>
  <c r="M70" i="2"/>
  <c r="M72" i="2"/>
  <c r="M74" i="2"/>
  <c r="M76" i="2"/>
  <c r="M78" i="2"/>
  <c r="M80" i="2"/>
  <c r="M82" i="2"/>
  <c r="M84" i="2"/>
  <c r="M86" i="2"/>
  <c r="M88" i="2"/>
  <c r="M90" i="2"/>
  <c r="M92" i="2"/>
  <c r="M94" i="2"/>
  <c r="M96" i="2"/>
  <c r="M98" i="2"/>
  <c r="M100" i="2"/>
  <c r="M102" i="2"/>
  <c r="M104" i="2"/>
  <c r="M106" i="2"/>
  <c r="M108" i="2"/>
  <c r="M110" i="2"/>
  <c r="M112" i="2"/>
  <c r="M114" i="2"/>
  <c r="M116" i="2"/>
  <c r="M118" i="2"/>
  <c r="M120" i="2"/>
  <c r="M122" i="2"/>
  <c r="M124" i="2"/>
  <c r="M126" i="2"/>
  <c r="M128" i="2"/>
  <c r="M130" i="2"/>
  <c r="M132" i="2"/>
  <c r="M134" i="2"/>
  <c r="M136" i="2"/>
  <c r="M138" i="2"/>
  <c r="M140" i="2"/>
  <c r="M142" i="2"/>
  <c r="M144" i="2"/>
  <c r="M146" i="2"/>
  <c r="M148" i="2"/>
  <c r="N9" i="2"/>
  <c r="N10" i="2"/>
  <c r="N13" i="2"/>
  <c r="N15" i="2"/>
  <c r="N17" i="2"/>
  <c r="N19" i="2"/>
  <c r="N21" i="2"/>
  <c r="N23" i="2"/>
  <c r="N25" i="2"/>
  <c r="N27" i="2"/>
  <c r="N29" i="2"/>
  <c r="N31" i="2"/>
  <c r="N33" i="2"/>
  <c r="N35" i="2"/>
  <c r="N37" i="2"/>
  <c r="N39" i="2"/>
  <c r="N41" i="2"/>
  <c r="N43" i="2"/>
  <c r="N45" i="2"/>
  <c r="N47" i="2"/>
  <c r="N49" i="2"/>
  <c r="N51" i="2"/>
  <c r="N53" i="2"/>
  <c r="N55" i="2"/>
  <c r="N57" i="2"/>
  <c r="N59" i="2"/>
  <c r="N61" i="2"/>
  <c r="N63" i="2"/>
  <c r="N65" i="2"/>
  <c r="N67" i="2"/>
  <c r="N69" i="2"/>
  <c r="N71" i="2"/>
  <c r="N73" i="2"/>
  <c r="N75" i="2"/>
  <c r="N77" i="2"/>
  <c r="N79" i="2"/>
  <c r="N81" i="2"/>
  <c r="N83" i="2"/>
  <c r="N85" i="2"/>
  <c r="N87" i="2"/>
  <c r="N89" i="2"/>
  <c r="N91" i="2"/>
  <c r="N93" i="2"/>
  <c r="N95" i="2"/>
  <c r="N97" i="2"/>
  <c r="N99" i="2"/>
  <c r="N101" i="2"/>
  <c r="N103" i="2"/>
  <c r="N105" i="2"/>
  <c r="N107" i="2"/>
  <c r="N109" i="2"/>
  <c r="N111" i="2"/>
  <c r="N113" i="2"/>
  <c r="N115" i="2"/>
  <c r="N117" i="2"/>
  <c r="N119" i="2"/>
  <c r="N121" i="2"/>
  <c r="N123" i="2"/>
  <c r="N125" i="2"/>
  <c r="N127" i="2"/>
  <c r="N129" i="2"/>
  <c r="N131" i="2"/>
  <c r="N133" i="2"/>
  <c r="N135" i="2"/>
  <c r="N137" i="2"/>
  <c r="N139" i="2"/>
  <c r="N141" i="2"/>
  <c r="N143" i="2"/>
  <c r="N145" i="2"/>
  <c r="N147" i="2"/>
  <c r="N11" i="2"/>
  <c r="N12" i="2"/>
  <c r="N14" i="2"/>
  <c r="N16" i="2"/>
  <c r="N18" i="2"/>
  <c r="N20" i="2"/>
  <c r="N22" i="2"/>
  <c r="N24" i="2"/>
  <c r="N26" i="2"/>
  <c r="N28" i="2"/>
  <c r="N30" i="2"/>
  <c r="N32" i="2"/>
  <c r="N34" i="2"/>
  <c r="N36" i="2"/>
  <c r="N38" i="2"/>
  <c r="N40" i="2"/>
  <c r="N42" i="2"/>
  <c r="N44" i="2"/>
  <c r="N46" i="2"/>
  <c r="N48" i="2"/>
  <c r="N50" i="2"/>
  <c r="N52" i="2"/>
  <c r="N54" i="2"/>
  <c r="N56" i="2"/>
  <c r="N58" i="2"/>
  <c r="N60" i="2"/>
  <c r="N62" i="2"/>
  <c r="N64" i="2"/>
  <c r="N66" i="2"/>
  <c r="N68" i="2"/>
  <c r="N70" i="2"/>
  <c r="N72" i="2"/>
  <c r="N74" i="2"/>
  <c r="N76" i="2"/>
  <c r="N78" i="2"/>
  <c r="N80" i="2"/>
  <c r="N82" i="2"/>
  <c r="N84" i="2"/>
  <c r="N86" i="2"/>
  <c r="N88" i="2"/>
  <c r="N90" i="2"/>
  <c r="N92" i="2"/>
  <c r="N94" i="2"/>
  <c r="N96" i="2"/>
  <c r="N98" i="2"/>
  <c r="N100" i="2"/>
  <c r="N102" i="2"/>
  <c r="N104" i="2"/>
  <c r="N106" i="2"/>
  <c r="N108" i="2"/>
  <c r="N110" i="2"/>
  <c r="N112" i="2"/>
  <c r="N114" i="2"/>
  <c r="N116" i="2"/>
  <c r="N118" i="2"/>
  <c r="N120" i="2"/>
  <c r="N122" i="2"/>
  <c r="N124" i="2"/>
  <c r="N126" i="2"/>
  <c r="N128" i="2"/>
  <c r="N130" i="2"/>
  <c r="N132" i="2"/>
  <c r="N134" i="2"/>
  <c r="N136" i="2"/>
  <c r="N138" i="2"/>
  <c r="N140" i="2"/>
  <c r="N142" i="2"/>
  <c r="N144" i="2"/>
  <c r="N146" i="2"/>
  <c r="N148" i="2"/>
  <c r="M51" i="7"/>
  <c r="N28" i="7"/>
  <c r="N36" i="7"/>
  <c r="N62" i="7"/>
  <c r="N69" i="7"/>
  <c r="X145" i="2"/>
  <c r="I145" i="7" s="1"/>
  <c r="N51" i="7"/>
  <c r="M28" i="7"/>
  <c r="M36" i="7"/>
  <c r="M69" i="7"/>
  <c r="U145" i="2"/>
  <c r="H145" i="7" s="1"/>
  <c r="AA145" i="2"/>
  <c r="J145" i="7" s="1"/>
  <c r="AG145" i="2"/>
  <c r="L145" i="7" s="1"/>
  <c r="AM145" i="2"/>
  <c r="U147" i="2"/>
  <c r="H147" i="7" s="1"/>
  <c r="AA147" i="2"/>
  <c r="J147" i="7" s="1"/>
  <c r="AG147" i="2"/>
  <c r="L147" i="7" s="1"/>
  <c r="AM147" i="2"/>
  <c r="U148" i="2"/>
  <c r="H148" i="7" s="1"/>
  <c r="AM148" i="2"/>
  <c r="U81" i="2"/>
  <c r="H81" i="7" s="1"/>
  <c r="AA88" i="2"/>
  <c r="J88" i="7" s="1"/>
  <c r="U89" i="2"/>
  <c r="H89" i="7" s="1"/>
  <c r="U104" i="2"/>
  <c r="H104" i="7" s="1"/>
  <c r="AG104" i="2"/>
  <c r="L104" i="7" s="1"/>
  <c r="U105" i="2"/>
  <c r="H105" i="7" s="1"/>
  <c r="AM105" i="2"/>
  <c r="U108" i="2"/>
  <c r="H108" i="7" s="1"/>
  <c r="AG108" i="2"/>
  <c r="L108" i="7" s="1"/>
  <c r="U109" i="2"/>
  <c r="H109" i="7" s="1"/>
  <c r="AM109" i="2"/>
  <c r="AA111" i="2"/>
  <c r="J111" i="7" s="1"/>
  <c r="U112" i="2"/>
  <c r="H112" i="7" s="1"/>
  <c r="AA112" i="2"/>
  <c r="J112" i="7" s="1"/>
  <c r="AM112" i="2"/>
  <c r="X115" i="2"/>
  <c r="I115" i="7" s="1"/>
  <c r="X121" i="2"/>
  <c r="I121" i="7" s="1"/>
  <c r="AD121" i="2"/>
  <c r="K121" i="7" s="1"/>
  <c r="X122" i="2"/>
  <c r="I122" i="7" s="1"/>
  <c r="AD122" i="2"/>
  <c r="K122" i="7" s="1"/>
  <c r="X123" i="2"/>
  <c r="I123" i="7" s="1"/>
  <c r="X124" i="2"/>
  <c r="I124" i="7" s="1"/>
  <c r="AD124" i="2"/>
  <c r="K124" i="7" s="1"/>
  <c r="X125" i="2"/>
  <c r="I125" i="7" s="1"/>
  <c r="AD125" i="2"/>
  <c r="K125" i="7" s="1"/>
  <c r="X126" i="2"/>
  <c r="I126" i="7" s="1"/>
  <c r="AD126" i="2"/>
  <c r="K126" i="7" s="1"/>
  <c r="AA129" i="2"/>
  <c r="J129" i="7" s="1"/>
  <c r="AG129" i="2"/>
  <c r="L129" i="7" s="1"/>
  <c r="U131" i="2"/>
  <c r="H131" i="7" s="1"/>
  <c r="AA131" i="2"/>
  <c r="J131" i="7" s="1"/>
  <c r="AM131" i="2"/>
  <c r="X137" i="2"/>
  <c r="I137" i="7" s="1"/>
  <c r="AD137" i="2"/>
  <c r="K137" i="7" s="1"/>
  <c r="AG140" i="2"/>
  <c r="L140" i="7" s="1"/>
  <c r="AM140" i="2"/>
  <c r="U141" i="2"/>
  <c r="H141" i="7" s="1"/>
  <c r="AA141" i="2"/>
  <c r="J141" i="7" s="1"/>
  <c r="AG141" i="2"/>
  <c r="L141" i="7" s="1"/>
  <c r="AM141" i="2"/>
  <c r="U142" i="2"/>
  <c r="H142" i="7" s="1"/>
  <c r="AG142" i="2"/>
  <c r="AM142" i="2"/>
  <c r="U125" i="2"/>
  <c r="H125" i="7" s="1"/>
  <c r="AD108" i="2"/>
  <c r="K108" i="7" s="1"/>
  <c r="X110" i="2"/>
  <c r="I110" i="7" s="1"/>
  <c r="U94" i="2"/>
  <c r="H94" i="7" s="1"/>
  <c r="U98" i="2"/>
  <c r="H98" i="7" s="1"/>
  <c r="AG98" i="2"/>
  <c r="L98" i="7" s="1"/>
  <c r="X102" i="2"/>
  <c r="I102" i="7" s="1"/>
  <c r="AD103" i="2"/>
  <c r="K103" i="7" s="1"/>
  <c r="X105" i="2"/>
  <c r="I105" i="7" s="1"/>
  <c r="X106" i="2"/>
  <c r="I106" i="7" s="1"/>
  <c r="AD107" i="2"/>
  <c r="K107" i="7" s="1"/>
  <c r="M62" i="7"/>
  <c r="AA126" i="2"/>
  <c r="J126" i="7" s="1"/>
  <c r="AG137" i="2"/>
  <c r="L137" i="7" s="1"/>
  <c r="AG81" i="2"/>
  <c r="L81" i="7" s="1"/>
  <c r="AG85" i="2"/>
  <c r="L85" i="7" s="1"/>
  <c r="AA103" i="2"/>
  <c r="J103" i="7" s="1"/>
  <c r="U96" i="2"/>
  <c r="H96" i="7" s="1"/>
  <c r="AD111" i="2"/>
  <c r="K111" i="7" s="1"/>
  <c r="AA115" i="2"/>
  <c r="J115" i="7" s="1"/>
  <c r="AA116" i="2"/>
  <c r="J116" i="7" s="1"/>
  <c r="AM116" i="2"/>
  <c r="U117" i="2"/>
  <c r="H117" i="7" s="1"/>
  <c r="AM118" i="2"/>
  <c r="AA119" i="2"/>
  <c r="J119" i="7" s="1"/>
  <c r="AG119" i="2"/>
  <c r="L119" i="7" s="1"/>
  <c r="AM119" i="2"/>
  <c r="AA120" i="2"/>
  <c r="J120" i="7" s="1"/>
  <c r="AM120" i="2"/>
  <c r="U121" i="2"/>
  <c r="H121" i="7" s="1"/>
  <c r="AM122" i="2"/>
  <c r="AA123" i="2"/>
  <c r="J123" i="7" s="1"/>
  <c r="AG123" i="2"/>
  <c r="L123" i="7" s="1"/>
  <c r="AM123" i="2"/>
  <c r="AA124" i="2"/>
  <c r="J124" i="7" s="1"/>
  <c r="AM124" i="2"/>
  <c r="AD112" i="2"/>
  <c r="K112" i="7" s="1"/>
  <c r="X141" i="2"/>
  <c r="I141" i="7" s="1"/>
  <c r="X90" i="2"/>
  <c r="I90" i="7" s="1"/>
  <c r="AA107" i="2"/>
  <c r="J107" i="7" s="1"/>
  <c r="AM81" i="2"/>
  <c r="AG82" i="2"/>
  <c r="L82" i="7" s="1"/>
  <c r="AA83" i="2"/>
  <c r="J83" i="7" s="1"/>
  <c r="AA85" i="2"/>
  <c r="J85" i="7" s="1"/>
  <c r="AA97" i="2"/>
  <c r="J97" i="7" s="1"/>
  <c r="AM129" i="2"/>
  <c r="AM146" i="2"/>
  <c r="X87" i="2"/>
  <c r="I87" i="7" s="1"/>
  <c r="AA94" i="2"/>
  <c r="J94" i="7" s="1"/>
  <c r="U82" i="2"/>
  <c r="H82" i="7" s="1"/>
  <c r="AA82" i="2"/>
  <c r="J82" i="7" s="1"/>
  <c r="AM97" i="2"/>
  <c r="AA118" i="2"/>
  <c r="J118" i="7" s="1"/>
  <c r="AM130" i="2"/>
  <c r="AM85" i="2"/>
  <c r="U86" i="2"/>
  <c r="H86" i="7" s="1"/>
  <c r="AA86" i="2"/>
  <c r="J86" i="7" s="1"/>
  <c r="AG86" i="2"/>
  <c r="L86" i="7" s="1"/>
  <c r="AG88" i="2"/>
  <c r="L88" i="7" s="1"/>
  <c r="AM88" i="2"/>
  <c r="AG89" i="2"/>
  <c r="L89" i="7" s="1"/>
  <c r="AD95" i="2"/>
  <c r="K95" i="7" s="1"/>
  <c r="AD104" i="2"/>
  <c r="K104" i="7" s="1"/>
  <c r="AM111" i="2"/>
  <c r="X116" i="2"/>
  <c r="I116" i="7" s="1"/>
  <c r="AD116" i="2"/>
  <c r="K116" i="7" s="1"/>
  <c r="X119" i="2"/>
  <c r="I119" i="7" s="1"/>
  <c r="X120" i="2"/>
  <c r="I120" i="7" s="1"/>
  <c r="AD120" i="2"/>
  <c r="K120" i="7" s="1"/>
  <c r="AA122" i="2"/>
  <c r="J122" i="7" s="1"/>
  <c r="AD130" i="2"/>
  <c r="K130" i="7" s="1"/>
  <c r="X131" i="2"/>
  <c r="I131" i="7" s="1"/>
  <c r="AD131" i="2"/>
  <c r="K131" i="7" s="1"/>
  <c r="X132" i="2"/>
  <c r="I132" i="7" s="1"/>
  <c r="AA135" i="2"/>
  <c r="J135" i="7" s="1"/>
  <c r="AG135" i="2"/>
  <c r="L135" i="7" s="1"/>
  <c r="AM135" i="2"/>
  <c r="U136" i="2"/>
  <c r="H136" i="7" s="1"/>
  <c r="AA136" i="2"/>
  <c r="J136" i="7" s="1"/>
  <c r="U137" i="2"/>
  <c r="H137" i="7" s="1"/>
  <c r="AA137" i="2"/>
  <c r="J137" i="7" s="1"/>
  <c r="AD146" i="2"/>
  <c r="K146" i="7" s="1"/>
  <c r="AJ142" i="2"/>
  <c r="AA87" i="2"/>
  <c r="J87" i="7" s="1"/>
  <c r="AM107" i="2"/>
  <c r="M126" i="7"/>
  <c r="AJ126" i="2"/>
  <c r="AJ129" i="2"/>
  <c r="AG83" i="2"/>
  <c r="L83" i="7" s="1"/>
  <c r="AM83" i="2"/>
  <c r="AA84" i="2"/>
  <c r="J84" i="7" s="1"/>
  <c r="AA89" i="2"/>
  <c r="J89" i="7" s="1"/>
  <c r="AJ90" i="2"/>
  <c r="U93" i="2"/>
  <c r="H93" i="7" s="1"/>
  <c r="AA93" i="2"/>
  <c r="J93" i="7" s="1"/>
  <c r="AM93" i="2"/>
  <c r="AA98" i="2"/>
  <c r="J98" i="7" s="1"/>
  <c r="AM103" i="2"/>
  <c r="M122" i="7"/>
  <c r="AJ122" i="2"/>
  <c r="X82" i="2"/>
  <c r="I82" i="7" s="1"/>
  <c r="N82" i="7"/>
  <c r="AJ82" i="2"/>
  <c r="AJ86" i="2"/>
  <c r="AM89" i="2"/>
  <c r="U90" i="2"/>
  <c r="H90" i="7" s="1"/>
  <c r="AA90" i="2"/>
  <c r="J90" i="7" s="1"/>
  <c r="AG90" i="2"/>
  <c r="L90" i="7" s="1"/>
  <c r="X96" i="2"/>
  <c r="I96" i="7" s="1"/>
  <c r="X109" i="2"/>
  <c r="I109" i="7" s="1"/>
  <c r="AG115" i="2"/>
  <c r="L115" i="7" s="1"/>
  <c r="AM115" i="2"/>
  <c r="X117" i="2"/>
  <c r="I117" i="7" s="1"/>
  <c r="AD117" i="2"/>
  <c r="K117" i="7" s="1"/>
  <c r="X118" i="2"/>
  <c r="I118" i="7" s="1"/>
  <c r="AD118" i="2"/>
  <c r="K118" i="7" s="1"/>
  <c r="M118" i="7"/>
  <c r="AJ118" i="2"/>
  <c r="AM126" i="2"/>
  <c r="X129" i="2"/>
  <c r="I129" i="7" s="1"/>
  <c r="AD129" i="2"/>
  <c r="K129" i="7" s="1"/>
  <c r="AG131" i="2"/>
  <c r="L131" i="7" s="1"/>
  <c r="AA132" i="2"/>
  <c r="J132" i="7" s="1"/>
  <c r="AM132" i="2"/>
  <c r="X135" i="2"/>
  <c r="I135" i="7" s="1"/>
  <c r="AM136" i="2"/>
  <c r="AA142" i="2"/>
  <c r="J142" i="7" s="1"/>
  <c r="AG148" i="2"/>
  <c r="L148" i="7" s="1"/>
  <c r="AA81" i="2"/>
  <c r="J81" i="7" s="1"/>
  <c r="X83" i="2"/>
  <c r="I83" i="7" s="1"/>
  <c r="AG84" i="2"/>
  <c r="L84" i="7" s="1"/>
  <c r="AM84" i="2"/>
  <c r="U85" i="2"/>
  <c r="H85" i="7" s="1"/>
  <c r="X86" i="2"/>
  <c r="I86" i="7" s="1"/>
  <c r="AG87" i="2"/>
  <c r="L87" i="7" s="1"/>
  <c r="AM87" i="2"/>
  <c r="X95" i="2"/>
  <c r="I95" i="7" s="1"/>
  <c r="AG95" i="2"/>
  <c r="L95" i="7" s="1"/>
  <c r="AA96" i="2"/>
  <c r="J96" i="7" s="1"/>
  <c r="AG96" i="2"/>
  <c r="L96" i="7" s="1"/>
  <c r="AM96" i="2"/>
  <c r="AD98" i="2"/>
  <c r="K98" i="7" s="1"/>
  <c r="AA102" i="2"/>
  <c r="J102" i="7" s="1"/>
  <c r="AM102" i="2"/>
  <c r="U103" i="2"/>
  <c r="H103" i="7" s="1"/>
  <c r="AG105" i="2"/>
  <c r="L105" i="7" s="1"/>
  <c r="AA106" i="2"/>
  <c r="J106" i="7" s="1"/>
  <c r="AM106" i="2"/>
  <c r="U107" i="2"/>
  <c r="H107" i="7" s="1"/>
  <c r="AG109" i="2"/>
  <c r="L109" i="7" s="1"/>
  <c r="AA110" i="2"/>
  <c r="J110" i="7" s="1"/>
  <c r="AM110" i="2"/>
  <c r="U111" i="2"/>
  <c r="H111" i="7" s="1"/>
  <c r="AD115" i="2"/>
  <c r="K115" i="7" s="1"/>
  <c r="U116" i="2"/>
  <c r="H116" i="7" s="1"/>
  <c r="AA117" i="2"/>
  <c r="J117" i="7" s="1"/>
  <c r="AG117" i="2"/>
  <c r="L117" i="7" s="1"/>
  <c r="AM117" i="2"/>
  <c r="U118" i="2"/>
  <c r="H118" i="7" s="1"/>
  <c r="AG118" i="2"/>
  <c r="L118" i="7" s="1"/>
  <c r="AD119" i="2"/>
  <c r="K119" i="7" s="1"/>
  <c r="U120" i="2"/>
  <c r="H120" i="7" s="1"/>
  <c r="AA121" i="2"/>
  <c r="J121" i="7" s="1"/>
  <c r="AG121" i="2"/>
  <c r="L121" i="7" s="1"/>
  <c r="AM121" i="2"/>
  <c r="U122" i="2"/>
  <c r="H122" i="7" s="1"/>
  <c r="AG122" i="2"/>
  <c r="L122" i="7" s="1"/>
  <c r="AD123" i="2"/>
  <c r="K123" i="7" s="1"/>
  <c r="U124" i="2"/>
  <c r="H124" i="7" s="1"/>
  <c r="AA125" i="2"/>
  <c r="J125" i="7" s="1"/>
  <c r="AG125" i="2"/>
  <c r="L125" i="7" s="1"/>
  <c r="AM125" i="2"/>
  <c r="U126" i="2"/>
  <c r="H126" i="7" s="1"/>
  <c r="AG126" i="2"/>
  <c r="L126" i="7" s="1"/>
  <c r="U135" i="2"/>
  <c r="H135" i="7" s="1"/>
  <c r="AD136" i="2"/>
  <c r="K136" i="7" s="1"/>
  <c r="X140" i="2"/>
  <c r="I140" i="7" s="1"/>
  <c r="AD140" i="2"/>
  <c r="K140" i="7" s="1"/>
  <c r="AD142" i="2"/>
  <c r="K142" i="7" s="1"/>
  <c r="AD145" i="2"/>
  <c r="K145" i="7" s="1"/>
  <c r="U146" i="2"/>
  <c r="H146" i="7" s="1"/>
  <c r="AA146" i="2"/>
  <c r="J146" i="7" s="1"/>
  <c r="AD147" i="2"/>
  <c r="K147" i="7" s="1"/>
  <c r="AD148" i="2"/>
  <c r="K148" i="7" s="1"/>
  <c r="U95" i="2"/>
  <c r="H95" i="7" s="1"/>
  <c r="U102" i="2"/>
  <c r="AJ102" i="2"/>
  <c r="X103" i="2"/>
  <c r="I103" i="7" s="1"/>
  <c r="X111" i="2"/>
  <c r="I111" i="7" s="1"/>
  <c r="AJ117" i="2"/>
  <c r="AJ121" i="2"/>
  <c r="AJ125" i="2"/>
  <c r="AJ135" i="2"/>
  <c r="M145" i="7"/>
  <c r="M149" i="7" s="1"/>
  <c r="V53" i="9" s="1"/>
  <c r="V53" i="10" s="1"/>
  <c r="AJ145" i="2"/>
  <c r="X81" i="2"/>
  <c r="I81" i="7" s="1"/>
  <c r="X85" i="2"/>
  <c r="I85" i="7" s="1"/>
  <c r="X88" i="2"/>
  <c r="I88" i="7" s="1"/>
  <c r="AD89" i="2"/>
  <c r="K89" i="7" s="1"/>
  <c r="AD84" i="2"/>
  <c r="K84" i="7" s="1"/>
  <c r="AD88" i="2"/>
  <c r="K88" i="7" s="1"/>
  <c r="AD94" i="2"/>
  <c r="K94" i="7" s="1"/>
  <c r="U97" i="2"/>
  <c r="H97" i="7" s="1"/>
  <c r="AG102" i="2"/>
  <c r="L102" i="7" s="1"/>
  <c r="AA104" i="2"/>
  <c r="J104" i="7" s="1"/>
  <c r="AG106" i="2"/>
  <c r="L106" i="7" s="1"/>
  <c r="AD109" i="2"/>
  <c r="K109" i="7" s="1"/>
  <c r="N96" i="7"/>
  <c r="AJ96" i="2"/>
  <c r="AD81" i="2"/>
  <c r="K81" i="7" s="1"/>
  <c r="X84" i="2"/>
  <c r="I84" i="7" s="1"/>
  <c r="AD85" i="2"/>
  <c r="K85" i="7" s="1"/>
  <c r="X89" i="2"/>
  <c r="I89" i="7" s="1"/>
  <c r="X94" i="2"/>
  <c r="I94" i="7" s="1"/>
  <c r="U106" i="2"/>
  <c r="H106" i="7" s="1"/>
  <c r="AJ106" i="2"/>
  <c r="X107" i="2"/>
  <c r="I107" i="7" s="1"/>
  <c r="U110" i="2"/>
  <c r="H110" i="7" s="1"/>
  <c r="AJ110" i="2"/>
  <c r="U132" i="2"/>
  <c r="H132" i="7" s="1"/>
  <c r="AJ132" i="2"/>
  <c r="AJ97" i="2"/>
  <c r="AD105" i="2"/>
  <c r="K105" i="7" s="1"/>
  <c r="AA108" i="2"/>
  <c r="J108" i="7" s="1"/>
  <c r="AG110" i="2"/>
  <c r="L110" i="7" s="1"/>
  <c r="AG132" i="2"/>
  <c r="L132" i="7" s="1"/>
  <c r="AD82" i="2"/>
  <c r="K82" i="7" s="1"/>
  <c r="AM82" i="2"/>
  <c r="U83" i="2"/>
  <c r="H83" i="7" s="1"/>
  <c r="AD83" i="2"/>
  <c r="K83" i="7" s="1"/>
  <c r="N83" i="7"/>
  <c r="AJ83" i="2"/>
  <c r="AD86" i="2"/>
  <c r="K86" i="7" s="1"/>
  <c r="AM86" i="2"/>
  <c r="U87" i="2"/>
  <c r="H87" i="7" s="1"/>
  <c r="AD87" i="2"/>
  <c r="K87" i="7" s="1"/>
  <c r="N87" i="7"/>
  <c r="AJ87" i="2"/>
  <c r="AD90" i="2"/>
  <c r="K90" i="7" s="1"/>
  <c r="AM90" i="2"/>
  <c r="X93" i="2"/>
  <c r="AD93" i="2"/>
  <c r="K93" i="7" s="1"/>
  <c r="AG94" i="2"/>
  <c r="L94" i="7" s="1"/>
  <c r="AM94" i="2"/>
  <c r="AD96" i="2"/>
  <c r="K96" i="7" s="1"/>
  <c r="AG97" i="2"/>
  <c r="L97" i="7" s="1"/>
  <c r="N127" i="7"/>
  <c r="W31" i="9" s="1"/>
  <c r="W31" i="10" s="1"/>
  <c r="AG116" i="2"/>
  <c r="L116" i="7" s="1"/>
  <c r="AG120" i="2"/>
  <c r="L120" i="7" s="1"/>
  <c r="AG124" i="2"/>
  <c r="L124" i="7" s="1"/>
  <c r="U129" i="2"/>
  <c r="N133" i="7"/>
  <c r="U130" i="2"/>
  <c r="H130" i="7" s="1"/>
  <c r="AA130" i="2"/>
  <c r="J130" i="7" s="1"/>
  <c r="AD135" i="2"/>
  <c r="AM137" i="2"/>
  <c r="X142" i="2"/>
  <c r="I142" i="7" s="1"/>
  <c r="M143" i="7"/>
  <c r="X148" i="2"/>
  <c r="I148" i="7" s="1"/>
  <c r="N77" i="7"/>
  <c r="M91" i="7"/>
  <c r="V7" i="9" s="1"/>
  <c r="V7" i="10" s="1"/>
  <c r="U84" i="2"/>
  <c r="H84" i="7" s="1"/>
  <c r="U88" i="2"/>
  <c r="H88" i="7" s="1"/>
  <c r="AA95" i="2"/>
  <c r="J95" i="7" s="1"/>
  <c r="X97" i="2"/>
  <c r="I97" i="7" s="1"/>
  <c r="AD97" i="2"/>
  <c r="K97" i="7" s="1"/>
  <c r="X98" i="2"/>
  <c r="I98" i="7" s="1"/>
  <c r="AM98" i="2"/>
  <c r="AD102" i="2"/>
  <c r="K102" i="7" s="1"/>
  <c r="AG103" i="2"/>
  <c r="L103" i="7" s="1"/>
  <c r="X104" i="2"/>
  <c r="I104" i="7" s="1"/>
  <c r="AM104" i="2"/>
  <c r="AA105" i="2"/>
  <c r="J105" i="7" s="1"/>
  <c r="AD106" i="2"/>
  <c r="K106" i="7" s="1"/>
  <c r="AG107" i="2"/>
  <c r="L107" i="7" s="1"/>
  <c r="X108" i="2"/>
  <c r="I108" i="7" s="1"/>
  <c r="AM108" i="2"/>
  <c r="AA109" i="2"/>
  <c r="J109" i="7" s="1"/>
  <c r="AD110" i="2"/>
  <c r="K110" i="7" s="1"/>
  <c r="AG111" i="2"/>
  <c r="L111" i="7" s="1"/>
  <c r="X112" i="2"/>
  <c r="I112" i="7" s="1"/>
  <c r="AG112" i="2"/>
  <c r="L112" i="7" s="1"/>
  <c r="U115" i="2"/>
  <c r="H115" i="7" s="1"/>
  <c r="U119" i="2"/>
  <c r="H119" i="7" s="1"/>
  <c r="U123" i="2"/>
  <c r="H123" i="7" s="1"/>
  <c r="X130" i="2"/>
  <c r="I130" i="7" s="1"/>
  <c r="AG130" i="2"/>
  <c r="L130" i="7" s="1"/>
  <c r="AD132" i="2"/>
  <c r="K132" i="7" s="1"/>
  <c r="X136" i="2"/>
  <c r="I136" i="7" s="1"/>
  <c r="AG136" i="2"/>
  <c r="L136" i="7" s="1"/>
  <c r="U140" i="2"/>
  <c r="H140" i="7" s="1"/>
  <c r="AA140" i="2"/>
  <c r="J140" i="7" s="1"/>
  <c r="N143" i="7"/>
  <c r="AD141" i="2"/>
  <c r="K141" i="7" s="1"/>
  <c r="X146" i="2"/>
  <c r="I146" i="7" s="1"/>
  <c r="AG146" i="2"/>
  <c r="X147" i="2"/>
  <c r="I147" i="7" s="1"/>
  <c r="AA148" i="2"/>
  <c r="J148" i="7" s="1"/>
  <c r="G9" i="2"/>
  <c r="AB150" i="2"/>
  <c r="M150" i="2"/>
  <c r="V149" i="2"/>
  <c r="AE150" i="2"/>
  <c r="H9" i="2"/>
  <c r="P150" i="2"/>
  <c r="AK149" i="2"/>
  <c r="G149" i="2"/>
  <c r="N150" i="2"/>
  <c r="N149" i="2"/>
  <c r="AL150" i="2"/>
  <c r="J149" i="2"/>
  <c r="M149" i="2"/>
  <c r="E150" i="2"/>
  <c r="Y149" i="2"/>
  <c r="G150" i="2"/>
  <c r="S150" i="2"/>
  <c r="AH150" i="2"/>
  <c r="D149" i="2"/>
  <c r="AE149" i="2"/>
  <c r="J150" i="2"/>
  <c r="V150" i="2"/>
  <c r="H149" i="2"/>
  <c r="E149" i="2"/>
  <c r="S149" i="2"/>
  <c r="AH149" i="2"/>
  <c r="D150" i="2"/>
  <c r="AK150" i="2"/>
  <c r="P149" i="2"/>
  <c r="AB149" i="2"/>
  <c r="Y150" i="2"/>
  <c r="Z149" i="2"/>
  <c r="AF149" i="2"/>
  <c r="T149" i="2"/>
  <c r="AL149" i="2"/>
  <c r="W150" i="2"/>
  <c r="Q150" i="2"/>
  <c r="AC150" i="2"/>
  <c r="K149" i="2"/>
  <c r="Q149" i="2"/>
  <c r="W149" i="2"/>
  <c r="AC149" i="2"/>
  <c r="AI149" i="2"/>
  <c r="K150" i="2"/>
  <c r="AI150" i="2"/>
  <c r="H150" i="2"/>
  <c r="T150" i="2"/>
  <c r="Z150" i="2"/>
  <c r="AF150" i="2"/>
  <c r="J8" i="9"/>
  <c r="AJ84" i="2"/>
  <c r="AJ88" i="2"/>
  <c r="AJ93" i="2"/>
  <c r="AM95" i="2"/>
  <c r="M77" i="7"/>
  <c r="AJ81" i="2"/>
  <c r="AJ85" i="2"/>
  <c r="AJ89" i="2"/>
  <c r="AG93" i="2"/>
  <c r="M95" i="7"/>
  <c r="M99" i="7" s="1"/>
  <c r="V36" i="9" s="1"/>
  <c r="V36" i="10" s="1"/>
  <c r="AJ95" i="2"/>
  <c r="N98" i="7"/>
  <c r="AJ98" i="2"/>
  <c r="M18" i="7"/>
  <c r="N18" i="7"/>
  <c r="N94" i="7"/>
  <c r="AJ94" i="2"/>
  <c r="AJ103" i="2"/>
  <c r="AJ107" i="2"/>
  <c r="AJ111" i="2"/>
  <c r="AJ136" i="2"/>
  <c r="AJ146" i="2"/>
  <c r="M113" i="7"/>
  <c r="AJ104" i="2"/>
  <c r="AJ108" i="2"/>
  <c r="AJ112" i="2"/>
  <c r="AJ115" i="2"/>
  <c r="AJ119" i="2"/>
  <c r="AJ123" i="2"/>
  <c r="AJ130" i="2"/>
  <c r="M138" i="7"/>
  <c r="AJ137" i="2"/>
  <c r="AJ140" i="2"/>
  <c r="AJ147" i="2"/>
  <c r="H7" i="4"/>
  <c r="N113" i="7"/>
  <c r="AJ105" i="2"/>
  <c r="AJ109" i="2"/>
  <c r="AJ116" i="2"/>
  <c r="AJ120" i="2"/>
  <c r="AJ124" i="2"/>
  <c r="M133" i="7"/>
  <c r="AJ131" i="2"/>
  <c r="N138" i="7"/>
  <c r="AJ141" i="2"/>
  <c r="N149" i="7"/>
  <c r="W53" i="9" s="1"/>
  <c r="W53" i="10" s="1"/>
  <c r="AJ148" i="2"/>
  <c r="H3" i="4"/>
  <c r="H11" i="4" s="1"/>
  <c r="I8" i="10"/>
  <c r="I31" i="10"/>
  <c r="I35" i="10" s="1"/>
  <c r="R105" i="2" l="1"/>
  <c r="R107" i="2"/>
  <c r="R137" i="2"/>
  <c r="F25" i="2"/>
  <c r="I25" i="2" s="1"/>
  <c r="D25" i="7" s="1"/>
  <c r="F50" i="2"/>
  <c r="C50" i="7" s="1"/>
  <c r="R104" i="2"/>
  <c r="L107" i="2"/>
  <c r="E107" i="7" s="1"/>
  <c r="M37" i="7"/>
  <c r="M52" i="7" s="1"/>
  <c r="R119" i="2"/>
  <c r="R129" i="2"/>
  <c r="L116" i="2"/>
  <c r="E116" i="7" s="1"/>
  <c r="L85" i="2"/>
  <c r="E85" i="7" s="1"/>
  <c r="R111" i="2"/>
  <c r="F40" i="2"/>
  <c r="C40" i="7" s="1"/>
  <c r="L110" i="2"/>
  <c r="E110" i="7" s="1"/>
  <c r="R115" i="2"/>
  <c r="R131" i="2"/>
  <c r="R140" i="2"/>
  <c r="R124" i="2"/>
  <c r="R108" i="2"/>
  <c r="R83" i="2"/>
  <c r="R146" i="2"/>
  <c r="R130" i="2"/>
  <c r="N37" i="7"/>
  <c r="N52" i="7" s="1"/>
  <c r="R121" i="2"/>
  <c r="N70" i="7"/>
  <c r="N78" i="7" s="1"/>
  <c r="I105" i="2"/>
  <c r="D105" i="7" s="1"/>
  <c r="R98" i="2"/>
  <c r="R82" i="2"/>
  <c r="R112" i="2"/>
  <c r="R88" i="2"/>
  <c r="R147" i="2"/>
  <c r="R125" i="2"/>
  <c r="AG143" i="2"/>
  <c r="M70" i="7"/>
  <c r="R132" i="2"/>
  <c r="R85" i="2"/>
  <c r="R117" i="2"/>
  <c r="R116" i="2"/>
  <c r="R84" i="2"/>
  <c r="R97" i="2"/>
  <c r="R86" i="2"/>
  <c r="R118" i="2"/>
  <c r="R102" i="2"/>
  <c r="R93" i="2"/>
  <c r="R122" i="2"/>
  <c r="R106" i="2"/>
  <c r="R90" i="2"/>
  <c r="R148" i="2"/>
  <c r="R123" i="2"/>
  <c r="R109" i="2"/>
  <c r="R87" i="2"/>
  <c r="R135" i="2"/>
  <c r="R103" i="2"/>
  <c r="R145" i="2"/>
  <c r="R81" i="2"/>
  <c r="R136" i="2"/>
  <c r="R120" i="2"/>
  <c r="R96" i="2"/>
  <c r="R141" i="2"/>
  <c r="R95" i="2"/>
  <c r="R89" i="2"/>
  <c r="R142" i="2"/>
  <c r="R126" i="2"/>
  <c r="R110" i="2"/>
  <c r="R94" i="2"/>
  <c r="O97" i="2"/>
  <c r="F97" i="7" s="1"/>
  <c r="L145" i="2"/>
  <c r="E145" i="7" s="1"/>
  <c r="L142" i="7"/>
  <c r="L143" i="7" s="1"/>
  <c r="H143" i="7"/>
  <c r="M78" i="7"/>
  <c r="AD138" i="2"/>
  <c r="AA91" i="2"/>
  <c r="J143" i="7"/>
  <c r="U113" i="2"/>
  <c r="AM143" i="2"/>
  <c r="AM149" i="2"/>
  <c r="H102" i="7"/>
  <c r="H113" i="7" s="1"/>
  <c r="Q19" i="9" s="1"/>
  <c r="Q19" i="10" s="1"/>
  <c r="AA143" i="2"/>
  <c r="AG138" i="2"/>
  <c r="H138" i="7"/>
  <c r="J149" i="7"/>
  <c r="S53" i="9" s="1"/>
  <c r="S53" i="10" s="1"/>
  <c r="I149" i="7"/>
  <c r="R53" i="9" s="1"/>
  <c r="R53" i="10" s="1"/>
  <c r="U133" i="2"/>
  <c r="AM138" i="2"/>
  <c r="H129" i="7"/>
  <c r="H133" i="7" s="1"/>
  <c r="I138" i="7"/>
  <c r="AA138" i="2"/>
  <c r="X138" i="2"/>
  <c r="AD149" i="2"/>
  <c r="AG149" i="2"/>
  <c r="I127" i="7"/>
  <c r="R31" i="9" s="1"/>
  <c r="R31" i="10" s="1"/>
  <c r="K149" i="7"/>
  <c r="T53" i="9" s="1"/>
  <c r="T53" i="10" s="1"/>
  <c r="AM133" i="2"/>
  <c r="K127" i="7"/>
  <c r="T31" i="9" s="1"/>
  <c r="T31" i="10" s="1"/>
  <c r="J138" i="7"/>
  <c r="J127" i="7"/>
  <c r="S31" i="9" s="1"/>
  <c r="S31" i="10" s="1"/>
  <c r="AG133" i="2"/>
  <c r="K135" i="7"/>
  <c r="K138" i="7" s="1"/>
  <c r="AM99" i="2"/>
  <c r="X99" i="2"/>
  <c r="W48" i="9"/>
  <c r="W48" i="10" s="1"/>
  <c r="J91" i="7"/>
  <c r="S7" i="9" s="1"/>
  <c r="K113" i="7"/>
  <c r="T19" i="9" s="1"/>
  <c r="T19" i="10" s="1"/>
  <c r="X143" i="2"/>
  <c r="AA127" i="2"/>
  <c r="AA99" i="2"/>
  <c r="I93" i="7"/>
  <c r="I99" i="7" s="1"/>
  <c r="R36" i="9" s="1"/>
  <c r="R36" i="10" s="1"/>
  <c r="I143" i="7"/>
  <c r="X127" i="2"/>
  <c r="J99" i="7"/>
  <c r="S36" i="9" s="1"/>
  <c r="S36" i="10" s="1"/>
  <c r="K133" i="7"/>
  <c r="AM113" i="2"/>
  <c r="H99" i="7"/>
  <c r="Q36" i="9" s="1"/>
  <c r="Q36" i="10" s="1"/>
  <c r="M127" i="7"/>
  <c r="V31" i="9" s="1"/>
  <c r="V31" i="10" s="1"/>
  <c r="L146" i="7"/>
  <c r="L149" i="7" s="1"/>
  <c r="U53" i="9" s="1"/>
  <c r="U53" i="10" s="1"/>
  <c r="AM91" i="2"/>
  <c r="AD127" i="2"/>
  <c r="L133" i="7"/>
  <c r="AG113" i="2"/>
  <c r="AA113" i="2"/>
  <c r="U149" i="2"/>
  <c r="U143" i="2"/>
  <c r="AD133" i="2"/>
  <c r="U138" i="2"/>
  <c r="K143" i="7"/>
  <c r="I133" i="7"/>
  <c r="H127" i="7"/>
  <c r="Q31" i="9" s="1"/>
  <c r="Q31" i="10" s="1"/>
  <c r="J133" i="7"/>
  <c r="H91" i="7"/>
  <c r="Q7" i="9" s="1"/>
  <c r="N91" i="7"/>
  <c r="W7" i="9" s="1"/>
  <c r="K91" i="7"/>
  <c r="X149" i="2"/>
  <c r="J113" i="7"/>
  <c r="S19" i="9" s="1"/>
  <c r="S19" i="10" s="1"/>
  <c r="AG91" i="2"/>
  <c r="H149" i="7"/>
  <c r="Q53" i="9" s="1"/>
  <c r="Q53" i="10" s="1"/>
  <c r="U99" i="2"/>
  <c r="AM127" i="2"/>
  <c r="AJ138" i="2"/>
  <c r="AA133" i="2"/>
  <c r="AA149" i="2"/>
  <c r="L113" i="7"/>
  <c r="U19" i="9" s="1"/>
  <c r="U19" i="10" s="1"/>
  <c r="AD91" i="2"/>
  <c r="AD99" i="2"/>
  <c r="AJ113" i="2"/>
  <c r="X133" i="2"/>
  <c r="N99" i="7"/>
  <c r="W36" i="9" s="1"/>
  <c r="W36" i="10" s="1"/>
  <c r="K99" i="7"/>
  <c r="T36" i="9" s="1"/>
  <c r="T36" i="10" s="1"/>
  <c r="U91" i="2"/>
  <c r="X113" i="2"/>
  <c r="U127" i="2"/>
  <c r="L91" i="7"/>
  <c r="U7" i="9" s="1"/>
  <c r="X91" i="2"/>
  <c r="AJ133" i="2"/>
  <c r="AJ149" i="2"/>
  <c r="AD143" i="2"/>
  <c r="AD113" i="2"/>
  <c r="AG127" i="2"/>
  <c r="I113" i="7"/>
  <c r="R19" i="9" s="1"/>
  <c r="R19" i="10" s="1"/>
  <c r="I91" i="7"/>
  <c r="R7" i="9" s="1"/>
  <c r="I135" i="2"/>
  <c r="D135" i="7" s="1"/>
  <c r="L112" i="2"/>
  <c r="E112" i="7" s="1"/>
  <c r="F119" i="2"/>
  <c r="C119" i="7" s="1"/>
  <c r="O116" i="2"/>
  <c r="F116" i="7" s="1"/>
  <c r="F102" i="2"/>
  <c r="C102" i="7" s="1"/>
  <c r="L115" i="2"/>
  <c r="E115" i="7" s="1"/>
  <c r="L131" i="2"/>
  <c r="E131" i="7" s="1"/>
  <c r="L120" i="2"/>
  <c r="E120" i="7" s="1"/>
  <c r="O117" i="2"/>
  <c r="F117" i="7" s="1"/>
  <c r="F83" i="2"/>
  <c r="C83" i="7" s="1"/>
  <c r="L136" i="2"/>
  <c r="E136" i="7" s="1"/>
  <c r="F121" i="2"/>
  <c r="C121" i="7" s="1"/>
  <c r="F89" i="2"/>
  <c r="C89" i="7" s="1"/>
  <c r="F23" i="2"/>
  <c r="C23" i="7" s="1"/>
  <c r="L118" i="2"/>
  <c r="E118" i="7" s="1"/>
  <c r="L105" i="2"/>
  <c r="E105" i="7" s="1"/>
  <c r="I108" i="2"/>
  <c r="D108" i="7" s="1"/>
  <c r="L90" i="2"/>
  <c r="E90" i="7" s="1"/>
  <c r="F59" i="2"/>
  <c r="C59" i="7" s="1"/>
  <c r="F56" i="2"/>
  <c r="C56" i="7" s="1"/>
  <c r="F73" i="2"/>
  <c r="I73" i="2" s="1"/>
  <c r="L73" i="2" s="1"/>
  <c r="I86" i="2"/>
  <c r="D86" i="7" s="1"/>
  <c r="L148" i="2"/>
  <c r="E148" i="7" s="1"/>
  <c r="L146" i="2"/>
  <c r="E146" i="7" s="1"/>
  <c r="I89" i="2"/>
  <c r="D89" i="7" s="1"/>
  <c r="F141" i="2"/>
  <c r="C141" i="7" s="1"/>
  <c r="L121" i="2"/>
  <c r="E121" i="7" s="1"/>
  <c r="L104" i="2"/>
  <c r="E104" i="7" s="1"/>
  <c r="F117" i="2"/>
  <c r="C117" i="7" s="1"/>
  <c r="F110" i="2"/>
  <c r="C110" i="7" s="1"/>
  <c r="F42" i="2"/>
  <c r="I42" i="2" s="1"/>
  <c r="I136" i="2"/>
  <c r="D136" i="7" s="1"/>
  <c r="F124" i="2"/>
  <c r="C124" i="7" s="1"/>
  <c r="L81" i="2"/>
  <c r="E81" i="7" s="1"/>
  <c r="F122" i="2"/>
  <c r="C122" i="7" s="1"/>
  <c r="F93" i="2"/>
  <c r="C93" i="7" s="1"/>
  <c r="O84" i="2"/>
  <c r="F84" i="7" s="1"/>
  <c r="I84" i="2"/>
  <c r="D84" i="7" s="1"/>
  <c r="F33" i="2"/>
  <c r="C33" i="7" s="1"/>
  <c r="L123" i="2"/>
  <c r="E123" i="7" s="1"/>
  <c r="L137" i="2"/>
  <c r="E137" i="7" s="1"/>
  <c r="O148" i="2"/>
  <c r="F148" i="7" s="1"/>
  <c r="F47" i="2"/>
  <c r="C47" i="7" s="1"/>
  <c r="I106" i="2"/>
  <c r="D106" i="7" s="1"/>
  <c r="L109" i="2"/>
  <c r="E109" i="7" s="1"/>
  <c r="F107" i="2"/>
  <c r="C107" i="7" s="1"/>
  <c r="L108" i="2"/>
  <c r="E108" i="7" s="1"/>
  <c r="L147" i="2"/>
  <c r="E147" i="7" s="1"/>
  <c r="I93" i="2"/>
  <c r="D93" i="7" s="1"/>
  <c r="F57" i="2"/>
  <c r="I57" i="2" s="1"/>
  <c r="L57" i="2" s="1"/>
  <c r="I98" i="2"/>
  <c r="D98" i="7" s="1"/>
  <c r="L98" i="2"/>
  <c r="E98" i="7" s="1"/>
  <c r="L103" i="2"/>
  <c r="E103" i="7" s="1"/>
  <c r="F39" i="2"/>
  <c r="C39" i="7" s="1"/>
  <c r="F46" i="2"/>
  <c r="C46" i="7" s="1"/>
  <c r="F72" i="2"/>
  <c r="I72" i="2" s="1"/>
  <c r="D72" i="7" s="1"/>
  <c r="I146" i="2"/>
  <c r="D146" i="7" s="1"/>
  <c r="F123" i="2"/>
  <c r="C123" i="7" s="1"/>
  <c r="F34" i="2"/>
  <c r="C34" i="7" s="1"/>
  <c r="L140" i="2"/>
  <c r="E140" i="7" s="1"/>
  <c r="F111" i="2"/>
  <c r="C111" i="7" s="1"/>
  <c r="I141" i="2"/>
  <c r="D141" i="7" s="1"/>
  <c r="L83" i="2"/>
  <c r="E83" i="7" s="1"/>
  <c r="L87" i="2"/>
  <c r="E87" i="7" s="1"/>
  <c r="F43" i="2"/>
  <c r="C43" i="7" s="1"/>
  <c r="F115" i="2"/>
  <c r="C115" i="7" s="1"/>
  <c r="L93" i="2"/>
  <c r="E93" i="7" s="1"/>
  <c r="L86" i="2"/>
  <c r="E86" i="7" s="1"/>
  <c r="I148" i="2"/>
  <c r="D148" i="7" s="1"/>
  <c r="F87" i="2"/>
  <c r="C87" i="7" s="1"/>
  <c r="F81" i="2"/>
  <c r="C81" i="7" s="1"/>
  <c r="L117" i="2"/>
  <c r="E117" i="7" s="1"/>
  <c r="F140" i="2"/>
  <c r="C140" i="7" s="1"/>
  <c r="I88" i="2"/>
  <c r="D88" i="7" s="1"/>
  <c r="F61" i="2"/>
  <c r="C61" i="7" s="1"/>
  <c r="F44" i="2"/>
  <c r="C44" i="7" s="1"/>
  <c r="F41" i="2"/>
  <c r="C41" i="7" s="1"/>
  <c r="F12" i="2"/>
  <c r="C12" i="7" s="1"/>
  <c r="F9" i="2"/>
  <c r="I85" i="2"/>
  <c r="D85" i="7" s="1"/>
  <c r="L97" i="2"/>
  <c r="E97" i="7" s="1"/>
  <c r="L94" i="2"/>
  <c r="E94" i="7" s="1"/>
  <c r="I123" i="2"/>
  <c r="D123" i="7" s="1"/>
  <c r="L111" i="2"/>
  <c r="E111" i="7" s="1"/>
  <c r="F109" i="2"/>
  <c r="C109" i="7" s="1"/>
  <c r="I142" i="2"/>
  <c r="D142" i="7" s="1"/>
  <c r="I129" i="2"/>
  <c r="D129" i="7" s="1"/>
  <c r="F31" i="2"/>
  <c r="C31" i="7" s="1"/>
  <c r="F49" i="2"/>
  <c r="C49" i="7" s="1"/>
  <c r="I102" i="2"/>
  <c r="D102" i="7" s="1"/>
  <c r="L132" i="2"/>
  <c r="E132" i="7" s="1"/>
  <c r="L122" i="2"/>
  <c r="E122" i="7" s="1"/>
  <c r="L96" i="2"/>
  <c r="E96" i="7" s="1"/>
  <c r="F22" i="2"/>
  <c r="I22" i="2" s="1"/>
  <c r="L141" i="2"/>
  <c r="E141" i="7" s="1"/>
  <c r="I95" i="2"/>
  <c r="D95" i="7" s="1"/>
  <c r="I87" i="2"/>
  <c r="D87" i="7" s="1"/>
  <c r="F55" i="2"/>
  <c r="F88" i="2"/>
  <c r="C88" i="7" s="1"/>
  <c r="L126" i="2"/>
  <c r="E126" i="7" s="1"/>
  <c r="F66" i="2"/>
  <c r="C66" i="7" s="1"/>
  <c r="L129" i="2"/>
  <c r="E129" i="7" s="1"/>
  <c r="F84" i="2"/>
  <c r="C84" i="7" s="1"/>
  <c r="F94" i="2"/>
  <c r="C94" i="7" s="1"/>
  <c r="F30" i="2"/>
  <c r="C30" i="7" s="1"/>
  <c r="F26" i="2"/>
  <c r="C26" i="7" s="1"/>
  <c r="F85" i="2"/>
  <c r="C85" i="7" s="1"/>
  <c r="F27" i="2"/>
  <c r="C27" i="7" s="1"/>
  <c r="L125" i="2"/>
  <c r="E125" i="7" s="1"/>
  <c r="L89" i="2"/>
  <c r="E89" i="7" s="1"/>
  <c r="O87" i="2"/>
  <c r="F87" i="7" s="1"/>
  <c r="I117" i="2"/>
  <c r="D117" i="7" s="1"/>
  <c r="I103" i="2"/>
  <c r="D103" i="7" s="1"/>
  <c r="I94" i="2"/>
  <c r="D94" i="7" s="1"/>
  <c r="I122" i="2"/>
  <c r="D122" i="7" s="1"/>
  <c r="L106" i="2"/>
  <c r="E106" i="7" s="1"/>
  <c r="F67" i="2"/>
  <c r="I67" i="2" s="1"/>
  <c r="L88" i="2"/>
  <c r="E88" i="7" s="1"/>
  <c r="I126" i="2"/>
  <c r="D126" i="7" s="1"/>
  <c r="L142" i="2"/>
  <c r="E142" i="7" s="1"/>
  <c r="F148" i="2"/>
  <c r="C148" i="7" s="1"/>
  <c r="F54" i="2"/>
  <c r="C54" i="7" s="1"/>
  <c r="F20" i="2"/>
  <c r="I20" i="2" s="1"/>
  <c r="F104" i="2"/>
  <c r="C104" i="7" s="1"/>
  <c r="F118" i="2"/>
  <c r="C118" i="7" s="1"/>
  <c r="F106" i="2"/>
  <c r="C106" i="7" s="1"/>
  <c r="F58" i="2"/>
  <c r="F96" i="2"/>
  <c r="C96" i="7" s="1"/>
  <c r="F65" i="2"/>
  <c r="C65" i="7" s="1"/>
  <c r="I116" i="2"/>
  <c r="D116" i="7" s="1"/>
  <c r="I110" i="2"/>
  <c r="D110" i="7" s="1"/>
  <c r="L124" i="2"/>
  <c r="E124" i="7" s="1"/>
  <c r="F60" i="2"/>
  <c r="I60" i="2" s="1"/>
  <c r="F132" i="2"/>
  <c r="C132" i="7" s="1"/>
  <c r="I104" i="2"/>
  <c r="D104" i="7" s="1"/>
  <c r="F11" i="2"/>
  <c r="I11" i="2" s="1"/>
  <c r="D11" i="7" s="1"/>
  <c r="F105" i="2"/>
  <c r="C105" i="7" s="1"/>
  <c r="F98" i="2"/>
  <c r="C98" i="7" s="1"/>
  <c r="F68" i="2"/>
  <c r="O96" i="2"/>
  <c r="F96" i="7" s="1"/>
  <c r="O130" i="2"/>
  <c r="F130" i="7" s="1"/>
  <c r="O129" i="2"/>
  <c r="F129" i="7" s="1"/>
  <c r="O108" i="2"/>
  <c r="O136" i="2"/>
  <c r="F136" i="7" s="1"/>
  <c r="O109" i="2"/>
  <c r="F109" i="7" s="1"/>
  <c r="O86" i="2"/>
  <c r="F86" i="7" s="1"/>
  <c r="O94" i="2"/>
  <c r="F94" i="7" s="1"/>
  <c r="O135" i="2"/>
  <c r="O111" i="2"/>
  <c r="F111" i="7" s="1"/>
  <c r="O83" i="2"/>
  <c r="F83" i="7" s="1"/>
  <c r="O145" i="2"/>
  <c r="F145" i="7" s="1"/>
  <c r="O126" i="2"/>
  <c r="F126" i="7" s="1"/>
  <c r="L84" i="2"/>
  <c r="E84" i="7" s="1"/>
  <c r="O115" i="2"/>
  <c r="F115" i="7" s="1"/>
  <c r="F116" i="2"/>
  <c r="C116" i="7" s="1"/>
  <c r="F120" i="2"/>
  <c r="C120" i="7" s="1"/>
  <c r="F125" i="2"/>
  <c r="C125" i="7" s="1"/>
  <c r="I130" i="2"/>
  <c r="D130" i="7" s="1"/>
  <c r="F108" i="2"/>
  <c r="C108" i="7" s="1"/>
  <c r="L130" i="2"/>
  <c r="E130" i="7" s="1"/>
  <c r="L119" i="2"/>
  <c r="E119" i="7" s="1"/>
  <c r="L95" i="2"/>
  <c r="E95" i="7" s="1"/>
  <c r="L82" i="2"/>
  <c r="L102" i="2"/>
  <c r="E102" i="7" s="1"/>
  <c r="F76" i="2"/>
  <c r="O103" i="2"/>
  <c r="O122" i="2"/>
  <c r="F122" i="7" s="1"/>
  <c r="O142" i="2"/>
  <c r="O102" i="2"/>
  <c r="F102" i="7" s="1"/>
  <c r="O110" i="2"/>
  <c r="O107" i="2"/>
  <c r="F107" i="7" s="1"/>
  <c r="O82" i="2"/>
  <c r="F82" i="7" s="1"/>
  <c r="F145" i="2"/>
  <c r="C145" i="7" s="1"/>
  <c r="I81" i="2"/>
  <c r="D81" i="7" s="1"/>
  <c r="O104" i="2"/>
  <c r="F104" i="7" s="1"/>
  <c r="I125" i="2"/>
  <c r="D125" i="7" s="1"/>
  <c r="F86" i="2"/>
  <c r="C86" i="7" s="1"/>
  <c r="O119" i="2"/>
  <c r="F119" i="7" s="1"/>
  <c r="O120" i="2"/>
  <c r="F120" i="7" s="1"/>
  <c r="O106" i="2"/>
  <c r="F106" i="7" s="1"/>
  <c r="O124" i="2"/>
  <c r="F124" i="7" s="1"/>
  <c r="O98" i="2"/>
  <c r="F98" i="7" s="1"/>
  <c r="O93" i="2"/>
  <c r="F93" i="7" s="1"/>
  <c r="O146" i="2"/>
  <c r="F146" i="7" s="1"/>
  <c r="O105" i="2"/>
  <c r="F105" i="7" s="1"/>
  <c r="O118" i="2"/>
  <c r="F118" i="7" s="1"/>
  <c r="O95" i="2"/>
  <c r="F95" i="7" s="1"/>
  <c r="O140" i="2"/>
  <c r="F146" i="2"/>
  <c r="C146" i="7" s="1"/>
  <c r="L135" i="2"/>
  <c r="F112" i="2"/>
  <c r="C112" i="7" s="1"/>
  <c r="F21" i="2"/>
  <c r="F24" i="2"/>
  <c r="O121" i="2"/>
  <c r="F121" i="7" s="1"/>
  <c r="O141" i="2"/>
  <c r="F141" i="7" s="1"/>
  <c r="I140" i="2"/>
  <c r="O132" i="2"/>
  <c r="F132" i="7" s="1"/>
  <c r="F147" i="2"/>
  <c r="C147" i="7" s="1"/>
  <c r="I109" i="2"/>
  <c r="D109" i="7" s="1"/>
  <c r="I137" i="2"/>
  <c r="D137" i="7" s="1"/>
  <c r="I118" i="2"/>
  <c r="D118" i="7" s="1"/>
  <c r="F35" i="2"/>
  <c r="C35" i="7" s="1"/>
  <c r="F16" i="2"/>
  <c r="F32" i="2"/>
  <c r="F14" i="2"/>
  <c r="I121" i="2"/>
  <c r="D121" i="7" s="1"/>
  <c r="F90" i="2"/>
  <c r="C90" i="7" s="1"/>
  <c r="O88" i="2"/>
  <c r="F88" i="7" s="1"/>
  <c r="I124" i="2"/>
  <c r="D124" i="7" s="1"/>
  <c r="F97" i="2"/>
  <c r="C97" i="7" s="1"/>
  <c r="O85" i="2"/>
  <c r="F85" i="7" s="1"/>
  <c r="I97" i="2"/>
  <c r="D97" i="7" s="1"/>
  <c r="I90" i="2"/>
  <c r="D90" i="7" s="1"/>
  <c r="F48" i="2"/>
  <c r="F45" i="2"/>
  <c r="I119" i="2"/>
  <c r="D119" i="7" s="1"/>
  <c r="O90" i="2"/>
  <c r="F90" i="7" s="1"/>
  <c r="I115" i="2"/>
  <c r="D115" i="7" s="1"/>
  <c r="I112" i="2"/>
  <c r="D112" i="7" s="1"/>
  <c r="I96" i="2"/>
  <c r="D96" i="7" s="1"/>
  <c r="I147" i="2"/>
  <c r="D147" i="7" s="1"/>
  <c r="I111" i="2"/>
  <c r="D111" i="7" s="1"/>
  <c r="I131" i="2"/>
  <c r="F103" i="2"/>
  <c r="C103" i="7" s="1"/>
  <c r="F64" i="2"/>
  <c r="F17" i="2"/>
  <c r="F15" i="2"/>
  <c r="F13" i="2"/>
  <c r="F10" i="2"/>
  <c r="I120" i="2"/>
  <c r="D120" i="7" s="1"/>
  <c r="I145" i="2"/>
  <c r="I82" i="2"/>
  <c r="D82" i="7" s="1"/>
  <c r="I83" i="2"/>
  <c r="D83" i="7" s="1"/>
  <c r="F95" i="2"/>
  <c r="C95" i="7" s="1"/>
  <c r="F74" i="2"/>
  <c r="C74" i="7" s="1"/>
  <c r="I107" i="2"/>
  <c r="D107" i="7" s="1"/>
  <c r="I132" i="2"/>
  <c r="D132" i="7" s="1"/>
  <c r="F82" i="2"/>
  <c r="C82" i="7" s="1"/>
  <c r="O125" i="2"/>
  <c r="F125" i="7" s="1"/>
  <c r="O147" i="2"/>
  <c r="F147" i="7" s="1"/>
  <c r="O112" i="2"/>
  <c r="F112" i="7" s="1"/>
  <c r="O123" i="2"/>
  <c r="O131" i="2"/>
  <c r="F131" i="7" s="1"/>
  <c r="F129" i="2"/>
  <c r="O81" i="2"/>
  <c r="F81" i="7" s="1"/>
  <c r="F137" i="2"/>
  <c r="C137" i="7" s="1"/>
  <c r="O89" i="2"/>
  <c r="F89" i="7" s="1"/>
  <c r="O137" i="2"/>
  <c r="F137" i="7" s="1"/>
  <c r="F136" i="2"/>
  <c r="C136" i="7" s="1"/>
  <c r="F131" i="2"/>
  <c r="C131" i="7" s="1"/>
  <c r="F126" i="2"/>
  <c r="C126" i="7" s="1"/>
  <c r="F142" i="2"/>
  <c r="C142" i="7" s="1"/>
  <c r="F135" i="2"/>
  <c r="F130" i="2"/>
  <c r="C130" i="7" s="1"/>
  <c r="M153" i="7"/>
  <c r="V48" i="9"/>
  <c r="V48" i="10" s="1"/>
  <c r="V49" i="10" s="1"/>
  <c r="AJ127" i="2"/>
  <c r="V19" i="9"/>
  <c r="M100" i="7"/>
  <c r="L127" i="7"/>
  <c r="U31" i="9" s="1"/>
  <c r="U31" i="10" s="1"/>
  <c r="AJ99" i="2"/>
  <c r="N150" i="7"/>
  <c r="W19" i="9"/>
  <c r="W19" i="10" s="1"/>
  <c r="AJ143" i="2"/>
  <c r="L138" i="7"/>
  <c r="L93" i="7"/>
  <c r="L99" i="7" s="1"/>
  <c r="U36" i="9" s="1"/>
  <c r="U36" i="10" s="1"/>
  <c r="AG99" i="2"/>
  <c r="H12" i="4"/>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H38" i="4" s="1"/>
  <c r="H39" i="4" s="1"/>
  <c r="H40" i="4" s="1"/>
  <c r="H41" i="4" s="1"/>
  <c r="H42" i="4" s="1"/>
  <c r="H43" i="4" s="1"/>
  <c r="H44" i="4" s="1"/>
  <c r="H45" i="4" s="1"/>
  <c r="H46" i="4" s="1"/>
  <c r="H47" i="4" s="1"/>
  <c r="H48" i="4" s="1"/>
  <c r="H49" i="4" s="1"/>
  <c r="H50" i="4" s="1"/>
  <c r="H51" i="4" s="1"/>
  <c r="H52" i="4" s="1"/>
  <c r="H53" i="4" s="1"/>
  <c r="H54" i="4" s="1"/>
  <c r="H55" i="4" s="1"/>
  <c r="H56" i="4" s="1"/>
  <c r="H57" i="4" s="1"/>
  <c r="H58" i="4" s="1"/>
  <c r="H59" i="4" s="1"/>
  <c r="H60" i="4" s="1"/>
  <c r="H61" i="4" s="1"/>
  <c r="H62" i="4" s="1"/>
  <c r="H63" i="4" s="1"/>
  <c r="H64" i="4" s="1"/>
  <c r="H65" i="4" s="1"/>
  <c r="H66" i="4" s="1"/>
  <c r="H67" i="4" s="1"/>
  <c r="H68" i="4" s="1"/>
  <c r="H69" i="4" s="1"/>
  <c r="H70" i="4" s="1"/>
  <c r="H71" i="4" s="1"/>
  <c r="H72" i="4" s="1"/>
  <c r="H73" i="4" s="1"/>
  <c r="H74" i="4" s="1"/>
  <c r="H75" i="4" s="1"/>
  <c r="H76" i="4" s="1"/>
  <c r="H77" i="4" s="1"/>
  <c r="H78" i="4" s="1"/>
  <c r="H79" i="4" s="1"/>
  <c r="H80" i="4" s="1"/>
  <c r="H81" i="4" s="1"/>
  <c r="H82" i="4" s="1"/>
  <c r="H83" i="4" s="1"/>
  <c r="H84" i="4" s="1"/>
  <c r="H85" i="4" s="1"/>
  <c r="H86" i="4" s="1"/>
  <c r="H87" i="4" s="1"/>
  <c r="H88" i="4" s="1"/>
  <c r="H89" i="4" s="1"/>
  <c r="H90" i="4" s="1"/>
  <c r="H91" i="4" s="1"/>
  <c r="H92" i="4" s="1"/>
  <c r="H93" i="4" s="1"/>
  <c r="H94" i="4" s="1"/>
  <c r="H95" i="4" s="1"/>
  <c r="H96" i="4" s="1"/>
  <c r="H97" i="4" s="1"/>
  <c r="H98" i="4" s="1"/>
  <c r="H99" i="4" s="1"/>
  <c r="H100" i="4" s="1"/>
  <c r="H101" i="4" s="1"/>
  <c r="H102" i="4" s="1"/>
  <c r="H103" i="4" s="1"/>
  <c r="H104" i="4" s="1"/>
  <c r="H105" i="4" s="1"/>
  <c r="H106" i="4" s="1"/>
  <c r="H107" i="4" s="1"/>
  <c r="H108" i="4" s="1"/>
  <c r="H109" i="4" s="1"/>
  <c r="H110" i="4" s="1"/>
  <c r="H111" i="4" s="1"/>
  <c r="H112" i="4" s="1"/>
  <c r="H113" i="4" s="1"/>
  <c r="H114" i="4" s="1"/>
  <c r="H115" i="4" s="1"/>
  <c r="H116" i="4" s="1"/>
  <c r="H117" i="4" s="1"/>
  <c r="H118" i="4" s="1"/>
  <c r="H119" i="4" s="1"/>
  <c r="H120" i="4" s="1"/>
  <c r="H121" i="4" s="1"/>
  <c r="H122" i="4" s="1"/>
  <c r="H123" i="4" s="1"/>
  <c r="H124" i="4" s="1"/>
  <c r="H125" i="4" s="1"/>
  <c r="H126" i="4" s="1"/>
  <c r="H127" i="4" s="1"/>
  <c r="H128" i="4" s="1"/>
  <c r="H129" i="4" s="1"/>
  <c r="H130" i="4" s="1"/>
  <c r="H131" i="4" s="1"/>
  <c r="H132" i="4" s="1"/>
  <c r="H133" i="4" s="1"/>
  <c r="H134" i="4" s="1"/>
  <c r="H135" i="4" s="1"/>
  <c r="H136" i="4" s="1"/>
  <c r="H137" i="4" s="1"/>
  <c r="H138" i="4" s="1"/>
  <c r="H139" i="4" s="1"/>
  <c r="H140" i="4" s="1"/>
  <c r="H141" i="4" s="1"/>
  <c r="H142" i="4" s="1"/>
  <c r="H143" i="4" s="1"/>
  <c r="H144" i="4" s="1"/>
  <c r="H145" i="4" s="1"/>
  <c r="H146" i="4" s="1"/>
  <c r="H147" i="4" s="1"/>
  <c r="H148" i="4" s="1"/>
  <c r="H149" i="4" s="1"/>
  <c r="H150" i="4" s="1"/>
  <c r="H151" i="4" s="1"/>
  <c r="H152" i="4" s="1"/>
  <c r="H153" i="4" s="1"/>
  <c r="H154" i="4" s="1"/>
  <c r="H155" i="4" s="1"/>
  <c r="H156" i="4" s="1"/>
  <c r="H157" i="4" s="1"/>
  <c r="H158" i="4" s="1"/>
  <c r="H159" i="4" s="1"/>
  <c r="H160" i="4" s="1"/>
  <c r="H161" i="4" s="1"/>
  <c r="H162" i="4" s="1"/>
  <c r="H163" i="4" s="1"/>
  <c r="H164" i="4" s="1"/>
  <c r="H165" i="4" s="1"/>
  <c r="H166" i="4" s="1"/>
  <c r="H167" i="4" s="1"/>
  <c r="H168" i="4" s="1"/>
  <c r="H169" i="4" s="1"/>
  <c r="H170" i="4" s="1"/>
  <c r="H171" i="4" s="1"/>
  <c r="H172" i="4" s="1"/>
  <c r="H173" i="4" s="1"/>
  <c r="H174" i="4" s="1"/>
  <c r="H175" i="4" s="1"/>
  <c r="H176" i="4" s="1"/>
  <c r="H177" i="4" s="1"/>
  <c r="H178" i="4" s="1"/>
  <c r="H179" i="4" s="1"/>
  <c r="H180" i="4" s="1"/>
  <c r="H181" i="4" s="1"/>
  <c r="H182" i="4" s="1"/>
  <c r="H183" i="4" s="1"/>
  <c r="H184" i="4" s="1"/>
  <c r="H185" i="4" s="1"/>
  <c r="H186" i="4" s="1"/>
  <c r="H187" i="4" s="1"/>
  <c r="H188" i="4" s="1"/>
  <c r="H189" i="4" s="1"/>
  <c r="H190" i="4" s="1"/>
  <c r="H191" i="4" s="1"/>
  <c r="H192" i="4" s="1"/>
  <c r="H193" i="4" s="1"/>
  <c r="H194" i="4" s="1"/>
  <c r="H195" i="4" s="1"/>
  <c r="H196" i="4" s="1"/>
  <c r="H197" i="4" s="1"/>
  <c r="H198" i="4" s="1"/>
  <c r="H199" i="4" s="1"/>
  <c r="H200" i="4" s="1"/>
  <c r="H201" i="4" s="1"/>
  <c r="H202" i="4" s="1"/>
  <c r="H203" i="4" s="1"/>
  <c r="H204" i="4" s="1"/>
  <c r="H205" i="4" s="1"/>
  <c r="H206" i="4" s="1"/>
  <c r="H207" i="4" s="1"/>
  <c r="H208" i="4" s="1"/>
  <c r="H209" i="4" s="1"/>
  <c r="H210" i="4" s="1"/>
  <c r="H211" i="4" s="1"/>
  <c r="H212" i="4" s="1"/>
  <c r="H213" i="4" s="1"/>
  <c r="H214" i="4" s="1"/>
  <c r="H215" i="4" s="1"/>
  <c r="H216" i="4" s="1"/>
  <c r="H217" i="4" s="1"/>
  <c r="H218" i="4" s="1"/>
  <c r="H219" i="4" s="1"/>
  <c r="H220" i="4" s="1"/>
  <c r="H221" i="4" s="1"/>
  <c r="H222" i="4" s="1"/>
  <c r="H223" i="4" s="1"/>
  <c r="H224" i="4" s="1"/>
  <c r="H225" i="4" s="1"/>
  <c r="H226" i="4" s="1"/>
  <c r="H227" i="4" s="1"/>
  <c r="H228" i="4" s="1"/>
  <c r="H229" i="4" s="1"/>
  <c r="H230" i="4" s="1"/>
  <c r="H231" i="4" s="1"/>
  <c r="H232" i="4" s="1"/>
  <c r="H233" i="4" s="1"/>
  <c r="H234" i="4" s="1"/>
  <c r="H235" i="4" s="1"/>
  <c r="H236" i="4" s="1"/>
  <c r="H237" i="4" s="1"/>
  <c r="H238" i="4" s="1"/>
  <c r="H239" i="4" s="1"/>
  <c r="H240" i="4" s="1"/>
  <c r="H241" i="4" s="1"/>
  <c r="H242" i="4" s="1"/>
  <c r="H243" i="4" s="1"/>
  <c r="H244" i="4" s="1"/>
  <c r="H245" i="4" s="1"/>
  <c r="H246" i="4" s="1"/>
  <c r="H247" i="4" s="1"/>
  <c r="H248" i="4" s="1"/>
  <c r="H249" i="4" s="1"/>
  <c r="H250" i="4" s="1"/>
  <c r="H251" i="4" s="1"/>
  <c r="H252" i="4" s="1"/>
  <c r="H253" i="4" s="1"/>
  <c r="H254" i="4" s="1"/>
  <c r="H255" i="4" s="1"/>
  <c r="H256" i="4" s="1"/>
  <c r="H257" i="4" s="1"/>
  <c r="H258" i="4" s="1"/>
  <c r="H259" i="4" s="1"/>
  <c r="H260" i="4" s="1"/>
  <c r="H261" i="4" s="1"/>
  <c r="H262" i="4" s="1"/>
  <c r="H263" i="4" s="1"/>
  <c r="H264" i="4" s="1"/>
  <c r="H265" i="4" s="1"/>
  <c r="H266" i="4" s="1"/>
  <c r="H267" i="4" s="1"/>
  <c r="H268" i="4" s="1"/>
  <c r="H269" i="4" s="1"/>
  <c r="H270" i="4" s="1"/>
  <c r="H271" i="4" s="1"/>
  <c r="H272" i="4" s="1"/>
  <c r="H273" i="4" s="1"/>
  <c r="H274" i="4" s="1"/>
  <c r="H275" i="4" s="1"/>
  <c r="H276" i="4" s="1"/>
  <c r="H277" i="4" s="1"/>
  <c r="H278" i="4" s="1"/>
  <c r="H279" i="4" s="1"/>
  <c r="H280" i="4" s="1"/>
  <c r="H281" i="4" s="1"/>
  <c r="H282" i="4" s="1"/>
  <c r="H283" i="4" s="1"/>
  <c r="H284" i="4" s="1"/>
  <c r="H285" i="4" s="1"/>
  <c r="H286" i="4" s="1"/>
  <c r="H287" i="4" s="1"/>
  <c r="H288" i="4" s="1"/>
  <c r="H289" i="4" s="1"/>
  <c r="H290" i="4" s="1"/>
  <c r="H291" i="4" s="1"/>
  <c r="H292" i="4" s="1"/>
  <c r="H293" i="4" s="1"/>
  <c r="H294" i="4" s="1"/>
  <c r="H295" i="4" s="1"/>
  <c r="H296" i="4" s="1"/>
  <c r="H297" i="4" s="1"/>
  <c r="H298" i="4" s="1"/>
  <c r="H299" i="4" s="1"/>
  <c r="H300" i="4" s="1"/>
  <c r="H301" i="4" s="1"/>
  <c r="H302" i="4" s="1"/>
  <c r="H303" i="4" s="1"/>
  <c r="H304" i="4" s="1"/>
  <c r="H305" i="4" s="1"/>
  <c r="H306" i="4" s="1"/>
  <c r="H307" i="4" s="1"/>
  <c r="H308" i="4" s="1"/>
  <c r="H309" i="4" s="1"/>
  <c r="H310" i="4" s="1"/>
  <c r="H311" i="4" s="1"/>
  <c r="H312" i="4" s="1"/>
  <c r="H313" i="4" s="1"/>
  <c r="H314" i="4" s="1"/>
  <c r="H315" i="4" s="1"/>
  <c r="H316" i="4" s="1"/>
  <c r="H317" i="4" s="1"/>
  <c r="H318" i="4" s="1"/>
  <c r="H319" i="4" s="1"/>
  <c r="H320" i="4" s="1"/>
  <c r="H321" i="4" s="1"/>
  <c r="H322" i="4" s="1"/>
  <c r="H323" i="4" s="1"/>
  <c r="H324" i="4" s="1"/>
  <c r="H325" i="4" s="1"/>
  <c r="H326" i="4" s="1"/>
  <c r="H327" i="4" s="1"/>
  <c r="H328" i="4" s="1"/>
  <c r="H329" i="4" s="1"/>
  <c r="H330" i="4" s="1"/>
  <c r="H331" i="4" s="1"/>
  <c r="H332" i="4" s="1"/>
  <c r="H333" i="4" s="1"/>
  <c r="H334" i="4" s="1"/>
  <c r="H335" i="4" s="1"/>
  <c r="H336" i="4" s="1"/>
  <c r="H337" i="4" s="1"/>
  <c r="H338" i="4" s="1"/>
  <c r="H339" i="4" s="1"/>
  <c r="H340" i="4" s="1"/>
  <c r="H341" i="4" s="1"/>
  <c r="H342" i="4" s="1"/>
  <c r="H343" i="4" s="1"/>
  <c r="H344" i="4" s="1"/>
  <c r="H345" i="4" s="1"/>
  <c r="H346" i="4" s="1"/>
  <c r="H347" i="4" s="1"/>
  <c r="H348" i="4" s="1"/>
  <c r="H349" i="4" s="1"/>
  <c r="H350" i="4" s="1"/>
  <c r="H351" i="4" s="1"/>
  <c r="H352" i="4" s="1"/>
  <c r="H353" i="4" s="1"/>
  <c r="H354" i="4" s="1"/>
  <c r="H355" i="4" s="1"/>
  <c r="H356" i="4" s="1"/>
  <c r="H357" i="4" s="1"/>
  <c r="H358" i="4" s="1"/>
  <c r="H359" i="4" s="1"/>
  <c r="H360" i="4" s="1"/>
  <c r="H361" i="4" s="1"/>
  <c r="H362" i="4" s="1"/>
  <c r="H363" i="4" s="1"/>
  <c r="H364" i="4" s="1"/>
  <c r="H365" i="4" s="1"/>
  <c r="H366" i="4" s="1"/>
  <c r="H367" i="4" s="1"/>
  <c r="H368" i="4" s="1"/>
  <c r="H369" i="4" s="1"/>
  <c r="H370" i="4" s="1"/>
  <c r="H371" i="4" s="1"/>
  <c r="H372" i="4" s="1"/>
  <c r="H373" i="4" s="1"/>
  <c r="H374" i="4" s="1"/>
  <c r="H375" i="4" s="1"/>
  <c r="H376" i="4" s="1"/>
  <c r="H377" i="4" s="1"/>
  <c r="H378" i="4" s="1"/>
  <c r="H379" i="4" s="1"/>
  <c r="H380" i="4" s="1"/>
  <c r="H381" i="4" s="1"/>
  <c r="H382" i="4" s="1"/>
  <c r="H383" i="4" s="1"/>
  <c r="H384" i="4" s="1"/>
  <c r="H385" i="4" s="1"/>
  <c r="H386" i="4" s="1"/>
  <c r="H387" i="4" s="1"/>
  <c r="H388" i="4" s="1"/>
  <c r="H389" i="4" s="1"/>
  <c r="H390" i="4" s="1"/>
  <c r="H391" i="4" s="1"/>
  <c r="H392" i="4" s="1"/>
  <c r="H393" i="4" s="1"/>
  <c r="H394" i="4" s="1"/>
  <c r="H395" i="4" s="1"/>
  <c r="H396" i="4" s="1"/>
  <c r="H397" i="4" s="1"/>
  <c r="H398" i="4" s="1"/>
  <c r="H399" i="4" s="1"/>
  <c r="H400" i="4" s="1"/>
  <c r="H401" i="4" s="1"/>
  <c r="H402" i="4" s="1"/>
  <c r="H403" i="4" s="1"/>
  <c r="H404" i="4" s="1"/>
  <c r="H405" i="4" s="1"/>
  <c r="H406" i="4" s="1"/>
  <c r="H407" i="4" s="1"/>
  <c r="H408" i="4" s="1"/>
  <c r="H409" i="4" s="1"/>
  <c r="H410" i="4" s="1"/>
  <c r="H411" i="4" s="1"/>
  <c r="H412" i="4" s="1"/>
  <c r="H413" i="4" s="1"/>
  <c r="H414" i="4" s="1"/>
  <c r="H415" i="4" s="1"/>
  <c r="H416" i="4" s="1"/>
  <c r="H417" i="4" s="1"/>
  <c r="H418" i="4" s="1"/>
  <c r="H419" i="4" s="1"/>
  <c r="H420" i="4" s="1"/>
  <c r="H421" i="4" s="1"/>
  <c r="H422" i="4" s="1"/>
  <c r="H423" i="4" s="1"/>
  <c r="H424" i="4" s="1"/>
  <c r="H425" i="4" s="1"/>
  <c r="H426" i="4" s="1"/>
  <c r="H427" i="4" s="1"/>
  <c r="H428" i="4" s="1"/>
  <c r="H429" i="4" s="1"/>
  <c r="H430" i="4" s="1"/>
  <c r="H431" i="4" s="1"/>
  <c r="H432" i="4" s="1"/>
  <c r="H433" i="4" s="1"/>
  <c r="H434" i="4" s="1"/>
  <c r="H435" i="4" s="1"/>
  <c r="H436" i="4" s="1"/>
  <c r="H437" i="4" s="1"/>
  <c r="H438" i="4" s="1"/>
  <c r="H439" i="4" s="1"/>
  <c r="H440" i="4" s="1"/>
  <c r="H441" i="4" s="1"/>
  <c r="H442" i="4" s="1"/>
  <c r="H443" i="4" s="1"/>
  <c r="H444" i="4" s="1"/>
  <c r="H445" i="4" s="1"/>
  <c r="H446" i="4" s="1"/>
  <c r="H447" i="4" s="1"/>
  <c r="H448" i="4" s="1"/>
  <c r="H449" i="4" s="1"/>
  <c r="H450" i="4" s="1"/>
  <c r="H451" i="4" s="1"/>
  <c r="H452" i="4" s="1"/>
  <c r="H453" i="4" s="1"/>
  <c r="H454" i="4" s="1"/>
  <c r="H455" i="4" s="1"/>
  <c r="H456" i="4" s="1"/>
  <c r="H457" i="4" s="1"/>
  <c r="H458" i="4" s="1"/>
  <c r="H459" i="4" s="1"/>
  <c r="H460" i="4" s="1"/>
  <c r="H461" i="4" s="1"/>
  <c r="H462" i="4" s="1"/>
  <c r="H463" i="4" s="1"/>
  <c r="H464" i="4" s="1"/>
  <c r="H465" i="4" s="1"/>
  <c r="H466" i="4" s="1"/>
  <c r="H467" i="4" s="1"/>
  <c r="H468" i="4" s="1"/>
  <c r="H469" i="4" s="1"/>
  <c r="H470" i="4" s="1"/>
  <c r="H471" i="4" s="1"/>
  <c r="H472" i="4" s="1"/>
  <c r="H473" i="4" s="1"/>
  <c r="H474" i="4" s="1"/>
  <c r="H475" i="4" s="1"/>
  <c r="H476" i="4" s="1"/>
  <c r="H477" i="4" s="1"/>
  <c r="H478" i="4" s="1"/>
  <c r="H479" i="4" s="1"/>
  <c r="H480" i="4" s="1"/>
  <c r="H481" i="4" s="1"/>
  <c r="H482" i="4" s="1"/>
  <c r="H483" i="4" s="1"/>
  <c r="H484" i="4" s="1"/>
  <c r="H485" i="4" s="1"/>
  <c r="H486" i="4" s="1"/>
  <c r="H487" i="4" s="1"/>
  <c r="H488" i="4" s="1"/>
  <c r="H489" i="4" s="1"/>
  <c r="H490" i="4" s="1"/>
  <c r="H491" i="4" s="1"/>
  <c r="H492" i="4" s="1"/>
  <c r="H493" i="4" s="1"/>
  <c r="H494" i="4" s="1"/>
  <c r="H495" i="4" s="1"/>
  <c r="H496" i="4" s="1"/>
  <c r="H497" i="4" s="1"/>
  <c r="H498" i="4" s="1"/>
  <c r="H499" i="4" s="1"/>
  <c r="H500" i="4" s="1"/>
  <c r="H501" i="4" s="1"/>
  <c r="H502" i="4" s="1"/>
  <c r="H503" i="4" s="1"/>
  <c r="H504" i="4" s="1"/>
  <c r="H505" i="4" s="1"/>
  <c r="H506" i="4" s="1"/>
  <c r="H507" i="4" s="1"/>
  <c r="H508" i="4" s="1"/>
  <c r="H509" i="4" s="1"/>
  <c r="H510" i="4" s="1"/>
  <c r="H511" i="4" s="1"/>
  <c r="H512" i="4" s="1"/>
  <c r="H513" i="4" s="1"/>
  <c r="H514" i="4" s="1"/>
  <c r="H515" i="4" s="1"/>
  <c r="H516" i="4" s="1"/>
  <c r="H517" i="4" s="1"/>
  <c r="H518" i="4" s="1"/>
  <c r="H519" i="4" s="1"/>
  <c r="H520" i="4" s="1"/>
  <c r="H521" i="4" s="1"/>
  <c r="H522" i="4" s="1"/>
  <c r="H523" i="4" s="1"/>
  <c r="H524" i="4" s="1"/>
  <c r="H525" i="4" s="1"/>
  <c r="H526" i="4" s="1"/>
  <c r="H527" i="4" s="1"/>
  <c r="H528" i="4" s="1"/>
  <c r="H529" i="4" s="1"/>
  <c r="H530" i="4" s="1"/>
  <c r="H531" i="4" s="1"/>
  <c r="H532" i="4" s="1"/>
  <c r="H533" i="4" s="1"/>
  <c r="H534" i="4" s="1"/>
  <c r="H535" i="4" s="1"/>
  <c r="H536" i="4" s="1"/>
  <c r="H537" i="4" s="1"/>
  <c r="H538" i="4" s="1"/>
  <c r="H539" i="4" s="1"/>
  <c r="H540" i="4" s="1"/>
  <c r="H541" i="4" s="1"/>
  <c r="H542" i="4" s="1"/>
  <c r="H543" i="4" s="1"/>
  <c r="H544" i="4" s="1"/>
  <c r="H545" i="4" s="1"/>
  <c r="H546" i="4" s="1"/>
  <c r="H547" i="4" s="1"/>
  <c r="H548" i="4" s="1"/>
  <c r="H549" i="4" s="1"/>
  <c r="H550" i="4" s="1"/>
  <c r="H551" i="4" s="1"/>
  <c r="H552" i="4" s="1"/>
  <c r="H553" i="4" s="1"/>
  <c r="H554" i="4" s="1"/>
  <c r="H555" i="4" s="1"/>
  <c r="H556" i="4" s="1"/>
  <c r="H557" i="4" s="1"/>
  <c r="H558" i="4" s="1"/>
  <c r="H559" i="4" s="1"/>
  <c r="H560" i="4" s="1"/>
  <c r="H561" i="4" s="1"/>
  <c r="H562" i="4" s="1"/>
  <c r="H563" i="4" s="1"/>
  <c r="H564" i="4" s="1"/>
  <c r="H565" i="4" s="1"/>
  <c r="H566" i="4" s="1"/>
  <c r="H567" i="4" s="1"/>
  <c r="H568" i="4" s="1"/>
  <c r="H569" i="4" s="1"/>
  <c r="H570" i="4" s="1"/>
  <c r="H571" i="4" s="1"/>
  <c r="H572" i="4" s="1"/>
  <c r="H573" i="4" s="1"/>
  <c r="H574" i="4" s="1"/>
  <c r="H575" i="4" s="1"/>
  <c r="H576" i="4" s="1"/>
  <c r="H577" i="4" s="1"/>
  <c r="H578" i="4" s="1"/>
  <c r="H579" i="4" s="1"/>
  <c r="H580" i="4" s="1"/>
  <c r="H581" i="4" s="1"/>
  <c r="H582" i="4" s="1"/>
  <c r="H583" i="4" s="1"/>
  <c r="H584" i="4" s="1"/>
  <c r="H585" i="4" s="1"/>
  <c r="H586" i="4" s="1"/>
  <c r="H587" i="4" s="1"/>
  <c r="H588" i="4" s="1"/>
  <c r="H589" i="4" s="1"/>
  <c r="H590" i="4" s="1"/>
  <c r="H591" i="4" s="1"/>
  <c r="H592" i="4" s="1"/>
  <c r="H593" i="4" s="1"/>
  <c r="H594" i="4" s="1"/>
  <c r="H595" i="4" s="1"/>
  <c r="H596" i="4" s="1"/>
  <c r="H597" i="4" s="1"/>
  <c r="H598" i="4" s="1"/>
  <c r="H599" i="4" s="1"/>
  <c r="H600" i="4" s="1"/>
  <c r="H601" i="4" s="1"/>
  <c r="H602" i="4" s="1"/>
  <c r="H603" i="4" s="1"/>
  <c r="H604" i="4" s="1"/>
  <c r="H605" i="4" s="1"/>
  <c r="H606" i="4" s="1"/>
  <c r="H607" i="4" s="1"/>
  <c r="H608" i="4" s="1"/>
  <c r="H609" i="4" s="1"/>
  <c r="H610" i="4" s="1"/>
  <c r="H611" i="4" s="1"/>
  <c r="H612" i="4" s="1"/>
  <c r="H613" i="4" s="1"/>
  <c r="H614" i="4" s="1"/>
  <c r="H615" i="4" s="1"/>
  <c r="H616" i="4" s="1"/>
  <c r="H617" i="4" s="1"/>
  <c r="H618" i="4" s="1"/>
  <c r="H619" i="4" s="1"/>
  <c r="H620" i="4" s="1"/>
  <c r="H621" i="4" s="1"/>
  <c r="H622" i="4" s="1"/>
  <c r="H623" i="4" s="1"/>
  <c r="H624" i="4" s="1"/>
  <c r="H625" i="4" s="1"/>
  <c r="H626" i="4" s="1"/>
  <c r="H627" i="4" s="1"/>
  <c r="H628" i="4" s="1"/>
  <c r="H629" i="4" s="1"/>
  <c r="H630" i="4" s="1"/>
  <c r="H631" i="4" s="1"/>
  <c r="H632" i="4" s="1"/>
  <c r="H633" i="4" s="1"/>
  <c r="H634" i="4" s="1"/>
  <c r="H635" i="4" s="1"/>
  <c r="H636" i="4" s="1"/>
  <c r="H637" i="4" s="1"/>
  <c r="H638" i="4" s="1"/>
  <c r="H639" i="4" s="1"/>
  <c r="H640" i="4" s="1"/>
  <c r="H641" i="4" s="1"/>
  <c r="H642" i="4" s="1"/>
  <c r="H643" i="4" s="1"/>
  <c r="H644" i="4" s="1"/>
  <c r="H645" i="4" s="1"/>
  <c r="H646" i="4" s="1"/>
  <c r="H647" i="4" s="1"/>
  <c r="H648" i="4" s="1"/>
  <c r="H649" i="4" s="1"/>
  <c r="H650" i="4" s="1"/>
  <c r="H651" i="4" s="1"/>
  <c r="H652" i="4" s="1"/>
  <c r="H653" i="4" s="1"/>
  <c r="H654" i="4" s="1"/>
  <c r="H655" i="4" s="1"/>
  <c r="H656" i="4" s="1"/>
  <c r="H657" i="4" s="1"/>
  <c r="H658" i="4" s="1"/>
  <c r="H659" i="4" s="1"/>
  <c r="H660" i="4" s="1"/>
  <c r="H661" i="4" s="1"/>
  <c r="H662" i="4" s="1"/>
  <c r="H663" i="4" s="1"/>
  <c r="H664" i="4" s="1"/>
  <c r="H665" i="4" s="1"/>
  <c r="H666" i="4" s="1"/>
  <c r="H667" i="4" s="1"/>
  <c r="H668" i="4" s="1"/>
  <c r="H669" i="4" s="1"/>
  <c r="H670" i="4" s="1"/>
  <c r="H671" i="4" s="1"/>
  <c r="H672" i="4" s="1"/>
  <c r="H673" i="4" s="1"/>
  <c r="H674" i="4" s="1"/>
  <c r="H675" i="4" s="1"/>
  <c r="H676" i="4" s="1"/>
  <c r="H677" i="4" s="1"/>
  <c r="H678" i="4" s="1"/>
  <c r="H679" i="4" s="1"/>
  <c r="H680" i="4" s="1"/>
  <c r="H681" i="4" s="1"/>
  <c r="H682" i="4" s="1"/>
  <c r="H683" i="4" s="1"/>
  <c r="H684" i="4" s="1"/>
  <c r="H685" i="4" s="1"/>
  <c r="H686" i="4" s="1"/>
  <c r="H687" i="4" s="1"/>
  <c r="H688" i="4" s="1"/>
  <c r="H689" i="4" s="1"/>
  <c r="H690" i="4" s="1"/>
  <c r="H691" i="4" s="1"/>
  <c r="H692" i="4" s="1"/>
  <c r="H693" i="4" s="1"/>
  <c r="H694" i="4" s="1"/>
  <c r="H695" i="4" s="1"/>
  <c r="H696" i="4" s="1"/>
  <c r="H697" i="4" s="1"/>
  <c r="H698" i="4" s="1"/>
  <c r="H699" i="4" s="1"/>
  <c r="H700" i="4" s="1"/>
  <c r="H701" i="4" s="1"/>
  <c r="H702" i="4" s="1"/>
  <c r="H703" i="4" s="1"/>
  <c r="H704" i="4" s="1"/>
  <c r="H705" i="4" s="1"/>
  <c r="H706" i="4" s="1"/>
  <c r="H707" i="4" s="1"/>
  <c r="H708" i="4" s="1"/>
  <c r="H709" i="4" s="1"/>
  <c r="H710" i="4" s="1"/>
  <c r="H711" i="4" s="1"/>
  <c r="H712" i="4" s="1"/>
  <c r="H713" i="4" s="1"/>
  <c r="H714" i="4" s="1"/>
  <c r="H715" i="4" s="1"/>
  <c r="H716" i="4" s="1"/>
  <c r="H717" i="4" s="1"/>
  <c r="H718" i="4" s="1"/>
  <c r="H719" i="4" s="1"/>
  <c r="H720" i="4" s="1"/>
  <c r="H721" i="4" s="1"/>
  <c r="H722" i="4" s="1"/>
  <c r="H723" i="4" s="1"/>
  <c r="H724" i="4" s="1"/>
  <c r="H725" i="4" s="1"/>
  <c r="H726" i="4" s="1"/>
  <c r="H727" i="4" s="1"/>
  <c r="H728" i="4" s="1"/>
  <c r="H729" i="4" s="1"/>
  <c r="H730" i="4" s="1"/>
  <c r="H731" i="4" s="1"/>
  <c r="H732" i="4" s="1"/>
  <c r="H733" i="4" s="1"/>
  <c r="H734" i="4" s="1"/>
  <c r="H735" i="4" s="1"/>
  <c r="H736" i="4" s="1"/>
  <c r="H737" i="4" s="1"/>
  <c r="H738" i="4" s="1"/>
  <c r="H739" i="4" s="1"/>
  <c r="H740" i="4" s="1"/>
  <c r="H741" i="4" s="1"/>
  <c r="H742" i="4" s="1"/>
  <c r="H743" i="4" s="1"/>
  <c r="H744" i="4" s="1"/>
  <c r="H745" i="4" s="1"/>
  <c r="H746" i="4" s="1"/>
  <c r="H747" i="4" s="1"/>
  <c r="H748" i="4" s="1"/>
  <c r="H749" i="4" s="1"/>
  <c r="H750" i="4" s="1"/>
  <c r="H751" i="4" s="1"/>
  <c r="H752" i="4" s="1"/>
  <c r="H753" i="4" s="1"/>
  <c r="H754" i="4" s="1"/>
  <c r="H755" i="4" s="1"/>
  <c r="H756" i="4" s="1"/>
  <c r="H757" i="4" s="1"/>
  <c r="H758" i="4" s="1"/>
  <c r="H759" i="4" s="1"/>
  <c r="H760" i="4" s="1"/>
  <c r="H761" i="4" s="1"/>
  <c r="H762" i="4" s="1"/>
  <c r="H763" i="4" s="1"/>
  <c r="H764" i="4" s="1"/>
  <c r="H765" i="4" s="1"/>
  <c r="H766" i="4" s="1"/>
  <c r="H767" i="4" s="1"/>
  <c r="H768" i="4" s="1"/>
  <c r="H769" i="4" s="1"/>
  <c r="H770" i="4" s="1"/>
  <c r="H771" i="4" s="1"/>
  <c r="H772" i="4" s="1"/>
  <c r="H773" i="4" s="1"/>
  <c r="H774" i="4" s="1"/>
  <c r="H775" i="4" s="1"/>
  <c r="H776" i="4" s="1"/>
  <c r="H777" i="4" s="1"/>
  <c r="H778" i="4" s="1"/>
  <c r="H779" i="4" s="1"/>
  <c r="H780" i="4" s="1"/>
  <c r="H781" i="4" s="1"/>
  <c r="H782" i="4" s="1"/>
  <c r="H783" i="4" s="1"/>
  <c r="H784" i="4" s="1"/>
  <c r="H785" i="4" s="1"/>
  <c r="H786" i="4" s="1"/>
  <c r="H787" i="4" s="1"/>
  <c r="H788" i="4" s="1"/>
  <c r="H789" i="4" s="1"/>
  <c r="H790" i="4" s="1"/>
  <c r="H791" i="4" s="1"/>
  <c r="H792" i="4" s="1"/>
  <c r="H793" i="4" s="1"/>
  <c r="H794" i="4" s="1"/>
  <c r="H795" i="4" s="1"/>
  <c r="H796" i="4" s="1"/>
  <c r="H797" i="4" s="1"/>
  <c r="H798" i="4" s="1"/>
  <c r="H799" i="4" s="1"/>
  <c r="H800" i="4" s="1"/>
  <c r="H801" i="4" s="1"/>
  <c r="H802" i="4" s="1"/>
  <c r="H803" i="4" s="1"/>
  <c r="H804" i="4" s="1"/>
  <c r="H805" i="4" s="1"/>
  <c r="H806" i="4" s="1"/>
  <c r="H807" i="4" s="1"/>
  <c r="H808" i="4" s="1"/>
  <c r="H809" i="4" s="1"/>
  <c r="H810" i="4" s="1"/>
  <c r="H811" i="4" s="1"/>
  <c r="H812" i="4" s="1"/>
  <c r="H813" i="4" s="1"/>
  <c r="H814" i="4" s="1"/>
  <c r="H815" i="4" s="1"/>
  <c r="H816" i="4" s="1"/>
  <c r="H817" i="4" s="1"/>
  <c r="H818" i="4" s="1"/>
  <c r="H819" i="4" s="1"/>
  <c r="H820" i="4" s="1"/>
  <c r="H821" i="4" s="1"/>
  <c r="H822" i="4" s="1"/>
  <c r="H823" i="4" s="1"/>
  <c r="H824" i="4" s="1"/>
  <c r="H825" i="4" s="1"/>
  <c r="H826" i="4" s="1"/>
  <c r="H827" i="4" s="1"/>
  <c r="H828" i="4" s="1"/>
  <c r="H829" i="4" s="1"/>
  <c r="H830" i="4" s="1"/>
  <c r="H831" i="4" s="1"/>
  <c r="H832" i="4" s="1"/>
  <c r="H833" i="4" s="1"/>
  <c r="H834" i="4" s="1"/>
  <c r="H835" i="4" s="1"/>
  <c r="H836" i="4" s="1"/>
  <c r="H837" i="4" s="1"/>
  <c r="H838" i="4" s="1"/>
  <c r="H839" i="4" s="1"/>
  <c r="H840" i="4" s="1"/>
  <c r="H841" i="4" s="1"/>
  <c r="H842" i="4" s="1"/>
  <c r="H843" i="4" s="1"/>
  <c r="H844" i="4" s="1"/>
  <c r="H845" i="4" s="1"/>
  <c r="H846" i="4" s="1"/>
  <c r="H847" i="4" s="1"/>
  <c r="H848" i="4" s="1"/>
  <c r="H849" i="4" s="1"/>
  <c r="H850" i="4" s="1"/>
  <c r="H851" i="4" s="1"/>
  <c r="H852" i="4" s="1"/>
  <c r="H853" i="4" s="1"/>
  <c r="H854" i="4" s="1"/>
  <c r="H855" i="4" s="1"/>
  <c r="H856" i="4" s="1"/>
  <c r="H857" i="4" s="1"/>
  <c r="H858" i="4" s="1"/>
  <c r="H859" i="4" s="1"/>
  <c r="H860" i="4" s="1"/>
  <c r="H861" i="4" s="1"/>
  <c r="H862" i="4" s="1"/>
  <c r="H863" i="4" s="1"/>
  <c r="H864" i="4" s="1"/>
  <c r="H865" i="4" s="1"/>
  <c r="H866" i="4" s="1"/>
  <c r="H867" i="4" s="1"/>
  <c r="H868" i="4" s="1"/>
  <c r="H869" i="4" s="1"/>
  <c r="H870" i="4" s="1"/>
  <c r="H871" i="4" s="1"/>
  <c r="H872" i="4" s="1"/>
  <c r="H873" i="4" s="1"/>
  <c r="H874" i="4" s="1"/>
  <c r="H875" i="4" s="1"/>
  <c r="H876" i="4" s="1"/>
  <c r="H877" i="4" s="1"/>
  <c r="H878" i="4" s="1"/>
  <c r="H879" i="4" s="1"/>
  <c r="H880" i="4" s="1"/>
  <c r="H881" i="4" s="1"/>
  <c r="H882" i="4" s="1"/>
  <c r="H883" i="4" s="1"/>
  <c r="H884" i="4" s="1"/>
  <c r="H885" i="4" s="1"/>
  <c r="H886" i="4" s="1"/>
  <c r="H887" i="4" s="1"/>
  <c r="H888" i="4" s="1"/>
  <c r="H889" i="4" s="1"/>
  <c r="H890" i="4" s="1"/>
  <c r="H891" i="4" s="1"/>
  <c r="H892" i="4" s="1"/>
  <c r="H893" i="4" s="1"/>
  <c r="H894" i="4" s="1"/>
  <c r="H895" i="4" s="1"/>
  <c r="H896" i="4" s="1"/>
  <c r="H897" i="4" s="1"/>
  <c r="H898" i="4" s="1"/>
  <c r="H899" i="4" s="1"/>
  <c r="H900" i="4" s="1"/>
  <c r="H901" i="4" s="1"/>
  <c r="H902" i="4" s="1"/>
  <c r="H903" i="4" s="1"/>
  <c r="H904" i="4" s="1"/>
  <c r="H905" i="4" s="1"/>
  <c r="H906" i="4" s="1"/>
  <c r="H907" i="4" s="1"/>
  <c r="H908" i="4" s="1"/>
  <c r="H909" i="4" s="1"/>
  <c r="H910" i="4" s="1"/>
  <c r="H911" i="4" s="1"/>
  <c r="H912" i="4" s="1"/>
  <c r="H913" i="4" s="1"/>
  <c r="H914" i="4" s="1"/>
  <c r="H915" i="4" s="1"/>
  <c r="H916" i="4" s="1"/>
  <c r="H917" i="4" s="1"/>
  <c r="H918" i="4" s="1"/>
  <c r="H919" i="4" s="1"/>
  <c r="H920" i="4" s="1"/>
  <c r="H921" i="4" s="1"/>
  <c r="H922" i="4" s="1"/>
  <c r="H923" i="4" s="1"/>
  <c r="H924" i="4" s="1"/>
  <c r="H925" i="4" s="1"/>
  <c r="H926" i="4" s="1"/>
  <c r="H927" i="4" s="1"/>
  <c r="H928" i="4" s="1"/>
  <c r="H929" i="4" s="1"/>
  <c r="H930" i="4" s="1"/>
  <c r="H931" i="4" s="1"/>
  <c r="H932" i="4" s="1"/>
  <c r="H933" i="4" s="1"/>
  <c r="H934" i="4" s="1"/>
  <c r="H935" i="4" s="1"/>
  <c r="H936" i="4" s="1"/>
  <c r="H937" i="4" s="1"/>
  <c r="H938" i="4" s="1"/>
  <c r="H939" i="4" s="1"/>
  <c r="H940" i="4" s="1"/>
  <c r="H941" i="4" s="1"/>
  <c r="H942" i="4" s="1"/>
  <c r="H943" i="4" s="1"/>
  <c r="H944" i="4" s="1"/>
  <c r="H945" i="4" s="1"/>
  <c r="H946" i="4" s="1"/>
  <c r="H947" i="4" s="1"/>
  <c r="H948" i="4" s="1"/>
  <c r="H949" i="4" s="1"/>
  <c r="H950" i="4" s="1"/>
  <c r="H951" i="4" s="1"/>
  <c r="H952" i="4" s="1"/>
  <c r="H953" i="4" s="1"/>
  <c r="H954" i="4" s="1"/>
  <c r="H955" i="4" s="1"/>
  <c r="H956" i="4" s="1"/>
  <c r="H957" i="4" s="1"/>
  <c r="H958" i="4" s="1"/>
  <c r="H959" i="4" s="1"/>
  <c r="H960" i="4" s="1"/>
  <c r="H961" i="4" s="1"/>
  <c r="H962" i="4" s="1"/>
  <c r="H963" i="4" s="1"/>
  <c r="H964" i="4" s="1"/>
  <c r="H965" i="4" s="1"/>
  <c r="H966" i="4" s="1"/>
  <c r="H967" i="4" s="1"/>
  <c r="H968" i="4" s="1"/>
  <c r="H969" i="4" s="1"/>
  <c r="H970" i="4" s="1"/>
  <c r="H971" i="4" s="1"/>
  <c r="H972" i="4" s="1"/>
  <c r="H973" i="4" s="1"/>
  <c r="H974" i="4" s="1"/>
  <c r="H975" i="4" s="1"/>
  <c r="H976" i="4" s="1"/>
  <c r="H977" i="4" s="1"/>
  <c r="H978" i="4" s="1"/>
  <c r="H979" i="4" s="1"/>
  <c r="H980" i="4" s="1"/>
  <c r="H981" i="4" s="1"/>
  <c r="H982" i="4" s="1"/>
  <c r="H983" i="4" s="1"/>
  <c r="H984" i="4" s="1"/>
  <c r="H985" i="4" s="1"/>
  <c r="H986" i="4" s="1"/>
  <c r="H987" i="4" s="1"/>
  <c r="H988" i="4" s="1"/>
  <c r="H989" i="4" s="1"/>
  <c r="H990" i="4" s="1"/>
  <c r="H991" i="4" s="1"/>
  <c r="H992" i="4" s="1"/>
  <c r="H993" i="4" s="1"/>
  <c r="H994" i="4" s="1"/>
  <c r="H995" i="4" s="1"/>
  <c r="H996" i="4" s="1"/>
  <c r="H997" i="4" s="1"/>
  <c r="H998" i="4" s="1"/>
  <c r="H999" i="4" s="1"/>
  <c r="H1000" i="4" s="1"/>
  <c r="H1001" i="4" s="1"/>
  <c r="H1002" i="4" s="1"/>
  <c r="H1003" i="4" s="1"/>
  <c r="H1004" i="4" s="1"/>
  <c r="H1005" i="4" s="1"/>
  <c r="H1006" i="4" s="1"/>
  <c r="H1007" i="4" s="1"/>
  <c r="H1008" i="4" s="1"/>
  <c r="H1009" i="4" s="1"/>
  <c r="H1010" i="4" s="1"/>
  <c r="H1011" i="4" s="1"/>
  <c r="H1012" i="4" s="1"/>
  <c r="H1013" i="4" s="1"/>
  <c r="H1014" i="4" s="1"/>
  <c r="H1015" i="4" s="1"/>
  <c r="H1016" i="4" s="1"/>
  <c r="H1017" i="4" s="1"/>
  <c r="H1018" i="4" s="1"/>
  <c r="H1019" i="4" s="1"/>
  <c r="H1020" i="4" s="1"/>
  <c r="H1021" i="4" s="1"/>
  <c r="H1022" i="4" s="1"/>
  <c r="H1023" i="4" s="1"/>
  <c r="H1024" i="4" s="1"/>
  <c r="H1025" i="4" s="1"/>
  <c r="H1026" i="4" s="1"/>
  <c r="H1027" i="4" s="1"/>
  <c r="H1028" i="4" s="1"/>
  <c r="H1029" i="4" s="1"/>
  <c r="H1030" i="4" s="1"/>
  <c r="H1031" i="4" s="1"/>
  <c r="H1032" i="4" s="1"/>
  <c r="H1033" i="4" s="1"/>
  <c r="H1034" i="4" s="1"/>
  <c r="H1035" i="4" s="1"/>
  <c r="H1036" i="4" s="1"/>
  <c r="H1037" i="4" s="1"/>
  <c r="H1038" i="4" s="1"/>
  <c r="H1039" i="4" s="1"/>
  <c r="H1040" i="4" s="1"/>
  <c r="H1041" i="4" s="1"/>
  <c r="H1042" i="4" s="1"/>
  <c r="H1043" i="4" s="1"/>
  <c r="H1044" i="4" s="1"/>
  <c r="H1045" i="4" s="1"/>
  <c r="H1046" i="4" s="1"/>
  <c r="H1047" i="4" s="1"/>
  <c r="H1048" i="4" s="1"/>
  <c r="H1049" i="4" s="1"/>
  <c r="H1050" i="4" s="1"/>
  <c r="H1051" i="4" s="1"/>
  <c r="H1052" i="4" s="1"/>
  <c r="H1053" i="4" s="1"/>
  <c r="H1054" i="4" s="1"/>
  <c r="H1055" i="4" s="1"/>
  <c r="H1056" i="4" s="1"/>
  <c r="H1057" i="4" s="1"/>
  <c r="H1058" i="4" s="1"/>
  <c r="H1059" i="4" s="1"/>
  <c r="H1060" i="4" s="1"/>
  <c r="H1061" i="4" s="1"/>
  <c r="H1062" i="4" s="1"/>
  <c r="H1063" i="4" s="1"/>
  <c r="H1064" i="4" s="1"/>
  <c r="H1065" i="4" s="1"/>
  <c r="H1066" i="4" s="1"/>
  <c r="H1067" i="4" s="1"/>
  <c r="H1068" i="4" s="1"/>
  <c r="H1069" i="4" s="1"/>
  <c r="H1070" i="4" s="1"/>
  <c r="H1071" i="4" s="1"/>
  <c r="H1072" i="4" s="1"/>
  <c r="H1073" i="4" s="1"/>
  <c r="H1074" i="4" s="1"/>
  <c r="H1075" i="4" s="1"/>
  <c r="H1076" i="4" s="1"/>
  <c r="H1077" i="4" s="1"/>
  <c r="H1078" i="4" s="1"/>
  <c r="H1079" i="4" s="1"/>
  <c r="H1080" i="4" s="1"/>
  <c r="H1081" i="4" s="1"/>
  <c r="H1082" i="4" s="1"/>
  <c r="H1083" i="4" s="1"/>
  <c r="H1084" i="4" s="1"/>
  <c r="H1085" i="4" s="1"/>
  <c r="H1086" i="4" s="1"/>
  <c r="H1087" i="4" s="1"/>
  <c r="H1088" i="4" s="1"/>
  <c r="H1089" i="4" s="1"/>
  <c r="H1090" i="4" s="1"/>
  <c r="H1091" i="4" s="1"/>
  <c r="H1092" i="4" s="1"/>
  <c r="H1093" i="4" s="1"/>
  <c r="H1094" i="4" s="1"/>
  <c r="H1095" i="4" s="1"/>
  <c r="H1096" i="4" s="1"/>
  <c r="H1097" i="4" s="1"/>
  <c r="H1098" i="4" s="1"/>
  <c r="H1099" i="4" s="1"/>
  <c r="H1100" i="4" s="1"/>
  <c r="H1101" i="4" s="1"/>
  <c r="H1102" i="4" s="1"/>
  <c r="H1103" i="4" s="1"/>
  <c r="H1104" i="4" s="1"/>
  <c r="H1105" i="4" s="1"/>
  <c r="H1106" i="4" s="1"/>
  <c r="H1107" i="4" s="1"/>
  <c r="H1108" i="4" s="1"/>
  <c r="H1109" i="4" s="1"/>
  <c r="H1110" i="4" s="1"/>
  <c r="H1111" i="4" s="1"/>
  <c r="H1112" i="4" s="1"/>
  <c r="H1113" i="4" s="1"/>
  <c r="H1114" i="4" s="1"/>
  <c r="H1115" i="4" s="1"/>
  <c r="H1116" i="4" s="1"/>
  <c r="H1117" i="4" s="1"/>
  <c r="H1118" i="4" s="1"/>
  <c r="H1119" i="4" s="1"/>
  <c r="H1120" i="4" s="1"/>
  <c r="H1121" i="4" s="1"/>
  <c r="H1122" i="4" s="1"/>
  <c r="H1123" i="4" s="1"/>
  <c r="H1124" i="4" s="1"/>
  <c r="H1125" i="4" s="1"/>
  <c r="H1126" i="4" s="1"/>
  <c r="H1127" i="4" s="1"/>
  <c r="H1128" i="4" s="1"/>
  <c r="H1129" i="4" s="1"/>
  <c r="H1130" i="4" s="1"/>
  <c r="H1131" i="4" s="1"/>
  <c r="H1132" i="4" s="1"/>
  <c r="H1133" i="4" s="1"/>
  <c r="H1134" i="4" s="1"/>
  <c r="H1135" i="4" s="1"/>
  <c r="H1136" i="4" s="1"/>
  <c r="H1137" i="4" s="1"/>
  <c r="H1138" i="4" s="1"/>
  <c r="H1139" i="4" s="1"/>
  <c r="H1140" i="4" s="1"/>
  <c r="H1141" i="4" s="1"/>
  <c r="H1142" i="4" s="1"/>
  <c r="H1143" i="4" s="1"/>
  <c r="H1144" i="4" s="1"/>
  <c r="H1145" i="4" s="1"/>
  <c r="H1146" i="4" s="1"/>
  <c r="H1147" i="4" s="1"/>
  <c r="H1148" i="4" s="1"/>
  <c r="H1149" i="4" s="1"/>
  <c r="H1150" i="4" s="1"/>
  <c r="H1151" i="4" s="1"/>
  <c r="H1152" i="4" s="1"/>
  <c r="H1153" i="4" s="1"/>
  <c r="H1154" i="4" s="1"/>
  <c r="H1155" i="4" s="1"/>
  <c r="H1156" i="4" s="1"/>
  <c r="H1157" i="4" s="1"/>
  <c r="H1158" i="4" s="1"/>
  <c r="H1159" i="4" s="1"/>
  <c r="H1160" i="4" s="1"/>
  <c r="H1161" i="4" s="1"/>
  <c r="H1162" i="4" s="1"/>
  <c r="H1163" i="4" s="1"/>
  <c r="H1164" i="4" s="1"/>
  <c r="H1165" i="4" s="1"/>
  <c r="H1166" i="4" s="1"/>
  <c r="H1167" i="4" s="1"/>
  <c r="H1168" i="4" s="1"/>
  <c r="H1169" i="4" s="1"/>
  <c r="H1170" i="4" s="1"/>
  <c r="H1171" i="4" s="1"/>
  <c r="H1172" i="4" s="1"/>
  <c r="H1173" i="4" s="1"/>
  <c r="H1174" i="4" s="1"/>
  <c r="H1175" i="4" s="1"/>
  <c r="H1176" i="4" s="1"/>
  <c r="H1177" i="4" s="1"/>
  <c r="H1178" i="4" s="1"/>
  <c r="H1179" i="4" s="1"/>
  <c r="H1180" i="4" s="1"/>
  <c r="H1181" i="4" s="1"/>
  <c r="H1182" i="4" s="1"/>
  <c r="H1183" i="4" s="1"/>
  <c r="H1184" i="4" s="1"/>
  <c r="H1185" i="4" s="1"/>
  <c r="H1186" i="4" s="1"/>
  <c r="H1187" i="4" s="1"/>
  <c r="H1188" i="4" s="1"/>
  <c r="H1189" i="4" s="1"/>
  <c r="H1190" i="4" s="1"/>
  <c r="H1191" i="4" s="1"/>
  <c r="H1192" i="4" s="1"/>
  <c r="H1193" i="4" s="1"/>
  <c r="H1194" i="4" s="1"/>
  <c r="H1195" i="4" s="1"/>
  <c r="H1196" i="4" s="1"/>
  <c r="H1197" i="4" s="1"/>
  <c r="H1198" i="4" s="1"/>
  <c r="H1199" i="4" s="1"/>
  <c r="H1200" i="4" s="1"/>
  <c r="H1201" i="4" s="1"/>
  <c r="H1202" i="4" s="1"/>
  <c r="H1203" i="4" s="1"/>
  <c r="H1204" i="4" s="1"/>
  <c r="H1205" i="4" s="1"/>
  <c r="H1206" i="4" s="1"/>
  <c r="H1207" i="4" s="1"/>
  <c r="H1208" i="4" s="1"/>
  <c r="H1209" i="4" s="1"/>
  <c r="H1210" i="4" s="1"/>
  <c r="H1211" i="4" s="1"/>
  <c r="H1212" i="4" s="1"/>
  <c r="H1213" i="4" s="1"/>
  <c r="H1214" i="4" s="1"/>
  <c r="H1215" i="4" s="1"/>
  <c r="H1216" i="4" s="1"/>
  <c r="H1217" i="4" s="1"/>
  <c r="H1218" i="4" s="1"/>
  <c r="H1219" i="4" s="1"/>
  <c r="H1220" i="4" s="1"/>
  <c r="H1221" i="4" s="1"/>
  <c r="H1222" i="4" s="1"/>
  <c r="H1223" i="4" s="1"/>
  <c r="H1224" i="4" s="1"/>
  <c r="H1225" i="4" s="1"/>
  <c r="H1226" i="4" s="1"/>
  <c r="H1227" i="4" s="1"/>
  <c r="H1228" i="4" s="1"/>
  <c r="H1229" i="4" s="1"/>
  <c r="H1230" i="4" s="1"/>
  <c r="H1231" i="4" s="1"/>
  <c r="H1232" i="4" s="1"/>
  <c r="H1233" i="4" s="1"/>
  <c r="H1234" i="4" s="1"/>
  <c r="H1235" i="4" s="1"/>
  <c r="H1236" i="4" s="1"/>
  <c r="H1237" i="4" s="1"/>
  <c r="H1238" i="4" s="1"/>
  <c r="H1239" i="4" s="1"/>
  <c r="H1240" i="4" s="1"/>
  <c r="H1241" i="4" s="1"/>
  <c r="H1242" i="4" s="1"/>
  <c r="H1243" i="4" s="1"/>
  <c r="H1244" i="4" s="1"/>
  <c r="H1245" i="4" s="1"/>
  <c r="H1246" i="4" s="1"/>
  <c r="H1247" i="4" s="1"/>
  <c r="H1248" i="4" s="1"/>
  <c r="H1249" i="4" s="1"/>
  <c r="H1250" i="4" s="1"/>
  <c r="H1251" i="4" s="1"/>
  <c r="H1252" i="4" s="1"/>
  <c r="H1253" i="4" s="1"/>
  <c r="H1254" i="4" s="1"/>
  <c r="H1255" i="4" s="1"/>
  <c r="H1256" i="4" s="1"/>
  <c r="H1257" i="4" s="1"/>
  <c r="H1258" i="4" s="1"/>
  <c r="H1259" i="4" s="1"/>
  <c r="H1260" i="4" s="1"/>
  <c r="H1261" i="4" s="1"/>
  <c r="H1262" i="4" s="1"/>
  <c r="H1263" i="4" s="1"/>
  <c r="H1264" i="4" s="1"/>
  <c r="H1265" i="4" s="1"/>
  <c r="H1266" i="4" s="1"/>
  <c r="H1267" i="4" s="1"/>
  <c r="H1268" i="4" s="1"/>
  <c r="H1269" i="4" s="1"/>
  <c r="H1270" i="4" s="1"/>
  <c r="H1271" i="4" s="1"/>
  <c r="H1272" i="4" s="1"/>
  <c r="H1273" i="4" s="1"/>
  <c r="H1274" i="4" s="1"/>
  <c r="H1275" i="4" s="1"/>
  <c r="H1276" i="4" s="1"/>
  <c r="H1277" i="4" s="1"/>
  <c r="H1278" i="4" s="1"/>
  <c r="H1279" i="4" s="1"/>
  <c r="H1280" i="4" s="1"/>
  <c r="H1281" i="4" s="1"/>
  <c r="H1282" i="4" s="1"/>
  <c r="H1283" i="4" s="1"/>
  <c r="H1284" i="4" s="1"/>
  <c r="H1285" i="4" s="1"/>
  <c r="H1286" i="4" s="1"/>
  <c r="H1287" i="4" s="1"/>
  <c r="H1288" i="4" s="1"/>
  <c r="H1289" i="4" s="1"/>
  <c r="H1290" i="4" s="1"/>
  <c r="H1291" i="4" s="1"/>
  <c r="H1292" i="4" s="1"/>
  <c r="H1293" i="4" s="1"/>
  <c r="H1294" i="4" s="1"/>
  <c r="H1295" i="4" s="1"/>
  <c r="H1296" i="4" s="1"/>
  <c r="H1297" i="4" s="1"/>
  <c r="H1298" i="4" s="1"/>
  <c r="H1299" i="4" s="1"/>
  <c r="H1300" i="4" s="1"/>
  <c r="H1301" i="4" s="1"/>
  <c r="H1302" i="4" s="1"/>
  <c r="H1303" i="4" s="1"/>
  <c r="H1304" i="4" s="1"/>
  <c r="H1305" i="4" s="1"/>
  <c r="H1306" i="4" s="1"/>
  <c r="H1307" i="4" s="1"/>
  <c r="H1308" i="4" s="1"/>
  <c r="H1309" i="4" s="1"/>
  <c r="H1310" i="4" s="1"/>
  <c r="H1311" i="4" s="1"/>
  <c r="H1312" i="4" s="1"/>
  <c r="H1313" i="4" s="1"/>
  <c r="H1314" i="4" s="1"/>
  <c r="H1315" i="4" s="1"/>
  <c r="H1316" i="4" s="1"/>
  <c r="H1317" i="4" s="1"/>
  <c r="H1318" i="4" s="1"/>
  <c r="H1319" i="4" s="1"/>
  <c r="H1320" i="4" s="1"/>
  <c r="H1321" i="4" s="1"/>
  <c r="H1322" i="4" s="1"/>
  <c r="H1323" i="4" s="1"/>
  <c r="H1324" i="4" s="1"/>
  <c r="H1325" i="4" s="1"/>
  <c r="H1326" i="4" s="1"/>
  <c r="H1327" i="4" s="1"/>
  <c r="H1328" i="4" s="1"/>
  <c r="H1329" i="4" s="1"/>
  <c r="H1330" i="4" s="1"/>
  <c r="H1331" i="4" s="1"/>
  <c r="H1332" i="4" s="1"/>
  <c r="H1333" i="4" s="1"/>
  <c r="H1334" i="4" s="1"/>
  <c r="H1335" i="4" s="1"/>
  <c r="H1336" i="4" s="1"/>
  <c r="H1337" i="4" s="1"/>
  <c r="H1338" i="4" s="1"/>
  <c r="H1339" i="4" s="1"/>
  <c r="H1340" i="4" s="1"/>
  <c r="H1341" i="4" s="1"/>
  <c r="H1342" i="4" s="1"/>
  <c r="H1343" i="4" s="1"/>
  <c r="H1344" i="4" s="1"/>
  <c r="H1345" i="4" s="1"/>
  <c r="H1346" i="4" s="1"/>
  <c r="H1347" i="4" s="1"/>
  <c r="H1348" i="4" s="1"/>
  <c r="H1349" i="4" s="1"/>
  <c r="H1350" i="4" s="1"/>
  <c r="H1351" i="4" s="1"/>
  <c r="H1352" i="4" s="1"/>
  <c r="H1353" i="4" s="1"/>
  <c r="H1354" i="4" s="1"/>
  <c r="H1355" i="4" s="1"/>
  <c r="H1356" i="4" s="1"/>
  <c r="H1357" i="4" s="1"/>
  <c r="H1358" i="4" s="1"/>
  <c r="H1359" i="4" s="1"/>
  <c r="H1360" i="4" s="1"/>
  <c r="H1361" i="4" s="1"/>
  <c r="H1362" i="4" s="1"/>
  <c r="H1363" i="4" s="1"/>
  <c r="H1364" i="4" s="1"/>
  <c r="H1365" i="4" s="1"/>
  <c r="H1366" i="4" s="1"/>
  <c r="H1367" i="4" s="1"/>
  <c r="H1368" i="4" s="1"/>
  <c r="H1369" i="4" s="1"/>
  <c r="H1370" i="4" s="1"/>
  <c r="H1371" i="4" s="1"/>
  <c r="H1372" i="4" s="1"/>
  <c r="H1373" i="4" s="1"/>
  <c r="H1374" i="4" s="1"/>
  <c r="H1375" i="4" s="1"/>
  <c r="H1376" i="4" s="1"/>
  <c r="H1377" i="4" s="1"/>
  <c r="H1378" i="4" s="1"/>
  <c r="H1379" i="4" s="1"/>
  <c r="H1380" i="4" s="1"/>
  <c r="H1381" i="4" s="1"/>
  <c r="H1382" i="4" s="1"/>
  <c r="H1383" i="4" s="1"/>
  <c r="H1384" i="4" s="1"/>
  <c r="H1385" i="4" s="1"/>
  <c r="H1386" i="4" s="1"/>
  <c r="H1387" i="4" s="1"/>
  <c r="H1388" i="4" s="1"/>
  <c r="H1389" i="4" s="1"/>
  <c r="H1390" i="4" s="1"/>
  <c r="H1391" i="4" s="1"/>
  <c r="H1392" i="4" s="1"/>
  <c r="H1393" i="4" s="1"/>
  <c r="H1394" i="4" s="1"/>
  <c r="H1395" i="4" s="1"/>
  <c r="H1396" i="4" s="1"/>
  <c r="H1397" i="4" s="1"/>
  <c r="H1398" i="4" s="1"/>
  <c r="H1399" i="4" s="1"/>
  <c r="H1400" i="4" s="1"/>
  <c r="H1401" i="4" s="1"/>
  <c r="H1402" i="4" s="1"/>
  <c r="H1403" i="4" s="1"/>
  <c r="H1404" i="4" s="1"/>
  <c r="H1405" i="4" s="1"/>
  <c r="H1406" i="4" s="1"/>
  <c r="H1407" i="4" s="1"/>
  <c r="H1408" i="4" s="1"/>
  <c r="H1409" i="4" s="1"/>
  <c r="H1410" i="4" s="1"/>
  <c r="H1411" i="4" s="1"/>
  <c r="H1412" i="4" s="1"/>
  <c r="H1413" i="4" s="1"/>
  <c r="H1414" i="4" s="1"/>
  <c r="H1415" i="4" s="1"/>
  <c r="H1416" i="4" s="1"/>
  <c r="H1417" i="4" s="1"/>
  <c r="H1418" i="4" s="1"/>
  <c r="H1419" i="4" s="1"/>
  <c r="H1420" i="4" s="1"/>
  <c r="H1421" i="4" s="1"/>
  <c r="H1422" i="4" s="1"/>
  <c r="H1423" i="4" s="1"/>
  <c r="H1424" i="4" s="1"/>
  <c r="H1425" i="4" s="1"/>
  <c r="H1426" i="4" s="1"/>
  <c r="H1427" i="4" s="1"/>
  <c r="H1428" i="4" s="1"/>
  <c r="H1429" i="4" s="1"/>
  <c r="H1430" i="4" s="1"/>
  <c r="H1431" i="4" s="1"/>
  <c r="H1432" i="4" s="1"/>
  <c r="H1433" i="4" s="1"/>
  <c r="H1434" i="4" s="1"/>
  <c r="H1435" i="4" s="1"/>
  <c r="H1436" i="4" s="1"/>
  <c r="H1437" i="4" s="1"/>
  <c r="H1438" i="4" s="1"/>
  <c r="H1439" i="4" s="1"/>
  <c r="H1440" i="4" s="1"/>
  <c r="H1441" i="4" s="1"/>
  <c r="H1442" i="4" s="1"/>
  <c r="H1443" i="4" s="1"/>
  <c r="H1444" i="4" s="1"/>
  <c r="H1445" i="4" s="1"/>
  <c r="H1446" i="4" s="1"/>
  <c r="H1447" i="4" s="1"/>
  <c r="H1448" i="4" s="1"/>
  <c r="H1449" i="4" s="1"/>
  <c r="H1450" i="4" s="1"/>
  <c r="H1451" i="4" s="1"/>
  <c r="H1452" i="4" s="1"/>
  <c r="H1453" i="4" s="1"/>
  <c r="H1454" i="4" s="1"/>
  <c r="H1455" i="4" s="1"/>
  <c r="H1456" i="4" s="1"/>
  <c r="H1457" i="4" s="1"/>
  <c r="H1458" i="4" s="1"/>
  <c r="H1459" i="4" s="1"/>
  <c r="H1460" i="4" s="1"/>
  <c r="H1461" i="4" s="1"/>
  <c r="H1462" i="4" s="1"/>
  <c r="H1463" i="4" s="1"/>
  <c r="H1464" i="4" s="1"/>
  <c r="H1465" i="4" s="1"/>
  <c r="H1466" i="4" s="1"/>
  <c r="H1467" i="4" s="1"/>
  <c r="H1468" i="4" s="1"/>
  <c r="H1469" i="4" s="1"/>
  <c r="H1470" i="4" s="1"/>
  <c r="H1471" i="4" s="1"/>
  <c r="H1472" i="4" s="1"/>
  <c r="H1473" i="4" s="1"/>
  <c r="H1474" i="4" s="1"/>
  <c r="H1475" i="4" s="1"/>
  <c r="H1476" i="4" s="1"/>
  <c r="H1477" i="4" s="1"/>
  <c r="H1478" i="4" s="1"/>
  <c r="H1479" i="4" s="1"/>
  <c r="H1480" i="4" s="1"/>
  <c r="H1481" i="4" s="1"/>
  <c r="H1482" i="4" s="1"/>
  <c r="H1483" i="4" s="1"/>
  <c r="H1484" i="4" s="1"/>
  <c r="H1485" i="4" s="1"/>
  <c r="H1486" i="4" s="1"/>
  <c r="H1487" i="4" s="1"/>
  <c r="H1488" i="4" s="1"/>
  <c r="H1489" i="4" s="1"/>
  <c r="H1490" i="4" s="1"/>
  <c r="H1491" i="4" s="1"/>
  <c r="H1492" i="4" s="1"/>
  <c r="H1493" i="4" s="1"/>
  <c r="H1494" i="4" s="1"/>
  <c r="H1495" i="4" s="1"/>
  <c r="H1496" i="4" s="1"/>
  <c r="H1497" i="4" s="1"/>
  <c r="H1498" i="4" s="1"/>
  <c r="H1499" i="4" s="1"/>
  <c r="H1500" i="4" s="1"/>
  <c r="H1501" i="4" s="1"/>
  <c r="H1502" i="4" s="1"/>
  <c r="H1503" i="4" s="1"/>
  <c r="H1504" i="4" s="1"/>
  <c r="H1505" i="4" s="1"/>
  <c r="H1506" i="4" s="1"/>
  <c r="H1507" i="4" s="1"/>
  <c r="H1508" i="4" s="1"/>
  <c r="H1509" i="4" s="1"/>
  <c r="H1510" i="4" s="1"/>
  <c r="H1511" i="4" s="1"/>
  <c r="H1512" i="4" s="1"/>
  <c r="H1513" i="4" s="1"/>
  <c r="H1514" i="4" s="1"/>
  <c r="H1515" i="4" s="1"/>
  <c r="H1516" i="4" s="1"/>
  <c r="H1517" i="4" s="1"/>
  <c r="H1518" i="4" s="1"/>
  <c r="H1519" i="4" s="1"/>
  <c r="H1520" i="4" s="1"/>
  <c r="H1521" i="4" s="1"/>
  <c r="H1522" i="4" s="1"/>
  <c r="H1523" i="4" s="1"/>
  <c r="H1524" i="4" s="1"/>
  <c r="H1525" i="4" s="1"/>
  <c r="H1526" i="4" s="1"/>
  <c r="H1527" i="4" s="1"/>
  <c r="H1528" i="4" s="1"/>
  <c r="H1529" i="4" s="1"/>
  <c r="H1530" i="4" s="1"/>
  <c r="H1531" i="4" s="1"/>
  <c r="H1532" i="4" s="1"/>
  <c r="H1533" i="4" s="1"/>
  <c r="H1534" i="4" s="1"/>
  <c r="H1535" i="4" s="1"/>
  <c r="H1536" i="4" s="1"/>
  <c r="H1537" i="4" s="1"/>
  <c r="H1538" i="4" s="1"/>
  <c r="H1539" i="4" s="1"/>
  <c r="H1540" i="4" s="1"/>
  <c r="H1541" i="4" s="1"/>
  <c r="H1542" i="4" s="1"/>
  <c r="H1543" i="4" s="1"/>
  <c r="H1544" i="4" s="1"/>
  <c r="H1545" i="4" s="1"/>
  <c r="H1546" i="4" s="1"/>
  <c r="H1547" i="4" s="1"/>
  <c r="H1548" i="4" s="1"/>
  <c r="H1549" i="4" s="1"/>
  <c r="H1550" i="4" s="1"/>
  <c r="H1551" i="4" s="1"/>
  <c r="H1552" i="4" s="1"/>
  <c r="H1553" i="4" s="1"/>
  <c r="H1554" i="4" s="1"/>
  <c r="H1555" i="4" s="1"/>
  <c r="H1556" i="4" s="1"/>
  <c r="H1557" i="4" s="1"/>
  <c r="H1558" i="4" s="1"/>
  <c r="H1559" i="4" s="1"/>
  <c r="H1560" i="4" s="1"/>
  <c r="H1561" i="4" s="1"/>
  <c r="H1562" i="4" s="1"/>
  <c r="H1563" i="4" s="1"/>
  <c r="H1564" i="4" s="1"/>
  <c r="H1565" i="4" s="1"/>
  <c r="H1566" i="4" s="1"/>
  <c r="H1567" i="4" s="1"/>
  <c r="H1568" i="4" s="1"/>
  <c r="H1569" i="4" s="1"/>
  <c r="H1570" i="4" s="1"/>
  <c r="H1571" i="4" s="1"/>
  <c r="H1572" i="4" s="1"/>
  <c r="H1573" i="4" s="1"/>
  <c r="H1574" i="4" s="1"/>
  <c r="H1575" i="4" s="1"/>
  <c r="H1576" i="4" s="1"/>
  <c r="H1577" i="4" s="1"/>
  <c r="H1578" i="4" s="1"/>
  <c r="H1579" i="4" s="1"/>
  <c r="H1580" i="4" s="1"/>
  <c r="H1581" i="4" s="1"/>
  <c r="H1582" i="4" s="1"/>
  <c r="H1583" i="4" s="1"/>
  <c r="H1584" i="4" s="1"/>
  <c r="H1585" i="4" s="1"/>
  <c r="H1586" i="4" s="1"/>
  <c r="H1587" i="4" s="1"/>
  <c r="H1588" i="4" s="1"/>
  <c r="H1589" i="4" s="1"/>
  <c r="H1590" i="4" s="1"/>
  <c r="H1591" i="4" s="1"/>
  <c r="H1592" i="4" s="1"/>
  <c r="H1593" i="4" s="1"/>
  <c r="H1594" i="4" s="1"/>
  <c r="H1595" i="4" s="1"/>
  <c r="H1596" i="4" s="1"/>
  <c r="H1597" i="4" s="1"/>
  <c r="H1598" i="4" s="1"/>
  <c r="H1599" i="4" s="1"/>
  <c r="H1600" i="4" s="1"/>
  <c r="H1601" i="4" s="1"/>
  <c r="H1602" i="4" s="1"/>
  <c r="H1603" i="4" s="1"/>
  <c r="H1604" i="4" s="1"/>
  <c r="H1605" i="4" s="1"/>
  <c r="H1606" i="4" s="1"/>
  <c r="H1607" i="4" s="1"/>
  <c r="H1608" i="4" s="1"/>
  <c r="H1609" i="4" s="1"/>
  <c r="H1610" i="4" s="1"/>
  <c r="H1611" i="4" s="1"/>
  <c r="H1612" i="4" s="1"/>
  <c r="H1613" i="4" s="1"/>
  <c r="H1614" i="4" s="1"/>
  <c r="H1615" i="4" s="1"/>
  <c r="H1616" i="4" s="1"/>
  <c r="H1617" i="4" s="1"/>
  <c r="H1618" i="4" s="1"/>
  <c r="H1619" i="4" s="1"/>
  <c r="H1620" i="4" s="1"/>
  <c r="H1621" i="4" s="1"/>
  <c r="H1622" i="4" s="1"/>
  <c r="H1623" i="4" s="1"/>
  <c r="H1624" i="4" s="1"/>
  <c r="H1625" i="4" s="1"/>
  <c r="H1626" i="4" s="1"/>
  <c r="H1627" i="4" s="1"/>
  <c r="H1628" i="4" s="1"/>
  <c r="H1629" i="4" s="1"/>
  <c r="H1630" i="4" s="1"/>
  <c r="H1631" i="4" s="1"/>
  <c r="H1632" i="4" s="1"/>
  <c r="H1633" i="4" s="1"/>
  <c r="H1634" i="4" s="1"/>
  <c r="H1635" i="4" s="1"/>
  <c r="H1636" i="4" s="1"/>
  <c r="H1637" i="4" s="1"/>
  <c r="H1638" i="4" s="1"/>
  <c r="H1639" i="4" s="1"/>
  <c r="H1640" i="4" s="1"/>
  <c r="H1641" i="4" s="1"/>
  <c r="H1642" i="4" s="1"/>
  <c r="H1643" i="4" s="1"/>
  <c r="H1644" i="4" s="1"/>
  <c r="H1645" i="4" s="1"/>
  <c r="H1646" i="4" s="1"/>
  <c r="H1647" i="4" s="1"/>
  <c r="H1648" i="4" s="1"/>
  <c r="H1649" i="4" s="1"/>
  <c r="H1650" i="4" s="1"/>
  <c r="H1651" i="4" s="1"/>
  <c r="H1652" i="4" s="1"/>
  <c r="H1653" i="4" s="1"/>
  <c r="H1654" i="4" s="1"/>
  <c r="H1655" i="4" s="1"/>
  <c r="H1656" i="4" s="1"/>
  <c r="H1657" i="4" s="1"/>
  <c r="H1658" i="4" s="1"/>
  <c r="H1659" i="4" s="1"/>
  <c r="H1660" i="4" s="1"/>
  <c r="H1661" i="4" s="1"/>
  <c r="H1662" i="4" s="1"/>
  <c r="H1663" i="4" s="1"/>
  <c r="H1664" i="4" s="1"/>
  <c r="H1665" i="4" s="1"/>
  <c r="H1666" i="4" s="1"/>
  <c r="H1667" i="4" s="1"/>
  <c r="H1668" i="4" s="1"/>
  <c r="H1669" i="4" s="1"/>
  <c r="H1670" i="4" s="1"/>
  <c r="H1671" i="4" s="1"/>
  <c r="H1672" i="4" s="1"/>
  <c r="H1673" i="4" s="1"/>
  <c r="H1674" i="4" s="1"/>
  <c r="H1675" i="4" s="1"/>
  <c r="H1676" i="4" s="1"/>
  <c r="H1677" i="4" s="1"/>
  <c r="H1678" i="4" s="1"/>
  <c r="H1679" i="4" s="1"/>
  <c r="H1680" i="4" s="1"/>
  <c r="H1681" i="4" s="1"/>
  <c r="H1682" i="4" s="1"/>
  <c r="H1683" i="4" s="1"/>
  <c r="H1684" i="4" s="1"/>
  <c r="H1685" i="4" s="1"/>
  <c r="H1686" i="4" s="1"/>
  <c r="H1687" i="4" s="1"/>
  <c r="H1688" i="4" s="1"/>
  <c r="H1689" i="4" s="1"/>
  <c r="H1690" i="4" s="1"/>
  <c r="H1691" i="4" s="1"/>
  <c r="H1692" i="4" s="1"/>
  <c r="H1693" i="4" s="1"/>
  <c r="H1694" i="4" s="1"/>
  <c r="H1695" i="4" s="1"/>
  <c r="H1696" i="4" s="1"/>
  <c r="H1697" i="4" s="1"/>
  <c r="H1698" i="4" s="1"/>
  <c r="H1699" i="4" s="1"/>
  <c r="H1700" i="4" s="1"/>
  <c r="H1701" i="4" s="1"/>
  <c r="H1702" i="4" s="1"/>
  <c r="H1703" i="4" s="1"/>
  <c r="H1704" i="4" s="1"/>
  <c r="H1705" i="4" s="1"/>
  <c r="H1706" i="4" s="1"/>
  <c r="H1707" i="4" s="1"/>
  <c r="H1708" i="4" s="1"/>
  <c r="H1709" i="4" s="1"/>
  <c r="H1710" i="4" s="1"/>
  <c r="H1711" i="4" s="1"/>
  <c r="H1712" i="4" s="1"/>
  <c r="H1713" i="4" s="1"/>
  <c r="H1714" i="4" s="1"/>
  <c r="H1715" i="4" s="1"/>
  <c r="H1716" i="4" s="1"/>
  <c r="H1717" i="4" s="1"/>
  <c r="H1718" i="4" s="1"/>
  <c r="H1719" i="4" s="1"/>
  <c r="H1720" i="4" s="1"/>
  <c r="H1721" i="4" s="1"/>
  <c r="H1722" i="4" s="1"/>
  <c r="H1723" i="4" s="1"/>
  <c r="H1724" i="4" s="1"/>
  <c r="H1725" i="4" s="1"/>
  <c r="H1726" i="4" s="1"/>
  <c r="H1727" i="4" s="1"/>
  <c r="H1728" i="4" s="1"/>
  <c r="H1729" i="4" s="1"/>
  <c r="H1730" i="4" s="1"/>
  <c r="H1731" i="4" s="1"/>
  <c r="H1732" i="4" s="1"/>
  <c r="H1733" i="4" s="1"/>
  <c r="H1734" i="4" s="1"/>
  <c r="H1735" i="4" s="1"/>
  <c r="H1736" i="4" s="1"/>
  <c r="H1737" i="4" s="1"/>
  <c r="H1738" i="4" s="1"/>
  <c r="H1739" i="4" s="1"/>
  <c r="H1740" i="4" s="1"/>
  <c r="H1741" i="4" s="1"/>
  <c r="H1742" i="4" s="1"/>
  <c r="H1743" i="4" s="1"/>
  <c r="H1744" i="4" s="1"/>
  <c r="H1745" i="4" s="1"/>
  <c r="H1746" i="4" s="1"/>
  <c r="H1747" i="4" s="1"/>
  <c r="H1748" i="4" s="1"/>
  <c r="H1749" i="4" s="1"/>
  <c r="H1750" i="4" s="1"/>
  <c r="H1751" i="4" s="1"/>
  <c r="H1752" i="4" s="1"/>
  <c r="H1753" i="4" s="1"/>
  <c r="H1754" i="4" s="1"/>
  <c r="H1755" i="4" s="1"/>
  <c r="H1756" i="4" s="1"/>
  <c r="H1757" i="4" s="1"/>
  <c r="H1758" i="4" s="1"/>
  <c r="H1759" i="4" s="1"/>
  <c r="H1760" i="4" s="1"/>
  <c r="H1761" i="4" s="1"/>
  <c r="H1762" i="4" s="1"/>
  <c r="H1763" i="4" s="1"/>
  <c r="H1764" i="4" s="1"/>
  <c r="H1765" i="4" s="1"/>
  <c r="H1766" i="4" s="1"/>
  <c r="H1767" i="4" s="1"/>
  <c r="H1768" i="4" s="1"/>
  <c r="H1769" i="4" s="1"/>
  <c r="H1770" i="4" s="1"/>
  <c r="H1771" i="4" s="1"/>
  <c r="H1772" i="4" s="1"/>
  <c r="H1773" i="4" s="1"/>
  <c r="H1774" i="4" s="1"/>
  <c r="H1775" i="4" s="1"/>
  <c r="H1776" i="4" s="1"/>
  <c r="H1777" i="4" s="1"/>
  <c r="H1778" i="4" s="1"/>
  <c r="H1779" i="4" s="1"/>
  <c r="H1780" i="4" s="1"/>
  <c r="H1781" i="4" s="1"/>
  <c r="H1782" i="4" s="1"/>
  <c r="H1783" i="4" s="1"/>
  <c r="H1784" i="4" s="1"/>
  <c r="H1785" i="4" s="1"/>
  <c r="H1786" i="4" s="1"/>
  <c r="H1787" i="4" s="1"/>
  <c r="H1788" i="4" s="1"/>
  <c r="H1789" i="4" s="1"/>
  <c r="H1790" i="4" s="1"/>
  <c r="H1791" i="4" s="1"/>
  <c r="H1792" i="4" s="1"/>
  <c r="H1793" i="4" s="1"/>
  <c r="H1794" i="4" s="1"/>
  <c r="H1795" i="4" s="1"/>
  <c r="H1796" i="4" s="1"/>
  <c r="H1797" i="4" s="1"/>
  <c r="H1798" i="4" s="1"/>
  <c r="H1799" i="4" s="1"/>
  <c r="H1800" i="4" s="1"/>
  <c r="H1801" i="4" s="1"/>
  <c r="H1802" i="4" s="1"/>
  <c r="H1803" i="4" s="1"/>
  <c r="H1804" i="4" s="1"/>
  <c r="H1805" i="4" s="1"/>
  <c r="H1806" i="4" s="1"/>
  <c r="H1807" i="4" s="1"/>
  <c r="H1808" i="4" s="1"/>
  <c r="H1809" i="4" s="1"/>
  <c r="H1810" i="4" s="1"/>
  <c r="H1811" i="4" s="1"/>
  <c r="H1812" i="4" s="1"/>
  <c r="H1813" i="4" s="1"/>
  <c r="H1814" i="4" s="1"/>
  <c r="H1815" i="4" s="1"/>
  <c r="H1816" i="4" s="1"/>
  <c r="H1817" i="4" s="1"/>
  <c r="H1818" i="4" s="1"/>
  <c r="H1819" i="4" s="1"/>
  <c r="H1820" i="4" s="1"/>
  <c r="H1821" i="4" s="1"/>
  <c r="H1822" i="4" s="1"/>
  <c r="H1823" i="4" s="1"/>
  <c r="H1824" i="4" s="1"/>
  <c r="H1825" i="4" s="1"/>
  <c r="H1826" i="4" s="1"/>
  <c r="H1827" i="4" s="1"/>
  <c r="H1828" i="4" s="1"/>
  <c r="H1829" i="4" s="1"/>
  <c r="H1830" i="4" s="1"/>
  <c r="H1831" i="4" s="1"/>
  <c r="H1832" i="4" s="1"/>
  <c r="H1833" i="4" s="1"/>
  <c r="H1834" i="4" s="1"/>
  <c r="H1835" i="4" s="1"/>
  <c r="H1836" i="4" s="1"/>
  <c r="H1837" i="4" s="1"/>
  <c r="H1838" i="4" s="1"/>
  <c r="H1839" i="4" s="1"/>
  <c r="H1840" i="4" s="1"/>
  <c r="H1841" i="4" s="1"/>
  <c r="H1842" i="4" s="1"/>
  <c r="H1843" i="4" s="1"/>
  <c r="H1844" i="4" s="1"/>
  <c r="H1845" i="4" s="1"/>
  <c r="H1846" i="4" s="1"/>
  <c r="H1847" i="4" s="1"/>
  <c r="H1848" i="4" s="1"/>
  <c r="H1849" i="4" s="1"/>
  <c r="H1850" i="4" s="1"/>
  <c r="H1851" i="4" s="1"/>
  <c r="H1852" i="4" s="1"/>
  <c r="H1853" i="4" s="1"/>
  <c r="H1854" i="4" s="1"/>
  <c r="H1855" i="4" s="1"/>
  <c r="H1856" i="4" s="1"/>
  <c r="H1857" i="4" s="1"/>
  <c r="H1858" i="4" s="1"/>
  <c r="H1859" i="4" s="1"/>
  <c r="H1860" i="4" s="1"/>
  <c r="H1861" i="4" s="1"/>
  <c r="H1862" i="4" s="1"/>
  <c r="H1863" i="4" s="1"/>
  <c r="H1864" i="4" s="1"/>
  <c r="H1865" i="4" s="1"/>
  <c r="H1866" i="4" s="1"/>
  <c r="H1867" i="4" s="1"/>
  <c r="H1868" i="4" s="1"/>
  <c r="H1869" i="4" s="1"/>
  <c r="H1870" i="4" s="1"/>
  <c r="H1871" i="4" s="1"/>
  <c r="H1872" i="4" s="1"/>
  <c r="H1873" i="4" s="1"/>
  <c r="H1874" i="4" s="1"/>
  <c r="H1875" i="4" s="1"/>
  <c r="H1876" i="4" s="1"/>
  <c r="H1877" i="4" s="1"/>
  <c r="H1878" i="4" s="1"/>
  <c r="H1879" i="4" s="1"/>
  <c r="H1880" i="4" s="1"/>
  <c r="H1881" i="4" s="1"/>
  <c r="H1882" i="4" s="1"/>
  <c r="H1883" i="4" s="1"/>
  <c r="H1884" i="4" s="1"/>
  <c r="H1885" i="4" s="1"/>
  <c r="H1886" i="4" s="1"/>
  <c r="H1887" i="4" s="1"/>
  <c r="H1888" i="4" s="1"/>
  <c r="H1889" i="4" s="1"/>
  <c r="H1890" i="4" s="1"/>
  <c r="H1891" i="4" s="1"/>
  <c r="H1892" i="4" s="1"/>
  <c r="H1893" i="4" s="1"/>
  <c r="H1894" i="4" s="1"/>
  <c r="H1895" i="4" s="1"/>
  <c r="H1896" i="4" s="1"/>
  <c r="H1897" i="4" s="1"/>
  <c r="H1898" i="4" s="1"/>
  <c r="H1899" i="4" s="1"/>
  <c r="H1900" i="4" s="1"/>
  <c r="H1901" i="4" s="1"/>
  <c r="H1902" i="4" s="1"/>
  <c r="H1903" i="4" s="1"/>
  <c r="H1904" i="4" s="1"/>
  <c r="H1905" i="4" s="1"/>
  <c r="H1906" i="4" s="1"/>
  <c r="H1907" i="4" s="1"/>
  <c r="H1908" i="4" s="1"/>
  <c r="H1909" i="4" s="1"/>
  <c r="H1910" i="4" s="1"/>
  <c r="H1911" i="4" s="1"/>
  <c r="H1912" i="4" s="1"/>
  <c r="H1913" i="4" s="1"/>
  <c r="H1914" i="4" s="1"/>
  <c r="H1915" i="4" s="1"/>
  <c r="H1916" i="4" s="1"/>
  <c r="H1917" i="4" s="1"/>
  <c r="H1918" i="4" s="1"/>
  <c r="H1919" i="4" s="1"/>
  <c r="H1920" i="4" s="1"/>
  <c r="H1921" i="4" s="1"/>
  <c r="H1922" i="4" s="1"/>
  <c r="H1923" i="4" s="1"/>
  <c r="H1924" i="4" s="1"/>
  <c r="H1925" i="4" s="1"/>
  <c r="H1926" i="4" s="1"/>
  <c r="H1927" i="4" s="1"/>
  <c r="H1928" i="4" s="1"/>
  <c r="H1929" i="4" s="1"/>
  <c r="H1930" i="4" s="1"/>
  <c r="H1931" i="4" s="1"/>
  <c r="H1932" i="4" s="1"/>
  <c r="H1933" i="4" s="1"/>
  <c r="H1934" i="4" s="1"/>
  <c r="H1935" i="4" s="1"/>
  <c r="H1936" i="4" s="1"/>
  <c r="H1937" i="4" s="1"/>
  <c r="H1938" i="4" s="1"/>
  <c r="H1939" i="4" s="1"/>
  <c r="H1940" i="4" s="1"/>
  <c r="H1941" i="4" s="1"/>
  <c r="H1942" i="4" s="1"/>
  <c r="H1943" i="4" s="1"/>
  <c r="H1944" i="4" s="1"/>
  <c r="H1945" i="4" s="1"/>
  <c r="H1946" i="4" s="1"/>
  <c r="H1947" i="4" s="1"/>
  <c r="H1948" i="4" s="1"/>
  <c r="H1949" i="4" s="1"/>
  <c r="H1950" i="4" s="1"/>
  <c r="H1951" i="4" s="1"/>
  <c r="H1952" i="4" s="1"/>
  <c r="H1953" i="4" s="1"/>
  <c r="H1954" i="4" s="1"/>
  <c r="H1955" i="4" s="1"/>
  <c r="H1956" i="4" s="1"/>
  <c r="H1957" i="4" s="1"/>
  <c r="H1958" i="4" s="1"/>
  <c r="H1959" i="4" s="1"/>
  <c r="H1960" i="4" s="1"/>
  <c r="H1961" i="4" s="1"/>
  <c r="H1962" i="4" s="1"/>
  <c r="H1963" i="4" s="1"/>
  <c r="H1964" i="4" s="1"/>
  <c r="H1965" i="4" s="1"/>
  <c r="H1966" i="4" s="1"/>
  <c r="H1967" i="4" s="1"/>
  <c r="H1968" i="4" s="1"/>
  <c r="H1969" i="4" s="1"/>
  <c r="H1970" i="4" s="1"/>
  <c r="H1971" i="4" s="1"/>
  <c r="H1972" i="4" s="1"/>
  <c r="H1973" i="4" s="1"/>
  <c r="H1974" i="4" s="1"/>
  <c r="H1975" i="4" s="1"/>
  <c r="H1976" i="4" s="1"/>
  <c r="H1977" i="4" s="1"/>
  <c r="H1978" i="4" s="1"/>
  <c r="H1979" i="4" s="1"/>
  <c r="H1980" i="4" s="1"/>
  <c r="H1981" i="4" s="1"/>
  <c r="H1982" i="4" s="1"/>
  <c r="H1983" i="4" s="1"/>
  <c r="H1984" i="4" s="1"/>
  <c r="H1985" i="4" s="1"/>
  <c r="H1986" i="4" s="1"/>
  <c r="H1987" i="4" s="1"/>
  <c r="H1988" i="4" s="1"/>
  <c r="H1989" i="4" s="1"/>
  <c r="H1990" i="4" s="1"/>
  <c r="H1991" i="4" s="1"/>
  <c r="H1992" i="4" s="1"/>
  <c r="H1993" i="4" s="1"/>
  <c r="H1994" i="4" s="1"/>
  <c r="H1995" i="4" s="1"/>
  <c r="H1996" i="4" s="1"/>
  <c r="H1997" i="4" s="1"/>
  <c r="H1998" i="4" s="1"/>
  <c r="H1999" i="4" s="1"/>
  <c r="H2000" i="4" s="1"/>
  <c r="H2001" i="4" s="1"/>
  <c r="H2002" i="4" s="1"/>
  <c r="H2003" i="4" s="1"/>
  <c r="H2004" i="4" s="1"/>
  <c r="H2005" i="4" s="1"/>
  <c r="H2006" i="4" s="1"/>
  <c r="H2007" i="4" s="1"/>
  <c r="H2008" i="4" s="1"/>
  <c r="H2009" i="4" s="1"/>
  <c r="H2010" i="4" s="1"/>
  <c r="H2011" i="4" s="1"/>
  <c r="H2012" i="4" s="1"/>
  <c r="H2013" i="4" s="1"/>
  <c r="H2014" i="4" s="1"/>
  <c r="H2015" i="4" s="1"/>
  <c r="H2016" i="4" s="1"/>
  <c r="H2017" i="4" s="1"/>
  <c r="H2018" i="4" s="1"/>
  <c r="H2019" i="4" s="1"/>
  <c r="H2020" i="4" s="1"/>
  <c r="H2021" i="4" s="1"/>
  <c r="H2022" i="4" s="1"/>
  <c r="H2023" i="4" s="1"/>
  <c r="H2024" i="4" s="1"/>
  <c r="H2025" i="4" s="1"/>
  <c r="H2026" i="4" s="1"/>
  <c r="H2027" i="4" s="1"/>
  <c r="H2028" i="4" s="1"/>
  <c r="H2029" i="4" s="1"/>
  <c r="H2030" i="4" s="1"/>
  <c r="H2031" i="4" s="1"/>
  <c r="H2032" i="4" s="1"/>
  <c r="H2033" i="4" s="1"/>
  <c r="H2034" i="4" s="1"/>
  <c r="H2035" i="4" s="1"/>
  <c r="H2036" i="4" s="1"/>
  <c r="H2037" i="4" s="1"/>
  <c r="H2038" i="4" s="1"/>
  <c r="H2039" i="4" s="1"/>
  <c r="H2040" i="4" s="1"/>
  <c r="H2041" i="4" s="1"/>
  <c r="H2042" i="4" s="1"/>
  <c r="H2043" i="4" s="1"/>
  <c r="H2044" i="4" s="1"/>
  <c r="H2045" i="4" s="1"/>
  <c r="H2046" i="4" s="1"/>
  <c r="H2047" i="4" s="1"/>
  <c r="H2048" i="4" s="1"/>
  <c r="H2049" i="4" s="1"/>
  <c r="H2050" i="4" s="1"/>
  <c r="H2051" i="4" s="1"/>
  <c r="H2052" i="4" s="1"/>
  <c r="H2053" i="4" s="1"/>
  <c r="H2054" i="4" s="1"/>
  <c r="H2055" i="4" s="1"/>
  <c r="H2056" i="4" s="1"/>
  <c r="H2057" i="4" s="1"/>
  <c r="H2058" i="4" s="1"/>
  <c r="H2059" i="4" s="1"/>
  <c r="H2060" i="4" s="1"/>
  <c r="H2061" i="4" s="1"/>
  <c r="H2062" i="4" s="1"/>
  <c r="H2063" i="4" s="1"/>
  <c r="H2064" i="4" s="1"/>
  <c r="H2065" i="4" s="1"/>
  <c r="H2066" i="4" s="1"/>
  <c r="H2067" i="4" s="1"/>
  <c r="H2068" i="4" s="1"/>
  <c r="H2069" i="4" s="1"/>
  <c r="H2070" i="4" s="1"/>
  <c r="H2071" i="4" s="1"/>
  <c r="H2072" i="4" s="1"/>
  <c r="H2073" i="4" s="1"/>
  <c r="H2074" i="4" s="1"/>
  <c r="H2075" i="4" s="1"/>
  <c r="H2076" i="4" s="1"/>
  <c r="H2077" i="4" s="1"/>
  <c r="H2078" i="4" s="1"/>
  <c r="H2079" i="4" s="1"/>
  <c r="H2080" i="4" s="1"/>
  <c r="H2081" i="4" s="1"/>
  <c r="H2082" i="4" s="1"/>
  <c r="H2083" i="4" s="1"/>
  <c r="H2084" i="4" s="1"/>
  <c r="H2085" i="4" s="1"/>
  <c r="H2086" i="4" s="1"/>
  <c r="H2087" i="4" s="1"/>
  <c r="H2088" i="4" s="1"/>
  <c r="H2089" i="4" s="1"/>
  <c r="H2090" i="4" s="1"/>
  <c r="H2091" i="4" s="1"/>
  <c r="H2092" i="4" s="1"/>
  <c r="H2093" i="4" s="1"/>
  <c r="H2094" i="4" s="1"/>
  <c r="H2095" i="4" s="1"/>
  <c r="H2096" i="4" s="1"/>
  <c r="H2097" i="4" s="1"/>
  <c r="H2098" i="4" s="1"/>
  <c r="H2099" i="4" s="1"/>
  <c r="H2100" i="4" s="1"/>
  <c r="H2101" i="4" s="1"/>
  <c r="H2102" i="4" s="1"/>
  <c r="H2103" i="4" s="1"/>
  <c r="H2104" i="4" s="1"/>
  <c r="H2105" i="4" s="1"/>
  <c r="H2106" i="4" s="1"/>
  <c r="H2107" i="4" s="1"/>
  <c r="H2108" i="4" s="1"/>
  <c r="H2109" i="4" s="1"/>
  <c r="H2110" i="4" s="1"/>
  <c r="H2111" i="4" s="1"/>
  <c r="H2112" i="4" s="1"/>
  <c r="H2113" i="4" s="1"/>
  <c r="H2114" i="4" s="1"/>
  <c r="H2115" i="4" s="1"/>
  <c r="H2116" i="4" s="1"/>
  <c r="H2117" i="4" s="1"/>
  <c r="H2118" i="4" s="1"/>
  <c r="H2119" i="4" s="1"/>
  <c r="H2120" i="4" s="1"/>
  <c r="H2121" i="4" s="1"/>
  <c r="H2122" i="4" s="1"/>
  <c r="H2123" i="4" s="1"/>
  <c r="H2124" i="4" s="1"/>
  <c r="H2125" i="4" s="1"/>
  <c r="H2126" i="4" s="1"/>
  <c r="H2127" i="4" s="1"/>
  <c r="H2128" i="4" s="1"/>
  <c r="H2129" i="4" s="1"/>
  <c r="H2130" i="4" s="1"/>
  <c r="H2131" i="4" s="1"/>
  <c r="H2132" i="4" s="1"/>
  <c r="H2133" i="4" s="1"/>
  <c r="H2134" i="4" s="1"/>
  <c r="H2135" i="4" s="1"/>
  <c r="H2136" i="4" s="1"/>
  <c r="H2137" i="4" s="1"/>
  <c r="H2138" i="4" s="1"/>
  <c r="H2139" i="4" s="1"/>
  <c r="H2140" i="4" s="1"/>
  <c r="H2141" i="4" s="1"/>
  <c r="H2142" i="4" s="1"/>
  <c r="H2143" i="4" s="1"/>
  <c r="H2144" i="4" s="1"/>
  <c r="H2145" i="4" s="1"/>
  <c r="H2146" i="4" s="1"/>
  <c r="H2147" i="4" s="1"/>
  <c r="H2148" i="4" s="1"/>
  <c r="H2149" i="4" s="1"/>
  <c r="H2150" i="4" s="1"/>
  <c r="H2151" i="4" s="1"/>
  <c r="H2152" i="4" s="1"/>
  <c r="H2153" i="4" s="1"/>
  <c r="H2154" i="4" s="1"/>
  <c r="H2155" i="4" s="1"/>
  <c r="H2156" i="4" s="1"/>
  <c r="H2157" i="4" s="1"/>
  <c r="H2158" i="4" s="1"/>
  <c r="H2159" i="4" s="1"/>
  <c r="H2160" i="4" s="1"/>
  <c r="H2161" i="4" s="1"/>
  <c r="H2162" i="4" s="1"/>
  <c r="H2163" i="4" s="1"/>
  <c r="H2164" i="4" s="1"/>
  <c r="H2165" i="4" s="1"/>
  <c r="H2166" i="4" s="1"/>
  <c r="H2167" i="4" s="1"/>
  <c r="H2168" i="4" s="1"/>
  <c r="H2169" i="4" s="1"/>
  <c r="H2170" i="4" s="1"/>
  <c r="H2171" i="4" s="1"/>
  <c r="H2172" i="4" s="1"/>
  <c r="H2173" i="4" s="1"/>
  <c r="H2174" i="4" s="1"/>
  <c r="H2175" i="4" s="1"/>
  <c r="H2176" i="4" s="1"/>
  <c r="H2177" i="4" s="1"/>
  <c r="H2178" i="4" s="1"/>
  <c r="H2179" i="4" s="1"/>
  <c r="H2180" i="4" s="1"/>
  <c r="H2181" i="4" s="1"/>
  <c r="H2182" i="4" s="1"/>
  <c r="H2183" i="4" s="1"/>
  <c r="H2184" i="4" s="1"/>
  <c r="H2185" i="4" s="1"/>
  <c r="H2186" i="4" s="1"/>
  <c r="H2187" i="4" s="1"/>
  <c r="H2188" i="4" s="1"/>
  <c r="H2189" i="4" s="1"/>
  <c r="H2190" i="4" s="1"/>
  <c r="H2191" i="4" s="1"/>
  <c r="H2192" i="4" s="1"/>
  <c r="H2193" i="4" s="1"/>
  <c r="H2194" i="4" s="1"/>
  <c r="H2195" i="4" s="1"/>
  <c r="H2196" i="4" s="1"/>
  <c r="H2197" i="4" s="1"/>
  <c r="H2198" i="4" s="1"/>
  <c r="H2199" i="4" s="1"/>
  <c r="H2200" i="4" s="1"/>
  <c r="H2201" i="4" s="1"/>
  <c r="H2202" i="4" s="1"/>
  <c r="H2203" i="4" s="1"/>
  <c r="H2204" i="4" s="1"/>
  <c r="H2205" i="4" s="1"/>
  <c r="H2206" i="4" s="1"/>
  <c r="H2207" i="4" s="1"/>
  <c r="H2208" i="4" s="1"/>
  <c r="H2209" i="4" s="1"/>
  <c r="H2210" i="4" s="1"/>
  <c r="H2211" i="4" s="1"/>
  <c r="H2212" i="4" s="1"/>
  <c r="H2213" i="4" s="1"/>
  <c r="H2214" i="4" s="1"/>
  <c r="H2215" i="4" s="1"/>
  <c r="H2216" i="4" s="1"/>
  <c r="H2217" i="4" s="1"/>
  <c r="H2218" i="4" s="1"/>
  <c r="H2219" i="4" s="1"/>
  <c r="H2220" i="4" s="1"/>
  <c r="H2221" i="4" s="1"/>
  <c r="H2222" i="4" s="1"/>
  <c r="H2223" i="4" s="1"/>
  <c r="H2224" i="4" s="1"/>
  <c r="H2225" i="4" s="1"/>
  <c r="H2226" i="4" s="1"/>
  <c r="H2227" i="4" s="1"/>
  <c r="H2228" i="4" s="1"/>
  <c r="H2229" i="4" s="1"/>
  <c r="H2230" i="4" s="1"/>
  <c r="H2231" i="4" s="1"/>
  <c r="H2232" i="4" s="1"/>
  <c r="H2233" i="4" s="1"/>
  <c r="H2234" i="4" s="1"/>
  <c r="H2235" i="4" s="1"/>
  <c r="H2236" i="4" s="1"/>
  <c r="H2237" i="4" s="1"/>
  <c r="H2238" i="4" s="1"/>
  <c r="H2239" i="4" s="1"/>
  <c r="H2240" i="4" s="1"/>
  <c r="H2241" i="4" s="1"/>
  <c r="H2242" i="4" s="1"/>
  <c r="H2243" i="4" s="1"/>
  <c r="H2244" i="4" s="1"/>
  <c r="H2245" i="4" s="1"/>
  <c r="H2246" i="4" s="1"/>
  <c r="H2247" i="4" s="1"/>
  <c r="H2248" i="4" s="1"/>
  <c r="H2249" i="4" s="1"/>
  <c r="H2250" i="4" s="1"/>
  <c r="H2251" i="4" s="1"/>
  <c r="H2252" i="4" s="1"/>
  <c r="H2253" i="4" s="1"/>
  <c r="H2254" i="4" s="1"/>
  <c r="H2255" i="4" s="1"/>
  <c r="H2256" i="4" s="1"/>
  <c r="H2257" i="4" s="1"/>
  <c r="H2258" i="4" s="1"/>
  <c r="H2259" i="4" s="1"/>
  <c r="H2260" i="4" s="1"/>
  <c r="H2261" i="4" s="1"/>
  <c r="H2262" i="4" s="1"/>
  <c r="H2263" i="4" s="1"/>
  <c r="H2264" i="4" s="1"/>
  <c r="H2265" i="4" s="1"/>
  <c r="H2266" i="4" s="1"/>
  <c r="H2267" i="4" s="1"/>
  <c r="H2268" i="4" s="1"/>
  <c r="H2269" i="4" s="1"/>
  <c r="H2270" i="4" s="1"/>
  <c r="H2271" i="4" s="1"/>
  <c r="H2272" i="4" s="1"/>
  <c r="H2273" i="4" s="1"/>
  <c r="H2274" i="4" s="1"/>
  <c r="H2275" i="4" s="1"/>
  <c r="H2276" i="4" s="1"/>
  <c r="H2277" i="4" s="1"/>
  <c r="H2278" i="4" s="1"/>
  <c r="H2279" i="4" s="1"/>
  <c r="H2280" i="4" s="1"/>
  <c r="H2281" i="4" s="1"/>
  <c r="H2282" i="4" s="1"/>
  <c r="H2283" i="4" s="1"/>
  <c r="H2284" i="4" s="1"/>
  <c r="H2285" i="4" s="1"/>
  <c r="H2286" i="4" s="1"/>
  <c r="H2287" i="4" s="1"/>
  <c r="H2288" i="4" s="1"/>
  <c r="H2289" i="4" s="1"/>
  <c r="H2290" i="4" s="1"/>
  <c r="H2291" i="4" s="1"/>
  <c r="H2292" i="4" s="1"/>
  <c r="H2293" i="4" s="1"/>
  <c r="H2294" i="4" s="1"/>
  <c r="H2295" i="4" s="1"/>
  <c r="H2296" i="4" s="1"/>
  <c r="H2297" i="4" s="1"/>
  <c r="H2298" i="4" s="1"/>
  <c r="H2299" i="4" s="1"/>
  <c r="H2300" i="4" s="1"/>
  <c r="H2301" i="4" s="1"/>
  <c r="H2302" i="4" s="1"/>
  <c r="H2303" i="4" s="1"/>
  <c r="H2304" i="4" s="1"/>
  <c r="H2305" i="4" s="1"/>
  <c r="H2306" i="4" s="1"/>
  <c r="H2307" i="4" s="1"/>
  <c r="H2308" i="4" s="1"/>
  <c r="H2309" i="4" s="1"/>
  <c r="H2310" i="4" s="1"/>
  <c r="H2311" i="4" s="1"/>
  <c r="H2312" i="4" s="1"/>
  <c r="H2313" i="4" s="1"/>
  <c r="H2314" i="4" s="1"/>
  <c r="H2315" i="4" s="1"/>
  <c r="H2316" i="4" s="1"/>
  <c r="H2317" i="4" s="1"/>
  <c r="H2318" i="4" s="1"/>
  <c r="H2319" i="4" s="1"/>
  <c r="H2320" i="4" s="1"/>
  <c r="H2321" i="4" s="1"/>
  <c r="H2322" i="4" s="1"/>
  <c r="H2323" i="4" s="1"/>
  <c r="H2324" i="4" s="1"/>
  <c r="H2325" i="4" s="1"/>
  <c r="H2326" i="4" s="1"/>
  <c r="H2327" i="4" s="1"/>
  <c r="H2328" i="4" s="1"/>
  <c r="H2329" i="4" s="1"/>
  <c r="H2330" i="4" s="1"/>
  <c r="H2331" i="4" s="1"/>
  <c r="H2332" i="4" s="1"/>
  <c r="H2333" i="4" s="1"/>
  <c r="H2334" i="4" s="1"/>
  <c r="H2335" i="4" s="1"/>
  <c r="H2336" i="4" s="1"/>
  <c r="H2337" i="4" s="1"/>
  <c r="H2338" i="4" s="1"/>
  <c r="H2339" i="4" s="1"/>
  <c r="H2340" i="4" s="1"/>
  <c r="H2341" i="4" s="1"/>
  <c r="H2342" i="4" s="1"/>
  <c r="H2343" i="4" s="1"/>
  <c r="H2344" i="4" s="1"/>
  <c r="H2345" i="4" s="1"/>
  <c r="H2346" i="4" s="1"/>
  <c r="H2347" i="4" s="1"/>
  <c r="H2348" i="4" s="1"/>
  <c r="H2349" i="4" s="1"/>
  <c r="H2350" i="4" s="1"/>
  <c r="H2351" i="4" s="1"/>
  <c r="H2352" i="4" s="1"/>
  <c r="H2353" i="4" s="1"/>
  <c r="H2354" i="4" s="1"/>
  <c r="H2355" i="4" s="1"/>
  <c r="H2356" i="4" s="1"/>
  <c r="H2357" i="4" s="1"/>
  <c r="H2358" i="4" s="1"/>
  <c r="H2359" i="4" s="1"/>
  <c r="H2360" i="4" s="1"/>
  <c r="H2361" i="4" s="1"/>
  <c r="H2362" i="4" s="1"/>
  <c r="H2363" i="4" s="1"/>
  <c r="H2364" i="4" s="1"/>
  <c r="H2365" i="4" s="1"/>
  <c r="H2366" i="4" s="1"/>
  <c r="H2367" i="4" s="1"/>
  <c r="H2368" i="4" s="1"/>
  <c r="H2369" i="4" s="1"/>
  <c r="H2370" i="4" s="1"/>
  <c r="H2371" i="4" s="1"/>
  <c r="H2372" i="4" s="1"/>
  <c r="H2373" i="4" s="1"/>
  <c r="H2374" i="4" s="1"/>
  <c r="H2375" i="4" s="1"/>
  <c r="H2376" i="4" s="1"/>
  <c r="H2377" i="4" s="1"/>
  <c r="H2378" i="4" s="1"/>
  <c r="H2379" i="4" s="1"/>
  <c r="H2380" i="4" s="1"/>
  <c r="H2381" i="4" s="1"/>
  <c r="H2382" i="4" s="1"/>
  <c r="H2383" i="4" s="1"/>
  <c r="H2384" i="4" s="1"/>
  <c r="H2385" i="4" s="1"/>
  <c r="H2386" i="4" s="1"/>
  <c r="H2387" i="4" s="1"/>
  <c r="H2388" i="4" s="1"/>
  <c r="H2389" i="4" s="1"/>
  <c r="H2390" i="4" s="1"/>
  <c r="H2391" i="4" s="1"/>
  <c r="H2392" i="4" s="1"/>
  <c r="H2393" i="4" s="1"/>
  <c r="H2394" i="4" s="1"/>
  <c r="H2395" i="4" s="1"/>
  <c r="H2396" i="4" s="1"/>
  <c r="H2397" i="4" s="1"/>
  <c r="H2398" i="4" s="1"/>
  <c r="H2399" i="4" s="1"/>
  <c r="H2400" i="4" s="1"/>
  <c r="H2401" i="4" s="1"/>
  <c r="H2402" i="4" s="1"/>
  <c r="H2403" i="4" s="1"/>
  <c r="H2404" i="4" s="1"/>
  <c r="H2405" i="4" s="1"/>
  <c r="H2406" i="4" s="1"/>
  <c r="H2407" i="4" s="1"/>
  <c r="H2408" i="4" s="1"/>
  <c r="H2409" i="4" s="1"/>
  <c r="H2410" i="4" s="1"/>
  <c r="H2411" i="4" s="1"/>
  <c r="H2412" i="4" s="1"/>
  <c r="H2413" i="4" s="1"/>
  <c r="H2414" i="4" s="1"/>
  <c r="H2415" i="4" s="1"/>
  <c r="H2416" i="4" s="1"/>
  <c r="H2417" i="4" s="1"/>
  <c r="H2418" i="4" s="1"/>
  <c r="H2419" i="4" s="1"/>
  <c r="H2420" i="4" s="1"/>
  <c r="H2421" i="4" s="1"/>
  <c r="H2422" i="4" s="1"/>
  <c r="H2423" i="4" s="1"/>
  <c r="H2424" i="4" s="1"/>
  <c r="H2425" i="4" s="1"/>
  <c r="H2426" i="4" s="1"/>
  <c r="H2427" i="4" s="1"/>
  <c r="H2428" i="4" s="1"/>
  <c r="H2429" i="4" s="1"/>
  <c r="H2430" i="4" s="1"/>
  <c r="H2431" i="4" s="1"/>
  <c r="H2432" i="4" s="1"/>
  <c r="H2433" i="4" s="1"/>
  <c r="H2434" i="4" s="1"/>
  <c r="H2435" i="4" s="1"/>
  <c r="H2436" i="4" s="1"/>
  <c r="H2437" i="4" s="1"/>
  <c r="H2438" i="4" s="1"/>
  <c r="H2439" i="4" s="1"/>
  <c r="H2440" i="4" s="1"/>
  <c r="H2441" i="4" s="1"/>
  <c r="H2442" i="4" s="1"/>
  <c r="H2443" i="4" s="1"/>
  <c r="H2444" i="4" s="1"/>
  <c r="H2445" i="4" s="1"/>
  <c r="H2446" i="4" s="1"/>
  <c r="H2447" i="4" s="1"/>
  <c r="H2448" i="4" s="1"/>
  <c r="H2449" i="4" s="1"/>
  <c r="H2450" i="4" s="1"/>
  <c r="H2451" i="4" s="1"/>
  <c r="H2452" i="4" s="1"/>
  <c r="H2453" i="4" s="1"/>
  <c r="H2454" i="4" s="1"/>
  <c r="H2455" i="4" s="1"/>
  <c r="H2456" i="4" s="1"/>
  <c r="H2457" i="4" s="1"/>
  <c r="H2458" i="4" s="1"/>
  <c r="H2459" i="4" s="1"/>
  <c r="H2460" i="4" s="1"/>
  <c r="H2461" i="4" s="1"/>
  <c r="H2462" i="4" s="1"/>
  <c r="H2463" i="4" s="1"/>
  <c r="H2464" i="4" s="1"/>
  <c r="H2465" i="4" s="1"/>
  <c r="H2466" i="4" s="1"/>
  <c r="H2467" i="4" s="1"/>
  <c r="H2468" i="4" s="1"/>
  <c r="H2469" i="4" s="1"/>
  <c r="H2470" i="4" s="1"/>
  <c r="H2471" i="4" s="1"/>
  <c r="H2472" i="4" s="1"/>
  <c r="H2473" i="4" s="1"/>
  <c r="H2474" i="4" s="1"/>
  <c r="H2475" i="4" s="1"/>
  <c r="H2476" i="4" s="1"/>
  <c r="H2477" i="4" s="1"/>
  <c r="H2478" i="4" s="1"/>
  <c r="H2479" i="4" s="1"/>
  <c r="H2480" i="4" s="1"/>
  <c r="H2481" i="4" s="1"/>
  <c r="H2482" i="4" s="1"/>
  <c r="H2483" i="4" s="1"/>
  <c r="H2484" i="4" s="1"/>
  <c r="H2485" i="4" s="1"/>
  <c r="H2486" i="4" s="1"/>
  <c r="H2487" i="4" s="1"/>
  <c r="H2488" i="4" s="1"/>
  <c r="H2489" i="4" s="1"/>
  <c r="H2490" i="4" s="1"/>
  <c r="H2491" i="4" s="1"/>
  <c r="H2492" i="4" s="1"/>
  <c r="H2493" i="4" s="1"/>
  <c r="H2494" i="4" s="1"/>
  <c r="H2495" i="4" s="1"/>
  <c r="H2496" i="4" s="1"/>
  <c r="H2497" i="4" s="1"/>
  <c r="H2498" i="4" s="1"/>
  <c r="H2499" i="4" s="1"/>
  <c r="H2500" i="4" s="1"/>
  <c r="H2501" i="4" s="1"/>
  <c r="H2502" i="4" s="1"/>
  <c r="H2503" i="4" s="1"/>
  <c r="H2504" i="4" s="1"/>
  <c r="H2505" i="4" s="1"/>
  <c r="H2506" i="4" s="1"/>
  <c r="H2507" i="4" s="1"/>
  <c r="H2508" i="4" s="1"/>
  <c r="H2509" i="4" s="1"/>
  <c r="H2510" i="4" s="1"/>
  <c r="H2511" i="4" s="1"/>
  <c r="H2512" i="4" s="1"/>
  <c r="H2513" i="4" s="1"/>
  <c r="H2514" i="4" s="1"/>
  <c r="H2515" i="4" s="1"/>
  <c r="H2516" i="4" s="1"/>
  <c r="H2517" i="4" s="1"/>
  <c r="H2518" i="4" s="1"/>
  <c r="H2519" i="4" s="1"/>
  <c r="H2520" i="4" s="1"/>
  <c r="H2521" i="4" s="1"/>
  <c r="H2522" i="4" s="1"/>
  <c r="H2523" i="4" s="1"/>
  <c r="H2524" i="4" s="1"/>
  <c r="H2525" i="4" s="1"/>
  <c r="H2526" i="4" s="1"/>
  <c r="H2527" i="4" s="1"/>
  <c r="H2528" i="4" s="1"/>
  <c r="H2529" i="4" s="1"/>
  <c r="H2530" i="4" s="1"/>
  <c r="H2531" i="4" s="1"/>
  <c r="H2532" i="4" s="1"/>
  <c r="H2533" i="4" s="1"/>
  <c r="H2534" i="4" s="1"/>
  <c r="H2535" i="4" s="1"/>
  <c r="H2536" i="4" s="1"/>
  <c r="H2537" i="4" s="1"/>
  <c r="H2538" i="4" s="1"/>
  <c r="H2539" i="4" s="1"/>
  <c r="H2540" i="4" s="1"/>
  <c r="H2541" i="4" s="1"/>
  <c r="H2542" i="4" s="1"/>
  <c r="H2543" i="4" s="1"/>
  <c r="H2544" i="4" s="1"/>
  <c r="H2545" i="4" s="1"/>
  <c r="H2546" i="4" s="1"/>
  <c r="H2547" i="4" s="1"/>
  <c r="H2548" i="4" s="1"/>
  <c r="H2549" i="4" s="1"/>
  <c r="H2550" i="4" s="1"/>
  <c r="H2551" i="4" s="1"/>
  <c r="H2552" i="4" s="1"/>
  <c r="H2553" i="4" s="1"/>
  <c r="H2554" i="4" s="1"/>
  <c r="H2555" i="4" s="1"/>
  <c r="H2556" i="4" s="1"/>
  <c r="H2557" i="4" s="1"/>
  <c r="H2558" i="4" s="1"/>
  <c r="H2559" i="4" s="1"/>
  <c r="H2560" i="4" s="1"/>
  <c r="H2561" i="4" s="1"/>
  <c r="H2562" i="4" s="1"/>
  <c r="H2563" i="4" s="1"/>
  <c r="H2564" i="4" s="1"/>
  <c r="H2565" i="4" s="1"/>
  <c r="H2566" i="4" s="1"/>
  <c r="H2567" i="4" s="1"/>
  <c r="H2568" i="4" s="1"/>
  <c r="H2569" i="4" s="1"/>
  <c r="H2570" i="4" s="1"/>
  <c r="H2571" i="4" s="1"/>
  <c r="H2572" i="4" s="1"/>
  <c r="H2573" i="4" s="1"/>
  <c r="H2574" i="4" s="1"/>
  <c r="H2575" i="4" s="1"/>
  <c r="H2576" i="4" s="1"/>
  <c r="H2577" i="4" s="1"/>
  <c r="H2578" i="4" s="1"/>
  <c r="H2579" i="4" s="1"/>
  <c r="H2580" i="4" s="1"/>
  <c r="H2581" i="4" s="1"/>
  <c r="H2582" i="4" s="1"/>
  <c r="H2583" i="4" s="1"/>
  <c r="H2584" i="4" s="1"/>
  <c r="H2585" i="4" s="1"/>
  <c r="H2586" i="4" s="1"/>
  <c r="H2587" i="4" s="1"/>
  <c r="H2588" i="4" s="1"/>
  <c r="H2589" i="4" s="1"/>
  <c r="H2590" i="4" s="1"/>
  <c r="H2591" i="4" s="1"/>
  <c r="H2592" i="4" s="1"/>
  <c r="H2593" i="4" s="1"/>
  <c r="H2594" i="4" s="1"/>
  <c r="H2595" i="4" s="1"/>
  <c r="H2596" i="4" s="1"/>
  <c r="H2597" i="4" s="1"/>
  <c r="H2598" i="4" s="1"/>
  <c r="H2599" i="4" s="1"/>
  <c r="H2600" i="4" s="1"/>
  <c r="H2601" i="4" s="1"/>
  <c r="H2602" i="4" s="1"/>
  <c r="H2603" i="4" s="1"/>
  <c r="H2604" i="4" s="1"/>
  <c r="H2605" i="4" s="1"/>
  <c r="H2606" i="4" s="1"/>
  <c r="H2607" i="4" s="1"/>
  <c r="H2608" i="4" s="1"/>
  <c r="H2609" i="4" s="1"/>
  <c r="H2610" i="4" s="1"/>
  <c r="H2611" i="4" s="1"/>
  <c r="H2612" i="4" s="1"/>
  <c r="H2613" i="4" s="1"/>
  <c r="H2614" i="4" s="1"/>
  <c r="H2615" i="4" s="1"/>
  <c r="H2616" i="4" s="1"/>
  <c r="H2617" i="4" s="1"/>
  <c r="H2618" i="4" s="1"/>
  <c r="H2619" i="4" s="1"/>
  <c r="H2620" i="4" s="1"/>
  <c r="H2621" i="4" s="1"/>
  <c r="H2622" i="4" s="1"/>
  <c r="H2623" i="4" s="1"/>
  <c r="H2624" i="4" s="1"/>
  <c r="H2625" i="4" s="1"/>
  <c r="H2626" i="4" s="1"/>
  <c r="H2627" i="4" s="1"/>
  <c r="H2628" i="4" s="1"/>
  <c r="H2629" i="4" s="1"/>
  <c r="H2630" i="4" s="1"/>
  <c r="H2631" i="4" s="1"/>
  <c r="H2632" i="4" s="1"/>
  <c r="H2633" i="4" s="1"/>
  <c r="H2634" i="4" s="1"/>
  <c r="H2635" i="4" s="1"/>
  <c r="H2636" i="4" s="1"/>
  <c r="H2637" i="4" s="1"/>
  <c r="H2638" i="4" s="1"/>
  <c r="H2639" i="4" s="1"/>
  <c r="H2640" i="4" s="1"/>
  <c r="H2641" i="4" s="1"/>
  <c r="H2642" i="4" s="1"/>
  <c r="H2643" i="4" s="1"/>
  <c r="H2644" i="4" s="1"/>
  <c r="H2645" i="4" s="1"/>
  <c r="H2646" i="4" s="1"/>
  <c r="H2647" i="4" s="1"/>
  <c r="H2648" i="4" s="1"/>
  <c r="H2649" i="4" s="1"/>
  <c r="H2650" i="4" s="1"/>
  <c r="H2651" i="4" s="1"/>
  <c r="H2652" i="4" s="1"/>
  <c r="H2653" i="4" s="1"/>
  <c r="H2654" i="4" s="1"/>
  <c r="H2655" i="4" s="1"/>
  <c r="H2656" i="4" s="1"/>
  <c r="H2657" i="4" s="1"/>
  <c r="H2658" i="4" s="1"/>
  <c r="H2659" i="4" s="1"/>
  <c r="H2660" i="4" s="1"/>
  <c r="H2661" i="4" s="1"/>
  <c r="H2662" i="4" s="1"/>
  <c r="H2663" i="4" s="1"/>
  <c r="H2664" i="4" s="1"/>
  <c r="H2665" i="4" s="1"/>
  <c r="H2666" i="4" s="1"/>
  <c r="H2667" i="4" s="1"/>
  <c r="H2668" i="4" s="1"/>
  <c r="H2669" i="4" s="1"/>
  <c r="H2670" i="4" s="1"/>
  <c r="H2671" i="4" s="1"/>
  <c r="H2672" i="4" s="1"/>
  <c r="H2673" i="4" s="1"/>
  <c r="H2674" i="4" s="1"/>
  <c r="H2675" i="4" s="1"/>
  <c r="H2676" i="4" s="1"/>
  <c r="H2677" i="4" s="1"/>
  <c r="H2678" i="4" s="1"/>
  <c r="H2679" i="4" s="1"/>
  <c r="H2680" i="4" s="1"/>
  <c r="H2681" i="4" s="1"/>
  <c r="H2682" i="4" s="1"/>
  <c r="H2683" i="4" s="1"/>
  <c r="H2684" i="4" s="1"/>
  <c r="H2685" i="4" s="1"/>
  <c r="H2686" i="4" s="1"/>
  <c r="H2687" i="4" s="1"/>
  <c r="H2688" i="4" s="1"/>
  <c r="H2689" i="4" s="1"/>
  <c r="H2690" i="4" s="1"/>
  <c r="H2691" i="4" s="1"/>
  <c r="H2692" i="4" s="1"/>
  <c r="H2693" i="4" s="1"/>
  <c r="H2694" i="4" s="1"/>
  <c r="H2695" i="4" s="1"/>
  <c r="H2696" i="4" s="1"/>
  <c r="H2697" i="4" s="1"/>
  <c r="H2698" i="4" s="1"/>
  <c r="H2699" i="4" s="1"/>
  <c r="H2700" i="4" s="1"/>
  <c r="H2701" i="4" s="1"/>
  <c r="H2702" i="4" s="1"/>
  <c r="H2703" i="4" s="1"/>
  <c r="H2704" i="4" s="1"/>
  <c r="H2705" i="4" s="1"/>
  <c r="H2706" i="4" s="1"/>
  <c r="H2707" i="4" s="1"/>
  <c r="H2708" i="4" s="1"/>
  <c r="H2709" i="4" s="1"/>
  <c r="H2710" i="4" s="1"/>
  <c r="H2711" i="4" s="1"/>
  <c r="H2712" i="4" s="1"/>
  <c r="H2713" i="4" s="1"/>
  <c r="H2714" i="4" s="1"/>
  <c r="H2715" i="4" s="1"/>
  <c r="H2716" i="4" s="1"/>
  <c r="H2717" i="4" s="1"/>
  <c r="H2718" i="4" s="1"/>
  <c r="H2719" i="4" s="1"/>
  <c r="H2720" i="4" s="1"/>
  <c r="H2721" i="4" s="1"/>
  <c r="H2722" i="4" s="1"/>
  <c r="H2723" i="4" s="1"/>
  <c r="H2724" i="4" s="1"/>
  <c r="H2725" i="4" s="1"/>
  <c r="H2726" i="4" s="1"/>
  <c r="H2727" i="4" s="1"/>
  <c r="H2728" i="4" s="1"/>
  <c r="H2729" i="4" s="1"/>
  <c r="H2730" i="4" s="1"/>
  <c r="H2731" i="4" s="1"/>
  <c r="H2732" i="4" s="1"/>
  <c r="H2733" i="4" s="1"/>
  <c r="H2734" i="4" s="1"/>
  <c r="H2735" i="4" s="1"/>
  <c r="H2736" i="4" s="1"/>
  <c r="H2737" i="4" s="1"/>
  <c r="H2738" i="4" s="1"/>
  <c r="H2739" i="4" s="1"/>
  <c r="H2740" i="4" s="1"/>
  <c r="H2741" i="4" s="1"/>
  <c r="H2742" i="4" s="1"/>
  <c r="H2743" i="4" s="1"/>
  <c r="H2744" i="4" s="1"/>
  <c r="H2745" i="4" s="1"/>
  <c r="H2746" i="4" s="1"/>
  <c r="H2747" i="4" s="1"/>
  <c r="H2748" i="4" s="1"/>
  <c r="H2749" i="4" s="1"/>
  <c r="H2750" i="4" s="1"/>
  <c r="H2751" i="4" s="1"/>
  <c r="H2752" i="4" s="1"/>
  <c r="H2753" i="4" s="1"/>
  <c r="H2754" i="4" s="1"/>
  <c r="H2755" i="4" s="1"/>
  <c r="H2756" i="4" s="1"/>
  <c r="H2757" i="4" s="1"/>
  <c r="H2758" i="4" s="1"/>
  <c r="H2759" i="4" s="1"/>
  <c r="H2760" i="4" s="1"/>
  <c r="H2761" i="4" s="1"/>
  <c r="H2762" i="4" s="1"/>
  <c r="H2763" i="4" s="1"/>
  <c r="H2764" i="4" s="1"/>
  <c r="H2765" i="4" s="1"/>
  <c r="H2766" i="4" s="1"/>
  <c r="H2767" i="4" s="1"/>
  <c r="H2768" i="4" s="1"/>
  <c r="H2769" i="4" s="1"/>
  <c r="H2770" i="4" s="1"/>
  <c r="H2771" i="4" s="1"/>
  <c r="H2772" i="4" s="1"/>
  <c r="H2773" i="4" s="1"/>
  <c r="H2774" i="4" s="1"/>
  <c r="H2775" i="4" s="1"/>
  <c r="H2776" i="4" s="1"/>
  <c r="H2777" i="4" s="1"/>
  <c r="H2778" i="4" s="1"/>
  <c r="H2779" i="4" s="1"/>
  <c r="H2780" i="4" s="1"/>
  <c r="H2781" i="4" s="1"/>
  <c r="H2782" i="4" s="1"/>
  <c r="H2783" i="4" s="1"/>
  <c r="H2784" i="4" s="1"/>
  <c r="H2785" i="4" s="1"/>
  <c r="H2786" i="4" s="1"/>
  <c r="H2787" i="4" s="1"/>
  <c r="H2788" i="4" s="1"/>
  <c r="H2789" i="4" s="1"/>
  <c r="H2790" i="4" s="1"/>
  <c r="H2791" i="4" s="1"/>
  <c r="H2792" i="4" s="1"/>
  <c r="H2793" i="4" s="1"/>
  <c r="H2794" i="4" s="1"/>
  <c r="H2795" i="4" s="1"/>
  <c r="H2796" i="4" s="1"/>
  <c r="H2797" i="4" s="1"/>
  <c r="H2798" i="4" s="1"/>
  <c r="H2799" i="4" s="1"/>
  <c r="H2800" i="4" s="1"/>
  <c r="H2801" i="4" s="1"/>
  <c r="H2802" i="4" s="1"/>
  <c r="H2803" i="4" s="1"/>
  <c r="H2804" i="4" s="1"/>
  <c r="H2805" i="4" s="1"/>
  <c r="H2806" i="4" s="1"/>
  <c r="H2807" i="4" s="1"/>
  <c r="H2808" i="4" s="1"/>
  <c r="H2809" i="4" s="1"/>
  <c r="H2810" i="4" s="1"/>
  <c r="H2811" i="4" s="1"/>
  <c r="H2812" i="4" s="1"/>
  <c r="H2813" i="4" s="1"/>
  <c r="H2814" i="4" s="1"/>
  <c r="H2815" i="4" s="1"/>
  <c r="H2816" i="4" s="1"/>
  <c r="H2817" i="4" s="1"/>
  <c r="H2818" i="4" s="1"/>
  <c r="H2819" i="4" s="1"/>
  <c r="H2820" i="4" s="1"/>
  <c r="H2821" i="4" s="1"/>
  <c r="H2822" i="4" s="1"/>
  <c r="H2823" i="4" s="1"/>
  <c r="H2824" i="4" s="1"/>
  <c r="H2825" i="4" s="1"/>
  <c r="H2826" i="4" s="1"/>
  <c r="H2827" i="4" s="1"/>
  <c r="H2828" i="4" s="1"/>
  <c r="H2829" i="4" s="1"/>
  <c r="H2830" i="4" s="1"/>
  <c r="H2831" i="4" s="1"/>
  <c r="H2832" i="4" s="1"/>
  <c r="H2833" i="4" s="1"/>
  <c r="H2834" i="4" s="1"/>
  <c r="H2835" i="4" s="1"/>
  <c r="H2836" i="4" s="1"/>
  <c r="H2837" i="4" s="1"/>
  <c r="H2838" i="4" s="1"/>
  <c r="H2839" i="4" s="1"/>
  <c r="H2840" i="4" s="1"/>
  <c r="H2841" i="4" s="1"/>
  <c r="H2842" i="4" s="1"/>
  <c r="H2843" i="4" s="1"/>
  <c r="H2844" i="4" s="1"/>
  <c r="H2845" i="4" s="1"/>
  <c r="H2846" i="4" s="1"/>
  <c r="H2847" i="4" s="1"/>
  <c r="H2848" i="4" s="1"/>
  <c r="H2849" i="4" s="1"/>
  <c r="H2850" i="4" s="1"/>
  <c r="H2851" i="4" s="1"/>
  <c r="H2852" i="4" s="1"/>
  <c r="H2853" i="4" s="1"/>
  <c r="H2854" i="4" s="1"/>
  <c r="H2855" i="4" s="1"/>
  <c r="H2856" i="4" s="1"/>
  <c r="H2857" i="4" s="1"/>
  <c r="H2858" i="4" s="1"/>
  <c r="H2859" i="4" s="1"/>
  <c r="H2860" i="4" s="1"/>
  <c r="H2861" i="4" s="1"/>
  <c r="H2862" i="4" s="1"/>
  <c r="H2863" i="4" s="1"/>
  <c r="H2864" i="4" s="1"/>
  <c r="H2865" i="4" s="1"/>
  <c r="H2866" i="4" s="1"/>
  <c r="H2867" i="4" s="1"/>
  <c r="H2868" i="4" s="1"/>
  <c r="H2869" i="4" s="1"/>
  <c r="H2870" i="4" s="1"/>
  <c r="H2871" i="4" s="1"/>
  <c r="H2872" i="4" s="1"/>
  <c r="H2873" i="4" s="1"/>
  <c r="H2874" i="4" s="1"/>
  <c r="H2875" i="4" s="1"/>
  <c r="H2876" i="4" s="1"/>
  <c r="H2877" i="4" s="1"/>
  <c r="H2878" i="4" s="1"/>
  <c r="H2879" i="4" s="1"/>
  <c r="H2880" i="4" s="1"/>
  <c r="H2881" i="4" s="1"/>
  <c r="H2882" i="4" s="1"/>
  <c r="H2883" i="4" s="1"/>
  <c r="H2884" i="4" s="1"/>
  <c r="H2885" i="4" s="1"/>
  <c r="H2886" i="4" s="1"/>
  <c r="H2887" i="4" s="1"/>
  <c r="H2888" i="4" s="1"/>
  <c r="H2889" i="4" s="1"/>
  <c r="H2890" i="4" s="1"/>
  <c r="H2891" i="4" s="1"/>
  <c r="H2892" i="4" s="1"/>
  <c r="H2893" i="4" s="1"/>
  <c r="H2894" i="4" s="1"/>
  <c r="H2895" i="4" s="1"/>
  <c r="H2896" i="4" s="1"/>
  <c r="H2897" i="4" s="1"/>
  <c r="H2898" i="4" s="1"/>
  <c r="H2899" i="4" s="1"/>
  <c r="H2900" i="4" s="1"/>
  <c r="H2901" i="4" s="1"/>
  <c r="H2902" i="4" s="1"/>
  <c r="H2903" i="4" s="1"/>
  <c r="H2904" i="4" s="1"/>
  <c r="H2905" i="4" s="1"/>
  <c r="H2906" i="4" s="1"/>
  <c r="H2907" i="4" s="1"/>
  <c r="H2908" i="4" s="1"/>
  <c r="H2909" i="4" s="1"/>
  <c r="H2910" i="4" s="1"/>
  <c r="H2911" i="4" s="1"/>
  <c r="H2912" i="4" s="1"/>
  <c r="H2913" i="4" s="1"/>
  <c r="H2914" i="4" s="1"/>
  <c r="H2915" i="4" s="1"/>
  <c r="H2916" i="4" s="1"/>
  <c r="H2917" i="4" s="1"/>
  <c r="H2918" i="4" s="1"/>
  <c r="H2919" i="4" s="1"/>
  <c r="H2920" i="4" s="1"/>
  <c r="H2921" i="4" s="1"/>
  <c r="H2922" i="4" s="1"/>
  <c r="H2923" i="4" s="1"/>
  <c r="H2924" i="4" s="1"/>
  <c r="H2925" i="4" s="1"/>
  <c r="H2926" i="4" s="1"/>
  <c r="H2927" i="4" s="1"/>
  <c r="H2928" i="4" s="1"/>
  <c r="H2929" i="4" s="1"/>
  <c r="H2930" i="4" s="1"/>
  <c r="H2931" i="4" s="1"/>
  <c r="H2932" i="4" s="1"/>
  <c r="H2933" i="4" s="1"/>
  <c r="H2934" i="4" s="1"/>
  <c r="H2935" i="4" s="1"/>
  <c r="H2936" i="4" s="1"/>
  <c r="H2937" i="4" s="1"/>
  <c r="H2938" i="4" s="1"/>
  <c r="H2939" i="4" s="1"/>
  <c r="H2940" i="4" s="1"/>
  <c r="H2941" i="4" s="1"/>
  <c r="H2942" i="4" s="1"/>
  <c r="H2943" i="4" s="1"/>
  <c r="H2944" i="4" s="1"/>
  <c r="H2945" i="4" s="1"/>
  <c r="H2946" i="4" s="1"/>
  <c r="H2947" i="4" s="1"/>
  <c r="H2948" i="4" s="1"/>
  <c r="H2949" i="4" s="1"/>
  <c r="H2950" i="4" s="1"/>
  <c r="H2951" i="4" s="1"/>
  <c r="H2952" i="4" s="1"/>
  <c r="H2953" i="4" s="1"/>
  <c r="H2954" i="4" s="1"/>
  <c r="H2955" i="4" s="1"/>
  <c r="H2956" i="4" s="1"/>
  <c r="H2957" i="4" s="1"/>
  <c r="H2958" i="4" s="1"/>
  <c r="H2959" i="4" s="1"/>
  <c r="H2960" i="4" s="1"/>
  <c r="H2961" i="4" s="1"/>
  <c r="H2962" i="4" s="1"/>
  <c r="H2963" i="4" s="1"/>
  <c r="H2964" i="4" s="1"/>
  <c r="H2965" i="4" s="1"/>
  <c r="H2966" i="4" s="1"/>
  <c r="H2967" i="4" s="1"/>
  <c r="H2968" i="4" s="1"/>
  <c r="H2969" i="4" s="1"/>
  <c r="H2970" i="4" s="1"/>
  <c r="H2971" i="4" s="1"/>
  <c r="H2972" i="4" s="1"/>
  <c r="H2973" i="4" s="1"/>
  <c r="H2974" i="4" s="1"/>
  <c r="H2975" i="4" s="1"/>
  <c r="H2976" i="4" s="1"/>
  <c r="H2977" i="4" s="1"/>
  <c r="H2978" i="4" s="1"/>
  <c r="H2979" i="4" s="1"/>
  <c r="H2980" i="4" s="1"/>
  <c r="H2981" i="4" s="1"/>
  <c r="H2982" i="4" s="1"/>
  <c r="H2983" i="4" s="1"/>
  <c r="H2984" i="4" s="1"/>
  <c r="H2985" i="4" s="1"/>
  <c r="H2986" i="4" s="1"/>
  <c r="H2987" i="4" s="1"/>
  <c r="H2988" i="4" s="1"/>
  <c r="H2989" i="4" s="1"/>
  <c r="H2990" i="4" s="1"/>
  <c r="H2991" i="4" s="1"/>
  <c r="H2992" i="4" s="1"/>
  <c r="H2993" i="4" s="1"/>
  <c r="H2994" i="4" s="1"/>
  <c r="H2995" i="4" s="1"/>
  <c r="H2996" i="4" s="1"/>
  <c r="H2997" i="4" s="1"/>
  <c r="H2998" i="4" s="1"/>
  <c r="H2999" i="4" s="1"/>
  <c r="H3000" i="4" s="1"/>
  <c r="N153" i="7"/>
  <c r="AJ91" i="2"/>
  <c r="G126" i="7" l="1"/>
  <c r="AN126" i="2"/>
  <c r="G141" i="7"/>
  <c r="AN141" i="2"/>
  <c r="G81" i="7"/>
  <c r="AN81" i="2"/>
  <c r="G87" i="7"/>
  <c r="AN87" i="2"/>
  <c r="G90" i="7"/>
  <c r="AN90" i="2"/>
  <c r="G102" i="7"/>
  <c r="AN102" i="2"/>
  <c r="G84" i="7"/>
  <c r="AN84" i="2"/>
  <c r="G132" i="7"/>
  <c r="AN132" i="2"/>
  <c r="G147" i="7"/>
  <c r="AN147" i="2"/>
  <c r="G98" i="7"/>
  <c r="AN98" i="2"/>
  <c r="G108" i="7"/>
  <c r="AN108" i="2"/>
  <c r="G115" i="7"/>
  <c r="AN115" i="2"/>
  <c r="G142" i="7"/>
  <c r="AN142" i="2"/>
  <c r="G96" i="7"/>
  <c r="AN96" i="2"/>
  <c r="G145" i="7"/>
  <c r="AN145" i="2"/>
  <c r="G109" i="7"/>
  <c r="AN109" i="2"/>
  <c r="G106" i="7"/>
  <c r="AN106" i="2"/>
  <c r="G118" i="7"/>
  <c r="AN118" i="2"/>
  <c r="G116" i="7"/>
  <c r="AN116" i="2"/>
  <c r="G88" i="7"/>
  <c r="AN88" i="2"/>
  <c r="G130" i="7"/>
  <c r="AN130" i="2"/>
  <c r="G124" i="7"/>
  <c r="AN124" i="2"/>
  <c r="G137" i="7"/>
  <c r="AN137" i="2"/>
  <c r="G94" i="7"/>
  <c r="AN94" i="2"/>
  <c r="G89" i="7"/>
  <c r="AN89" i="2"/>
  <c r="G103" i="7"/>
  <c r="AN103" i="2"/>
  <c r="G123" i="7"/>
  <c r="AN123" i="2"/>
  <c r="G122" i="7"/>
  <c r="AN122" i="2"/>
  <c r="G86" i="7"/>
  <c r="AN86" i="2"/>
  <c r="G117" i="7"/>
  <c r="AN117" i="2"/>
  <c r="G112" i="7"/>
  <c r="AN112" i="2"/>
  <c r="G146" i="7"/>
  <c r="AN146" i="2"/>
  <c r="G140" i="7"/>
  <c r="AN140" i="2"/>
  <c r="G129" i="7"/>
  <c r="AN129" i="2"/>
  <c r="G104" i="7"/>
  <c r="AN104" i="2"/>
  <c r="G107" i="7"/>
  <c r="AN107" i="2"/>
  <c r="G120" i="7"/>
  <c r="AN120" i="2"/>
  <c r="G110" i="7"/>
  <c r="AN110" i="2"/>
  <c r="G95" i="7"/>
  <c r="AN95" i="2"/>
  <c r="G136" i="7"/>
  <c r="AN136" i="2"/>
  <c r="G135" i="7"/>
  <c r="AN135" i="2"/>
  <c r="G148" i="7"/>
  <c r="AN148" i="2"/>
  <c r="G93" i="7"/>
  <c r="AN93" i="2"/>
  <c r="G97" i="7"/>
  <c r="AN97" i="2"/>
  <c r="G85" i="7"/>
  <c r="AN85" i="2"/>
  <c r="G125" i="7"/>
  <c r="AN125" i="2"/>
  <c r="G82" i="7"/>
  <c r="AN82" i="2"/>
  <c r="G121" i="7"/>
  <c r="AN121" i="2"/>
  <c r="G83" i="7"/>
  <c r="AN83" i="2"/>
  <c r="G131" i="7"/>
  <c r="AN131" i="2"/>
  <c r="G111" i="7"/>
  <c r="AN111" i="2"/>
  <c r="G119" i="7"/>
  <c r="AN119" i="2"/>
  <c r="G105" i="7"/>
  <c r="AN105" i="2"/>
  <c r="C91" i="7"/>
  <c r="L7" i="9" s="1"/>
  <c r="C25" i="7"/>
  <c r="I50" i="2"/>
  <c r="D50" i="7" s="1"/>
  <c r="I44" i="2"/>
  <c r="D44" i="7" s="1"/>
  <c r="M79" i="7"/>
  <c r="I40" i="2"/>
  <c r="D40" i="7" s="1"/>
  <c r="N79" i="7"/>
  <c r="R133" i="2"/>
  <c r="M150" i="7"/>
  <c r="R99" i="2"/>
  <c r="R113" i="2"/>
  <c r="R138" i="2"/>
  <c r="R127" i="2"/>
  <c r="R91" i="2"/>
  <c r="R149" i="2"/>
  <c r="R143" i="2"/>
  <c r="K100" i="7"/>
  <c r="T7" i="9"/>
  <c r="T7" i="10" s="1"/>
  <c r="AA100" i="2"/>
  <c r="I153" i="7"/>
  <c r="K150" i="7"/>
  <c r="Q48" i="9"/>
  <c r="Q48" i="10" s="1"/>
  <c r="Q49" i="10" s="1"/>
  <c r="H153" i="7"/>
  <c r="J153" i="7"/>
  <c r="AJ100" i="2"/>
  <c r="I150" i="7"/>
  <c r="W49" i="10"/>
  <c r="AD150" i="2"/>
  <c r="H150" i="7"/>
  <c r="H100" i="7"/>
  <c r="J150" i="7"/>
  <c r="S48" i="9"/>
  <c r="S48" i="10" s="1"/>
  <c r="S49" i="10" s="1"/>
  <c r="X150" i="2"/>
  <c r="N100" i="7"/>
  <c r="T48" i="9"/>
  <c r="T48" i="10" s="1"/>
  <c r="T49" i="10" s="1"/>
  <c r="J100" i="7"/>
  <c r="AM150" i="2"/>
  <c r="AM100" i="2"/>
  <c r="U48" i="9"/>
  <c r="U48" i="10" s="1"/>
  <c r="U49" i="10" s="1"/>
  <c r="K153" i="7"/>
  <c r="R48" i="9"/>
  <c r="R48" i="10" s="1"/>
  <c r="R49" i="10" s="1"/>
  <c r="AG150" i="2"/>
  <c r="AG100" i="2"/>
  <c r="X100" i="2"/>
  <c r="L153" i="7"/>
  <c r="U150" i="2"/>
  <c r="AA150" i="2"/>
  <c r="AJ150" i="2"/>
  <c r="U100" i="2"/>
  <c r="I100" i="7"/>
  <c r="AD100" i="2"/>
  <c r="C73" i="7"/>
  <c r="I59" i="2"/>
  <c r="L59" i="2" s="1"/>
  <c r="O59" i="2" s="1"/>
  <c r="I56" i="2"/>
  <c r="D56" i="7" s="1"/>
  <c r="AP117" i="2"/>
  <c r="C57" i="7"/>
  <c r="I23" i="2"/>
  <c r="I39" i="2"/>
  <c r="L39" i="2" s="1"/>
  <c r="O39" i="2" s="1"/>
  <c r="D42" i="7"/>
  <c r="L42" i="2"/>
  <c r="O42" i="2" s="1"/>
  <c r="C42" i="7"/>
  <c r="L25" i="2"/>
  <c r="E25" i="7" s="1"/>
  <c r="E113" i="7"/>
  <c r="N19" i="9" s="1"/>
  <c r="N19" i="10" s="1"/>
  <c r="I47" i="2"/>
  <c r="C67" i="7"/>
  <c r="I41" i="2"/>
  <c r="D41" i="7" s="1"/>
  <c r="I31" i="2"/>
  <c r="I12" i="2"/>
  <c r="D12" i="7" s="1"/>
  <c r="I46" i="2"/>
  <c r="I33" i="2"/>
  <c r="D33" i="7" s="1"/>
  <c r="C22" i="7"/>
  <c r="I34" i="2"/>
  <c r="C60" i="7"/>
  <c r="I43" i="2"/>
  <c r="I26" i="2"/>
  <c r="E133" i="7"/>
  <c r="C72" i="7"/>
  <c r="L149" i="2"/>
  <c r="E149" i="7"/>
  <c r="N53" i="9" s="1"/>
  <c r="N53" i="10" s="1"/>
  <c r="F28" i="2"/>
  <c r="D22" i="7"/>
  <c r="L22" i="2"/>
  <c r="O22" i="2" s="1"/>
  <c r="I9" i="2"/>
  <c r="C9" i="7"/>
  <c r="AP87" i="2"/>
  <c r="E143" i="7"/>
  <c r="I49" i="2"/>
  <c r="I30" i="2"/>
  <c r="D57" i="7"/>
  <c r="I66" i="2"/>
  <c r="D66" i="7" s="1"/>
  <c r="E99" i="7"/>
  <c r="N36" i="9" s="1"/>
  <c r="N36" i="10" s="1"/>
  <c r="I61" i="2"/>
  <c r="I54" i="2"/>
  <c r="C113" i="7"/>
  <c r="L19" i="9" s="1"/>
  <c r="L19" i="10" s="1"/>
  <c r="AP116" i="2"/>
  <c r="I27" i="2"/>
  <c r="L133" i="2"/>
  <c r="AP110" i="2"/>
  <c r="L72" i="2"/>
  <c r="E72" i="7" s="1"/>
  <c r="L143" i="2"/>
  <c r="D67" i="7"/>
  <c r="L67" i="2"/>
  <c r="E67" i="7" s="1"/>
  <c r="AP148" i="2"/>
  <c r="E36" i="5" s="1"/>
  <c r="F36" i="2"/>
  <c r="C11" i="7"/>
  <c r="F62" i="2"/>
  <c r="L20" i="2"/>
  <c r="E20" i="7" s="1"/>
  <c r="D20" i="7"/>
  <c r="I65" i="2"/>
  <c r="D65" i="7" s="1"/>
  <c r="E127" i="7"/>
  <c r="N31" i="9" s="1"/>
  <c r="N31" i="10" s="1"/>
  <c r="C20" i="7"/>
  <c r="I55" i="2"/>
  <c r="C55" i="7"/>
  <c r="AP84" i="2"/>
  <c r="L127" i="2"/>
  <c r="L99" i="2"/>
  <c r="D60" i="7"/>
  <c r="L60" i="2"/>
  <c r="E60" i="7" s="1"/>
  <c r="C58" i="7"/>
  <c r="I58" i="2"/>
  <c r="D73" i="7"/>
  <c r="F113" i="2"/>
  <c r="AP135" i="2"/>
  <c r="AP103" i="2"/>
  <c r="AP108" i="2"/>
  <c r="C68" i="7"/>
  <c r="I68" i="2"/>
  <c r="F108" i="7"/>
  <c r="F135" i="7"/>
  <c r="F138" i="7" s="1"/>
  <c r="AP96" i="2"/>
  <c r="AP129" i="2"/>
  <c r="AP83" i="2"/>
  <c r="AP145" i="2"/>
  <c r="E33" i="5" s="1"/>
  <c r="AP94" i="2"/>
  <c r="AP86" i="2"/>
  <c r="F103" i="7"/>
  <c r="AP142" i="2"/>
  <c r="L113" i="2"/>
  <c r="E82" i="7"/>
  <c r="E91" i="7" s="1"/>
  <c r="L91" i="2"/>
  <c r="L100" i="2" s="1"/>
  <c r="C76" i="7"/>
  <c r="I76" i="2"/>
  <c r="AP122" i="2"/>
  <c r="AP82" i="2"/>
  <c r="F142" i="7"/>
  <c r="AP102" i="2"/>
  <c r="F110" i="7"/>
  <c r="AP93" i="2"/>
  <c r="AP104" i="2"/>
  <c r="AP85" i="2"/>
  <c r="O99" i="2"/>
  <c r="AP118" i="2"/>
  <c r="AP98" i="2"/>
  <c r="AP141" i="2"/>
  <c r="O143" i="2"/>
  <c r="F140" i="7"/>
  <c r="AP106" i="2"/>
  <c r="O138" i="2"/>
  <c r="F99" i="7"/>
  <c r="O36" i="9" s="1"/>
  <c r="O36" i="10" s="1"/>
  <c r="C149" i="7"/>
  <c r="L53" i="9" s="1"/>
  <c r="L53" i="10" s="1"/>
  <c r="AP140" i="2"/>
  <c r="L11" i="2"/>
  <c r="O11" i="2" s="1"/>
  <c r="AP109" i="2"/>
  <c r="AP146" i="2"/>
  <c r="E34" i="5" s="1"/>
  <c r="F99" i="2"/>
  <c r="F149" i="2"/>
  <c r="AP95" i="2"/>
  <c r="AP137" i="2"/>
  <c r="AP89" i="2"/>
  <c r="AP105" i="2"/>
  <c r="F149" i="7"/>
  <c r="O53" i="9" s="1"/>
  <c r="O53" i="10" s="1"/>
  <c r="AP125" i="2"/>
  <c r="I35" i="2"/>
  <c r="E135" i="7"/>
  <c r="E138" i="7" s="1"/>
  <c r="L138" i="2"/>
  <c r="D138" i="7"/>
  <c r="C99" i="7"/>
  <c r="L36" i="9" s="1"/>
  <c r="L36" i="10" s="1"/>
  <c r="C21" i="7"/>
  <c r="I21" i="2"/>
  <c r="D127" i="7"/>
  <c r="M31" i="9" s="1"/>
  <c r="M31" i="10" s="1"/>
  <c r="O113" i="2"/>
  <c r="AP111" i="2"/>
  <c r="AP121" i="2"/>
  <c r="AP88" i="2"/>
  <c r="D113" i="7"/>
  <c r="M19" i="9" s="1"/>
  <c r="M19" i="10" s="1"/>
  <c r="I138" i="2"/>
  <c r="C16" i="7"/>
  <c r="I16" i="2"/>
  <c r="D140" i="7"/>
  <c r="D143" i="7" s="1"/>
  <c r="I143" i="2"/>
  <c r="C24" i="7"/>
  <c r="I24" i="2"/>
  <c r="AP119" i="2"/>
  <c r="AP132" i="2"/>
  <c r="AP97" i="2"/>
  <c r="I127" i="2"/>
  <c r="F91" i="7"/>
  <c r="O7" i="9" s="1"/>
  <c r="O7" i="10" s="1"/>
  <c r="D99" i="7"/>
  <c r="M36" i="9" s="1"/>
  <c r="M36" i="10" s="1"/>
  <c r="O127" i="2"/>
  <c r="AP90" i="2"/>
  <c r="AP126" i="2"/>
  <c r="C143" i="7"/>
  <c r="F91" i="2"/>
  <c r="AP120" i="2"/>
  <c r="I113" i="2"/>
  <c r="I91" i="2"/>
  <c r="C10" i="7"/>
  <c r="I10" i="2"/>
  <c r="F18" i="2"/>
  <c r="I64" i="2"/>
  <c r="C64" i="7"/>
  <c r="F69" i="2"/>
  <c r="C17" i="7"/>
  <c r="I17" i="2"/>
  <c r="C32" i="7"/>
  <c r="C36" i="7" s="1"/>
  <c r="I32" i="2"/>
  <c r="AP124" i="2"/>
  <c r="AP136" i="2"/>
  <c r="O149" i="2"/>
  <c r="AP81" i="2"/>
  <c r="D91" i="7"/>
  <c r="AP115" i="2"/>
  <c r="C13" i="7"/>
  <c r="I13" i="2"/>
  <c r="F51" i="2"/>
  <c r="C45" i="7"/>
  <c r="I45" i="2"/>
  <c r="AP107" i="2"/>
  <c r="AP147" i="2"/>
  <c r="E35" i="5" s="1"/>
  <c r="AP131" i="2"/>
  <c r="D145" i="7"/>
  <c r="D149" i="7" s="1"/>
  <c r="M53" i="9" s="1"/>
  <c r="M53" i="10" s="1"/>
  <c r="I149" i="2"/>
  <c r="C15" i="7"/>
  <c r="I15" i="2"/>
  <c r="D131" i="7"/>
  <c r="D133" i="7" s="1"/>
  <c r="I133" i="2"/>
  <c r="I99" i="2"/>
  <c r="C48" i="7"/>
  <c r="I48" i="2"/>
  <c r="C14" i="7"/>
  <c r="I14" i="2"/>
  <c r="O91" i="2"/>
  <c r="O133" i="2"/>
  <c r="F133" i="7"/>
  <c r="AP112" i="2"/>
  <c r="F123" i="7"/>
  <c r="F127" i="7" s="1"/>
  <c r="O31" i="9" s="1"/>
  <c r="O31" i="10" s="1"/>
  <c r="AP123" i="2"/>
  <c r="F127" i="2"/>
  <c r="C135" i="7"/>
  <c r="C138" i="7" s="1"/>
  <c r="F138" i="2"/>
  <c r="C129" i="7"/>
  <c r="C133" i="7" s="1"/>
  <c r="F133" i="2"/>
  <c r="C127" i="7"/>
  <c r="AP130" i="2"/>
  <c r="F143" i="2"/>
  <c r="Q7" i="10"/>
  <c r="Q30" i="9"/>
  <c r="U7" i="10"/>
  <c r="U30" i="9"/>
  <c r="E57" i="7"/>
  <c r="O57" i="2"/>
  <c r="L150" i="7"/>
  <c r="V19" i="10"/>
  <c r="V30" i="9"/>
  <c r="L100" i="7"/>
  <c r="S7" i="10"/>
  <c r="S30" i="9"/>
  <c r="E73" i="7"/>
  <c r="O73" i="2"/>
  <c r="R7" i="10"/>
  <c r="R30" i="9"/>
  <c r="W7" i="10"/>
  <c r="W30" i="9"/>
  <c r="G138" i="7" l="1"/>
  <c r="AN99" i="2"/>
  <c r="AN127" i="2"/>
  <c r="G149" i="7"/>
  <c r="P53" i="9" s="1"/>
  <c r="P53" i="10" s="1"/>
  <c r="I53" i="10" s="1"/>
  <c r="AN143" i="2"/>
  <c r="AN138" i="2"/>
  <c r="AN133" i="2"/>
  <c r="AN149" i="2"/>
  <c r="AN113" i="2"/>
  <c r="G143" i="7"/>
  <c r="G91" i="7"/>
  <c r="P7" i="9" s="1"/>
  <c r="P7" i="10" s="1"/>
  <c r="G133" i="7"/>
  <c r="G99" i="7"/>
  <c r="P36" i="9" s="1"/>
  <c r="P36" i="10" s="1"/>
  <c r="G127" i="7"/>
  <c r="P31" i="9" s="1"/>
  <c r="P31" i="10" s="1"/>
  <c r="G113" i="7"/>
  <c r="P19" i="9" s="1"/>
  <c r="P19" i="10" s="1"/>
  <c r="R100" i="2"/>
  <c r="AN91" i="2"/>
  <c r="L44" i="2"/>
  <c r="E44" i="7" s="1"/>
  <c r="L50" i="2"/>
  <c r="O50" i="2" s="1"/>
  <c r="F50" i="7" s="1"/>
  <c r="L56" i="2"/>
  <c r="E56" i="7" s="1"/>
  <c r="L40" i="2"/>
  <c r="E40" i="7" s="1"/>
  <c r="E42" i="7"/>
  <c r="AD3" i="2"/>
  <c r="AD75" i="2" s="1"/>
  <c r="K75" i="7" s="1"/>
  <c r="T30" i="9"/>
  <c r="T56" i="9" s="1"/>
  <c r="AJ3" i="2"/>
  <c r="AJ75" i="2" s="1"/>
  <c r="R150" i="2"/>
  <c r="AG3" i="2"/>
  <c r="AG75" i="2" s="1"/>
  <c r="L75" i="7" s="1"/>
  <c r="AA3" i="2"/>
  <c r="AA75" i="2" s="1"/>
  <c r="J75" i="7" s="1"/>
  <c r="D59" i="7"/>
  <c r="E59" i="7"/>
  <c r="E39" i="7"/>
  <c r="X3" i="2"/>
  <c r="X75" i="2" s="1"/>
  <c r="I75" i="7" s="1"/>
  <c r="O25" i="2"/>
  <c r="R25" i="2" s="1"/>
  <c r="U3" i="2"/>
  <c r="U75" i="2" s="1"/>
  <c r="H75" i="7" s="1"/>
  <c r="AM3" i="2"/>
  <c r="AM75" i="2" s="1"/>
  <c r="D39" i="7"/>
  <c r="L33" i="2"/>
  <c r="D23" i="7"/>
  <c r="L23" i="2"/>
  <c r="F70" i="2"/>
  <c r="O72" i="2"/>
  <c r="R72" i="2" s="1"/>
  <c r="E22" i="7"/>
  <c r="L12" i="2"/>
  <c r="E12" i="7" s="1"/>
  <c r="D47" i="7"/>
  <c r="L47" i="2"/>
  <c r="O20" i="2"/>
  <c r="F20" i="7" s="1"/>
  <c r="L41" i="2"/>
  <c r="L66" i="2"/>
  <c r="O66" i="2" s="1"/>
  <c r="F66" i="7" s="1"/>
  <c r="L31" i="2"/>
  <c r="D31" i="7"/>
  <c r="L34" i="2"/>
  <c r="D34" i="7"/>
  <c r="L46" i="2"/>
  <c r="D46" i="7"/>
  <c r="F37" i="2"/>
  <c r="F52" i="2" s="1"/>
  <c r="L26" i="2"/>
  <c r="D26" i="7"/>
  <c r="L43" i="2"/>
  <c r="D43" i="7"/>
  <c r="N48" i="9"/>
  <c r="N48" i="10" s="1"/>
  <c r="N49" i="10" s="1"/>
  <c r="D27" i="7"/>
  <c r="L27" i="2"/>
  <c r="F100" i="2"/>
  <c r="L49" i="2"/>
  <c r="D49" i="7"/>
  <c r="L9" i="2"/>
  <c r="D9" i="7"/>
  <c r="D30" i="7"/>
  <c r="L30" i="2"/>
  <c r="O67" i="2"/>
  <c r="R67" i="2" s="1"/>
  <c r="L61" i="2"/>
  <c r="D61" i="7"/>
  <c r="D54" i="7"/>
  <c r="L54" i="2"/>
  <c r="L65" i="2"/>
  <c r="O65" i="2" s="1"/>
  <c r="F65" i="7" s="1"/>
  <c r="L55" i="2"/>
  <c r="D55" i="7"/>
  <c r="C62" i="7"/>
  <c r="O60" i="2"/>
  <c r="R60" i="2" s="1"/>
  <c r="I62" i="2"/>
  <c r="D58" i="7"/>
  <c r="L58" i="2"/>
  <c r="E11" i="7"/>
  <c r="C69" i="7"/>
  <c r="L150" i="2"/>
  <c r="L3" i="2" s="1"/>
  <c r="L75" i="2" s="1"/>
  <c r="E75" i="7" s="1"/>
  <c r="D68" i="7"/>
  <c r="L68" i="2"/>
  <c r="F113" i="7"/>
  <c r="O19" i="9" s="1"/>
  <c r="O19" i="10" s="1"/>
  <c r="O30" i="10" s="1"/>
  <c r="O35" i="10" s="1"/>
  <c r="C28" i="7"/>
  <c r="AP143" i="2"/>
  <c r="E26" i="5" s="1"/>
  <c r="E100" i="7"/>
  <c r="N7" i="9"/>
  <c r="E150" i="7"/>
  <c r="L76" i="2"/>
  <c r="D76" i="7"/>
  <c r="AP99" i="2"/>
  <c r="E25" i="5" s="1"/>
  <c r="F143" i="7"/>
  <c r="O48" i="9" s="1"/>
  <c r="AP138" i="2"/>
  <c r="E18" i="5" s="1"/>
  <c r="O100" i="2"/>
  <c r="E153" i="7"/>
  <c r="F100" i="7"/>
  <c r="L30" i="9"/>
  <c r="L56" i="9" s="1"/>
  <c r="L7" i="10"/>
  <c r="L30" i="10" s="1"/>
  <c r="E38" i="5"/>
  <c r="C100" i="7"/>
  <c r="AP113" i="2"/>
  <c r="E11" i="5" s="1"/>
  <c r="O150" i="2"/>
  <c r="D21" i="7"/>
  <c r="L21" i="2"/>
  <c r="D35" i="7"/>
  <c r="L35" i="2"/>
  <c r="I100" i="2"/>
  <c r="D24" i="7"/>
  <c r="L24" i="2"/>
  <c r="I28" i="2"/>
  <c r="L16" i="2"/>
  <c r="D16" i="7"/>
  <c r="L48" i="2"/>
  <c r="D48" i="7"/>
  <c r="D153" i="7"/>
  <c r="M48" i="9"/>
  <c r="M48" i="10" s="1"/>
  <c r="M49" i="10" s="1"/>
  <c r="I51" i="2"/>
  <c r="D45" i="7"/>
  <c r="L45" i="2"/>
  <c r="AP149" i="2"/>
  <c r="I150" i="2"/>
  <c r="D13" i="7"/>
  <c r="L13" i="2"/>
  <c r="L17" i="2"/>
  <c r="D17" i="7"/>
  <c r="AP91" i="2"/>
  <c r="E9" i="5" s="1"/>
  <c r="L15" i="2"/>
  <c r="D15" i="7"/>
  <c r="C51" i="7"/>
  <c r="D32" i="7"/>
  <c r="L32" i="2"/>
  <c r="I36" i="2"/>
  <c r="D10" i="7"/>
  <c r="I18" i="2"/>
  <c r="L10" i="2"/>
  <c r="L64" i="2"/>
  <c r="D64" i="7"/>
  <c r="I69" i="2"/>
  <c r="AP133" i="2"/>
  <c r="E17" i="5" s="1"/>
  <c r="L14" i="2"/>
  <c r="D14" i="7"/>
  <c r="D100" i="7"/>
  <c r="M7" i="9"/>
  <c r="C18" i="7"/>
  <c r="D150" i="7"/>
  <c r="L31" i="9"/>
  <c r="C150" i="7"/>
  <c r="F150" i="2"/>
  <c r="AP127" i="2"/>
  <c r="E16" i="5" s="1"/>
  <c r="L48" i="9"/>
  <c r="L48" i="10" s="1"/>
  <c r="L49" i="10" s="1"/>
  <c r="C153" i="7"/>
  <c r="S35" i="9"/>
  <c r="S56" i="9"/>
  <c r="V35" i="9"/>
  <c r="V56" i="9"/>
  <c r="T30" i="10"/>
  <c r="T35" i="10" s="1"/>
  <c r="T54" i="10"/>
  <c r="F39" i="7"/>
  <c r="R39" i="2"/>
  <c r="R35" i="9"/>
  <c r="R56" i="9"/>
  <c r="S54" i="10"/>
  <c r="S30" i="10"/>
  <c r="S35" i="10" s="1"/>
  <c r="F59" i="7"/>
  <c r="R59" i="2"/>
  <c r="V54" i="10"/>
  <c r="V30" i="10"/>
  <c r="V35" i="10" s="1"/>
  <c r="F11" i="7"/>
  <c r="R11" i="2"/>
  <c r="F57" i="7"/>
  <c r="R57" i="2"/>
  <c r="U35" i="9"/>
  <c r="U56" i="9"/>
  <c r="Q35" i="9"/>
  <c r="Q56" i="9"/>
  <c r="W35" i="9"/>
  <c r="W56" i="9"/>
  <c r="R54" i="10"/>
  <c r="R30" i="10"/>
  <c r="R35" i="10" s="1"/>
  <c r="W54" i="10"/>
  <c r="W30" i="10"/>
  <c r="W35" i="10" s="1"/>
  <c r="F73" i="7"/>
  <c r="R73" i="2"/>
  <c r="F42" i="7"/>
  <c r="R42" i="2"/>
  <c r="F22" i="7"/>
  <c r="R22" i="2"/>
  <c r="U30" i="10"/>
  <c r="U35" i="10" s="1"/>
  <c r="U54" i="10"/>
  <c r="Q30" i="10"/>
  <c r="Q35" i="10" s="1"/>
  <c r="Q54" i="10"/>
  <c r="G153" i="7" l="1"/>
  <c r="K36" i="9"/>
  <c r="K53" i="9"/>
  <c r="J53" i="9"/>
  <c r="P30" i="10"/>
  <c r="P35" i="10" s="1"/>
  <c r="P30" i="9"/>
  <c r="P56" i="9" s="1"/>
  <c r="G100" i="7"/>
  <c r="P48" i="9"/>
  <c r="P48" i="10" s="1"/>
  <c r="P49" i="10" s="1"/>
  <c r="AN100" i="2"/>
  <c r="G150" i="7"/>
  <c r="R3" i="2"/>
  <c r="R75" i="2" s="1"/>
  <c r="G75" i="7" s="1"/>
  <c r="AN150" i="2"/>
  <c r="AN151" i="2" s="1"/>
  <c r="D34" i="8"/>
  <c r="E50" i="7"/>
  <c r="O44" i="2"/>
  <c r="F44" i="7" s="1"/>
  <c r="T35" i="9"/>
  <c r="T57" i="9" s="1"/>
  <c r="R50" i="2"/>
  <c r="U50" i="2" s="1"/>
  <c r="E44" i="6"/>
  <c r="O40" i="2"/>
  <c r="F40" i="7" s="1"/>
  <c r="O56" i="2"/>
  <c r="R56" i="2" s="1"/>
  <c r="U56" i="2" s="1"/>
  <c r="F25" i="7"/>
  <c r="I70" i="2"/>
  <c r="F72" i="7"/>
  <c r="R66" i="2"/>
  <c r="G66" i="7" s="1"/>
  <c r="E66" i="7"/>
  <c r="E23" i="7"/>
  <c r="O23" i="2"/>
  <c r="R20" i="2"/>
  <c r="G20" i="7" s="1"/>
  <c r="O33" i="2"/>
  <c r="E33" i="7"/>
  <c r="F67" i="7"/>
  <c r="O12" i="2"/>
  <c r="F12" i="7" s="1"/>
  <c r="O47" i="2"/>
  <c r="E47" i="7"/>
  <c r="O41" i="2"/>
  <c r="E41" i="7"/>
  <c r="E31" i="7"/>
  <c r="O31" i="2"/>
  <c r="O30" i="9"/>
  <c r="O35" i="9" s="1"/>
  <c r="O49" i="9" s="1"/>
  <c r="E46" i="7"/>
  <c r="O46" i="2"/>
  <c r="C37" i="7"/>
  <c r="C52" i="7" s="1"/>
  <c r="E34" i="7"/>
  <c r="O34" i="2"/>
  <c r="O43" i="2"/>
  <c r="E43" i="7"/>
  <c r="F60" i="7"/>
  <c r="O26" i="2"/>
  <c r="E26" i="7"/>
  <c r="E49" i="7"/>
  <c r="O49" i="2"/>
  <c r="O54" i="2"/>
  <c r="E54" i="7"/>
  <c r="E61" i="7"/>
  <c r="O61" i="2"/>
  <c r="R65" i="2"/>
  <c r="G65" i="7" s="1"/>
  <c r="L35" i="9"/>
  <c r="L49" i="9" s="1"/>
  <c r="O9" i="2"/>
  <c r="E9" i="7"/>
  <c r="O27" i="2"/>
  <c r="E27" i="7"/>
  <c r="E30" i="7"/>
  <c r="O30" i="2"/>
  <c r="D62" i="7"/>
  <c r="E65" i="7"/>
  <c r="C70" i="7"/>
  <c r="O55" i="2"/>
  <c r="E55" i="7"/>
  <c r="L62" i="2"/>
  <c r="E58" i="7"/>
  <c r="O58" i="2"/>
  <c r="D69" i="7"/>
  <c r="E68" i="7"/>
  <c r="O68" i="2"/>
  <c r="K19" i="9"/>
  <c r="E28" i="5"/>
  <c r="D36" i="7"/>
  <c r="N30" i="9"/>
  <c r="N7" i="10"/>
  <c r="AP100" i="2"/>
  <c r="I3" i="2"/>
  <c r="I75" i="2" s="1"/>
  <c r="D75" i="7" s="1"/>
  <c r="E76" i="7"/>
  <c r="O76" i="2"/>
  <c r="F150" i="7"/>
  <c r="F153" i="7"/>
  <c r="O3" i="2"/>
  <c r="O75" i="2" s="1"/>
  <c r="F75" i="7" s="1"/>
  <c r="E20" i="5"/>
  <c r="E13" i="5"/>
  <c r="D28" i="7"/>
  <c r="AP150" i="2"/>
  <c r="O35" i="2"/>
  <c r="E35" i="7"/>
  <c r="E21" i="7"/>
  <c r="O21" i="2"/>
  <c r="D51" i="7"/>
  <c r="O24" i="2"/>
  <c r="L28" i="2"/>
  <c r="E24" i="7"/>
  <c r="I37" i="2"/>
  <c r="I52" i="2" s="1"/>
  <c r="O16" i="2"/>
  <c r="E16" i="7"/>
  <c r="L18" i="2"/>
  <c r="E10" i="7"/>
  <c r="O10" i="2"/>
  <c r="O15" i="2"/>
  <c r="E15" i="7"/>
  <c r="E17" i="7"/>
  <c r="O17" i="2"/>
  <c r="O14" i="2"/>
  <c r="E14" i="7"/>
  <c r="O13" i="2"/>
  <c r="E13" i="7"/>
  <c r="O64" i="2"/>
  <c r="E64" i="7"/>
  <c r="L69" i="2"/>
  <c r="D18" i="7"/>
  <c r="E32" i="7"/>
  <c r="L36" i="2"/>
  <c r="O32" i="2"/>
  <c r="M30" i="9"/>
  <c r="M7" i="10"/>
  <c r="K7" i="9"/>
  <c r="E45" i="7"/>
  <c r="L51" i="2"/>
  <c r="O45" i="2"/>
  <c r="F3" i="2"/>
  <c r="F75" i="2" s="1"/>
  <c r="I74" i="2" s="1"/>
  <c r="E48" i="7"/>
  <c r="O48" i="2"/>
  <c r="L31" i="10"/>
  <c r="L54" i="10" s="1"/>
  <c r="K31" i="9"/>
  <c r="O48" i="10"/>
  <c r="G42" i="7"/>
  <c r="U42" i="2"/>
  <c r="G73" i="7"/>
  <c r="U73" i="2"/>
  <c r="G60" i="7"/>
  <c r="U60" i="2"/>
  <c r="G11" i="7"/>
  <c r="U11" i="2"/>
  <c r="G72" i="7"/>
  <c r="U72" i="2"/>
  <c r="U49" i="9"/>
  <c r="U57" i="9"/>
  <c r="G59" i="7"/>
  <c r="U59" i="2"/>
  <c r="S49" i="9"/>
  <c r="S57" i="9"/>
  <c r="G22" i="7"/>
  <c r="U22" i="2"/>
  <c r="W49" i="9"/>
  <c r="W57" i="9"/>
  <c r="Q49" i="9"/>
  <c r="Q57" i="9"/>
  <c r="G57" i="7"/>
  <c r="U57" i="2"/>
  <c r="R57" i="9"/>
  <c r="R49" i="9"/>
  <c r="G67" i="7"/>
  <c r="U67" i="2"/>
  <c r="G39" i="7"/>
  <c r="U39" i="2"/>
  <c r="V57" i="9"/>
  <c r="V49" i="9"/>
  <c r="G25" i="7"/>
  <c r="U25" i="2"/>
  <c r="P35" i="9" l="1"/>
  <c r="P49" i="9" s="1"/>
  <c r="P58" i="9" s="1"/>
  <c r="P54" i="10"/>
  <c r="K48" i="9"/>
  <c r="T49" i="9"/>
  <c r="T54" i="9" s="1"/>
  <c r="T59" i="9" s="1"/>
  <c r="G50" i="7"/>
  <c r="R44" i="2"/>
  <c r="G44" i="7" s="1"/>
  <c r="F56" i="7"/>
  <c r="R40" i="2"/>
  <c r="U40" i="2" s="1"/>
  <c r="X40" i="2" s="1"/>
  <c r="G56" i="7"/>
  <c r="L70" i="2"/>
  <c r="U66" i="2"/>
  <c r="H66" i="7" s="1"/>
  <c r="U65" i="2"/>
  <c r="H65" i="7" s="1"/>
  <c r="F33" i="7"/>
  <c r="R33" i="2"/>
  <c r="U20" i="2"/>
  <c r="X20" i="2" s="1"/>
  <c r="R12" i="2"/>
  <c r="F23" i="7"/>
  <c r="R23" i="2"/>
  <c r="R41" i="2"/>
  <c r="F41" i="7"/>
  <c r="O56" i="9"/>
  <c r="O57" i="9"/>
  <c r="F47" i="7"/>
  <c r="R47" i="2"/>
  <c r="F31" i="7"/>
  <c r="R31" i="2"/>
  <c r="R46" i="2"/>
  <c r="F46" i="7"/>
  <c r="F34" i="7"/>
  <c r="R34" i="2"/>
  <c r="F26" i="7"/>
  <c r="R26" i="2"/>
  <c r="R43" i="2"/>
  <c r="F43" i="7"/>
  <c r="D70" i="7"/>
  <c r="F27" i="7"/>
  <c r="R27" i="2"/>
  <c r="F54" i="7"/>
  <c r="R54" i="2"/>
  <c r="L57" i="9"/>
  <c r="F30" i="7"/>
  <c r="R30" i="2"/>
  <c r="F61" i="7"/>
  <c r="R61" i="2"/>
  <c r="R49" i="2"/>
  <c r="F49" i="7"/>
  <c r="F9" i="7"/>
  <c r="R9" i="2"/>
  <c r="L74" i="2"/>
  <c r="E74" i="7" s="1"/>
  <c r="E77" i="7" s="1"/>
  <c r="F55" i="7"/>
  <c r="R55" i="2"/>
  <c r="D37" i="7"/>
  <c r="D52" i="7" s="1"/>
  <c r="E62" i="7"/>
  <c r="E69" i="7"/>
  <c r="O62" i="2"/>
  <c r="R58" i="2"/>
  <c r="F58" i="7"/>
  <c r="R68" i="2"/>
  <c r="F68" i="7"/>
  <c r="K30" i="9"/>
  <c r="K56" i="9" s="1"/>
  <c r="N54" i="10"/>
  <c r="N30" i="10"/>
  <c r="N35" i="10" s="1"/>
  <c r="N35" i="9"/>
  <c r="N56" i="9"/>
  <c r="F76" i="7"/>
  <c r="R76" i="2"/>
  <c r="E22" i="5"/>
  <c r="E30" i="5" s="1"/>
  <c r="E40" i="5" s="1"/>
  <c r="D74" i="7"/>
  <c r="D77" i="7" s="1"/>
  <c r="I77" i="2"/>
  <c r="I78" i="2" s="1"/>
  <c r="I2" i="2" s="1"/>
  <c r="F35" i="7"/>
  <c r="R35" i="2"/>
  <c r="E36" i="7"/>
  <c r="E28" i="7"/>
  <c r="R21" i="2"/>
  <c r="F21" i="7"/>
  <c r="F16" i="7"/>
  <c r="R16" i="2"/>
  <c r="AN3" i="2"/>
  <c r="O28" i="2"/>
  <c r="F24" i="7"/>
  <c r="R24" i="2"/>
  <c r="F48" i="7"/>
  <c r="R48" i="2"/>
  <c r="M56" i="9"/>
  <c r="M35" i="9"/>
  <c r="R17" i="2"/>
  <c r="F17" i="7"/>
  <c r="R10" i="2"/>
  <c r="O18" i="2"/>
  <c r="F10" i="7"/>
  <c r="E51" i="7"/>
  <c r="R32" i="2"/>
  <c r="O36" i="2"/>
  <c r="F32" i="7"/>
  <c r="F13" i="7"/>
  <c r="R13" i="2"/>
  <c r="E18" i="7"/>
  <c r="F77" i="2"/>
  <c r="F78" i="2" s="1"/>
  <c r="C75" i="7"/>
  <c r="C77" i="7" s="1"/>
  <c r="C78" i="7" s="1"/>
  <c r="C79" i="7" s="1"/>
  <c r="L37" i="2"/>
  <c r="L52" i="2" s="1"/>
  <c r="R45" i="2"/>
  <c r="O51" i="2"/>
  <c r="F45" i="7"/>
  <c r="M30" i="10"/>
  <c r="M35" i="10" s="1"/>
  <c r="M54" i="10"/>
  <c r="F64" i="7"/>
  <c r="R64" i="2"/>
  <c r="O69" i="2"/>
  <c r="R14" i="2"/>
  <c r="F14" i="7"/>
  <c r="F15" i="7"/>
  <c r="R15" i="2"/>
  <c r="L35" i="10"/>
  <c r="O49" i="10"/>
  <c r="O54" i="10"/>
  <c r="Q54" i="9"/>
  <c r="Q59" i="9" s="1"/>
  <c r="Q58" i="9"/>
  <c r="H60" i="7"/>
  <c r="X60" i="2"/>
  <c r="O54" i="9"/>
  <c r="O59" i="9" s="1"/>
  <c r="O58" i="9"/>
  <c r="H22" i="7"/>
  <c r="X22" i="2"/>
  <c r="L58" i="9"/>
  <c r="L54" i="9"/>
  <c r="H67" i="7"/>
  <c r="X67" i="2"/>
  <c r="H57" i="7"/>
  <c r="X57" i="2"/>
  <c r="H56" i="7"/>
  <c r="X56" i="2"/>
  <c r="V54" i="9"/>
  <c r="V59" i="9" s="1"/>
  <c r="V58" i="9"/>
  <c r="S54" i="9"/>
  <c r="S59" i="9" s="1"/>
  <c r="S58" i="9"/>
  <c r="H59" i="7"/>
  <c r="X59" i="2"/>
  <c r="U54" i="9"/>
  <c r="U59" i="9" s="1"/>
  <c r="U58" i="9"/>
  <c r="H50" i="7"/>
  <c r="X50" i="2"/>
  <c r="H11" i="7"/>
  <c r="X11" i="2"/>
  <c r="H73" i="7"/>
  <c r="X73" i="2"/>
  <c r="H42" i="7"/>
  <c r="X42" i="2"/>
  <c r="W54" i="9"/>
  <c r="W59" i="9" s="1"/>
  <c r="W58" i="9"/>
  <c r="H25" i="7"/>
  <c r="X25" i="2"/>
  <c r="H39" i="7"/>
  <c r="X39" i="2"/>
  <c r="R54" i="9"/>
  <c r="R59" i="9" s="1"/>
  <c r="R58" i="9"/>
  <c r="H72" i="7"/>
  <c r="X72" i="2"/>
  <c r="T58" i="9" l="1"/>
  <c r="P57" i="9"/>
  <c r="P54" i="9"/>
  <c r="P59" i="9" s="1"/>
  <c r="U44" i="2"/>
  <c r="X44" i="2" s="1"/>
  <c r="AA44" i="2" s="1"/>
  <c r="G40" i="7"/>
  <c r="H40" i="7"/>
  <c r="O74" i="2"/>
  <c r="F74" i="7" s="1"/>
  <c r="F77" i="7" s="1"/>
  <c r="D78" i="7"/>
  <c r="D79" i="7" s="1"/>
  <c r="X66" i="2"/>
  <c r="I66" i="7" s="1"/>
  <c r="X65" i="2"/>
  <c r="AA65" i="2" s="1"/>
  <c r="H20" i="7"/>
  <c r="L77" i="2"/>
  <c r="L78" i="2" s="1"/>
  <c r="L2" i="2" s="1"/>
  <c r="G12" i="7"/>
  <c r="U12" i="2"/>
  <c r="U23" i="2"/>
  <c r="G23" i="7"/>
  <c r="U33" i="2"/>
  <c r="G33" i="7"/>
  <c r="I79" i="2"/>
  <c r="G47" i="7"/>
  <c r="U47" i="2"/>
  <c r="G41" i="7"/>
  <c r="U41" i="2"/>
  <c r="U31" i="2"/>
  <c r="G31" i="7"/>
  <c r="U34" i="2"/>
  <c r="G34" i="7"/>
  <c r="U46" i="2"/>
  <c r="G46" i="7"/>
  <c r="G26" i="7"/>
  <c r="U26" i="2"/>
  <c r="G43" i="7"/>
  <c r="U43" i="2"/>
  <c r="G54" i="7"/>
  <c r="U54" i="2"/>
  <c r="F69" i="7"/>
  <c r="U30" i="2"/>
  <c r="G30" i="7"/>
  <c r="G49" i="7"/>
  <c r="U49" i="2"/>
  <c r="U27" i="2"/>
  <c r="G27" i="7"/>
  <c r="G9" i="7"/>
  <c r="U9" i="2"/>
  <c r="G61" i="7"/>
  <c r="U61" i="2"/>
  <c r="F62" i="7"/>
  <c r="G55" i="7"/>
  <c r="U55" i="2"/>
  <c r="E70" i="7"/>
  <c r="E78" i="7" s="1"/>
  <c r="O70" i="2"/>
  <c r="U58" i="2"/>
  <c r="R62" i="2"/>
  <c r="G58" i="7"/>
  <c r="G68" i="7"/>
  <c r="U68" i="2"/>
  <c r="K35" i="9"/>
  <c r="K49" i="9" s="1"/>
  <c r="K54" i="9" s="1"/>
  <c r="K59" i="9" s="1"/>
  <c r="N57" i="9"/>
  <c r="N49" i="9"/>
  <c r="J56" i="9"/>
  <c r="G76" i="7"/>
  <c r="U76" i="2"/>
  <c r="F51" i="7"/>
  <c r="F36" i="7"/>
  <c r="F28" i="7"/>
  <c r="G21" i="7"/>
  <c r="U21" i="2"/>
  <c r="G35" i="7"/>
  <c r="U35" i="2"/>
  <c r="E37" i="7"/>
  <c r="E52" i="7" s="1"/>
  <c r="U24" i="2"/>
  <c r="R28" i="2"/>
  <c r="G24" i="7"/>
  <c r="G16" i="7"/>
  <c r="U16" i="2"/>
  <c r="G14" i="7"/>
  <c r="U14" i="2"/>
  <c r="G45" i="7"/>
  <c r="U45" i="2"/>
  <c r="R51" i="2"/>
  <c r="O37" i="2"/>
  <c r="O52" i="2" s="1"/>
  <c r="M57" i="9"/>
  <c r="M49" i="9"/>
  <c r="I54" i="10"/>
  <c r="G15" i="7"/>
  <c r="U15" i="2"/>
  <c r="U13" i="2"/>
  <c r="G13" i="7"/>
  <c r="U32" i="2"/>
  <c r="G32" i="7"/>
  <c r="R36" i="2"/>
  <c r="G10" i="7"/>
  <c r="U10" i="2"/>
  <c r="R18" i="2"/>
  <c r="R69" i="2"/>
  <c r="U64" i="2"/>
  <c r="G64" i="7"/>
  <c r="G48" i="7"/>
  <c r="U48" i="2"/>
  <c r="F79" i="2"/>
  <c r="F2" i="2"/>
  <c r="F18" i="7"/>
  <c r="G17" i="7"/>
  <c r="U17" i="2"/>
  <c r="I11" i="7"/>
  <c r="AA11" i="2"/>
  <c r="I59" i="7"/>
  <c r="AA59" i="2"/>
  <c r="I67" i="7"/>
  <c r="AA67" i="2"/>
  <c r="L59" i="9"/>
  <c r="I73" i="7"/>
  <c r="AA73" i="2"/>
  <c r="I60" i="7"/>
  <c r="AA60" i="2"/>
  <c r="I39" i="7"/>
  <c r="AA39" i="2"/>
  <c r="I40" i="7"/>
  <c r="AA40" i="2"/>
  <c r="I42" i="7"/>
  <c r="AA42" i="2"/>
  <c r="I50" i="7"/>
  <c r="AA50" i="2"/>
  <c r="I22" i="7"/>
  <c r="AA22" i="2"/>
  <c r="I20" i="7"/>
  <c r="AA20" i="2"/>
  <c r="I25" i="7"/>
  <c r="AA25" i="2"/>
  <c r="I72" i="7"/>
  <c r="AA72" i="2"/>
  <c r="I56" i="7"/>
  <c r="AA56" i="2"/>
  <c r="I57" i="7"/>
  <c r="AA57" i="2"/>
  <c r="I44" i="7" l="1"/>
  <c r="H44" i="7"/>
  <c r="R74" i="2"/>
  <c r="G74" i="7" s="1"/>
  <c r="G77" i="7" s="1"/>
  <c r="O77" i="2"/>
  <c r="O78" i="2" s="1"/>
  <c r="L79" i="2"/>
  <c r="R70" i="2"/>
  <c r="G69" i="7"/>
  <c r="K57" i="9"/>
  <c r="I65" i="7"/>
  <c r="AA66" i="2"/>
  <c r="AD66" i="2" s="1"/>
  <c r="X12" i="2"/>
  <c r="H12" i="7"/>
  <c r="X23" i="2"/>
  <c r="H23" i="7"/>
  <c r="X33" i="2"/>
  <c r="H33" i="7"/>
  <c r="H47" i="7"/>
  <c r="X47" i="2"/>
  <c r="X41" i="2"/>
  <c r="H41" i="7"/>
  <c r="X31" i="2"/>
  <c r="H31" i="7"/>
  <c r="H46" i="7"/>
  <c r="X46" i="2"/>
  <c r="H34" i="7"/>
  <c r="X34" i="2"/>
  <c r="H43" i="7"/>
  <c r="X43" i="2"/>
  <c r="J57" i="9"/>
  <c r="F70" i="7"/>
  <c r="F78" i="7" s="1"/>
  <c r="H26" i="7"/>
  <c r="X26" i="2"/>
  <c r="H27" i="7"/>
  <c r="X27" i="2"/>
  <c r="H30" i="7"/>
  <c r="X30" i="2"/>
  <c r="H9" i="7"/>
  <c r="X9" i="2"/>
  <c r="H49" i="7"/>
  <c r="X49" i="2"/>
  <c r="G62" i="7"/>
  <c r="H54" i="7"/>
  <c r="X54" i="2"/>
  <c r="H61" i="7"/>
  <c r="X61" i="2"/>
  <c r="X55" i="2"/>
  <c r="H55" i="7"/>
  <c r="G28" i="7"/>
  <c r="E79" i="7"/>
  <c r="H58" i="7"/>
  <c r="X58" i="2"/>
  <c r="U62" i="2"/>
  <c r="H68" i="7"/>
  <c r="X68" i="2"/>
  <c r="K58" i="9"/>
  <c r="N54" i="9"/>
  <c r="N59" i="9" s="1"/>
  <c r="N58" i="9"/>
  <c r="H76" i="7"/>
  <c r="X76" i="2"/>
  <c r="F37" i="7"/>
  <c r="F52" i="7" s="1"/>
  <c r="G36" i="7"/>
  <c r="H21" i="7"/>
  <c r="X21" i="2"/>
  <c r="H35" i="7"/>
  <c r="X35" i="2"/>
  <c r="G18" i="7"/>
  <c r="X16" i="2"/>
  <c r="H16" i="7"/>
  <c r="X24" i="2"/>
  <c r="U28" i="2"/>
  <c r="H24" i="7"/>
  <c r="M54" i="9"/>
  <c r="M58" i="9"/>
  <c r="H17" i="7"/>
  <c r="X17" i="2"/>
  <c r="R37" i="2"/>
  <c r="R52" i="2" s="1"/>
  <c r="H15" i="7"/>
  <c r="X15" i="2"/>
  <c r="G51" i="7"/>
  <c r="U51" i="2"/>
  <c r="H45" i="7"/>
  <c r="X45" i="2"/>
  <c r="U69" i="2"/>
  <c r="H64" i="7"/>
  <c r="X64" i="2"/>
  <c r="X10" i="2"/>
  <c r="U18" i="2"/>
  <c r="H10" i="7"/>
  <c r="H32" i="7"/>
  <c r="X32" i="2"/>
  <c r="U36" i="2"/>
  <c r="H14" i="7"/>
  <c r="X14" i="2"/>
  <c r="H13" i="7"/>
  <c r="X13" i="2"/>
  <c r="X48" i="2"/>
  <c r="H48" i="7"/>
  <c r="J44" i="7"/>
  <c r="AD44" i="2"/>
  <c r="J60" i="7"/>
  <c r="AD60" i="2"/>
  <c r="J73" i="7"/>
  <c r="AD73" i="2"/>
  <c r="J59" i="7"/>
  <c r="AD59" i="2"/>
  <c r="J22" i="7"/>
  <c r="AD22" i="2"/>
  <c r="J65" i="7"/>
  <c r="AD65" i="2"/>
  <c r="J57" i="7"/>
  <c r="AD57" i="2"/>
  <c r="J67" i="7"/>
  <c r="AD67" i="2"/>
  <c r="J25" i="7"/>
  <c r="AD25" i="2"/>
  <c r="J11" i="7"/>
  <c r="AD11" i="2"/>
  <c r="J56" i="7"/>
  <c r="AD56" i="2"/>
  <c r="J72" i="7"/>
  <c r="AD72" i="2"/>
  <c r="J20" i="7"/>
  <c r="AD20" i="2"/>
  <c r="J50" i="7"/>
  <c r="AD50" i="2"/>
  <c r="J42" i="7"/>
  <c r="AD42" i="2"/>
  <c r="J40" i="7"/>
  <c r="AD40" i="2"/>
  <c r="J39" i="7"/>
  <c r="AD39" i="2"/>
  <c r="J58" i="9" l="1"/>
  <c r="U74" i="2"/>
  <c r="H74" i="7" s="1"/>
  <c r="H77" i="7" s="1"/>
  <c r="R77" i="2"/>
  <c r="R78" i="2" s="1"/>
  <c r="O2" i="2"/>
  <c r="O79" i="2"/>
  <c r="J66" i="7"/>
  <c r="G70" i="7"/>
  <c r="G78" i="7" s="1"/>
  <c r="I23" i="7"/>
  <c r="AA23" i="2"/>
  <c r="I33" i="7"/>
  <c r="AA33" i="2"/>
  <c r="I12" i="7"/>
  <c r="AA12" i="2"/>
  <c r="I47" i="7"/>
  <c r="AA47" i="2"/>
  <c r="I41" i="7"/>
  <c r="AA41" i="2"/>
  <c r="AA31" i="2"/>
  <c r="I31" i="7"/>
  <c r="AA34" i="2"/>
  <c r="I34" i="7"/>
  <c r="H62" i="7"/>
  <c r="AA46" i="2"/>
  <c r="I46" i="7"/>
  <c r="I26" i="7"/>
  <c r="AA26" i="2"/>
  <c r="I43" i="7"/>
  <c r="AA43" i="2"/>
  <c r="I54" i="7"/>
  <c r="AA54" i="2"/>
  <c r="AA49" i="2"/>
  <c r="I49" i="7"/>
  <c r="F79" i="7"/>
  <c r="I61" i="7"/>
  <c r="AA61" i="2"/>
  <c r="I9" i="7"/>
  <c r="AA9" i="2"/>
  <c r="AA27" i="2"/>
  <c r="I27" i="7"/>
  <c r="AA30" i="2"/>
  <c r="I30" i="7"/>
  <c r="AA55" i="2"/>
  <c r="I55" i="7"/>
  <c r="U70" i="2"/>
  <c r="H69" i="7"/>
  <c r="X62" i="2"/>
  <c r="I58" i="7"/>
  <c r="AA58" i="2"/>
  <c r="I68" i="7"/>
  <c r="AA68" i="2"/>
  <c r="I76" i="7"/>
  <c r="AA76" i="2"/>
  <c r="G37" i="7"/>
  <c r="G52" i="7" s="1"/>
  <c r="H28" i="7"/>
  <c r="AA35" i="2"/>
  <c r="I35" i="7"/>
  <c r="I21" i="7"/>
  <c r="AA21" i="2"/>
  <c r="H36" i="7"/>
  <c r="I16" i="7"/>
  <c r="AA16" i="2"/>
  <c r="X28" i="2"/>
  <c r="I24" i="7"/>
  <c r="AA24" i="2"/>
  <c r="AA14" i="2"/>
  <c r="I14" i="7"/>
  <c r="AA64" i="2"/>
  <c r="X69" i="2"/>
  <c r="I64" i="7"/>
  <c r="H51" i="7"/>
  <c r="I15" i="7"/>
  <c r="AA15" i="2"/>
  <c r="AA48" i="2"/>
  <c r="I48" i="7"/>
  <c r="H18" i="7"/>
  <c r="AA13" i="2"/>
  <c r="I13" i="7"/>
  <c r="U37" i="2"/>
  <c r="U52" i="2" s="1"/>
  <c r="M59" i="9"/>
  <c r="J59" i="9" s="1"/>
  <c r="J54" i="9"/>
  <c r="I32" i="7"/>
  <c r="AA32" i="2"/>
  <c r="X36" i="2"/>
  <c r="X18" i="2"/>
  <c r="AA10" i="2"/>
  <c r="I10" i="7"/>
  <c r="I45" i="7"/>
  <c r="X51" i="2"/>
  <c r="AA45" i="2"/>
  <c r="I17" i="7"/>
  <c r="AA17" i="2"/>
  <c r="K39" i="7"/>
  <c r="AG39" i="2"/>
  <c r="K65" i="7"/>
  <c r="AG65" i="2"/>
  <c r="K59" i="7"/>
  <c r="AG59" i="2"/>
  <c r="K60" i="7"/>
  <c r="AG60" i="2"/>
  <c r="K22" i="7"/>
  <c r="AG22" i="2"/>
  <c r="K44" i="7"/>
  <c r="AG44" i="2"/>
  <c r="K42" i="7"/>
  <c r="AG42" i="2"/>
  <c r="K20" i="7"/>
  <c r="AG20" i="2"/>
  <c r="K72" i="7"/>
  <c r="AG72" i="2"/>
  <c r="K25" i="7"/>
  <c r="AG25" i="2"/>
  <c r="K67" i="7"/>
  <c r="AG67" i="2"/>
  <c r="K50" i="7"/>
  <c r="AG50" i="2"/>
  <c r="K56" i="7"/>
  <c r="AG56" i="2"/>
  <c r="K40" i="7"/>
  <c r="AG40" i="2"/>
  <c r="K66" i="7"/>
  <c r="AG66" i="2"/>
  <c r="K11" i="7"/>
  <c r="AG11" i="2"/>
  <c r="K57" i="7"/>
  <c r="AG57" i="2"/>
  <c r="K73" i="7"/>
  <c r="AG73" i="2"/>
  <c r="U77" i="2" l="1"/>
  <c r="U78" i="2" s="1"/>
  <c r="U2" i="2" s="1"/>
  <c r="X74" i="2"/>
  <c r="I74" i="7" s="1"/>
  <c r="I77" i="7" s="1"/>
  <c r="R2" i="2"/>
  <c r="R79" i="2"/>
  <c r="G79" i="7"/>
  <c r="I69" i="7"/>
  <c r="J33" i="7"/>
  <c r="AD33" i="2"/>
  <c r="AD12" i="2"/>
  <c r="J12" i="7"/>
  <c r="J23" i="7"/>
  <c r="AD23" i="2"/>
  <c r="AD47" i="2"/>
  <c r="J47" i="7"/>
  <c r="AD41" i="2"/>
  <c r="J41" i="7"/>
  <c r="J31" i="7"/>
  <c r="AD31" i="2"/>
  <c r="H70" i="7"/>
  <c r="H78" i="7" s="1"/>
  <c r="J46" i="7"/>
  <c r="AD46" i="2"/>
  <c r="AD34" i="2"/>
  <c r="J34" i="7"/>
  <c r="J43" i="7"/>
  <c r="AD43" i="2"/>
  <c r="AD26" i="2"/>
  <c r="J26" i="7"/>
  <c r="J30" i="7"/>
  <c r="AD30" i="2"/>
  <c r="AD61" i="2"/>
  <c r="J61" i="7"/>
  <c r="AD49" i="2"/>
  <c r="J49" i="7"/>
  <c r="AD27" i="2"/>
  <c r="J27" i="7"/>
  <c r="AD54" i="2"/>
  <c r="J54" i="7"/>
  <c r="AD9" i="2"/>
  <c r="J9" i="7"/>
  <c r="I62" i="7"/>
  <c r="J55" i="7"/>
  <c r="AD55" i="2"/>
  <c r="X70" i="2"/>
  <c r="J58" i="7"/>
  <c r="AD58" i="2"/>
  <c r="AA62" i="2"/>
  <c r="J68" i="7"/>
  <c r="AD68" i="2"/>
  <c r="J76" i="7"/>
  <c r="AD76" i="2"/>
  <c r="H37" i="7"/>
  <c r="H52" i="7" s="1"/>
  <c r="I36" i="7"/>
  <c r="J21" i="7"/>
  <c r="AD21" i="2"/>
  <c r="I28" i="7"/>
  <c r="J35" i="7"/>
  <c r="AD35" i="2"/>
  <c r="AD16" i="2"/>
  <c r="J16" i="7"/>
  <c r="I51" i="7"/>
  <c r="J24" i="7"/>
  <c r="AD24" i="2"/>
  <c r="AA28" i="2"/>
  <c r="J13" i="7"/>
  <c r="AD13" i="2"/>
  <c r="J15" i="7"/>
  <c r="AD15" i="2"/>
  <c r="I18" i="7"/>
  <c r="AA36" i="2"/>
  <c r="J32" i="7"/>
  <c r="AD32" i="2"/>
  <c r="AA69" i="2"/>
  <c r="AD64" i="2"/>
  <c r="J64" i="7"/>
  <c r="AD17" i="2"/>
  <c r="J17" i="7"/>
  <c r="AD45" i="2"/>
  <c r="AA51" i="2"/>
  <c r="J45" i="7"/>
  <c r="AD10" i="2"/>
  <c r="AA18" i="2"/>
  <c r="J10" i="7"/>
  <c r="X37" i="2"/>
  <c r="X52" i="2" s="1"/>
  <c r="J48" i="7"/>
  <c r="AD48" i="2"/>
  <c r="J14" i="7"/>
  <c r="AD14" i="2"/>
  <c r="L20" i="7"/>
  <c r="AJ20" i="2"/>
  <c r="D32" i="8"/>
  <c r="L73" i="7"/>
  <c r="E42" i="6"/>
  <c r="AJ73" i="2"/>
  <c r="AM73" i="2" s="1"/>
  <c r="L40" i="7"/>
  <c r="AJ40" i="2"/>
  <c r="AM40" i="2" s="1"/>
  <c r="L67" i="7"/>
  <c r="AJ67" i="2"/>
  <c r="AM67" i="2" s="1"/>
  <c r="L60" i="7"/>
  <c r="AJ60" i="2"/>
  <c r="AM60" i="2" s="1"/>
  <c r="L39" i="7"/>
  <c r="AJ39" i="2"/>
  <c r="L11" i="7"/>
  <c r="AO11" i="2"/>
  <c r="AJ11" i="2"/>
  <c r="AM11" i="2" s="1"/>
  <c r="L66" i="7"/>
  <c r="AJ66" i="2"/>
  <c r="AM66" i="2" s="1"/>
  <c r="D19" i="8"/>
  <c r="L50" i="7"/>
  <c r="E23" i="6"/>
  <c r="AJ50" i="2"/>
  <c r="AM50" i="2" s="1"/>
  <c r="L25" i="7"/>
  <c r="AJ25" i="2"/>
  <c r="AM25" i="2" s="1"/>
  <c r="D31" i="8"/>
  <c r="E41" i="6"/>
  <c r="L72" i="7"/>
  <c r="AJ72" i="2"/>
  <c r="L44" i="7"/>
  <c r="AJ44" i="2"/>
  <c r="AM44" i="2" s="1"/>
  <c r="L59" i="7"/>
  <c r="AJ59" i="2"/>
  <c r="AM59" i="2" s="1"/>
  <c r="L65" i="7"/>
  <c r="AJ65" i="2"/>
  <c r="AM65" i="2" s="1"/>
  <c r="L22" i="7"/>
  <c r="AJ22" i="2"/>
  <c r="AM22" i="2" s="1"/>
  <c r="L57" i="7"/>
  <c r="AJ57" i="2"/>
  <c r="AM57" i="2" s="1"/>
  <c r="L56" i="7"/>
  <c r="AJ56" i="2"/>
  <c r="AM56" i="2" s="1"/>
  <c r="L42" i="7"/>
  <c r="AJ42" i="2"/>
  <c r="AM42" i="2" s="1"/>
  <c r="AA74" i="2" l="1"/>
  <c r="AD74" i="2" s="1"/>
  <c r="X77" i="2"/>
  <c r="X78" i="2" s="1"/>
  <c r="X79" i="2" s="1"/>
  <c r="I70" i="7"/>
  <c r="I78" i="7" s="1"/>
  <c r="J28" i="7"/>
  <c r="U79" i="2"/>
  <c r="K12" i="7"/>
  <c r="AG12" i="2"/>
  <c r="K23" i="7"/>
  <c r="AG23" i="2"/>
  <c r="K33" i="7"/>
  <c r="AG33" i="2"/>
  <c r="K41" i="7"/>
  <c r="AG41" i="2"/>
  <c r="AG47" i="2"/>
  <c r="K47" i="7"/>
  <c r="AG31" i="2"/>
  <c r="K31" i="7"/>
  <c r="K34" i="7"/>
  <c r="AG34" i="2"/>
  <c r="K46" i="7"/>
  <c r="AG46" i="2"/>
  <c r="K26" i="7"/>
  <c r="AG26" i="2"/>
  <c r="K43" i="7"/>
  <c r="AG43" i="2"/>
  <c r="K61" i="7"/>
  <c r="AG61" i="2"/>
  <c r="K30" i="7"/>
  <c r="AG30" i="2"/>
  <c r="K9" i="7"/>
  <c r="AG9" i="2"/>
  <c r="J62" i="7"/>
  <c r="AG27" i="2"/>
  <c r="K27" i="7"/>
  <c r="AG54" i="2"/>
  <c r="K54" i="7"/>
  <c r="AG49" i="2"/>
  <c r="K49" i="7"/>
  <c r="K55" i="7"/>
  <c r="AG55" i="2"/>
  <c r="H79" i="7"/>
  <c r="J69" i="7"/>
  <c r="AA70" i="2"/>
  <c r="AG58" i="2"/>
  <c r="AD62" i="2"/>
  <c r="K58" i="7"/>
  <c r="K68" i="7"/>
  <c r="AG68" i="2"/>
  <c r="K76" i="7"/>
  <c r="AG76" i="2"/>
  <c r="I37" i="7"/>
  <c r="I52" i="7" s="1"/>
  <c r="J36" i="7"/>
  <c r="K21" i="7"/>
  <c r="AG21" i="2"/>
  <c r="K35" i="7"/>
  <c r="AG35" i="2"/>
  <c r="AA37" i="2"/>
  <c r="AA52" i="2" s="1"/>
  <c r="K24" i="7"/>
  <c r="AG24" i="2"/>
  <c r="AD28" i="2"/>
  <c r="AG16" i="2"/>
  <c r="K16" i="7"/>
  <c r="AG48" i="2"/>
  <c r="K48" i="7"/>
  <c r="AG45" i="2"/>
  <c r="K45" i="7"/>
  <c r="AD51" i="2"/>
  <c r="AG32" i="2"/>
  <c r="AD36" i="2"/>
  <c r="K32" i="7"/>
  <c r="AG15" i="2"/>
  <c r="K15" i="7"/>
  <c r="K10" i="7"/>
  <c r="AG10" i="2"/>
  <c r="AD18" i="2"/>
  <c r="K64" i="7"/>
  <c r="AD69" i="2"/>
  <c r="AG64" i="2"/>
  <c r="K14" i="7"/>
  <c r="AG14" i="2"/>
  <c r="J51" i="7"/>
  <c r="K13" i="7"/>
  <c r="AG13" i="2"/>
  <c r="J18" i="7"/>
  <c r="K17" i="7"/>
  <c r="AG17" i="2"/>
  <c r="AM20" i="2"/>
  <c r="AM72" i="2"/>
  <c r="AM39" i="2"/>
  <c r="J74" i="7" l="1"/>
  <c r="J77" i="7" s="1"/>
  <c r="AA77" i="2"/>
  <c r="AA78" i="2" s="1"/>
  <c r="AA2" i="2" s="1"/>
  <c r="X2" i="2"/>
  <c r="J37" i="7"/>
  <c r="J52" i="7" s="1"/>
  <c r="AD70" i="2"/>
  <c r="L23" i="7"/>
  <c r="AJ23" i="2"/>
  <c r="AM23" i="2" s="1"/>
  <c r="L33" i="7"/>
  <c r="AJ33" i="2"/>
  <c r="AM33" i="2" s="1"/>
  <c r="AJ12" i="2"/>
  <c r="AM12" i="2" s="1"/>
  <c r="L12" i="7"/>
  <c r="AJ47" i="2"/>
  <c r="AM47" i="2" s="1"/>
  <c r="L47" i="7"/>
  <c r="D15" i="8"/>
  <c r="AJ41" i="2"/>
  <c r="AM41" i="2" s="1"/>
  <c r="E19" i="6"/>
  <c r="L41" i="7"/>
  <c r="AJ31" i="2"/>
  <c r="AM31" i="2" s="1"/>
  <c r="L31" i="7"/>
  <c r="E22" i="6"/>
  <c r="AJ46" i="2"/>
  <c r="AM46" i="2" s="1"/>
  <c r="D18" i="8"/>
  <c r="L46" i="7"/>
  <c r="L34" i="7"/>
  <c r="AJ34" i="2"/>
  <c r="AM34" i="2" s="1"/>
  <c r="L43" i="7"/>
  <c r="D16" i="8"/>
  <c r="E20" i="6"/>
  <c r="AJ43" i="2"/>
  <c r="AM43" i="2" s="1"/>
  <c r="AJ26" i="2"/>
  <c r="AM26" i="2" s="1"/>
  <c r="L26" i="7"/>
  <c r="L27" i="7"/>
  <c r="AJ27" i="2"/>
  <c r="AM27" i="2" s="1"/>
  <c r="K62" i="7"/>
  <c r="J70" i="7"/>
  <c r="AJ54" i="2"/>
  <c r="AM54" i="2" s="1"/>
  <c r="L54" i="7"/>
  <c r="AJ9" i="2"/>
  <c r="AM9" i="2" s="1"/>
  <c r="AO9" i="2"/>
  <c r="L9" i="7"/>
  <c r="AJ61" i="2"/>
  <c r="AM61" i="2" s="1"/>
  <c r="L61" i="7"/>
  <c r="AJ49" i="2"/>
  <c r="AM49" i="2" s="1"/>
  <c r="L49" i="7"/>
  <c r="AJ30" i="2"/>
  <c r="AM30" i="2" s="1"/>
  <c r="L30" i="7"/>
  <c r="L55" i="7"/>
  <c r="AJ55" i="2"/>
  <c r="AM55" i="2" s="1"/>
  <c r="I79" i="7"/>
  <c r="K69" i="7"/>
  <c r="AJ58" i="2"/>
  <c r="AG62" i="2"/>
  <c r="L58" i="7"/>
  <c r="L68" i="7"/>
  <c r="AJ68" i="2"/>
  <c r="AM68" i="2" s="1"/>
  <c r="D35" i="8"/>
  <c r="E45" i="6"/>
  <c r="L76" i="7"/>
  <c r="AJ76" i="2"/>
  <c r="AM76" i="2" s="1"/>
  <c r="K36" i="7"/>
  <c r="K28" i="7"/>
  <c r="K51" i="7"/>
  <c r="L21" i="7"/>
  <c r="AJ21" i="2"/>
  <c r="AM21" i="2" s="1"/>
  <c r="L35" i="7"/>
  <c r="AJ35" i="2"/>
  <c r="AM35" i="2" s="1"/>
  <c r="L16" i="7"/>
  <c r="AJ16" i="2"/>
  <c r="AM16" i="2" s="1"/>
  <c r="L24" i="7"/>
  <c r="AG28" i="2"/>
  <c r="AJ24" i="2"/>
  <c r="L17" i="7"/>
  <c r="AO17" i="2"/>
  <c r="AJ17" i="2"/>
  <c r="AM17" i="2" s="1"/>
  <c r="K18" i="7"/>
  <c r="AJ45" i="2"/>
  <c r="D17" i="8"/>
  <c r="AG51" i="2"/>
  <c r="E21" i="6"/>
  <c r="L45" i="7"/>
  <c r="L10" i="7"/>
  <c r="AG18" i="2"/>
  <c r="AJ10" i="2"/>
  <c r="L14" i="7"/>
  <c r="AJ14" i="2"/>
  <c r="AM14" i="2" s="1"/>
  <c r="L32" i="7"/>
  <c r="AJ32" i="2"/>
  <c r="AG36" i="2"/>
  <c r="L64" i="7"/>
  <c r="AG69" i="2"/>
  <c r="AJ64" i="2"/>
  <c r="AJ13" i="2"/>
  <c r="AM13" i="2" s="1"/>
  <c r="L13" i="7"/>
  <c r="AD37" i="2"/>
  <c r="AD52" i="2" s="1"/>
  <c r="L15" i="7"/>
  <c r="AJ15" i="2"/>
  <c r="AM15" i="2" s="1"/>
  <c r="D20" i="8"/>
  <c r="AJ48" i="2"/>
  <c r="AM48" i="2" s="1"/>
  <c r="E24" i="6"/>
  <c r="L48" i="7"/>
  <c r="K74" i="7"/>
  <c r="K77" i="7" s="1"/>
  <c r="AG74" i="2"/>
  <c r="AN75" i="2"/>
  <c r="AD77" i="2"/>
  <c r="J78" i="7" l="1"/>
  <c r="J79" i="7" s="1"/>
  <c r="L69" i="7"/>
  <c r="AD78" i="2"/>
  <c r="AD79" i="2" s="1"/>
  <c r="K70" i="7"/>
  <c r="K78" i="7" s="1"/>
  <c r="AA79" i="2"/>
  <c r="L62" i="7"/>
  <c r="E34" i="6"/>
  <c r="D26" i="8"/>
  <c r="AM58" i="2"/>
  <c r="AM62" i="2" s="1"/>
  <c r="AJ62" i="2"/>
  <c r="L28" i="7"/>
  <c r="K37" i="7"/>
  <c r="K52" i="7" s="1"/>
  <c r="L36" i="7"/>
  <c r="AM24" i="2"/>
  <c r="AM28" i="2" s="1"/>
  <c r="AJ28" i="2"/>
  <c r="D10" i="8"/>
  <c r="E12" i="6"/>
  <c r="E11" i="6"/>
  <c r="D9" i="8"/>
  <c r="AG37" i="2"/>
  <c r="AG52" i="2" s="1"/>
  <c r="AJ69" i="2"/>
  <c r="AM64" i="2"/>
  <c r="AM69" i="2" s="1"/>
  <c r="E13" i="6"/>
  <c r="D11" i="8"/>
  <c r="L18" i="7"/>
  <c r="D21" i="8"/>
  <c r="E35" i="6"/>
  <c r="AG70" i="2"/>
  <c r="D27" i="8"/>
  <c r="AM32" i="2"/>
  <c r="AM36" i="2" s="1"/>
  <c r="AJ36" i="2"/>
  <c r="L51" i="7"/>
  <c r="AM45" i="2"/>
  <c r="AM51" i="2" s="1"/>
  <c r="AJ51" i="2"/>
  <c r="AM10" i="2"/>
  <c r="AM18" i="2" s="1"/>
  <c r="AJ18" i="2"/>
  <c r="E26" i="6"/>
  <c r="D33" i="8"/>
  <c r="D36" i="8" s="1"/>
  <c r="L74" i="7"/>
  <c r="L77" i="7" s="1"/>
  <c r="E43" i="6"/>
  <c r="E47" i="6" s="1"/>
  <c r="AJ74" i="2"/>
  <c r="AG77" i="2"/>
  <c r="L70" i="7" l="1"/>
  <c r="L78" i="7" s="1"/>
  <c r="E37" i="6"/>
  <c r="E49" i="6" s="1"/>
  <c r="AD2" i="2"/>
  <c r="K79" i="7"/>
  <c r="AM70" i="2"/>
  <c r="D28" i="8"/>
  <c r="D38" i="8" s="1"/>
  <c r="AJ70" i="2"/>
  <c r="AJ37" i="2"/>
  <c r="AJ52" i="2" s="1"/>
  <c r="L37" i="7"/>
  <c r="L52" i="7" s="1"/>
  <c r="AG78" i="2"/>
  <c r="AG2" i="2" s="1"/>
  <c r="E15" i="6"/>
  <c r="E28" i="6" s="1"/>
  <c r="AM37" i="2"/>
  <c r="AM52" i="2" s="1"/>
  <c r="D12" i="8"/>
  <c r="D22" i="8" s="1"/>
  <c r="AM74" i="2"/>
  <c r="AM77" i="2" s="1"/>
  <c r="AJ77" i="2"/>
  <c r="AM78" i="2" l="1"/>
  <c r="AM2" i="2" s="1"/>
  <c r="L79" i="7"/>
  <c r="AJ78" i="2"/>
  <c r="AJ79" i="2" s="1"/>
  <c r="AG79" i="2"/>
  <c r="AM79" i="2" l="1"/>
  <c r="AJ2" i="2"/>
  <c r="H3001" i="4" l="1"/>
  <c r="G3001" i="4" s="1"/>
  <c r="I1159" i="4" l="1"/>
  <c r="I1160" i="4" l="1"/>
  <c r="H5"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F5" authorId="0" shapeId="0" xr:uid="{00000000-0006-0000-0100-000001000000}">
      <text>
        <r>
          <rPr>
            <b/>
            <sz val="9"/>
            <color indexed="81"/>
            <rFont val="Tahoma"/>
            <family val="2"/>
          </rPr>
          <t xml:space="preserve">Confirm:
</t>
        </r>
        <r>
          <rPr>
            <sz val="9"/>
            <color indexed="81"/>
            <rFont val="Tahoma"/>
            <family val="2"/>
          </rPr>
          <t xml:space="preserve">Nilai Persediaan
</t>
        </r>
      </text>
    </comment>
    <comment ref="I5" authorId="0" shapeId="0" xr:uid="{00000000-0006-0000-0100-000002000000}">
      <text>
        <r>
          <rPr>
            <b/>
            <sz val="9"/>
            <color indexed="81"/>
            <rFont val="Tahoma"/>
            <charset val="1"/>
          </rPr>
          <t xml:space="preserve">Confirm:
</t>
        </r>
        <r>
          <rPr>
            <sz val="9"/>
            <color indexed="81"/>
            <rFont val="Tahoma"/>
            <family val="2"/>
          </rPr>
          <t>1. Vasco
2. Hutang Sekala ke Owner
3. Kasbon Karyawan
4. Mutasi Rekening</t>
        </r>
      </text>
    </comment>
    <comment ref="B13" authorId="0" shapeId="0" xr:uid="{135C529C-F842-4D38-BB3D-12A3C2F45CE4}">
      <text>
        <r>
          <rPr>
            <b/>
            <sz val="9"/>
            <color indexed="81"/>
            <rFont val="Tahoma"/>
            <family val="2"/>
          </rPr>
          <t>Reklas ke Rek Owner (-350jt)</t>
        </r>
      </text>
    </comment>
    <comment ref="B64" authorId="0" shapeId="0" xr:uid="{2615AD25-38FE-4110-BD5D-575A3A69B15E}">
      <text>
        <r>
          <rPr>
            <b/>
            <sz val="9"/>
            <color indexed="81"/>
            <rFont val="Tahoma"/>
            <charset val="1"/>
          </rPr>
          <t>Ruko Maccini 24jt/Bulan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D217" authorId="0" shapeId="0" xr:uid="{9113CF9A-DE41-4685-963F-CDCF0CE35984}">
      <text>
        <r>
          <rPr>
            <b/>
            <sz val="9"/>
            <color indexed="81"/>
            <rFont val="Tahoma"/>
            <family val="2"/>
          </rPr>
          <t>Belum Bayar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O5" authorId="0" shapeId="0" xr:uid="{1B32006D-A477-4F51-8CBC-E2E92C14F459}">
      <text>
        <r>
          <rPr>
            <b/>
            <sz val="9"/>
            <color indexed="81"/>
            <rFont val="Tahoma"/>
            <charset val="1"/>
          </rPr>
          <t xml:space="preserve">435jt pencairannya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A5" authorId="0" shapeId="0" xr:uid="{59509241-A3E1-4BEB-A220-E6EC7C694C0A}">
      <text>
        <r>
          <rPr>
            <b/>
            <sz val="9"/>
            <color indexed="81"/>
            <rFont val="Tahoma"/>
            <charset val="1"/>
          </rPr>
          <t>5 Tahun</t>
        </r>
      </text>
    </comment>
    <comment ref="A6" authorId="0" shapeId="0" xr:uid="{18A80C11-4E69-462C-8D96-5FAE5AF1AE61}">
      <text>
        <r>
          <rPr>
            <b/>
            <sz val="9"/>
            <color indexed="81"/>
            <rFont val="Tahoma"/>
            <charset val="1"/>
          </rPr>
          <t>23 Apr 26 - 2031
5 Tahun Jangka Panjang</t>
        </r>
      </text>
    </comment>
    <comment ref="A7" authorId="0" shapeId="0" xr:uid="{15A38E62-780E-4956-8CD0-E1A56D11F345}">
      <text>
        <r>
          <rPr>
            <b/>
            <sz val="9"/>
            <color indexed="81"/>
            <rFont val="Tahoma"/>
            <charset val="1"/>
          </rPr>
          <t>36 Bulan 11/4/26 - 11/4/29</t>
        </r>
      </text>
    </comment>
    <comment ref="F7" authorId="0" shapeId="0" xr:uid="{59BA7FAA-036C-4C4D-81CA-6880CDA9A52E}">
      <text>
        <r>
          <rPr>
            <b/>
            <sz val="9"/>
            <color indexed="81"/>
            <rFont val="Tahoma"/>
            <charset val="1"/>
          </rPr>
          <t>11 Apr 26</t>
        </r>
      </text>
    </comment>
    <comment ref="G7" authorId="0" shapeId="0" xr:uid="{C302AC58-3387-4FE8-B5B3-DFDF6E4EAD7C}">
      <text>
        <r>
          <rPr>
            <b/>
            <sz val="9"/>
            <color indexed="81"/>
            <rFont val="Tahoma"/>
            <charset val="1"/>
          </rPr>
          <t xml:space="preserve">DP 10 Mei
Reimburse Arya
</t>
        </r>
      </text>
    </comment>
    <comment ref="A8" authorId="0" shapeId="0" xr:uid="{B82DC0DD-F4D0-485B-A6A7-7C70505473AD}">
      <text>
        <r>
          <rPr>
            <b/>
            <sz val="9"/>
            <color indexed="81"/>
            <rFont val="Tahoma"/>
            <charset val="1"/>
          </rPr>
          <t>36 Bulan 9/3/26 - 9/3/29</t>
        </r>
      </text>
    </comment>
    <comment ref="A9" authorId="0" shapeId="0" xr:uid="{1F06FC51-2147-410B-9DC5-2AA3785D992C}">
      <text>
        <r>
          <rPr>
            <b/>
            <sz val="9"/>
            <color indexed="81"/>
            <rFont val="Tahoma"/>
            <family val="2"/>
          </rPr>
          <t>6 Bulan 5/12/25 - 5/4/26</t>
        </r>
      </text>
    </comment>
    <comment ref="A10" authorId="0" shapeId="0" xr:uid="{5DC57399-B5AD-4003-B017-47FACE5A71BD}">
      <text>
        <r>
          <rPr>
            <b/>
            <sz val="9"/>
            <color indexed="81"/>
            <rFont val="Tahoma"/>
            <charset val="1"/>
          </rPr>
          <t>Per 4 Bulan 27 Mei</t>
        </r>
      </text>
    </comment>
    <comment ref="G10" authorId="0" shapeId="0" xr:uid="{C6751D1C-8D3A-45DB-B2E7-FD218213AFD2}">
      <text>
        <r>
          <rPr>
            <b/>
            <sz val="9"/>
            <color indexed="81"/>
            <rFont val="Tahoma"/>
            <charset val="1"/>
          </rPr>
          <t>0,5% Perbulan (Ditebus per 4 bulan)</t>
        </r>
      </text>
    </comment>
    <comment ref="K10" authorId="0" shapeId="0" xr:uid="{A6393F44-3EA7-4D9A-A7DF-2FB00D177B2C}">
      <text>
        <r>
          <rPr>
            <b/>
            <sz val="9"/>
            <color indexed="81"/>
            <rFont val="Tahoma"/>
            <charset val="1"/>
          </rPr>
          <t>0,5% Perbulan (Ditebus per 4 bulan)</t>
        </r>
      </text>
    </comment>
    <comment ref="A11" authorId="0" shapeId="0" xr:uid="{D1217311-1C2E-4C89-BE9E-412AE1069877}">
      <text>
        <r>
          <rPr>
            <b/>
            <sz val="9"/>
            <color indexed="81"/>
            <rFont val="Tahoma"/>
            <charset val="1"/>
          </rPr>
          <t>Pengambilan 10 Mei 2026 ditebus per 4 bulan</t>
        </r>
      </text>
    </comment>
    <comment ref="K11" authorId="0" shapeId="0" xr:uid="{C49F4BBB-1F0B-484A-AD0C-02B8D8737F16}">
      <text>
        <r>
          <rPr>
            <b/>
            <sz val="9"/>
            <color indexed="81"/>
            <rFont val="Tahoma"/>
            <charset val="1"/>
          </rPr>
          <t>0,5% Perbulan (Ditebus per 4 bulan)</t>
        </r>
      </text>
    </comment>
    <comment ref="A12" authorId="0" shapeId="0" xr:uid="{65EF1E20-04BF-4969-A8D6-B1238F1D9D67}">
      <text>
        <r>
          <rPr>
            <sz val="9"/>
            <color indexed="81"/>
            <rFont val="Tahoma"/>
            <charset val="1"/>
          </rPr>
          <t>Kontrak 1 Tahun per Maret 2026
Pelunasan Maret 2027 ditambah dengan bagi hasil 140jt
31 Maret 2026</t>
        </r>
      </text>
    </comment>
    <comment ref="C15" authorId="0" shapeId="0" xr:uid="{0E984181-25EA-4BB4-8132-BC07A3B47D41}">
      <text>
        <r>
          <rPr>
            <b/>
            <sz val="9"/>
            <color indexed="81"/>
            <rFont val="Tahoma"/>
            <charset val="1"/>
          </rPr>
          <t>Di tahun 2025</t>
        </r>
      </text>
    </comment>
    <comment ref="D15" authorId="0" shapeId="0" xr:uid="{9BE4CB8A-86DB-49F4-BDEA-C32DD5F512C8}">
      <text>
        <r>
          <rPr>
            <b/>
            <sz val="9"/>
            <color indexed="81"/>
            <rFont val="Tahoma"/>
            <charset val="1"/>
          </rPr>
          <t>20 Feb 26</t>
        </r>
      </text>
    </comment>
    <comment ref="F16" authorId="0" shapeId="0" xr:uid="{E63A5380-C478-4EB2-913E-53570383CEE8}">
      <text>
        <r>
          <rPr>
            <b/>
            <sz val="9"/>
            <color indexed="81"/>
            <rFont val="Tahoma"/>
            <charset val="1"/>
          </rPr>
          <t>15 Apr 26</t>
        </r>
      </text>
    </comment>
    <comment ref="F20" authorId="0" shapeId="0" xr:uid="{506FC562-C22B-459F-A634-00E435AFB18C}">
      <text>
        <r>
          <rPr>
            <b/>
            <sz val="9"/>
            <color indexed="81"/>
            <rFont val="Tahoma"/>
            <charset val="1"/>
          </rPr>
          <t>15 Apr 26</t>
        </r>
      </text>
    </comment>
    <comment ref="G20" authorId="0" shapeId="0" xr:uid="{497D4728-6F2F-4E75-AF24-F3616128164E}">
      <text>
        <r>
          <rPr>
            <b/>
            <sz val="9"/>
            <color indexed="81"/>
            <rFont val="Tahoma"/>
            <charset val="1"/>
          </rPr>
          <t xml:space="preserve">20 Mei 26
</t>
        </r>
      </text>
    </comment>
    <comment ref="F21" authorId="0" shapeId="0" xr:uid="{E3C9C7F9-3E17-42EA-B18C-C18F585058C5}">
      <text>
        <r>
          <rPr>
            <b/>
            <sz val="9"/>
            <color indexed="81"/>
            <rFont val="Tahoma"/>
            <charset val="1"/>
          </rPr>
          <t>15 Apr</t>
        </r>
      </text>
    </comment>
    <comment ref="G22" authorId="0" shapeId="0" xr:uid="{C006E2B9-85C8-4335-ACB3-8F231CEBA6D4}">
      <text>
        <r>
          <rPr>
            <b/>
            <sz val="9"/>
            <color indexed="81"/>
            <rFont val="Tahoma"/>
            <charset val="1"/>
          </rPr>
          <t>4 Mei 26</t>
        </r>
      </text>
    </comment>
    <comment ref="B23" authorId="0" shapeId="0" xr:uid="{AF9BA113-028E-47F3-9A78-31FFABA2AEF2}">
      <text>
        <r>
          <rPr>
            <b/>
            <sz val="9"/>
            <color indexed="81"/>
            <rFont val="Tahoma"/>
            <charset val="1"/>
          </rPr>
          <t>14JT belum direimburse ke Arya</t>
        </r>
      </text>
    </comment>
    <comment ref="F23" authorId="0" shapeId="0" xr:uid="{A4F716C3-BF40-4580-ADBB-FB30A412A0D7}">
      <text>
        <r>
          <rPr>
            <b/>
            <sz val="9"/>
            <color indexed="81"/>
            <rFont val="Tahoma"/>
            <charset val="1"/>
          </rPr>
          <t>Tukar Ruko</t>
        </r>
      </text>
    </comment>
    <comment ref="B24" authorId="0" shapeId="0" xr:uid="{721C631D-B238-4D5F-B963-98BD2746F48E}">
      <text>
        <r>
          <rPr>
            <b/>
            <sz val="9"/>
            <color indexed="81"/>
            <rFont val="Tahoma"/>
            <charset val="1"/>
          </rPr>
          <t>Dihold Tanah Bermasalah</t>
        </r>
      </text>
    </comment>
    <comment ref="G24" authorId="0" shapeId="0" xr:uid="{5C48E24E-EC4A-46AC-802C-9A1D74BDC4D7}">
      <text>
        <r>
          <rPr>
            <b/>
            <sz val="9"/>
            <color indexed="81"/>
            <rFont val="Tahoma"/>
            <charset val="1"/>
          </rPr>
          <t>18 Mei 26</t>
        </r>
      </text>
    </comment>
    <comment ref="D27" authorId="0" shapeId="0" xr:uid="{5419F437-0DF0-426E-9002-65CE0377D5D4}">
      <text>
        <r>
          <rPr>
            <b/>
            <sz val="9"/>
            <color indexed="81"/>
            <rFont val="Tahoma"/>
            <family val="2"/>
          </rPr>
          <t>9 Feb 26 DP</t>
        </r>
      </text>
    </comment>
    <comment ref="E27" authorId="0" shapeId="0" xr:uid="{36F1EC4D-7E1E-425B-867F-D71799F5E640}">
      <text>
        <r>
          <rPr>
            <b/>
            <sz val="9"/>
            <color indexed="81"/>
            <rFont val="Tahoma"/>
            <family val="2"/>
          </rPr>
          <t>31 Maret 2026</t>
        </r>
      </text>
    </comment>
    <comment ref="F27" authorId="0" shapeId="0" xr:uid="{491B892D-C754-4821-9F61-F2CAEF19B8D4}">
      <text>
        <r>
          <rPr>
            <b/>
            <sz val="9"/>
            <color indexed="81"/>
            <rFont val="Tahoma"/>
            <family val="2"/>
          </rPr>
          <t>4 Mei 
6 Mei
27 Apr
17 Apr</t>
        </r>
      </text>
    </comment>
    <comment ref="G27" authorId="0" shapeId="0" xr:uid="{1B3D00C9-544E-49AF-9CE5-B11EAFA877C4}">
      <text>
        <r>
          <rPr>
            <b/>
            <sz val="9"/>
            <color indexed="81"/>
            <rFont val="Tahoma"/>
            <charset val="1"/>
          </rPr>
          <t xml:space="preserve">4 Mei 26 6 Mei
19 Mei
</t>
        </r>
      </text>
    </comment>
    <comment ref="F28" authorId="0" shapeId="0" xr:uid="{486389B8-7669-4D01-B633-E45A7F81C9E9}">
      <text>
        <r>
          <rPr>
            <b/>
            <sz val="9"/>
            <color indexed="81"/>
            <rFont val="Tahoma"/>
            <charset val="1"/>
          </rPr>
          <t>21 Apr 26</t>
        </r>
      </text>
    </comment>
    <comment ref="F29" authorId="0" shapeId="0" xr:uid="{0EDC3BE1-8974-4D89-8AC0-EA2463F8082F}">
      <text>
        <r>
          <rPr>
            <b/>
            <sz val="9"/>
            <color indexed="81"/>
            <rFont val="Tahoma"/>
            <charset val="1"/>
          </rPr>
          <t>29 Apr 26</t>
        </r>
      </text>
    </comment>
    <comment ref="G29" authorId="0" shapeId="0" xr:uid="{F17EBD72-7A70-4E2A-9CD5-7E81E05B7175}">
      <text>
        <r>
          <rPr>
            <b/>
            <sz val="9"/>
            <color indexed="81"/>
            <rFont val="Tahoma"/>
            <charset val="1"/>
          </rPr>
          <t>6 Mei 26</t>
        </r>
      </text>
    </comment>
    <comment ref="G31" authorId="0" shapeId="0" xr:uid="{603B15A4-3A23-4C7D-B538-44D850719A2A}">
      <text>
        <r>
          <rPr>
            <b/>
            <sz val="9"/>
            <color indexed="81"/>
            <rFont val="Tahoma"/>
            <family val="2"/>
          </rPr>
          <t>21/5 nilai keluar 80JT</t>
        </r>
      </text>
    </comment>
    <comment ref="B36" authorId="0" shapeId="0" xr:uid="{794B8C9C-3E0E-49FF-BB8B-2194A779943A}">
      <text>
        <r>
          <rPr>
            <b/>
            <sz val="9"/>
            <color indexed="81"/>
            <rFont val="Tahoma"/>
            <charset val="1"/>
          </rPr>
          <t>Hold sementara pengurusan</t>
        </r>
      </text>
    </comment>
    <comment ref="B38" authorId="0" shapeId="0" xr:uid="{D21F70E7-1D99-4D10-B456-55A79967F2C6}">
      <text>
        <r>
          <rPr>
            <b/>
            <sz val="9"/>
            <color indexed="81"/>
            <rFont val="Tahoma"/>
            <charset val="1"/>
          </rPr>
          <t>Confirm Kembali</t>
        </r>
      </text>
    </comment>
    <comment ref="H41" authorId="0" shapeId="0" xr:uid="{AFB96B95-747E-45BC-8A01-10FFDDB1C656}">
      <text>
        <r>
          <rPr>
            <b/>
            <sz val="9"/>
            <color indexed="81"/>
            <rFont val="Tahoma"/>
            <family val="2"/>
          </rPr>
          <t>Tahap 3 160jt
Tahap 4 80jt</t>
        </r>
      </text>
    </comment>
    <comment ref="H43" authorId="0" shapeId="0" xr:uid="{762EE79C-851E-4BDA-AA9A-B014C3032D52}">
      <text>
        <r>
          <rPr>
            <b/>
            <sz val="9"/>
            <color indexed="81"/>
            <rFont val="Tahoma"/>
            <family val="2"/>
          </rPr>
          <t>Tahap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C5" authorId="0" shapeId="0" xr:uid="{00000000-0006-0000-0600-000001000000}">
      <text>
        <r>
          <rPr>
            <b/>
            <sz val="9"/>
            <color indexed="81"/>
            <rFont val="Tahoma"/>
            <family val="2"/>
          </rPr>
          <t xml:space="preserve">Confirm:
</t>
        </r>
        <r>
          <rPr>
            <sz val="9"/>
            <color indexed="81"/>
            <rFont val="Tahoma"/>
            <family val="2"/>
          </rPr>
          <t xml:space="preserve">Nilai Persediaan
</t>
        </r>
      </text>
    </comment>
    <comment ref="D5" authorId="0" shapeId="0" xr:uid="{00000000-0006-0000-0600-000002000000}">
      <text>
        <r>
          <rPr>
            <b/>
            <sz val="9"/>
            <color indexed="81"/>
            <rFont val="Tahoma"/>
            <charset val="1"/>
          </rPr>
          <t xml:space="preserve">Confirm:
</t>
        </r>
        <r>
          <rPr>
            <sz val="9"/>
            <color indexed="81"/>
            <rFont val="Tahoma"/>
            <family val="2"/>
          </rPr>
          <t>1. Vasco
2. Hutang Sekala ke Owner
3. Kasbon Karyawan
4. Mutasi Rekening</t>
        </r>
      </text>
    </comment>
  </commentList>
</comments>
</file>

<file path=xl/sharedStrings.xml><?xml version="1.0" encoding="utf-8"?>
<sst xmlns="http://schemas.openxmlformats.org/spreadsheetml/2006/main" count="7009" uniqueCount="2534">
  <si>
    <t>Kode Akun</t>
  </si>
  <si>
    <t>Nama Akun</t>
  </si>
  <si>
    <t>2101</t>
  </si>
  <si>
    <t>2102</t>
  </si>
  <si>
    <t>2103</t>
  </si>
  <si>
    <t>2104</t>
  </si>
  <si>
    <t>2105</t>
  </si>
  <si>
    <t>2106</t>
  </si>
  <si>
    <t>2107</t>
  </si>
  <si>
    <t>2201</t>
  </si>
  <si>
    <t>2202</t>
  </si>
  <si>
    <t>2203</t>
  </si>
  <si>
    <t>2204</t>
  </si>
  <si>
    <t>3101</t>
  </si>
  <si>
    <t>3102</t>
  </si>
  <si>
    <t>3103</t>
  </si>
  <si>
    <t>3104</t>
  </si>
  <si>
    <t>3105</t>
  </si>
  <si>
    <t>6201</t>
  </si>
  <si>
    <t>6202</t>
  </si>
  <si>
    <t>6203</t>
  </si>
  <si>
    <t>6204</t>
  </si>
  <si>
    <t>6301</t>
  </si>
  <si>
    <t>6302</t>
  </si>
  <si>
    <t>6303</t>
  </si>
  <si>
    <t>Kas Kecil</t>
  </si>
  <si>
    <t>Deposito Jangka Pendek</t>
  </si>
  <si>
    <t>Piutang Usaha</t>
  </si>
  <si>
    <t>Piutang Lain-lain</t>
  </si>
  <si>
    <t>Uang Muka Pembelian Tanah</t>
  </si>
  <si>
    <t>Persediaan Tanah dalam Pengembangan</t>
  </si>
  <si>
    <t>Persediaan Bangunan dalam Proses</t>
  </si>
  <si>
    <t>Persediaan Properti Siap Jual</t>
  </si>
  <si>
    <t>Pajak Dibayar di Muka</t>
  </si>
  <si>
    <t>Biaya Dibayar di Muka</t>
  </si>
  <si>
    <t>Tanah dan Bangunan Investasi</t>
  </si>
  <si>
    <t>Gedung Kantor</t>
  </si>
  <si>
    <t>Peralatan dan Mesin</t>
  </si>
  <si>
    <t>Kendaraan Operasional</t>
  </si>
  <si>
    <t>Akumulasi Penyusutan Gedung</t>
  </si>
  <si>
    <t>Akumulasi Penyusutan Peralatan</t>
  </si>
  <si>
    <t>Akumulasi Penyusutan Kendaraan</t>
  </si>
  <si>
    <t>Aset Dalam Penyelesaian</t>
  </si>
  <si>
    <t>Investasi Jangka Panjang</t>
  </si>
  <si>
    <t>Aset Tak Berwujud</t>
  </si>
  <si>
    <t>Hutang Usaha</t>
  </si>
  <si>
    <t>Hutang Pajak</t>
  </si>
  <si>
    <t>Hutang Gaji</t>
  </si>
  <si>
    <t>Hutang Bunga</t>
  </si>
  <si>
    <t>Uang Muka Penjualan Properti</t>
  </si>
  <si>
    <t>Biaya yang Masih Harus Dibayar</t>
  </si>
  <si>
    <t>Hutang Jangka Pendek ke Bank</t>
  </si>
  <si>
    <t>Hutang Bank Jangka Panjang</t>
  </si>
  <si>
    <t>Hutang Obligasi</t>
  </si>
  <si>
    <t>Hutang Pembiayaan Leasing</t>
  </si>
  <si>
    <t>Liabilitas Imbalan Kerja</t>
  </si>
  <si>
    <t>Modal Disetor</t>
  </si>
  <si>
    <t>Tambahan Modal Disetor</t>
  </si>
  <si>
    <t>Laba Ditahan</t>
  </si>
  <si>
    <t>Laba Tahun Berjalan</t>
  </si>
  <si>
    <t>Dividen</t>
  </si>
  <si>
    <t>Pendapatan Penjualan Tanah</t>
  </si>
  <si>
    <t>Pendapatan Penjualan Rumah</t>
  </si>
  <si>
    <t>Pendapatan Penjualan Ruko/Apartemen</t>
  </si>
  <si>
    <t>Pendapatan Jasa Konstruksi</t>
  </si>
  <si>
    <t>Pendapatan Sewa Properti</t>
  </si>
  <si>
    <t>Pendapatan Administrasi</t>
  </si>
  <si>
    <t>Pendapatan Bunga</t>
  </si>
  <si>
    <t>Keuntungan Penjualan Aset</t>
  </si>
  <si>
    <t>Pendapatan Lainnya</t>
  </si>
  <si>
    <t>Biaya Perolehan Tanah</t>
  </si>
  <si>
    <t>Biaya Infrastruktur &amp; Fasilitas Umum</t>
  </si>
  <si>
    <t>Biaya Perizinan dan Notaris</t>
  </si>
  <si>
    <t>Biaya Promosi Penjualan (yang dikapitalisasi)</t>
  </si>
  <si>
    <t>Biaya Langsung Proyek Lainnya</t>
  </si>
  <si>
    <t>Gaji &amp; Tunjangan</t>
  </si>
  <si>
    <t>Biaya Listrik, Air, &amp; Utilitas</t>
  </si>
  <si>
    <t>Biaya Penyusutan Aset Tetap</t>
  </si>
  <si>
    <t>Biaya Pemeliharaan Gedung Kantor</t>
  </si>
  <si>
    <t>Biaya Transportasi &amp; Kendaraan</t>
  </si>
  <si>
    <t>Biaya Asuransi</t>
  </si>
  <si>
    <t>Biaya Iklan &amp; Promosi</t>
  </si>
  <si>
    <t>Komisi Penjualan</t>
  </si>
  <si>
    <t>Biaya Event &amp; Pameran Properti</t>
  </si>
  <si>
    <t>Biaya Desain &amp; Branding</t>
  </si>
  <si>
    <t>Beban Bunga Pinjaman</t>
  </si>
  <si>
    <t>Rugi Selisih Kurs</t>
  </si>
  <si>
    <t>Beban Bank &amp; Administrasi Keuangan</t>
  </si>
  <si>
    <t>Pendapatan Investasi</t>
  </si>
  <si>
    <t>Rugi Penjualan Aset Tetap</t>
  </si>
  <si>
    <t>Sumbangan atau Donasi</t>
  </si>
  <si>
    <t>Pendapatan Non-Operasional</t>
  </si>
  <si>
    <t>Beban Non-Operasional</t>
  </si>
  <si>
    <t>Pajak Penghasilan (PPh)</t>
  </si>
  <si>
    <t>Pajak Pertambahan Nilai (PPN)</t>
  </si>
  <si>
    <t>Pajak Bumi &amp; Bangunan (PBB)</t>
  </si>
  <si>
    <t>Diskon Penjualan</t>
  </si>
  <si>
    <t>Potongan Pembelian</t>
  </si>
  <si>
    <t>Cadangan Piutang Tak Tertagih</t>
  </si>
  <si>
    <t>Aset Lancar</t>
  </si>
  <si>
    <t>Aset Tidak Lancar</t>
  </si>
  <si>
    <t>Kewajiban Lancar</t>
  </si>
  <si>
    <t>Kewajiban Jangka Panjang</t>
  </si>
  <si>
    <t>Ekuitas</t>
  </si>
  <si>
    <t>Pendapatan</t>
  </si>
  <si>
    <t>Harga Pokok Penjualan</t>
  </si>
  <si>
    <t>Beban Umum &amp; Administrasi</t>
  </si>
  <si>
    <t>Beban Pemasaran</t>
  </si>
  <si>
    <t>Beban Keuangan</t>
  </si>
  <si>
    <t>Pajak</t>
  </si>
  <si>
    <t>Akun Kontra/Penyesuaian</t>
  </si>
  <si>
    <t>Pendapatan Lain-Lain</t>
  </si>
  <si>
    <t>Keterangan</t>
  </si>
  <si>
    <t>No Akun</t>
  </si>
  <si>
    <t>Debet</t>
  </si>
  <si>
    <t>Kredit</t>
  </si>
  <si>
    <t>Tanggal</t>
  </si>
  <si>
    <t>Ref</t>
  </si>
  <si>
    <t>Jumlah</t>
  </si>
  <si>
    <t>No. Akun</t>
  </si>
  <si>
    <t>:</t>
  </si>
  <si>
    <t>Saldo Awal</t>
  </si>
  <si>
    <t>Saldo Akhir</t>
  </si>
  <si>
    <t>Saldo Normal</t>
  </si>
  <si>
    <t>No. Bkt</t>
  </si>
  <si>
    <t>Saldo</t>
  </si>
  <si>
    <t>Mutasi</t>
  </si>
  <si>
    <t>Jumlah Aset Lancar</t>
  </si>
  <si>
    <t>Jumlah Aset Tidak Lancar</t>
  </si>
  <si>
    <t>Jumlah Kewajiban Lancar</t>
  </si>
  <si>
    <t>Jumlah Kewajiban Jangka Panjang</t>
  </si>
  <si>
    <t>Jumlah Ekuitas</t>
  </si>
  <si>
    <t>Jumlah Pendapatan</t>
  </si>
  <si>
    <t>Jumlah Pendapatan Lain-Lain</t>
  </si>
  <si>
    <t>Jumlah Harga Pokok Penjualan</t>
  </si>
  <si>
    <t>Jumlah Beban Umum &amp; Administrasi</t>
  </si>
  <si>
    <t>Jumlah Beban Pemasaran</t>
  </si>
  <si>
    <t>Jumlah Beban Keuangan</t>
  </si>
  <si>
    <t>Jumlah Pajak</t>
  </si>
  <si>
    <t>Jumlah Penyesuaian</t>
  </si>
  <si>
    <t>Piutang Afiliasi</t>
  </si>
  <si>
    <t>Pendapatan Penjualan Baju</t>
  </si>
  <si>
    <t>Pendapatan Penjualan atas Pemesanan Custom</t>
  </si>
  <si>
    <t>Biaya Material Langsung</t>
  </si>
  <si>
    <t>Biaya Tenaga Kerja Langsung</t>
  </si>
  <si>
    <t>Biaya Tenaga Kerja Tidak Langsung</t>
  </si>
  <si>
    <t>Biaya Overhead Lainnya</t>
  </si>
  <si>
    <t>Biaya Sewa Kantor</t>
  </si>
  <si>
    <t>Biaya ATK</t>
  </si>
  <si>
    <t>Biaya Internet Kantor</t>
  </si>
  <si>
    <t>Biaya Pihak Afiliasi</t>
  </si>
  <si>
    <t>Beban Lain-Lain</t>
  </si>
  <si>
    <t>Jumlah Beban Lain-Lain</t>
  </si>
  <si>
    <t>BRI 562</t>
  </si>
  <si>
    <t>BRI 568</t>
  </si>
  <si>
    <t>Rekening Owner</t>
  </si>
  <si>
    <t>Rekening Bapak Owner</t>
  </si>
  <si>
    <t>inv kantor</t>
  </si>
  <si>
    <t>Giro</t>
  </si>
  <si>
    <t>Hutang Subkon</t>
  </si>
  <si>
    <t>Percetakan</t>
  </si>
  <si>
    <t>Baju Brand</t>
  </si>
  <si>
    <t>Material Pabrikasi</t>
  </si>
  <si>
    <t>Material Alam</t>
  </si>
  <si>
    <t>Biaya Subkon Tukang</t>
  </si>
  <si>
    <t>Subkon Listrik</t>
  </si>
  <si>
    <t>Subkon Kusen</t>
  </si>
  <si>
    <t>Sekala &amp; Senada</t>
  </si>
  <si>
    <t>Biaya Kain</t>
  </si>
  <si>
    <t>Benang</t>
  </si>
  <si>
    <t>Ongkos Jahit</t>
  </si>
  <si>
    <t>Ongkos Potong</t>
  </si>
  <si>
    <t>Bordir</t>
  </si>
  <si>
    <t>Pasang Kancing</t>
  </si>
  <si>
    <t>Label</t>
  </si>
  <si>
    <t>DTF</t>
  </si>
  <si>
    <t>Print</t>
  </si>
  <si>
    <t>Listrik</t>
  </si>
  <si>
    <t>Air</t>
  </si>
  <si>
    <t>Lain-Lain</t>
  </si>
  <si>
    <t>Afiliasi</t>
  </si>
  <si>
    <t>BPHTB</t>
  </si>
  <si>
    <t>BRI 309 (Giro)</t>
  </si>
  <si>
    <t>BTN 041 (Giro)</t>
  </si>
  <si>
    <t>BNI 084 (Giro)</t>
  </si>
  <si>
    <t>Mandiri 669 (Giro)</t>
  </si>
  <si>
    <t>Kas &amp; Bank</t>
  </si>
  <si>
    <t>Piutang</t>
  </si>
  <si>
    <t>Persediaan</t>
  </si>
  <si>
    <t>Persediaan Bahan Baku</t>
  </si>
  <si>
    <t>Persediaan Barang dalam Proses</t>
  </si>
  <si>
    <t>Persediaan Barang Jadi</t>
  </si>
  <si>
    <t>Uang Muka Penjualan Konveksi</t>
  </si>
  <si>
    <t>Uang Muka Pembelian Konveksi</t>
  </si>
  <si>
    <t>Inventaris Kantor</t>
  </si>
  <si>
    <t>Akumulasi Penyusutan Inventaris Kantor</t>
  </si>
  <si>
    <t>Hutang Afiliasi</t>
  </si>
  <si>
    <t>Pendapatan Jasa Percetakan</t>
  </si>
  <si>
    <t>Pendapatan Jasa Konveksi</t>
  </si>
  <si>
    <t>Pendapatan Penjualan Baju Konveksi</t>
  </si>
  <si>
    <t>Pendapatan Penjualan Baju Brand</t>
  </si>
  <si>
    <t>Biaya Material Langsung (Material Alam)</t>
  </si>
  <si>
    <t>Biaya Material Langsung (Material Pabrikasi)</t>
  </si>
  <si>
    <t>Biaya Air</t>
  </si>
  <si>
    <t>Biaya Listrik</t>
  </si>
  <si>
    <t>Biaya Lain-Lain</t>
  </si>
  <si>
    <t>2108</t>
  </si>
  <si>
    <t>2205</t>
  </si>
  <si>
    <t>Total Kas &amp; Bank</t>
  </si>
  <si>
    <t>Total Piutang</t>
  </si>
  <si>
    <t>Total Persediaan</t>
  </si>
  <si>
    <t>Total Asel Tidak Lancar</t>
  </si>
  <si>
    <t>Total Aset Lancar</t>
  </si>
  <si>
    <t>Total Aset</t>
  </si>
  <si>
    <t>Total Kewajiban Lancar</t>
  </si>
  <si>
    <t>Total Kewajiban Jangka Panjang</t>
  </si>
  <si>
    <t>Total Kewajiban</t>
  </si>
  <si>
    <t>Total Ekuitas</t>
  </si>
  <si>
    <t>Total Kewajiban &amp; Ekuitas</t>
  </si>
  <si>
    <t>Total Pendapatan</t>
  </si>
  <si>
    <t>Total Pendapatan Lain-Lain</t>
  </si>
  <si>
    <t>Total Harga Pokok Penjualan</t>
  </si>
  <si>
    <t>Total Beban Umum &amp; Administrasi</t>
  </si>
  <si>
    <t>Total Beban Pemasaran</t>
  </si>
  <si>
    <t>Pendapatan Penjualan</t>
  </si>
  <si>
    <t>Total Pendapatan Penjualan</t>
  </si>
  <si>
    <t>Total Beban</t>
  </si>
  <si>
    <t>Control</t>
  </si>
  <si>
    <t>Balance Sheet</t>
  </si>
  <si>
    <t>Profit/Loss</t>
  </si>
  <si>
    <t>UNTUK PERIODE YANG BERAKHIR</t>
  </si>
  <si>
    <t>(Dinyatakan dalam Rupiah, kecuali dinyatakan lain)</t>
  </si>
  <si>
    <t>YEAR TO DATE</t>
  </si>
  <si>
    <t>U R A I A N</t>
  </si>
  <si>
    <t>Beban Lain Lain</t>
  </si>
  <si>
    <t xml:space="preserve">                                                                                                                                                                                                                                  </t>
  </si>
  <si>
    <t xml:space="preserve">Catatan atas Laporan Keuangan Merupakan </t>
  </si>
  <si>
    <t>Bagian Tidak Terpisahkan dari Laporan Keuangan secara Keseluruhan</t>
  </si>
  <si>
    <t>Total Beban Keuangan</t>
  </si>
  <si>
    <t>Total Beban Lain-Lain</t>
  </si>
  <si>
    <t>Total Beban Pajak</t>
  </si>
  <si>
    <t>ASET LANCAR</t>
  </si>
  <si>
    <t>ASET TETAP</t>
  </si>
  <si>
    <t>Aset Lainnya</t>
  </si>
  <si>
    <t>Jumlah Aset Tetap</t>
  </si>
  <si>
    <t>TOTAL ASET</t>
  </si>
  <si>
    <t>KEWAJIBAN</t>
  </si>
  <si>
    <t>EKUITAS</t>
  </si>
  <si>
    <t>TOTAL KEWAJIBAN DAN EKUITAS</t>
  </si>
  <si>
    <t>Periode Desember 2025</t>
  </si>
  <si>
    <t>LAPORAN NERACA</t>
  </si>
  <si>
    <t>Kas</t>
  </si>
  <si>
    <t>sisa 300jt</t>
  </si>
  <si>
    <t>Saldo Real RK</t>
  </si>
  <si>
    <t>Selisih</t>
  </si>
  <si>
    <t>BRI 560</t>
  </si>
  <si>
    <t>Biaya Material Langsung Sekala</t>
  </si>
  <si>
    <t>*Dalam Jutaan Rupiah</t>
  </si>
  <si>
    <t>Laporan Laba Rugi</t>
  </si>
  <si>
    <t>Jan</t>
  </si>
  <si>
    <t>Feb</t>
  </si>
  <si>
    <t>Mar</t>
  </si>
  <si>
    <t>Apr</t>
  </si>
  <si>
    <t>Jun</t>
  </si>
  <si>
    <t>Jul</t>
  </si>
  <si>
    <t>Aug</t>
  </si>
  <si>
    <t>Sep</t>
  </si>
  <si>
    <t>Nov</t>
  </si>
  <si>
    <t>Laba Kotor (1-2)</t>
  </si>
  <si>
    <t>Laba Operasional (3-4)</t>
  </si>
  <si>
    <t>Total Beban Lainnya</t>
  </si>
  <si>
    <t>Laba Sebelum Pajak (5+6-7)</t>
  </si>
  <si>
    <t>Laba Setelah Pajak (8-9)</t>
  </si>
  <si>
    <t>May</t>
  </si>
  <si>
    <t>Oct</t>
  </si>
  <si>
    <t>Dec</t>
  </si>
  <si>
    <t>Profit Margin</t>
  </si>
  <si>
    <t>EBIT</t>
  </si>
  <si>
    <t>Pendapatan (Beban) Lainnya</t>
  </si>
  <si>
    <t>P/L Setelah Pajak</t>
  </si>
  <si>
    <t>Financial Ratio (%)</t>
  </si>
  <si>
    <t>Gross Profit Margin (3/1)</t>
  </si>
  <si>
    <t>Operation Profit Margin (5/1)</t>
  </si>
  <si>
    <t>EBITDA Margin (8/1)</t>
  </si>
  <si>
    <t>Net Profit Margin (10/1)</t>
  </si>
  <si>
    <t>2026</t>
  </si>
  <si>
    <t>Terima Pendapatan atas-</t>
  </si>
  <si>
    <t>By. Biaya -</t>
  </si>
  <si>
    <t>LAPORAN LABA RUGI</t>
  </si>
  <si>
    <t>PENDAPATAN</t>
  </si>
  <si>
    <t>BEBAN POKOK PENDAPATAN</t>
  </si>
  <si>
    <t>LABA KOTOR</t>
  </si>
  <si>
    <t>BEBAN OPERASIONAL</t>
  </si>
  <si>
    <t xml:space="preserve">Jumlah Beban Operasional </t>
  </si>
  <si>
    <t>LABA (RUGI) USAHA</t>
  </si>
  <si>
    <t>PENDAPATAN (BEBAN) NON-OPERASIONAL</t>
  </si>
  <si>
    <t>Pendapatan Lain Lain</t>
  </si>
  <si>
    <t>Jumlah Pendapatan (Beban) Non-Operasional</t>
  </si>
  <si>
    <t>LABA (RUGI) SEBELUM PAJAK</t>
  </si>
  <si>
    <t>BEBAN PAJAK</t>
  </si>
  <si>
    <t>Jumlah Beban Pajak</t>
  </si>
  <si>
    <t>LABA (RUGI) BERSIH</t>
  </si>
  <si>
    <t>Periode Januari-Desember 2026</t>
  </si>
  <si>
    <t>Periode 2026</t>
  </si>
  <si>
    <t>PELUNASAN PEMBUATAN WEBSITE SN</t>
  </si>
  <si>
    <t>ADMIN BANK</t>
  </si>
  <si>
    <t>GAJI SN JANUARI</t>
  </si>
  <si>
    <t>GAJI PENGAWAS LAPANGAN 4 HARI</t>
  </si>
  <si>
    <t>DANA SINGGAH</t>
  </si>
  <si>
    <t>CHARGER KOMPUTER KANTOR</t>
  </si>
  <si>
    <t xml:space="preserve">PENGEMBALIAN SALAH TF 24 JT </t>
  </si>
  <si>
    <t>BONUS UMROH OM TAHIR</t>
  </si>
  <si>
    <t>DP SUBKON DG RAJA, UNTUK UMROH</t>
  </si>
  <si>
    <t>KEKURANGAN TF UMROH OM TAHIR</t>
  </si>
  <si>
    <t>PELUNASAN TANAH ABDUL RAHMAN LOKASI SN3</t>
  </si>
  <si>
    <t>FEE TANAH ABDUL RAHMAN LOKASI SN3</t>
  </si>
  <si>
    <t>GAJI SUBKON TUKANG POS</t>
  </si>
  <si>
    <t>PPH RUKO BLOK R22 SN3</t>
  </si>
  <si>
    <t>PENGURUSAN TANAH SN3</t>
  </si>
  <si>
    <t>PAVING BLOCK FASUM SN3</t>
  </si>
  <si>
    <t>TOKEN LISTRIK RUMAH PEMAKAIAN TUKANG SN3</t>
  </si>
  <si>
    <t xml:space="preserve">BALOK 52 BTG DAN PAPAN 31 LBR </t>
  </si>
  <si>
    <t>BIAYA ADMINISTRASI KREDIT KPP</t>
  </si>
  <si>
    <t>SPANDUK UCAPAN RAMADHAN KAK CIO</t>
  </si>
  <si>
    <t>PEMBAYARAN RUKO MACCINI</t>
  </si>
  <si>
    <t>PENCAIRAN 1 KREDIT KPP DARI 4,5 M SN3</t>
  </si>
  <si>
    <t>PEMBAYARAN TANAH KE 2 DG JUA SISA 569 JT</t>
  </si>
  <si>
    <t>BUNGA BANK</t>
  </si>
  <si>
    <t>PAJAK BANK</t>
  </si>
  <si>
    <t>WIFI SN3</t>
  </si>
  <si>
    <t>PEMBAYARAN SN3 (RUMAH BERNYANYI)</t>
  </si>
  <si>
    <t>ONGKOS KERJA PERBAIKAN CCTV SN3</t>
  </si>
  <si>
    <t>By. Biaya PELUNASAN PEMBUATAN WEBSITE SN</t>
  </si>
  <si>
    <t>By. Biaya ADMIN BANK</t>
  </si>
  <si>
    <t>By. Biaya GAJI SN JANUARI</t>
  </si>
  <si>
    <t>By. Biaya GAJI PENGAWAS LAPANGAN 4 HARI</t>
  </si>
  <si>
    <t>Terima Uang Masuk atas DANA SINGGAH</t>
  </si>
  <si>
    <t>By. Biaya CHARGER KOMPUTER KANTOR</t>
  </si>
  <si>
    <t xml:space="preserve">Terima Uang Masuk atas PENGEMBALIAN SALAH TF 24 JT </t>
  </si>
  <si>
    <t>By. Biaya BONUS UMROH OM TAHIR</t>
  </si>
  <si>
    <t>By. Biaya DP SUBKON DG RAJA, UNTUK UMROH</t>
  </si>
  <si>
    <t>By. Biaya KEKURANGAN TF UMROH OM TAHIR</t>
  </si>
  <si>
    <t>By. Biaya PELUNASAN TANAH ABDUL RAHMAN LOKASI SN3</t>
  </si>
  <si>
    <t>By. Biaya FEE TANAH ABDUL RAHMAN LOKASI SN3</t>
  </si>
  <si>
    <t>By. Biaya GAJI SUBKON TUKANG POS</t>
  </si>
  <si>
    <t>By. Biaya DANA SINGGAH</t>
  </si>
  <si>
    <t>By. Biaya PPH RUKO BLOK R22 SN3</t>
  </si>
  <si>
    <t>By. Biaya PENGURUSAN TANAH SN3</t>
  </si>
  <si>
    <t>By. Biaya PAVING BLOCK FASUM SN3</t>
  </si>
  <si>
    <t>By. Biaya TOKEN LISTRIK RUMAH PEMAKAIAN TUKANG SN3</t>
  </si>
  <si>
    <t xml:space="preserve">By. Biaya BALOK 52 BTG DAN PAPAN 31 LBR </t>
  </si>
  <si>
    <t>By. Biaya BIAYA ADMINISTRASI KREDIT KPP</t>
  </si>
  <si>
    <t>By. Biaya SPANDUK UCAPAN RAMADHAN KAK CIO</t>
  </si>
  <si>
    <t>By. Biaya PEMBAYARAN RUKO MACCINI</t>
  </si>
  <si>
    <t>Terima Uang Masuk atas PENCAIRAN 1 KREDIT KPP DARI 4,5 M SN3</t>
  </si>
  <si>
    <t>By. Biaya PEMBAYARAN TANAH KE 2 DG JUA SISA 569 JT</t>
  </si>
  <si>
    <t>Terima Uang Masuk atas BUNGA BANK</t>
  </si>
  <si>
    <t>By. Biaya PAJAK BANK</t>
  </si>
  <si>
    <t>By. Biaya WIFI SN3</t>
  </si>
  <si>
    <t>By. Biaya PEMBAYARAN SN3 (RUMAH BERNYANYI)</t>
  </si>
  <si>
    <t>By. Biaya ONGKOS KERJA PERBAIKAN CCTV SN3</t>
  </si>
  <si>
    <t>SIMPAN DANA DI BANK BTN</t>
  </si>
  <si>
    <t>SALAH SUMBER REKENING</t>
  </si>
  <si>
    <t>By. Biaya SIMPAN DANA DI BANK BTN</t>
  </si>
  <si>
    <t>By. Biaya SALAH SUMBER REKENING</t>
  </si>
  <si>
    <t>By. Biaya GAJI TANGGUNGAN ARYA</t>
  </si>
  <si>
    <t>By. Biaya GAJI SECURITY SN3 DAN KEBERSIHAN 2 ORANG</t>
  </si>
  <si>
    <t>By. Biaya IURAN WAJIB SATARA</t>
  </si>
  <si>
    <t>By. Biaya GAJI TANGGUNGAN H NASRUN</t>
  </si>
  <si>
    <t>By. Biaya GAJI CONTENT CREATOR</t>
  </si>
  <si>
    <t>By. Biaya GAJI SECURITY DAN PENJAGA ALAT H NASRUN</t>
  </si>
  <si>
    <t>By. Biaya GAJI DIREKTUR SN TANGGUNGAN H NASRUN</t>
  </si>
  <si>
    <t xml:space="preserve">By. Biaya BONUS APRESIASI BULANAN </t>
  </si>
  <si>
    <t>By. Biaya TAMBAHAN KONTRIBUSI SATARA</t>
  </si>
  <si>
    <t>By. Biaya PEMBAYARAN RUMAH BERNYANYI</t>
  </si>
  <si>
    <t>By. Biaya ZAKAT</t>
  </si>
  <si>
    <t>By. Biaya SPONSOR LOMBA FASHION SHOW BANTAENG BANGKIT</t>
  </si>
  <si>
    <t>By. Biaya META ADS SN</t>
  </si>
  <si>
    <t>By. Biaya FEE MEDIASI RUMAH BERNYANYI</t>
  </si>
  <si>
    <t>By. Biaya THR HARDIANTI</t>
  </si>
  <si>
    <t>By. Biaya THR IRDAYANTI</t>
  </si>
  <si>
    <t>By. Biaya THR UMMU ATHIYAH</t>
  </si>
  <si>
    <t>By. Biaya THR ADINDA</t>
  </si>
  <si>
    <t>By. Biaya THR KURNIA SYARIF</t>
  </si>
  <si>
    <t>By. Biaya THR RESKI AWALIA S</t>
  </si>
  <si>
    <t xml:space="preserve">By. Biaya THR ROIS SURYA </t>
  </si>
  <si>
    <t>By. Biaya THR NURSHINTA PUTRI</t>
  </si>
  <si>
    <t>By. Biaya THR ALKAHFI SEPTIAN</t>
  </si>
  <si>
    <t>By. Biaya THR NURHIKMA</t>
  </si>
  <si>
    <t>By. Biaya THR SATARA</t>
  </si>
  <si>
    <t>By. Biaya PEMBELIAN EMAS 1 GR UNTUK PARCEL PAK REFKY</t>
  </si>
  <si>
    <t>By. Biaya GIVE AWAY SN</t>
  </si>
  <si>
    <t>By. Biaya PEMBELIAN PARCEL RAMADHAN</t>
  </si>
  <si>
    <t>By. Biaya THR RAMADHAN</t>
  </si>
  <si>
    <t>By. Biaya PEMBELIAN HEMPERS</t>
  </si>
  <si>
    <t>By. Biaya THR AWALUDDIN</t>
  </si>
  <si>
    <t>By. Biaya THR BU BIA DAN BU KIKI</t>
  </si>
  <si>
    <t>By. Biaya THR MBA DILA</t>
  </si>
  <si>
    <t>By. Biaya PEMBELIAN KUE PARCEL UNTUK KOLEGA</t>
  </si>
  <si>
    <t xml:space="preserve">By. Biaya </t>
  </si>
  <si>
    <t>By. Biaya META ADS SN MARET 2026</t>
  </si>
  <si>
    <t>By. Biaya PENGEMBALIAN PEMBATALAN RUKO 40 JT BLOK R1 SN3</t>
  </si>
  <si>
    <t>By. Biaya PELUNASAN SERTIFIKAT E6 SN3</t>
  </si>
  <si>
    <t>By. Biaya ANGSURAN RUKO MACCINI</t>
  </si>
  <si>
    <t>By. Biaya PEMBAYARAN APERSI PT BERKAH BINTANG PRATAMA</t>
  </si>
  <si>
    <t>By. Biaya PBB TERHITUNG RUMAH BERNYANYI</t>
  </si>
  <si>
    <t>By. Biaya PAJAK REKLAME BALIHO PANSER</t>
  </si>
  <si>
    <t>By. Biaya SIMPAN DANA AKHIR BULAN</t>
  </si>
  <si>
    <t>By. Biaya RIM TONGKAT SECURITY SN3</t>
  </si>
  <si>
    <t>By. Biaya SENTER SECURITY</t>
  </si>
  <si>
    <t>By. Biaya BAJU SECURITY</t>
  </si>
  <si>
    <t>By. Biaya BUDGET GIVE AWAY</t>
  </si>
  <si>
    <t>By. Biaya UANG SINGGAH</t>
  </si>
  <si>
    <t>By. Biaya SIMPAN DAN SN3 DI ARYA</t>
  </si>
  <si>
    <t>By. Biaya SIMPAN DANA SN3 DI ARYA</t>
  </si>
  <si>
    <t>By. Biaya  SIMPAN DANA DI BANK BTN</t>
  </si>
  <si>
    <t>Terima Uang Masuk atas PENCAIRAN KREDIT SN3</t>
  </si>
  <si>
    <t xml:space="preserve">Terima Uang Masuk atas </t>
  </si>
  <si>
    <t>REIMBERS 100 JT DARI SIMPAN 150 JT DI BANK BTN SN3</t>
  </si>
  <si>
    <t>KEPERLUAN SECURITY</t>
  </si>
  <si>
    <t>FASUM SN3</t>
  </si>
  <si>
    <t>KOMSUMSI BPN 200K KIPAS 135K MEJA 110K POS SN3</t>
  </si>
  <si>
    <t>GAJI BULAN MARET</t>
  </si>
  <si>
    <t>GAJI SECURITY SN1,SN2 DAN BONUS KAK KAHFI 250</t>
  </si>
  <si>
    <t>PEMBAYARAN RUKO ANDI SYAHRIR (R12)</t>
  </si>
  <si>
    <t>PEMBAYARAN BPHTB RUMAH BERNYANYI</t>
  </si>
  <si>
    <t>PENDAFTARAN PENGURUSAN TANAH CAMBA LOJONG</t>
  </si>
  <si>
    <t>KOMSUMSI AKAD SN3</t>
  </si>
  <si>
    <t>UANG SINGGAH</t>
  </si>
  <si>
    <t>PERJALANAN DINAS TOTAL 33 JT 686 RB</t>
  </si>
  <si>
    <t xml:space="preserve">KEKURANGAN TF PERJALANAN DINAS </t>
  </si>
  <si>
    <t>PEMBAYARAN RUMAH BERNYANYI</t>
  </si>
  <si>
    <t>SALAH TF ARYA KE SN3 5 JT</t>
  </si>
  <si>
    <t>PEMBELIAN EMAS UNTUK INVESTASI 100 GRAM DP 42 JT (-20 JT DP DIBAYAR BULAN DEPAN)</t>
  </si>
  <si>
    <t>BUDGET MARKETING GIVEAWAY SN3</t>
  </si>
  <si>
    <t>BUDGET MICRO INFLUENSER SN3</t>
  </si>
  <si>
    <t xml:space="preserve">ADMIN BANK </t>
  </si>
  <si>
    <t>PEMBELI ROKOK</t>
  </si>
  <si>
    <t>PENGEMBALIAN 30 15 100 BTN 300 MANDIRI 589 TOTAL 1.034 KURANG 16 JT</t>
  </si>
  <si>
    <t>BONUS BULAN MARET KAK NAIMA</t>
  </si>
  <si>
    <t>PEMBAYARAN TANAH MANGARABE DAN SN3</t>
  </si>
  <si>
    <t>BAYAR PEKERJA PINTU BESI RUKO SN3</t>
  </si>
  <si>
    <t>PEDISTRIAN SN3</t>
  </si>
  <si>
    <t>PEMBAYARAN BUNGA KREDIT (ANGSURAN BRI KPP YG 4,5 M SN3</t>
  </si>
  <si>
    <t>SUBKON RUKO OM NASIR SN3</t>
  </si>
  <si>
    <t>KOMSUMSI PEKERJA MANGARABE</t>
  </si>
  <si>
    <t>SEWA KAMAR UNTUK TAMU SN3</t>
  </si>
  <si>
    <t>CICILAN EMAS PEGADAIAN 2 BULAN</t>
  </si>
  <si>
    <t>FEE PENEBANGAN POHON MANGARABE</t>
  </si>
  <si>
    <t>PEMBAYARAN BUNGA ANGSURAN KE 2 KPP DARI 4,5 M</t>
  </si>
  <si>
    <t>PANJAR UPAH SENSONG MANGARABE</t>
  </si>
  <si>
    <t>PENGURUSAN AHLI WARIS 2 SPORADIK 1 TANAH MANGARABE SN3</t>
  </si>
  <si>
    <t>VOUCHER LISTRIK POS SN3</t>
  </si>
  <si>
    <t>PINJAM 300 DARI 500</t>
  </si>
  <si>
    <t>PANJAR SELOKAN SN3</t>
  </si>
  <si>
    <t>PEMBAYARAN TEMPLATE HRD</t>
  </si>
  <si>
    <t>PARCEL 210K KOPI DAN KUE 390K</t>
  </si>
  <si>
    <t>PINJAM HJ UNI KE SN3</t>
  </si>
  <si>
    <t>PEMBAYARAN MATERIAL PABRIKASI (SN BANGUNAN)</t>
  </si>
  <si>
    <t>WIFI KANTOR</t>
  </si>
  <si>
    <t xml:space="preserve">TOPI SECURITY SN3 </t>
  </si>
  <si>
    <t>BAJU SECURITY SN3</t>
  </si>
  <si>
    <t>BAJU SAFARI OM WAWI SN3</t>
  </si>
  <si>
    <t>BIAYA ADMIN KREDIT SKUR 500 JT</t>
  </si>
  <si>
    <t>KOMSUMSI PENGURUSAN KAK NAIMA</t>
  </si>
  <si>
    <t>PENCAIRAN PINJAM SKUR 500 JT</t>
  </si>
  <si>
    <t>BUDGET MINGGUAN INFLUENCER</t>
  </si>
  <si>
    <t>BELA SUNGKAWA UNTUK BU RISKA SN3</t>
  </si>
  <si>
    <t>PEMBAYARAN UTANG KE HJ UNI DARI 350</t>
  </si>
  <si>
    <t xml:space="preserve">PENCAIRAN 4 UNIT DI BRI (D17 FAJAR., D20 RINA, E26 AWALUDDIN, E28 MUH ALDILA) </t>
  </si>
  <si>
    <t>PEMBAYARAN TANAH KAVLING DI SN3</t>
  </si>
  <si>
    <t>PEMBAYARAN AKTA PELEPASAN MANGARABE</t>
  </si>
  <si>
    <t>PEMBAYARAN SUBKON LISTRIK RUKO 6 UNIT</t>
  </si>
  <si>
    <t>DP SELOKAN SN3</t>
  </si>
  <si>
    <t>CICILAN EMAS BSI</t>
  </si>
  <si>
    <t xml:space="preserve">PEMBAYARAN TANAH DG ARI </t>
  </si>
  <si>
    <t xml:space="preserve">PEMBAYARAN UTANG KE HJ UNI </t>
  </si>
  <si>
    <t>PEMBAYARAN NOTARIS UNTUK TTD AKAD INVESTASI PAK AWAL 500 JT</t>
  </si>
  <si>
    <t>SPANDUK KAK CIO 154K SITEPLAN SN3 10K DAN MAP SN 350K</t>
  </si>
  <si>
    <t>SLO NIDI 12 UNIT TAHAP 4 2.860 BENSIN 200K SN3</t>
  </si>
  <si>
    <t>PEMBAYARAN UTANG KE HJ UNI</t>
  </si>
  <si>
    <t>REIMBERS BIAYA-BIAYA AKAD SN3 TAHAP 3 DAN 4</t>
  </si>
  <si>
    <t>REIMBERS GIVEAWAY SN3</t>
  </si>
  <si>
    <t xml:space="preserve">PEMBAYARAN RUKO MACCINI </t>
  </si>
  <si>
    <t>PENEBUSAN SERTIFIKAT E3 NO SERTIF 20.22000006356</t>
  </si>
  <si>
    <t>PENEBUSAN SERTIFIKAT E3 NO SERTIF 20.22000006363.0</t>
  </si>
  <si>
    <t>PENEBUSAN SERTIFIKAT E3 NO SERTIF 20.22000006374.0</t>
  </si>
  <si>
    <t>LISTRIK 943 X 22 UNIT SN3</t>
  </si>
  <si>
    <t>PEMBAYARAN SPT TAHUNAN SN PT BERKAH BINTANG PRATAMA</t>
  </si>
  <si>
    <t>PEMBELIAN KUE UNTUK KOLEGA</t>
  </si>
  <si>
    <t>SIMPAN AKHIR BULAN BANK BTN</t>
  </si>
  <si>
    <t>OPERASIONAL SN3 (NOTA UPI)</t>
  </si>
  <si>
    <t>PLAT RUMAH 25KX3 LAKBAN 10K SN3</t>
  </si>
  <si>
    <t>PENCAIRAN 1 UNIT</t>
  </si>
  <si>
    <t>SIMPAN DANA DI ARYA BANK BTN</t>
  </si>
  <si>
    <t>PEMBAYARAN UTANG SEKALA</t>
  </si>
  <si>
    <t>PENGEMBALIAN DANA SN</t>
  </si>
  <si>
    <t>IURAN WAJIB SATARA</t>
  </si>
  <si>
    <t>PEMBAYARAN DANA INVESTASI</t>
  </si>
  <si>
    <t>BUDGET MARKETING ADS MEI 1</t>
  </si>
  <si>
    <t>PEMBELIAN JAM TANGAN PAK REFKY</t>
  </si>
  <si>
    <t>PENCAIRAN KPP TAHAP 3</t>
  </si>
  <si>
    <t>FEE PENJUALAN TANAH OM AKBAR</t>
  </si>
  <si>
    <t>GAJI HARIAN TUKANG FASUM SN3</t>
  </si>
  <si>
    <t>SIMPAN DANA DI ARYA</t>
  </si>
  <si>
    <t>PELUNASAN UTANG PEGADAIAN HJ SRI WAHYUNI</t>
  </si>
  <si>
    <t>PENEBUSAN SERTIFIKAT F7 (PEMBAYARAN UTANG KPP TAHAP 4 SN3</t>
  </si>
  <si>
    <t xml:space="preserve">PIUTANG SATARA PROPERTY KE SN3 BIJAK BAYAR PAJAK </t>
  </si>
  <si>
    <t>PERJALANAN DINAS KE JAKARTA KAHURIPAH SN3</t>
  </si>
  <si>
    <t>EKSPEDISI PEMBELIAN VIAR SN3</t>
  </si>
  <si>
    <t xml:space="preserve">BUDGET MARKETING ADS 2 </t>
  </si>
  <si>
    <t>PEMBAYARAN UTANG DP EMAS PEGADAIAN 100 GRAM (HARUSNYA 42 JT DIBAYARKAN BARU 22 JT)</t>
  </si>
  <si>
    <t>PEMBAYARAN TUKANG FASUM PAVING BLOCK DEPAN RUKO</t>
  </si>
  <si>
    <t>PEMBAYARAN UPAH BURUH MANGARABE</t>
  </si>
  <si>
    <t>VOUCHER LISTRIK RUMAH KR LAWI PEMAKAIAN TUKANG</t>
  </si>
  <si>
    <t>PENEBUSAN SERTIFIKAT BLOK E29 (PEMBAYARAN UTANG KPP) SN3</t>
  </si>
  <si>
    <t>VOUCHER POS 203K, AIR DOS PELUKIS 38K, RACUN 2 + ROKOK OM WAWI 200K.</t>
  </si>
  <si>
    <t>VOUCHER LISTRIK PEMAKAIAN PELUKIS SN3</t>
  </si>
  <si>
    <t>Terima Uang Masuk atas PENCAIRAN KPP TAHAP 3</t>
  </si>
  <si>
    <t>Terima Uang Masuk atas UANG SINGGAH</t>
  </si>
  <si>
    <t>By. Biaya GAJI HARIAN TUKANG FASUM SN3</t>
  </si>
  <si>
    <t>By. Biaya PENEBUSAN SERTIFIKAT F7 (PEMBAYARAN UTANG KPP TAHAP 4 SN3</t>
  </si>
  <si>
    <t xml:space="preserve">By. Biaya ADMIN BANK </t>
  </si>
  <si>
    <t>By. Biaya PENEBUSAN SERTIFIKAT BLOK E29 (PEMBAYARAN UTANG KPP) SN3</t>
  </si>
  <si>
    <t>Penebusan Sertifikat</t>
  </si>
  <si>
    <t>By. Biaya PENEBUSAN SERTIFIKAT E3 NO SERTIF 20.22000006356</t>
  </si>
  <si>
    <t>note: selisih kurang pengakuan tf ke Rek Owner</t>
  </si>
  <si>
    <t>By. Biaya PENEBUSAN SERTIFIKAT E10 NO SERTIF 20.22000006363.0</t>
  </si>
  <si>
    <t>By. Biaya PENEBUSAN SERTIFIKAT E31 NO SERTIF 20.22000006374.0</t>
  </si>
  <si>
    <t>Mei</t>
  </si>
  <si>
    <t>Sept</t>
  </si>
  <si>
    <t>Pembayaran Rutin</t>
  </si>
  <si>
    <t>Total</t>
  </si>
  <si>
    <t>SN 3</t>
  </si>
  <si>
    <t>DG ARI</t>
  </si>
  <si>
    <t>KAK DIAN</t>
  </si>
  <si>
    <t>LINDA</t>
  </si>
  <si>
    <t>H. RAHIM</t>
  </si>
  <si>
    <t>Dg. JUA</t>
  </si>
  <si>
    <t>Mangarabbe</t>
  </si>
  <si>
    <t>Barru</t>
  </si>
  <si>
    <t>Rumah Bernyanyi</t>
  </si>
  <si>
    <t>Sinoa</t>
  </si>
  <si>
    <t>Lainnya</t>
  </si>
  <si>
    <t>KREDIT KPP 4,5 M</t>
  </si>
  <si>
    <t>Terima Uang Masuk atas PENCAIRAN PINJAM SKUR 500 JT</t>
  </si>
  <si>
    <t>Reklas Terima Pendapatan BIAYA AKAD SAHRUL C34 SN2</t>
  </si>
  <si>
    <t>Reklas By. Biaya BIAYA AKAD SN2 (PINJAM ARYA)</t>
  </si>
  <si>
    <t>Reklas By. Biaya SISA DP SN2 (PINJAM ARYA)</t>
  </si>
  <si>
    <t>Hj. Uni</t>
  </si>
  <si>
    <t>Terima Uang Masuk atas PINJAM 300 DARI 500</t>
  </si>
  <si>
    <t>Terima Uang Masuk atas PINJAM HJ UNI KE SN3</t>
  </si>
  <si>
    <t>By. Biaya PEMBAYARAN UTANG KE HJ UNI DARI 350</t>
  </si>
  <si>
    <t xml:space="preserve">By. Biaya PEMBAYARAN UTANG KE HJ UNI </t>
  </si>
  <si>
    <t>By. Biaya PEMBAYARAN UTANG KE HJ UNI</t>
  </si>
  <si>
    <t>PEMBELIAN BENSIN VIAR SN3</t>
  </si>
  <si>
    <t>DP KELEBIHAN TANAH E23 RAHMAT RIZAKTI SN3</t>
  </si>
  <si>
    <t>UANG SN3 (DANA SIMPANAN DARI BANK BTN</t>
  </si>
  <si>
    <t>PENGEMBALIAN DANA DARI REK BTN</t>
  </si>
  <si>
    <t>TAMBAHAN DP TURUN PLAFON E29 SELFI</t>
  </si>
  <si>
    <t>PEMASANGAN AIR PDAM E5 RAHMATIA</t>
  </si>
  <si>
    <t>16 Pencairan dan 5 belum ketemu pencairannya (D5, D18, D21, E2, E10). 12 sdh pencairan dan penebusan/adj (4 diluar itu Bank Lain tdk ke tracking penebusan sertif D1-D4), (2 exc belum pencairan</t>
  </si>
  <si>
    <t>GAJI BULAN DESEMBER</t>
  </si>
  <si>
    <t>GAJI DESEMBER SHINTA</t>
  </si>
  <si>
    <t xml:space="preserve">PENJAGA ALAT DAN SECURITY </t>
  </si>
  <si>
    <t xml:space="preserve">GAJI DESEMBER PAK DIRUT </t>
  </si>
  <si>
    <t xml:space="preserve">KONSTIBUSI WAJIB SATARA </t>
  </si>
  <si>
    <t>FEE AKAD C14, C20 TAHAP 2</t>
  </si>
  <si>
    <t>FEE AKAD B22 TAHAP 1</t>
  </si>
  <si>
    <t>PENERIMAAN UANG ATAS PEMBAYARAN 1 PIUTANG PAK SANDI TOTAL 25 JT TERSISA 22,5 JT</t>
  </si>
  <si>
    <t>PEMBAYARAN KE 2 RUKO R12 PAK SYAHRIR TOTAL 80 JT TERSISA 60 JT</t>
  </si>
  <si>
    <t>PEMBAYARAN KE 1 SUBKON KUSEN PAK SUBAIR TAHAP 3</t>
  </si>
  <si>
    <t>PEMBAYARAN KE 2 SUBKON RUKO DG BASO TOTAL 25 JT TERSISA 13 JT</t>
  </si>
  <si>
    <t>PENCAIRAN DANA SBUM 8 UNIT (TAHAP 1 : B30, A9, A14, B45, B40, B23) (TAHAP 2 : C17, C2)</t>
  </si>
  <si>
    <t>REIMBERS ONGKOS SUPIR BUS FAMILY GATHERING</t>
  </si>
  <si>
    <t xml:space="preserve">UANG HADIAH FAMILY GATHERING </t>
  </si>
  <si>
    <t>REIMBERS OPERASIONAL KANTOR (TEH DAN GULA2)</t>
  </si>
  <si>
    <t xml:space="preserve">UANG OPERASIONAL KAK KAHFI </t>
  </si>
  <si>
    <t>TAMBAHAN OPERASIONAL (BELI TEH)</t>
  </si>
  <si>
    <t>DP BLOK D18 RINA TAHAP 3</t>
  </si>
  <si>
    <t>DP BLOK D19 NIASA TAHAP 3</t>
  </si>
  <si>
    <t>DP BLOK D20 BAHARUDDIN TAHAP 3</t>
  </si>
  <si>
    <t>DP BLOK D21 ROSI TAHAP 3</t>
  </si>
  <si>
    <t>DP BLOK E8 RANNU TAHAP 3</t>
  </si>
  <si>
    <t>DP BLOK E9 HASNI TAHAP 3</t>
  </si>
  <si>
    <t>DP BLOK E10 ARINI TAHAP 3</t>
  </si>
  <si>
    <t>BAYAR PINJAMAN KE KAK CIO</t>
  </si>
  <si>
    <t xml:space="preserve">PEMBERIAN PINJAMAN BARU HJ. NASRUN </t>
  </si>
  <si>
    <t xml:space="preserve">UPAH BATU PECAH UNTUK RUKO 450K X 6 MOBIL </t>
  </si>
  <si>
    <t>DP BLOK D17 FITRIANI TAHAP 3</t>
  </si>
  <si>
    <t>PEMBELIAN BALOK UNTUK RUKO 10 BTG X 20K</t>
  </si>
  <si>
    <t xml:space="preserve">PEMBAYARAN MATERIAL PABRIKASI PERBAIKAN RUMAH TAHAP 1 </t>
  </si>
  <si>
    <t xml:space="preserve">PEMBAYARAN MATERIAL PABRIKASI DIREKSI KIT SN3 </t>
  </si>
  <si>
    <t xml:space="preserve">PENCAIRAN DANA SBUM 5 UNIT (TAHAP 1 : A10, B37, A16, B31, SUPRIADI) </t>
  </si>
  <si>
    <t>PEMBAYARAN MATERIAL PABRIKASI PERBAIKAN RUMAH TAHAP 2</t>
  </si>
  <si>
    <t>PENCAIRAN DANA SBUM 2 UNIT (TAHAP 1 : B19 DAN A12)</t>
  </si>
  <si>
    <t xml:space="preserve">PEMBAYARAN MATERIAL PABRIKASI RUKO </t>
  </si>
  <si>
    <t>CENDRAMATA EMAS ANTAM PAK ILHAM</t>
  </si>
  <si>
    <t>PEMBAYARAN PENGADAAN BAJU SERAGAM STAFF SN</t>
  </si>
  <si>
    <t>REIMBERS OLEH-OLEH KRIPIK UNTUK PAK ILHAM</t>
  </si>
  <si>
    <t>OPERASIONAL UNTUK KEBERSIHAN SN (CANGKUL, SKOP, SAPU DLL)</t>
  </si>
  <si>
    <t>PEMBAYARAN UPAH TUKANG BATU  PECAH 10 MOBIL X 300K</t>
  </si>
  <si>
    <t>PEMBAYARAN MESIN AIR 350K, PEMBAYARAN BATU DG ACI 400K</t>
  </si>
  <si>
    <t>DP BLOK E5 RAHMATIA TAHAP 3</t>
  </si>
  <si>
    <t>PENGURUSAN TANAH CAMBALOJONG</t>
  </si>
  <si>
    <t>DP BLOK E1 HAMZA TAHAP 3</t>
  </si>
  <si>
    <t>IURAN BPJS KETENAGAKERJAAN DESEMBER-JANUARI</t>
  </si>
  <si>
    <t>PEMBELIAN GANTUNGAN KUNCI UNTUK PERUMAHAN</t>
  </si>
  <si>
    <t>PEMBAYARAN PIUTANG TERMIN 1 H MASWAR TOTAL 50 JT (LUNAS)</t>
  </si>
  <si>
    <t>PEMBAYARAN PIUTANG TERMIN 1 H NASRUN TOTAL 52.487.500 (LUNAS)</t>
  </si>
  <si>
    <t>BUDGET MARKETING 1 ADS SN</t>
  </si>
  <si>
    <t>PEMBERSIHAN LAHAN (PENEBANGAN POHON) TAHAP 3</t>
  </si>
  <si>
    <t xml:space="preserve">PEMBELIAN DILUAR MATERIAL PABRIKASI (ALAT LISTRIK LAMPU SOROT) </t>
  </si>
  <si>
    <t>DP BLOK E3 AFRIANTI TAHAP 3</t>
  </si>
  <si>
    <t>GAJI HARIAN TUKANG FASUM 10 HARI</t>
  </si>
  <si>
    <t>MATERIAL PABRIKASI (PEMBELIAN ALAT PEMASANGAN LISTRIK LAMPU JALAN SN 3)</t>
  </si>
  <si>
    <t>PEMBAYARAN BPHTB PENGURUSAN TANAH PAK PINCA (LOKASI?)</t>
  </si>
  <si>
    <t>SPONSOR PROPOSAL LOMBA PUTRI BANTAENG</t>
  </si>
  <si>
    <t>PEMBAYARAN PPH TANAH PAK PINCA (LOKASI?)</t>
  </si>
  <si>
    <t>PEMBAYARAN PBB TAHAP 3</t>
  </si>
  <si>
    <t>TUNJANGAN TRANSFORMTASI NOV DAN DES KAK IRDA</t>
  </si>
  <si>
    <t>DP BLOK F8 UAIS TAHAP 4</t>
  </si>
  <si>
    <t xml:space="preserve">PEMBELIAN BAMBU 3 BTG FASUM </t>
  </si>
  <si>
    <t xml:space="preserve">PEMBAYARAN MATERIAL PABRIKASI RUKO KE SN BANGUNAN </t>
  </si>
  <si>
    <t>TREIMBERS DP RUMAH KR MANDING</t>
  </si>
  <si>
    <t>PEMBAYARAN PENGGABUNGAN SERTIFIKAT TAHAP 2 DAN TAHAP 3</t>
  </si>
  <si>
    <t>PEMBAYARAN UPAH TUKANG PECAH BATU 300K X 10 MOBIL TAHAP 3</t>
  </si>
  <si>
    <t>PEMBAYARAN TERMIN 1 TANAH DG RAMANG TAHAP 5 TOTAL 95 JT SISA 85 JT</t>
  </si>
  <si>
    <t>DP BLOK E11 HAPSA TAHAP 3</t>
  </si>
  <si>
    <t>DP BLOK E28 MUH ALDILAH TAHAP 3</t>
  </si>
  <si>
    <t>WIFI PERUMAHAN SN3</t>
  </si>
  <si>
    <t>SPONSOR AMARILIS KEGIATAN PLN</t>
  </si>
  <si>
    <t xml:space="preserve">PEMBAYARAN DEVELOP WEBSITE SN </t>
  </si>
  <si>
    <t>PBB F23 TANAH PAK PINCA (LOKASI?)</t>
  </si>
  <si>
    <t>ONGKOS TUKANG PASANG LISTRIK LAMPU JALAN SN3</t>
  </si>
  <si>
    <t>BONUS AKHIR TAHUN EKKY 1X GAJI</t>
  </si>
  <si>
    <t>PEMBAYARAN INTAN 400K TERMIN 1 BIAYA AKAD  TOTAL 1 JT SISA 600K</t>
  </si>
  <si>
    <t xml:space="preserve">SALAH KIRIM ARYA </t>
  </si>
  <si>
    <t>DP BLOK E27 REZKY AINUN TAHAP 3 (KELEBIHAN TF 3 JT)</t>
  </si>
  <si>
    <t>KELEBIHAN TF TGL 16/1/2026</t>
  </si>
  <si>
    <t>SALAH TF TGL 16/1/2026</t>
  </si>
  <si>
    <t>PEMBAYARAN BATU PECAH 450K X 5 MOBIL UNTUK RUKO</t>
  </si>
  <si>
    <t>PEMBAYARAN UPAH TUKANG PECAH BATU 300K X 6 MOBIL TAHAP 3</t>
  </si>
  <si>
    <t xml:space="preserve">PINJAM BARU H UNI </t>
  </si>
  <si>
    <t>DP PENGERJAAN  GERBANG SN3</t>
  </si>
  <si>
    <t>PEMBAYARAN MATERIAL PABRIKASI TAHAP 3</t>
  </si>
  <si>
    <t>PENCAIRAN DAJAM BANK BTN</t>
  </si>
  <si>
    <t>BUDGET MARKETING ADS 2</t>
  </si>
  <si>
    <t>By. Biaya GAJI BULAN DESEMBER</t>
  </si>
  <si>
    <t>By. Biaya GAJI DESEMBER SHINTA</t>
  </si>
  <si>
    <t xml:space="preserve">By. Biaya PENJAGA ALAT DAN SECURITY </t>
  </si>
  <si>
    <t xml:space="preserve">By. Biaya GAJI DESEMBER PAK DIRUT </t>
  </si>
  <si>
    <t xml:space="preserve">By. Biaya KONSTIBUSI WAJIB SATARA </t>
  </si>
  <si>
    <t>By. Biaya FEE AKAD C14, C20 TAHAP 2</t>
  </si>
  <si>
    <t>By. Biaya FEE AKAD B22 TAHAP 1</t>
  </si>
  <si>
    <t>Terima Uang Masuk atas PEMBAYARAN KE 2 RUKO R12 PAK SYAHRIR TOTAL 80 JT TERSISA 60 JT</t>
  </si>
  <si>
    <t>By. Biaya PEMBAYARAN KE 1 SUBKON KUSEN PAK SUBAIR TAHAP 3</t>
  </si>
  <si>
    <t>By. Biaya PEMBAYARAN KE 2 SUBKON RUKO DG BASO TOTAL 25 JT TERSISA 13 JT</t>
  </si>
  <si>
    <t>Terima Uang Masuk atas PENCAIRAN DANA SBUM 8 UNIT (TAHAP 1 : B30, A9, A14, B45, B40, B23) (TAHAP 2 : C17, C2)</t>
  </si>
  <si>
    <t>Terima Uang Masuk atas REIMBERS ONGKOS SUPIR BUS FAMILY GATHERING</t>
  </si>
  <si>
    <t xml:space="preserve">By. Biaya UANG HADIAH FAMILY GATHERING </t>
  </si>
  <si>
    <t>By. Biaya REIMBERS OPERASIONAL KANTOR (TEH DAN GULA2)</t>
  </si>
  <si>
    <t xml:space="preserve">By. Biaya UANG OPERASIONAL KAK KAHFI </t>
  </si>
  <si>
    <t>By. Biaya TAMBAHAN OPERASIONAL (BELI TEH)</t>
  </si>
  <si>
    <t>Terima Uang Masuk atas DP BLOK D18 RINA TAHAP 3</t>
  </si>
  <si>
    <t>Terima Uang Masuk atas DP BLOK D19 NIASA TAHAP 3</t>
  </si>
  <si>
    <t>Terima Uang Masuk atas DP BLOK D20 BAHARUDDIN TAHAP 3</t>
  </si>
  <si>
    <t>Terima Uang Masuk atas DP BLOK D21 ROSI TAHAP 3</t>
  </si>
  <si>
    <t>Terima Uang Masuk atas DP BLOK E8 RANNU TAHAP 3</t>
  </si>
  <si>
    <t>Terima Uang Masuk atas DP BLOK E9 HASNI TAHAP 3</t>
  </si>
  <si>
    <t>Terima Uang Masuk atas DP BLOK E10 ARINI TAHAP 3</t>
  </si>
  <si>
    <t>By. Biaya BAYAR PINJAMAN KE KAK CIO</t>
  </si>
  <si>
    <t xml:space="preserve">By. Biaya UPAH BATU PECAH UNTUK RUKO 450K X 6 MOBIL </t>
  </si>
  <si>
    <t>Terima Uang Masuk atas DP BLOK D17 FITRIANI TAHAP 3</t>
  </si>
  <si>
    <t>By. Biaya PEMBELIAN BALOK UNTUK RUKO 10 BTG X 20K</t>
  </si>
  <si>
    <t xml:space="preserve">By. Biaya PEMBAYARAN MATERIAL PABRIKASI PERBAIKAN RUMAH TAHAP 1 </t>
  </si>
  <si>
    <t xml:space="preserve">By. Biaya PEMBAYARAN MATERIAL PABRIKASI DIREKSI KIT SN3 </t>
  </si>
  <si>
    <t>By. Biaya PEMBAYARAN MATERIAL PABRIKASI PERBAIKAN RUMAH TAHAP 2</t>
  </si>
  <si>
    <t>Terima Uang Masuk atas PENCAIRAN DANA SBUM 2 UNIT (TAHAP 1 : B19 DAN A12)</t>
  </si>
  <si>
    <t xml:space="preserve">By. Biaya PEMBAYARAN MATERIAL PABRIKASI RUKO </t>
  </si>
  <si>
    <t>By. Biaya CENDRAMATA EMAS ANTAM PAK ILHAM</t>
  </si>
  <si>
    <t>By. Biaya PEMBAYARAN PENGADAAN BAJU SERAGAM STAFF SN</t>
  </si>
  <si>
    <t>By. Biaya REIMBERS OLEH-OLEH KRIPIK UNTUK PAK ILHAM</t>
  </si>
  <si>
    <t>By. Biaya OPERASIONAL UNTUK KEBERSIHAN SN (CANGKUL, SKOP, SAPU DLL)</t>
  </si>
  <si>
    <t>By. Biaya PEMBAYARAN UPAH TUKANG BATU  PECAH 10 MOBIL X 300K</t>
  </si>
  <si>
    <t>By. Biaya PEMBAYARAN MESIN AIR 350K, PEMBAYARAN BATU DG ACI 400K</t>
  </si>
  <si>
    <t>Terima Uang Masuk atas DP BLOK E5 RAHMATIA TAHAP 3</t>
  </si>
  <si>
    <t>By. Biaya PENGURUSAN TANAH CAMBALOJONG</t>
  </si>
  <si>
    <t>Terima Uang Masuk atas DP BLOK E1 HAMZA TAHAP 3</t>
  </si>
  <si>
    <t>By. Biaya IURAN BPJS KETENAGAKERJAAN DESEMBER-JANUARI</t>
  </si>
  <si>
    <t>By. Biaya PEMBELIAN GANTUNGAN KUNCI UNTUK PERUMAHAN</t>
  </si>
  <si>
    <t>Terima Uang Masuk atas PEMBAYARAN PIUTANG TERMIN 1 H MASWAR TOTAL 50 JT (LUNAS)</t>
  </si>
  <si>
    <t>Terima Uang Masuk atas PEMBAYARAN PIUTANG TERMIN 1 H NASRUN TOTAL 52.487.500 (LUNAS)</t>
  </si>
  <si>
    <t>Terima Uang Masuk atas PEMBAYARAN 1 PIUTANG PAK SANDI TOTAL 25 JT TERSISA 22,5 JT</t>
  </si>
  <si>
    <t xml:space="preserve">PEMBERIAN PINJAMAN BARU Kepada HJ. NASRUN </t>
  </si>
  <si>
    <t>By. Biaya BUDGET MARKETING 1 ADS SN</t>
  </si>
  <si>
    <t>By. Biaya PEMBERSIHAN LAHAN (PENEBANGAN POHON) TAHAP 3</t>
  </si>
  <si>
    <t xml:space="preserve">By. Biaya PEMBELIAN DILUAR MATERIAL PABRIKASI (ALAT LISTRIK LAMPU SOROT) </t>
  </si>
  <si>
    <t>Terima Uang Masuk atas DP BLOK E3 AFRIANTI TAHAP 3</t>
  </si>
  <si>
    <t>By. Biaya GAJI HARIAN TUKANG FASUM 10 HARI</t>
  </si>
  <si>
    <t>By. Biaya MATERIAL PABRIKASI (PEMBELIAN ALAT PEMASANGAN LISTRIK LAMPU JALAN SN 3)</t>
  </si>
  <si>
    <t>By. Biaya SPONSOR PROPOSAL LOMBA PUTRI BANTAENG</t>
  </si>
  <si>
    <t>By. Biaya PEMBAYARAN PBB TAHAP 3</t>
  </si>
  <si>
    <t>By. Biaya TUNJANGAN TRANSFORMTASI NOV DAN DES KAK IRDA</t>
  </si>
  <si>
    <t>Terima Uang Masuk atas DP BLOK F8 UAIS TAHAP 4</t>
  </si>
  <si>
    <t xml:space="preserve">By. Biaya PEMBELIAN BAMBU 3 BTG FASUM </t>
  </si>
  <si>
    <t xml:space="preserve">By. Biaya PEMBAYARAN MATERIAL PABRIKASI RUKO KE SN BANGUNAN </t>
  </si>
  <si>
    <t>By. Biaya PEMBAYARAN PENGGABUNGAN SERTIFIKAT TAHAP 2 DAN TAHAP 3</t>
  </si>
  <si>
    <t>By. Biaya PEMBAYARAN UPAH TUKANG PECAH BATU 300K X 10 MOBIL TAHAP 3</t>
  </si>
  <si>
    <t>By. Biaya REIMBERS DP RUMAH KR MANDING</t>
  </si>
  <si>
    <t xml:space="preserve">PINJAMAN BARU KEPADA H ANI </t>
  </si>
  <si>
    <t xml:space="preserve">By. Biaya PINJAMAN BARU KEPADA H ANI </t>
  </si>
  <si>
    <t>By. Biaya PEMBAYARAN TERMIN 1 TANAH DG RAMANG TAHAP 5 TOTAL 95 JT SISA 85 JT</t>
  </si>
  <si>
    <t>Terima Uang Masuk atas DP BLOK E11 HAPSA TAHAP 3</t>
  </si>
  <si>
    <t>Terima Uang Masuk atas DP BLOK E28 MUH ALDILAH TAHAP 3</t>
  </si>
  <si>
    <t>By. Biaya WIFI PERUMAHAN SN3</t>
  </si>
  <si>
    <t>By. Biaya SPONSOR AMARILIS KEGIATAN PLN</t>
  </si>
  <si>
    <t xml:space="preserve">By. Biaya PEMBAYARAN DEVELOP WEBSITE SN </t>
  </si>
  <si>
    <t>By. Biaya ONGKOS TUKANG PASANG LISTRIK LAMPU JALAN SN3</t>
  </si>
  <si>
    <t>By. Biaya BONUS AKHIR TAHUN EKKY 1X GAJI</t>
  </si>
  <si>
    <t>Terima Uang Masuk atas PEMBAYARAN INTAN 400K TERMIN 1 BIAYA AKAD  TOTAL 1 JT SISA 600K</t>
  </si>
  <si>
    <t xml:space="preserve">Terima Uang Masuk atas SALAH KIRIM ARYA </t>
  </si>
  <si>
    <t>Terima Uang Masuk atas DP BLOK E27 REZKY AINUN TAHAP 3 (KELEBIHAN TF 3 JT)</t>
  </si>
  <si>
    <t>By. Biaya KELEBIHAN TF TGL 16/1/2026</t>
  </si>
  <si>
    <t>By. Biaya SALAH TF TGL 16/1/2026</t>
  </si>
  <si>
    <t>By. Biaya PEMBAYARAN BATU PECAH 450K X 5 MOBIL UNTUK RUKO</t>
  </si>
  <si>
    <t>By. Biaya PEMBAYARAN UPAH TUKANG PECAH BATU 300K X 6 MOBIL TAHAP 3</t>
  </si>
  <si>
    <t>By. Biaya DP PENGERJAAN  GERBANG SN3</t>
  </si>
  <si>
    <t>By. Biaya PEMBAYARAN MATERIAL PABRIKASI TAHAP 3</t>
  </si>
  <si>
    <t>By. Biaya BUDGET MARKETING ADS 2</t>
  </si>
  <si>
    <t xml:space="preserve">By. Biaya PINJAM BARU KEPADA H UNI </t>
  </si>
  <si>
    <t>PEMBAYARAN KE 3 SUBKON RUKO BLOK R1 DG BASO TOTAL 25 JT SISA 8 JT</t>
  </si>
  <si>
    <t>PEMBELIAN DILUAR MATERIAL PABRIKASI (KUNCI PINTU DIONS TANGGUNG 3 BH UNTUK RUKO)</t>
  </si>
  <si>
    <t>TAMBAHAN PEMBAYARAN RETENSI SUBKON TAHAP 2</t>
  </si>
  <si>
    <t>PEMBELIAN TOKEN LISTRIK SN3</t>
  </si>
  <si>
    <t>FEE TAHAPAN PENGUKURAN TANAH CAMBALOJONG</t>
  </si>
  <si>
    <t>PEMABAYARAN UTANG OLEH HJ UNI TGL 19/1/2026 TOTAL 50 JT (LUNAS)</t>
  </si>
  <si>
    <t>PEMBAYARAN BATU PECAH 3 MBL X 450K UNTUK RUKO</t>
  </si>
  <si>
    <t>SALAH TF ARYA</t>
  </si>
  <si>
    <t xml:space="preserve">PENGGABUNGAN SERTIFIKAT </t>
  </si>
  <si>
    <t>PEMBAYARAN TERMIN 1 UTANG DP RUKO BLOK R13 TOTAL 50 JT SISA 45 JT</t>
  </si>
  <si>
    <t>SPONSOR KEGIATAN RADAR NASIONAL</t>
  </si>
  <si>
    <t xml:space="preserve">DP PEMBAYARAN RUMAH BERNYANYI </t>
  </si>
  <si>
    <t>PEMBAYARAN DP KELEBIHAN TANAH OLEH NANDA TESHA TOTAL UTANG 35 JT SISA 32 JT</t>
  </si>
  <si>
    <t>PENGEMBALIAN DP AKAD B21</t>
  </si>
  <si>
    <t>PEMBERIAN PINJAMAN BARU KEPADA HJ UNI (PINJAM SEHARI)</t>
  </si>
  <si>
    <t>PEMBAYARAN SUBKON KUSEN RUKO 4 UNIT</t>
  </si>
  <si>
    <t>PEMBAYARAN UTANG OLEH HJ UNI TGL 24/1/2026</t>
  </si>
  <si>
    <t>PAPAN, BAMBU, BALOK POS TAHAP 3</t>
  </si>
  <si>
    <t>PEMBELIAN MATERIAL PABRIKASI BELI DILUAR PERBAIKAN C19 TAHAP 2</t>
  </si>
  <si>
    <t>PEMBERIAN PINJAMAN KEPADA SATARA (PEMBAYARAN SPANDUK)</t>
  </si>
  <si>
    <t>DP BLOK E22 RAHMI RAMADHANI TAHAP 3</t>
  </si>
  <si>
    <t>PAJAK PENDAFTARAN PEMISAHAN SERTIF DAN PENGUKURAN</t>
  </si>
  <si>
    <t>DP BLOK E32 RISMA HAKIM TAHAP 3</t>
  </si>
  <si>
    <t>PEMBAYARAN TENAGA SIPIL UNTUK PSU</t>
  </si>
  <si>
    <t>PEMBAYARAN PASIR URUG 3 MOBIL X 300K TAHAP 3</t>
  </si>
  <si>
    <t xml:space="preserve">SUBKON PONDASI RUKO 7 UNIT X 2 JT </t>
  </si>
  <si>
    <t>PANJAR TUKANG POS</t>
  </si>
  <si>
    <t>JASA SEWA TENAGA SIPIL</t>
  </si>
  <si>
    <t>PEMBELIAN DILUAR MATERIAL PABRIKASI UNTUK RUKO (UMP 8, 3 BTG X 392K, ENGSEL 6 PCS X 15K)</t>
  </si>
  <si>
    <t>PBB</t>
  </si>
  <si>
    <t>PEMBELIAN MATERIAL PABRIKASI UNTUK RUKO (KAWAT LAS NIKKO STELL 2,0X1KG 1 X 45K, PEMOTONG BESI WD 1 X 90K</t>
  </si>
  <si>
    <t xml:space="preserve">PEMBAYARAN SERTIF 2,2 JT X 5 UNIT </t>
  </si>
  <si>
    <t>PEMBAYARAN RETENSI SUBKON TAHAP 2</t>
  </si>
  <si>
    <t>By. Biaya PEMBAYARAN RETENSI SUBKON TAHAP 2</t>
  </si>
  <si>
    <t>By. Biaya PEMBAYARAN KE 3 SUBKON RUKO BLOK R1 DG BASO TOTAL 25 JT SISA 8 JT</t>
  </si>
  <si>
    <t>By. Biaya PEMBELIAN DILUAR MATERIAL PABRIKASI (KUNCI PINTU DIONS TANGGUNG 3 BH UNTUK RUKO)</t>
  </si>
  <si>
    <t>By. Biaya TAMBAHAN PEMBAYARAN RETENSI SUBKON TAHAP 2</t>
  </si>
  <si>
    <t>By. Biaya PEMBELIAN TOKEN LISTRIK SN3</t>
  </si>
  <si>
    <t>By. Biaya FEE TAHAPAN PENGUKURAN TANAH CAMBALOJONG</t>
  </si>
  <si>
    <t>Terima Uang Masuk atas PEMABAYARAN UTANG OLEH HJ UNI TGL 19/1/2026 TOTAL 50 JT (LUNAS)</t>
  </si>
  <si>
    <t>By. Biaya PEMBAYARAN BATU PECAH 3 MBL X 450K UNTUK RUKO</t>
  </si>
  <si>
    <t>Terima Uang Masuk atas SALAH TF ARYA</t>
  </si>
  <si>
    <t xml:space="preserve">By. Biaya PENGGABUNGAN SERTIFIKAT </t>
  </si>
  <si>
    <t>Terima Uang Masuk atas PEMBAYARAN TERMIN 1 UTANG DP RUKO BLOK R13 TOTAL 50 JT SISA 45 JT</t>
  </si>
  <si>
    <t>By. Biaya SPONSOR KEGIATAN RADAR NASIONAL</t>
  </si>
  <si>
    <t xml:space="preserve">By. Biaya DP PEMBAYARAN RUMAH BERNYANYI </t>
  </si>
  <si>
    <t xml:space="preserve">By. Biaya PEMBAYARAN RUKO MACCINI </t>
  </si>
  <si>
    <t>By. Biaya PENGEMBALIAN DP AKAD B21</t>
  </si>
  <si>
    <t>By. Biaya PEMBERIAN PINJAMAN BARU KEPADA HJ UNI (PINJAM SEHARI)</t>
  </si>
  <si>
    <t>By. Biaya PEMBAYARAN SUBKON KUSEN RUKO 4 UNIT</t>
  </si>
  <si>
    <t>Terima Uang Masuk atas PEMBAYARAN UTANG OLEH HJ UNI TGL 24/1/2026</t>
  </si>
  <si>
    <t>By. Biaya PAPAN, BAMBU, BALOK POS TAHAP 3</t>
  </si>
  <si>
    <t>By. Biaya PEMBELIAN MATERIAL PABRIKASI BELI DILUAR PERBAIKAN C19 TAHAP 2</t>
  </si>
  <si>
    <t>By. Biaya PEMBERIAN PINJAMAN KEPADA SATARA (PEMBAYARAN SPANDUK)</t>
  </si>
  <si>
    <t>Terima Uang Masuk atas DP BLOK E22 RAHMI RAMADHANI TAHAP 3</t>
  </si>
  <si>
    <t>By. Biaya PAJAK PENDAFTARAN PEMISAHAN SERTIF DAN PENGUKURAN</t>
  </si>
  <si>
    <t>Terima Uang Masuk atas DP BLOK E32 RISMA HAKIM TAHAP 3</t>
  </si>
  <si>
    <t>By. Biaya PEMBAYARAN TENAGA SIPIL UNTUK PSU</t>
  </si>
  <si>
    <t>By. Biaya PEMBAYARAN PASIR URUG 3 MOBIL X 300K TAHAP 3</t>
  </si>
  <si>
    <t xml:space="preserve">By. Biaya SUBKON PONDASI RUKO 7 UNIT X 2 JT </t>
  </si>
  <si>
    <t>By. Biaya PANJAR TUKANG POS</t>
  </si>
  <si>
    <t>By. Biaya JASA SEWA TENAGA SIPIL</t>
  </si>
  <si>
    <t>By. Biaya PEMBELIAN DILUAR MATERIAL PABRIKASI UNTUK RUKO (UMP 8, 3 BTG X 392K, ENGSEL 6 PCS X 15K)</t>
  </si>
  <si>
    <t>By. Biaya PBB</t>
  </si>
  <si>
    <t>By. Biaya PEMBELIAN MATERIAL PABRIKASI UNTUK RUKO (KAWAT LAS NIKKO STELL 2,0X1KG 1 X 45K, PEMOTONG BESI WD 1 X 90K</t>
  </si>
  <si>
    <t xml:space="preserve">By. Biaya PEMBAYARAN SERTIF 2,2 JT X 5 UNIT </t>
  </si>
  <si>
    <t xml:space="preserve">PEMBELIAN RUMAH BERNYANYI </t>
  </si>
  <si>
    <t>Terima Uang Masuk atas DP KELEBIHAN TANAH B36 OLEH NANDA TESHA TOTAL UTANG 35 JT</t>
  </si>
  <si>
    <t>Terima Uang Masuk atas PEMBAYARAN DP KELEBIHAN TANAH B36 OLEH NANDA TESHA TOTAL UTANG 35 JT SISA 32 JT</t>
  </si>
  <si>
    <t>PEMBAYARAN MATERIAL ALAM  (TF KE H NASRUN)</t>
  </si>
  <si>
    <t>SUBKON 5 UNIT D1,D2,D3,D4,D5 TAHAP 3</t>
  </si>
  <si>
    <t>BIAYA SBU</t>
  </si>
  <si>
    <t>BALOK 25 BTG UNTUK RUKO</t>
  </si>
  <si>
    <t>NOTA BELANJA PERSYARATAN UNTUK AKAD RUKO R22</t>
  </si>
  <si>
    <t>BPHTB HJ ASFIATI RUKO R22</t>
  </si>
  <si>
    <t>Terima Uang Masuk atas PEMBAYARAN MATERIAL ALAM  (TF KE H NASRUN)</t>
  </si>
  <si>
    <t>By. Biaya SUBKON 5 UNIT D1,D2,D3,D4,D5 TAHAP 3</t>
  </si>
  <si>
    <t>By. Biaya BIAYA SBU</t>
  </si>
  <si>
    <t>By. Biaya BALOK 25 BTG UNTUK RUKO</t>
  </si>
  <si>
    <t>By. Biaya NOTA BELANJA PERSYARATAN UNTUK AKAD RUKO R22</t>
  </si>
  <si>
    <t>By. Biaya BPHTB HJ ASFIATI RUKO R22</t>
  </si>
  <si>
    <t>PEMBAYARAN DP KELEBIHAN TANAH OLEH SUHAEBAR TOTAL 50 JT SISA 47 JT</t>
  </si>
  <si>
    <t>Terima Uang Masuk atas PEMBAYARAN DP KELEBIHAN TANAH OLEH SUHAEBAR TOTAL 50 JT SISA 47 JT</t>
  </si>
  <si>
    <t>PEMBAYARAN DP KELEBIHAN TANAH OLEH SUHAEBAR TOTAL 50 JT</t>
  </si>
  <si>
    <t xml:space="preserve">PEMBELIAN MATERIAL PABRIKASI BELI DILUAR REIMBURS ALAT LISTRIK SN3 </t>
  </si>
  <si>
    <t xml:space="preserve">By. Biaya PEMBELIAN MATERIAL PABRIKASI BELI DILUAR REIMBURS ALAT LISTRIK SN3 </t>
  </si>
  <si>
    <t>PEMBELIAN MATERIAL PABRIKASI TEGEL TAHAP 3</t>
  </si>
  <si>
    <t>By. Biaya PEMBELIAN MATERIAL PABRIKASI TEGEL TAHAP 3</t>
  </si>
  <si>
    <t>REIMBURS MAKAN SATARA RAPAT</t>
  </si>
  <si>
    <t>PEMBELIAN BUKU SATARA</t>
  </si>
  <si>
    <t xml:space="preserve">PEMBAYARAN UTANG OLEH HJ ANI </t>
  </si>
  <si>
    <t>PINJAM SN3 TAHAP3 249 JT DARI 525 JT</t>
  </si>
  <si>
    <t>PENCAIRAN SWADANA BTN 39,5 JT DARI 70 JT</t>
  </si>
  <si>
    <t>GAJI TALENT SAHABU UNTUKK NGONTEN</t>
  </si>
  <si>
    <t>GAJI JANUARI (KAK KAHFI, KAK NAIMA, KAK ANTI)</t>
  </si>
  <si>
    <t>GAJI JANUARI K'SHINTA CONTENT CREATOR</t>
  </si>
  <si>
    <t xml:space="preserve">GAJI JANUARI PAK TAHIR DIREKTUR </t>
  </si>
  <si>
    <t>GAJI SECURITY, KEBERSIHAN DAN PENJAGA ALAT SN3</t>
  </si>
  <si>
    <t>KONTRIBUSI WAJIB SATARA</t>
  </si>
  <si>
    <t>GAJI SN JANUARI TANGGUNGAN H NASRUN</t>
  </si>
  <si>
    <t>BIAYA DESAIN PAGAR SN3</t>
  </si>
  <si>
    <t>REIMBURS DP BATAL SN3 PINDAH KE SN2</t>
  </si>
  <si>
    <t>TERMIN 1 30 X 16,5 JT SUBKON SN3 TAHAP 3</t>
  </si>
  <si>
    <t>TOTAL PINJAM SN 525 DI H UNI</t>
  </si>
  <si>
    <t xml:space="preserve">PEMBAYARAN TANAH KEPADA DG JUANDI USMAN </t>
  </si>
  <si>
    <t>PEMBAYARAN UTANG OLEH HJ UNI 25 JT TOTAL</t>
  </si>
  <si>
    <t>DP SUBKON DG IWANG, UNTUK UMROH</t>
  </si>
  <si>
    <t xml:space="preserve">TAMBAHAN PINJAM KEPADA HJ UNI </t>
  </si>
  <si>
    <t>PEMBAYARAN KE 2 SUBKON KUSEN PAK SUBAIR TAHAP 3</t>
  </si>
  <si>
    <t>PENGEMBALIAN SEWA TENAGA AHLI UNTUK PSU TGL 27/1/2026</t>
  </si>
  <si>
    <t>PEMBAYARAN KE 3 SUBKON KUSEN PAK SUBAIR TAHAP 3</t>
  </si>
  <si>
    <t>BUDGET MARKETING ADS 1</t>
  </si>
  <si>
    <t>REIMBURS PEMBAYARAN TANAH DG JUA TGL 2/2/2026</t>
  </si>
  <si>
    <t>DP AKAD RUKO R22 ASPIATI SN3</t>
  </si>
  <si>
    <t>REIMBERS DP AKAD RUKO R22 ASPIATI TGL 3/2/2026</t>
  </si>
  <si>
    <t xml:space="preserve">MATERAI AKAD RUKO BLOK R22 ASPIATI </t>
  </si>
  <si>
    <t xml:space="preserve">PEMBAYARAN DP KELEBIHAN TANAH OLEH SULASTRI </t>
  </si>
  <si>
    <t>SBUM 32 UNIT SN3 (TAHAP 1: B20, A2, A16, B24, B47, B39, B44, B46, B33, A1, B43, B41, A6, A11, A3, A5, B26, B37, B27, B25, A4) (TAHAP 2: C5, C8, C20, C9, C15, C3, C25, C10, C4, C7, C13)</t>
  </si>
  <si>
    <t>DANA TERTAHAN NUR HENI BLOK B20 TAHAP 1</t>
  </si>
  <si>
    <t xml:space="preserve">GORONG-GORONG DAN ROSTER 5 UNIT PERTAMA TAHAP 3 ROSTER 63 BIJI X 5 UNIT : 315 BIJI 315 BIJI X 4K : 1.260.000, Gorong2 5X 175K 875K TOTAL 2.135.000 </t>
  </si>
  <si>
    <t>GAJI TUKANG HARIAN SN3 FASUM</t>
  </si>
  <si>
    <t xml:space="preserve">PEMBAYARAN SUBKON RUKO BLOK R10 </t>
  </si>
  <si>
    <t>PEMBAYARAN BIAYA - BIAYA AKAD RUKO R22 ASPIATI</t>
  </si>
  <si>
    <t>PEMBAYARAN BIAYA NOTARIS AKAD RUKO R22 ASPIATI</t>
  </si>
  <si>
    <t>PEMBAYARAN PPH A15 CASH RUMAH ALIM AL KAISAR TAHAP 1</t>
  </si>
  <si>
    <t>PEMBAYARAN DP RUMAH BLOK E7 FITRIA ELISA TAHAP 3</t>
  </si>
  <si>
    <t>PEMBAYARAN BPHTB A15 ALIM AL KAISAR TAHAP 1</t>
  </si>
  <si>
    <t>FEE PENGURUSAN PSU MBAK DHILA</t>
  </si>
  <si>
    <t>SEPATU SAFETY UNTUK SEKURITY SN3</t>
  </si>
  <si>
    <t>FEE UPLOAD SLF TAHAP 3</t>
  </si>
  <si>
    <t>PENCAIRAN DANA TERTAHAN 7 UNIT BRI (TAHAP 2 : C10, C2, C7, C3, C23, C13, C4)</t>
  </si>
  <si>
    <t>TAMBAHAN BIAYA NOTARIS BANK AKAD RUKO R22 SN3</t>
  </si>
  <si>
    <t>PEMBAYARAN TAMBAHAN DP E7 FITRIA ELISA TAHAP 3 TGL 5/2/2026</t>
  </si>
  <si>
    <t xml:space="preserve">PEMBAYARAN SUBKON RUKO BLOK R9 DG ANSAR </t>
  </si>
  <si>
    <t>PEMBAYARAN UPAH PEMINDAHAN LISTRIK KANTOR OM FAHRI</t>
  </si>
  <si>
    <t>PEMBAYARAN MATERAI PENGURUSAN SERTIF SN3</t>
  </si>
  <si>
    <t>REIMBURS KELEBIHAN TF SUBKON TAHAP 3 TERMIN 1 TGL 2/2/2026</t>
  </si>
  <si>
    <t>PEMBAYARAN DP RUMAH BLOK E4 ULFA TAHAP 3</t>
  </si>
  <si>
    <t xml:space="preserve">PEMBAYARAN UTANG HJ ANI </t>
  </si>
  <si>
    <t>PEMBERIAN PINJAMAN BARU KEPADA HJ ANI</t>
  </si>
  <si>
    <t>PEMBAYARAN K.BUNGAN UNTUK UCAPAN HUT BANK BTN</t>
  </si>
  <si>
    <t>BATU PECAH 8 MBL X 300K TAHAP 3</t>
  </si>
  <si>
    <t>PEMBELIAN PINTU BESI RUKO SN3</t>
  </si>
  <si>
    <t>BIAYA AKAD NOTARIS A15 ALIM AL KAISAR TAHAP 1</t>
  </si>
  <si>
    <t xml:space="preserve">PEMBAYARAN RUKO R22 OLEH PAK TAFSIR (HJ ASPITA) </t>
  </si>
  <si>
    <t>PEMBERIAN PINJAMAN KEPADA SATARA PROPERTY UNTUK (PEMBAYARAN DP TANAH PERUMAHAN BARRU KEPADA MUHAMMAD HUSNI)</t>
  </si>
  <si>
    <t>PEMBELIAN MATERIAL PABRIKASI RUKO SN3</t>
  </si>
  <si>
    <t>PEMBAYARAN MATERIAL PABRIKASI (SN BANGUNAN) RUKO</t>
  </si>
  <si>
    <t>PEMBELIAN KUE ULTAH BU WULAN</t>
  </si>
  <si>
    <t xml:space="preserve">PEMBELIAN MATERAI AKAD A15 ALIM AL KAISAR </t>
  </si>
  <si>
    <t xml:space="preserve">PEMBAYARAN PDAM RUKO 1.721.155/UNIT BLOK R18 DAN R22 </t>
  </si>
  <si>
    <t>PEMBELIAN PAPAN 31 LBR DAN BALOK 52 BTG TAHAP 3</t>
  </si>
  <si>
    <t>PEMBELIAN JENDELA ALUMINIUM POS</t>
  </si>
  <si>
    <t>PEMBAYARAN PPH D4 RISNA TAHAP 3</t>
  </si>
  <si>
    <t>PEMBAYARAN UTANG OLEH A15 ALIM ALKAISAR TAHAP 1</t>
  </si>
  <si>
    <t>PEMBELIAN MATERAI AKAD D4 RISNA</t>
  </si>
  <si>
    <t>PEMBAYARAN BIAYA AKAD D4 RISNA MARDANI J TAHAP 3 (DP 4 JT AKAN DI TF BALIK KE REK GIRO BNI DAN DI TARIK SETELAH PENCAIRAN) (PROVISI 825K, ADM 250K, NOTARIS 4.150.000, ADMIN BANK UNTUK NOTARIS 2.830.000)</t>
  </si>
  <si>
    <t>PEMBELIAN ATERAI PENGECEKAN KREDIT KPP</t>
  </si>
  <si>
    <t>PEMBELIAN TOKEN LISTRIK POS SN3</t>
  </si>
  <si>
    <t>PEMBAYARAN IURAN BPJS KETENAGAKERJAAN  PEBRUARI 2026</t>
  </si>
  <si>
    <t>PEMBELIAN MATERIAL PABRIKASI RUKO SN3 (KRAN AIR T)</t>
  </si>
  <si>
    <t>PEMBAYARAN PPH D2 IDA FITRIANI TAHAP 3</t>
  </si>
  <si>
    <t>PEMBELIAN MATAERAI AKAD D2 IDA FITRIANI TAHAP 3</t>
  </si>
  <si>
    <t>PEMBAYARAN UPAH KR LAWI PEMINDAHAN METERAN KE POS</t>
  </si>
  <si>
    <t>PEMBAYARAN LISTRIK D2 IDA TAHAP 3</t>
  </si>
  <si>
    <t>PEMBELIAN MATERIAL PABRIKASI UNTUK RUKO (KERAN T 62K/PCS, + KEKURANGAN 12K PEMBELI KERAN T TGL 11/02)</t>
  </si>
  <si>
    <t>PEMBERIAN PINJAMAN KEPADA SN1 (AIR PDAM C32 DINDA SN1)</t>
  </si>
  <si>
    <t>PEMBAYARAN AIR PDAM D2 IDA SN3 50K PENDAFTARAN 1,5 JT PASANG TAHAP 3</t>
  </si>
  <si>
    <t>PEMBAYARAN DP RUMAH BLOK E30 OLEH NURLIAH TAHAP 3</t>
  </si>
  <si>
    <t>PEMBAYARAN SUBKON RUKO OM NASIR BLOK R 15</t>
  </si>
  <si>
    <t>PEMBAYARAN UTANG KEPADA PAK AWAL 150 JT (NANTI DIRINCI K'CIO)</t>
  </si>
  <si>
    <t>BUDGET MARKETING ADS FEBRUARI 2</t>
  </si>
  <si>
    <t xml:space="preserve">PEMBAYARAN AIR PDAM D4 RISNA TAHAP 3 </t>
  </si>
  <si>
    <t>PEMBAYARAN LISTRIK D4 RISNA TAHAP 3</t>
  </si>
  <si>
    <t>PEMBAYARAN LISTRIK RUKO R18 BU AISYAH SN3</t>
  </si>
  <si>
    <t>PEMBAYARAN LISTRIK RUKO R22 BU ASPIATI SN3</t>
  </si>
  <si>
    <t>PEMBAYARAN SISA GAJI DG ACCUNG SECURITY (TANGGUNGAN H NASRUN)</t>
  </si>
  <si>
    <t>PEMBAYARAN KELEBIHAN TANAH B34 OLEH NURSYAM TOTAL 31,5 JT SISA 26,5 JT</t>
  </si>
  <si>
    <t>PEMBELIAN DILUAR MATERIAL PABRIKASI (GIPSUN 30 LBR SN3)</t>
  </si>
  <si>
    <t xml:space="preserve">DP AKAD D2 IDA TAHAP 3 </t>
  </si>
  <si>
    <t>PEMBAYARAN ADMIN BANK D2 IDA TAHAP 3</t>
  </si>
  <si>
    <t>REIMBURS DP AKAD D2 IDA TAHAP 3 TGL 13/2/2026</t>
  </si>
  <si>
    <t>REIMBURS PDAM C32 DINDA SN1 TGL 12/2/2026</t>
  </si>
  <si>
    <t>PEMBAYARAN BIAYA AKAD D2 OLEH IDA TAHAP 3</t>
  </si>
  <si>
    <t>PEMBAYARAN BIAYA NOTARIS AKAD D2 IDA FITRANI TAHAP 3</t>
  </si>
  <si>
    <t>PEMBELIAN MATERIAL PABRIKASI PINTU BESI RUKO SN3</t>
  </si>
  <si>
    <t>TF KEKURANGAN SALDO D2 IDA TAHAP 3</t>
  </si>
  <si>
    <t xml:space="preserve">PEMBAYARAN KOMSUMSI PERTEMUAN PIHAK RUMAH BERNYANYI </t>
  </si>
  <si>
    <t xml:space="preserve">PEMBAYARAN KE 2 KELEBIHAN TANAH B34 OLEH NURSYAM TAHAP 1 TOTAL 31,5 JT (LUNAS) </t>
  </si>
  <si>
    <t>PEMBAYARAN BIAYA AKAD D4 OLEH RISNA TAHAP 3</t>
  </si>
  <si>
    <t xml:space="preserve">PEMBELIAN MATERAL PABRIKASI SN3 (BELI DILUAR) </t>
  </si>
  <si>
    <t>PEMBELIAN DILUAR MATERIAL PABRIKASI GYPSUN 250 LBR X 57K TAHAP 3</t>
  </si>
  <si>
    <t>PEMBELIAN DILUAR MATERIAL PABRIKASI  GYPSUN 300 LBR TAHAP 3</t>
  </si>
  <si>
    <t xml:space="preserve">PEMBELIAN DILUAR MATERIAL PABRIKASI CAT PINTU RUKO </t>
  </si>
  <si>
    <t>PEMBAYARAN SUBKON 5 UNIT DG RA'JA SN3 YANG KE 2 TAHAP 3</t>
  </si>
  <si>
    <t>PEMBAYARAN SUBKON KUSEN PAK SUBAIR KE 3 TAHAP 3</t>
  </si>
  <si>
    <t>PEMBAYARAN SUBKON KE 1 DAHLAN &amp; AKBAR 7 UNIT 2,5 JT/UNIT TAHAP 3</t>
  </si>
  <si>
    <t>PEMBAYARAN DP RUMAH BLOK D19 RAHMAT PRAYUDI TAHAP 3 (CASHBACK 1 JT</t>
  </si>
  <si>
    <t>CASHBACK DP RAHMAT D19 TGL 17/2/2026</t>
  </si>
  <si>
    <t>PEMBELIAN MATERIAL PABRIKASI UNTUK RUKO 443K, PEMBELIAN CAT 2.640, PEMBELIAN MATERIAL PABRIKASI 196K, GAJI TUKANG 3 JT</t>
  </si>
  <si>
    <t>SPONSOR KEGIATAN LIGA RAMADHAN BANGKIT</t>
  </si>
  <si>
    <t>GIVEAWAY 1 SN BLN FEB</t>
  </si>
  <si>
    <t>PEMBAYARAN PEMBUATAN 2 SPANDUK SN</t>
  </si>
  <si>
    <t>PEMBELIAN DILUAR MATERIAL PABRIKASI (KUPINIS 5 BTL) TAHAP 3</t>
  </si>
  <si>
    <t>PEMBAYARAN PEMAKAIAN  AIR TUKANG KE PAK RISWAN SN3</t>
  </si>
  <si>
    <t>PEMBELIAN AIR DOS KANTOR SN</t>
  </si>
  <si>
    <t xml:space="preserve">PEMBELIAN KOMSUMSI AKAD 13 FEB </t>
  </si>
  <si>
    <t>PEMBELIAN STOP KONTAK KANTOR</t>
  </si>
  <si>
    <t>PEMBAYARAN UPAH BATU BECAH DG ACCUNG 300K X 16 MOBIL TAHAP 3</t>
  </si>
  <si>
    <t>GIVEAWAY KAK CIO DAN SN</t>
  </si>
  <si>
    <t>PEMBERIAN UTANG KEPADA  SN2 (TAGIH 10 JT/BLN TIAP TGL 25)</t>
  </si>
  <si>
    <t>PEMBERIAN HADIAH PERNIKAHAN PERABOTAN KAK DINDA</t>
  </si>
  <si>
    <t>BUDGET MARKETING ADS SN</t>
  </si>
  <si>
    <t>PEMBAYARAN PERCEPATAN PENERBITAN AKTA CERAI ABD RAHMAN (PENGURUSAN TANAH)</t>
  </si>
  <si>
    <t>PEMBAYARAN SUBKON DG ANCA PELUNASAN 18 JT DG RA'JA KE 3 6,5 JT DG NASO PELUNASAN 8 JT (SUBKON TAHAP 3)</t>
  </si>
  <si>
    <t>PEMBAYARAN SKK PERSYARATAN PENGURUSAN PSU</t>
  </si>
  <si>
    <t>PEMBELIAN MATERIAL PABRIKASI (BELI CAT DILUAR) TAHAP 3</t>
  </si>
  <si>
    <t xml:space="preserve">PEMBAYARAN UTANG TANAH TAHAP 1 KEPADA HJ ANI  </t>
  </si>
  <si>
    <t>PEMBAYARAN JASA EKSPEDISI GYPSUN 300 LBR SN3 TAHAP  3</t>
  </si>
  <si>
    <t>PEMBAYARAN JASA EKSPEDISI SN3</t>
  </si>
  <si>
    <t>PEMBAYARAN PDAM RUKO BLOK R12 SYAHRIR SN3</t>
  </si>
  <si>
    <t>PEMBAYARAN DP TANAH RAMLI 5 JT TAHAP 5, DAN PEMBELIAN TAHAP 3 (400K 20 BTG BALOK) 100K UPAH KERJA)</t>
  </si>
  <si>
    <t>PEMBELIAN MATERAI AKAD D1 INRIYANI TAHAP 3</t>
  </si>
  <si>
    <t>PEMBAYARAN PDAM D1 INDRIYANI TAHAP 3</t>
  </si>
  <si>
    <t>PEMBAYARAN LISTRIK D1 INDRIYANI TAHAP 3</t>
  </si>
  <si>
    <t>PEMBAYARAN PPH D1 INDRIYANI TAHAP 3</t>
  </si>
  <si>
    <t>SUBKON OM LABBANG LISTRIK 550K X 5 UNIT TAHAP 3</t>
  </si>
  <si>
    <t>AKSESORIS KUNCI TAHAP 3</t>
  </si>
  <si>
    <t>AKSESORIS UNTUK TAHAP 3</t>
  </si>
  <si>
    <t>PENCAIRAN D4 RISNA TAHAP 3</t>
  </si>
  <si>
    <t>PEMBERIAN PINJAMAN BARU KEPADA ARYA</t>
  </si>
  <si>
    <t>PEMBAYARAN FEE UANG TTD KREDIT KPP K'NADIN</t>
  </si>
  <si>
    <t>BANTUAN PEMESANAN AKSESORIS TAHAP 3</t>
  </si>
  <si>
    <t>PAPAN 62 LBR TAHAP 3</t>
  </si>
  <si>
    <t>PEMBAYARAN LISTRIK D3 ELFAREZA TAHAP 3</t>
  </si>
  <si>
    <t>PEMBAYARAN PDAM D3 ELFAREZA TAHAP 3</t>
  </si>
  <si>
    <t>PEMBAYARAN DP OLEH E24 DAN E25 TAHAP 3 (CASHBACK MASING2 1 JT)</t>
  </si>
  <si>
    <t>PEMBAYARAN SUBKON KE 4 DG AHMAD 1 UNIT 9 JT TAHAP 3</t>
  </si>
  <si>
    <t>CASHBACK DP RUMAH MASING2 1 JT  BLOK 24 DAN 25 TGL 25/2/2026</t>
  </si>
  <si>
    <t>PEM,BAYARAN GAJI HARIAN TUKANG SELOKAN PEDESTRIAN SN3</t>
  </si>
  <si>
    <t>PEMBAYARAN LISTRIK RUKO BLOK R12 SYAHRIR SN3</t>
  </si>
  <si>
    <t>PEMBAYARAN PELUNASAN PENGERJAAN GERBANG SN3</t>
  </si>
  <si>
    <t>SPONSOR SLM BUKBER RADAR NASIONAL</t>
  </si>
  <si>
    <t>PEMBAYARAN PDAM D5 FITRIANA TAHAP 3</t>
  </si>
  <si>
    <t>PEMBAYARAN PENGURUSAN PBB DLL SN3</t>
  </si>
  <si>
    <t>PEMBAYARAN UPAH LEMBUR TUKANG PENGERJAAN SELOKAN SN3</t>
  </si>
  <si>
    <t>PEMBAYARAN CICILAN 3 BULAN EMAS</t>
  </si>
  <si>
    <t>PEMBAYARAN CASHBACK D17 TAHAP 3 SN3</t>
  </si>
  <si>
    <t>PEMBAYARAN ADMIN BANK D1 INDRIYANI TAHAP 3 SN3</t>
  </si>
  <si>
    <t>PEMBAYARAN DP AKAD D1 INDRIYANI TAHAP 3</t>
  </si>
  <si>
    <t>PEMBAYARAN BIAYA NOTARIS D1 INDRIYANI TAHAP 3</t>
  </si>
  <si>
    <t>PEMBELIAN OPERASIONAL UPPI RINCIAN ADA DI GB</t>
  </si>
  <si>
    <t>PEMBAYARAN BIAYA AKAD D1 OLEH INDRIYANI TAHAP 3</t>
  </si>
  <si>
    <t>REIMBURS DP AKAD D1 INDRIYANI TAHAP 3</t>
  </si>
  <si>
    <t>REIMBURS DP AKAD D1 INDRIYANI TAHAP 3 TGL 27/2/2026</t>
  </si>
  <si>
    <t xml:space="preserve">Terima Uang Masuk atas PEMBAYARAN UTANG OLEH HJ ANI </t>
  </si>
  <si>
    <t>Terima Uang Masuk atas PINJAM SN3 TAHAP3 249 JT DARI 525 JT</t>
  </si>
  <si>
    <t>Terima Uang Masuk atas PENCAIRAN SWADANA BTN 39,5 JT DARI 70 JT</t>
  </si>
  <si>
    <t>By. Biaya GAJI TALENT SAHABU UNTUKK NGONTEN</t>
  </si>
  <si>
    <t>By. Biaya GAJI JANUARI (KAK KAHFI, KAK NAIMA, KAK ANTI)</t>
  </si>
  <si>
    <t>By. Biaya GAJI JANUARI K'SHINTA CONTENT CREATOR</t>
  </si>
  <si>
    <t xml:space="preserve">By. Biaya GAJI JANUARI PAK TAHIR DIREKTUR </t>
  </si>
  <si>
    <t>By. Biaya GAJI SECURITY, KEBERSIHAN DAN PENJAGA ALAT SN3</t>
  </si>
  <si>
    <t>By. Biaya KONTRIBUSI WAJIB SATARA</t>
  </si>
  <si>
    <t>Terima Uang Masuk atas GAJI SN JANUARI TANGGUNGAN H NASRUN</t>
  </si>
  <si>
    <t>By. Biaya BIAYA DESAIN PAGAR SN3</t>
  </si>
  <si>
    <t>By. Biaya REIMBURS DP BATAL SN3 PINDAH KE SN2</t>
  </si>
  <si>
    <t>By. Biaya TERMIN 1 30 X 16,5 JT SUBKON SN3 TAHAP 3</t>
  </si>
  <si>
    <t>Terima Uang Masuk atas TOTAL PINJAM SN 525 DI H UNI</t>
  </si>
  <si>
    <t xml:space="preserve">By. Biaya PEMBAYARAN TANAH KEPADA DG JUANDI USMAN </t>
  </si>
  <si>
    <t>Terima Uang Masuk atas PEMBAYARAN UTANG OLEH HJ UNI 25 JT TOTAL</t>
  </si>
  <si>
    <t>By. Biaya DP SUBKON DG IWANG, UNTUK UMROH</t>
  </si>
  <si>
    <t xml:space="preserve">By. Biaya TAMBAHAN PINJAM KEPADA HJ UNI </t>
  </si>
  <si>
    <t>By. Biaya PEMBAYARAN KE 2 SUBKON KUSEN PAK SUBAIR TAHAP 3</t>
  </si>
  <si>
    <t>Terima Uang Masuk atas PENGEMBALIAN SEWA TENAGA AHLI UNTUK PSU TGL 27/1/2026</t>
  </si>
  <si>
    <t>By. Biaya PEMBAYARAN KE 3 SUBKON KUSEN PAK SUBAIR TAHAP 3</t>
  </si>
  <si>
    <t>By. Biaya BUDGET MARKETING ADS 1</t>
  </si>
  <si>
    <t>Terima Uang Masuk atas REIMBURS PEMBAYARAN TANAH DG JUA TGL 2/2/2026</t>
  </si>
  <si>
    <t>By. Biaya DP AKAD RUKO R22 ASPIATI SN3</t>
  </si>
  <si>
    <t>Terima Uang Masuk atas REIMBERS DP AKAD RUKO R22 ASPIATI TGL 3/2/2026</t>
  </si>
  <si>
    <t xml:space="preserve">By. Biaya MATERAI AKAD RUKO BLOK R22 ASPIATI </t>
  </si>
  <si>
    <t xml:space="preserve">Terima Uang Masuk atas PEMBAYARAN DP KELEBIHAN TANAH OLEH SULASTRI </t>
  </si>
  <si>
    <t>Terima Uang Masuk atas SBUM 32 UNIT SN3 (TAHAP 1: B20, A2, A16, B24, B47, B39, B44, B46, B33, A1, B43, B41, A6, A11, A3, A5, B26, B37, B27, B25, A4) (TAHAP 2: C5, C8, C20, C9, C15, C3, C25, C10, C4, C7, C13)</t>
  </si>
  <si>
    <t>Terima Uang Masuk atas DANA TERTAHAN NUR HENI BLOK B20 TAHAP 1</t>
  </si>
  <si>
    <t xml:space="preserve">By. Biaya GORONG-GORONG DAN ROSTER 5 UNIT PERTAMA TAHAP 3 ROSTER 63 BIJI X 5 UNIT : 315 BIJI 315 BIJI X 4K : 1.260.000, Gorong2 5X 175K 875K TOTAL 2.135.000 </t>
  </si>
  <si>
    <t>By. Biaya GAJI TUKANG HARIAN SN3 FASUM</t>
  </si>
  <si>
    <t xml:space="preserve">By. Biaya PEMBAYARAN SUBKON RUKO BLOK R10 </t>
  </si>
  <si>
    <t>By. Biaya PEMBAYARAN BIAYA - BIAYA AKAD RUKO R22 ASPIATI</t>
  </si>
  <si>
    <t>By. Biaya PEMBAYARAN BIAYA NOTARIS AKAD RUKO R22 ASPIATI</t>
  </si>
  <si>
    <t>By. Biaya PEMBAYARAN PPH A15 CASH RUMAH ALIM AL KAISAR TAHAP 1</t>
  </si>
  <si>
    <t>Terima Uang Masuk atas PEMBAYARAN DP RUMAH BLOK E7 FITRIA ELISA TAHAP 3</t>
  </si>
  <si>
    <t>By. Biaya PEMBAYARAN BPHTB A15 ALIM AL KAISAR TAHAP 1</t>
  </si>
  <si>
    <t>By. Biaya FEE PENGURUSAN PSU MBAK DHILA</t>
  </si>
  <si>
    <t>By. Biaya SEPATU SAFETY UNTUK SEKURITY SN3</t>
  </si>
  <si>
    <t>By. Biaya FEE UPLOAD SLF TAHAP 3</t>
  </si>
  <si>
    <t>Terima Uang Masuk atas PENCAIRAN DANA TERTAHAN 7 UNIT BRI (TAHAP 2 : C10, C2, C7, C3, C23, C13, C4)</t>
  </si>
  <si>
    <t>By. Biaya TAMBAHAN BIAYA NOTARIS BANK AKAD RUKO R22 SN3</t>
  </si>
  <si>
    <t>Terima Uang Masuk atas PEMBAYARAN TAMBAHAN DP E7 FITRIA ELISA TAHAP 3 TGL 5/2/2026</t>
  </si>
  <si>
    <t xml:space="preserve">By. Biaya PEMBAYARAN SUBKON RUKO BLOK R9 DG ANSAR </t>
  </si>
  <si>
    <t>By. Biaya PEMBAYARAN UPAH PEMINDAHAN LISTRIK KANTOR OM FAHRI</t>
  </si>
  <si>
    <t>By. Biaya PEMBAYARAN MATERAI PENGURUSAN SERTIF SN3</t>
  </si>
  <si>
    <t>Terima Uang Masuk atas REIMBURS KELEBIHAN TF SUBKON TAHAP 3 TERMIN 1 TGL 2/2/2026</t>
  </si>
  <si>
    <t>Terima Uang Masuk atas PEMBAYARAN DP RUMAH BLOK E4 ULFA TAHAP 3</t>
  </si>
  <si>
    <t xml:space="preserve">Terima Uang Masuk atas PEMBAYARAN UTANG HJ ANI </t>
  </si>
  <si>
    <t>By. Biaya PEMBERIAN PINJAMAN BARU KEPADA HJ ANI</t>
  </si>
  <si>
    <t>By. Biaya PEMBAYARAN K.BUNGAN UNTUK UCAPAN HUT BANK BTN</t>
  </si>
  <si>
    <t>By. Biaya BATU PECAH 8 MBL X 300K TAHAP 3</t>
  </si>
  <si>
    <t>By. Biaya PEMBELIAN PINTU BESI RUKO SN3</t>
  </si>
  <si>
    <t>By. Biaya BIAYA AKAD NOTARIS A15 ALIM AL KAISAR TAHAP 1</t>
  </si>
  <si>
    <t xml:space="preserve">Terima Uang Masuk atas PEMBAYARAN RUKO R22 OLEH PAK TAFSIR (HJ ASPITA) </t>
  </si>
  <si>
    <t>By. Biaya PEMBELIAN MATERIAL PABRIKASI RUKO SN3</t>
  </si>
  <si>
    <t>By. Biaya PEMBAYARAN MATERIAL PABRIKASI (SN BANGUNAN) RUKO</t>
  </si>
  <si>
    <t>By. Biaya PEMBELIAN KUE ULTAH BU WULAN</t>
  </si>
  <si>
    <t xml:space="preserve">By. Biaya PEMBELIAN MATERAI AKAD A15 ALIM AL KAISAR </t>
  </si>
  <si>
    <t xml:space="preserve">By. Biaya PEMBAYARAN PDAM RUKO 1.721.155/UNIT BLOK R18 DAN R22 </t>
  </si>
  <si>
    <t>By. Biaya PEMBELIAN PAPAN 31 LBR DAN BALOK 52 BTG TAHAP 3</t>
  </si>
  <si>
    <t>By. Biaya PEMBELIAN JENDELA ALUMINIUM POS</t>
  </si>
  <si>
    <t>By. Biaya PEMBAYARAN PPH D4 RISNA TAHAP 3</t>
  </si>
  <si>
    <t>Terima Uang Masuk atas PEMBAYARAN UTANG OLEH A15 ALIM ALKAISAR TAHAP 1</t>
  </si>
  <si>
    <t>By. Biaya PEMBELIAN MATERAI AKAD D4 RISNA</t>
  </si>
  <si>
    <t>By. Biaya PEMBELIAN TOKEN LISTRIK POS SN3</t>
  </si>
  <si>
    <t>By. Biaya PEMBAYARAN IURAN BPJS KETENAGAKERJAAN  PEBRUARI 2026</t>
  </si>
  <si>
    <t>By. Biaya PEMBELIAN MATERIAL PABRIKASI RUKO SN3 (KRAN AIR T)</t>
  </si>
  <si>
    <t>By. Biaya PEMBAYARAN PPH D2 IDA FITRIANI TAHAP 3</t>
  </si>
  <si>
    <t>By. Biaya PEMBELIAN MATAERAI AKAD D2 IDA FITRIANI TAHAP 3</t>
  </si>
  <si>
    <t>By. Biaya PEMBAYARAN UPAH KR LAWI PEMINDAHAN METERAN KE POS</t>
  </si>
  <si>
    <t>By. Biaya PEMBAYARAN LISTRIK D2 IDA TAHAP 3</t>
  </si>
  <si>
    <t>By. Biaya PEMBELIAN MATERIAL PABRIKASI UNTUK RUKO (KERAN T 62K/PCS, + KEKURANGAN 12K PEMBELI KERAN T TGL 11/02)</t>
  </si>
  <si>
    <t>By. Biaya PEMBERIAN PINJAMAN KEPADA SN1 (AIR PDAM C32 DINDA SN1)</t>
  </si>
  <si>
    <t>By. Biaya PEMBAYARAN AIR PDAM D2 IDA SN3 50K PENDAFTARAN 1,5 JT PASANG TAHAP 3</t>
  </si>
  <si>
    <t>Terima Uang Masuk atas PEMBAYARAN DP RUMAH BLOK E30 OLEH NURLIAH TAHAP 3</t>
  </si>
  <si>
    <t>By. Biaya PEMBAYARAN SUBKON RUKO OM NASIR BLOK R 15</t>
  </si>
  <si>
    <t>By. Biaya PEMBAYARAN UTANG KEPADA PAK AWAL 150 JT (NANTI DIRINCI K'CIO)</t>
  </si>
  <si>
    <t>By. Biaya BUDGET MARKETING ADS FEBRUARI 2</t>
  </si>
  <si>
    <t xml:space="preserve">By. Biaya PEMBAYARAN AIR PDAM D4 RISNA TAHAP 3 </t>
  </si>
  <si>
    <t>By. Biaya PEMBAYARAN LISTRIK D4 RISNA TAHAP 3</t>
  </si>
  <si>
    <t>By. Biaya PEMBAYARAN LISTRIK RUKO R18 BU AISYAH SN3</t>
  </si>
  <si>
    <t>By. Biaya PEMBAYARAN LISTRIK RUKO R22 BU ASPIATI SN3</t>
  </si>
  <si>
    <t>By. Biaya PEMBAYARAN SISA GAJI DG ACCUNG SECURITY (TANGGUNGAN H NASRUN)</t>
  </si>
  <si>
    <t>Terima Uang Masuk atas PEMBAYARAN KELEBIHAN TANAH B34 OLEH NURSYAM TOTAL 31,5 JT SISA 26,5 JT</t>
  </si>
  <si>
    <t>By. Biaya PEMBELIAN DILUAR MATERIAL PABRIKASI (GIPSUN 30 LBR SN3)</t>
  </si>
  <si>
    <t xml:space="preserve">By. Biaya DP AKAD D2 IDA TAHAP 3 </t>
  </si>
  <si>
    <t>By. Biaya PEMBAYARAN ADMIN BANK D2 IDA TAHAP 3</t>
  </si>
  <si>
    <t>Terima Uang Masuk atas REIMBURS DP AKAD D2 IDA TAHAP 3 TGL 13/2/2026</t>
  </si>
  <si>
    <t>Terima Uang Masuk atas REIMBURS PDAM C32 DINDA SN1 TGL 12/2/2026</t>
  </si>
  <si>
    <t>Terima Uang Masuk atas PEMBAYARAN BIAYA AKAD D2 OLEH IDA TAHAP 3</t>
  </si>
  <si>
    <t>By. Biaya PEMBAYARAN BIAYA NOTARIS AKAD D2 IDA FITRANI TAHAP 3</t>
  </si>
  <si>
    <t>By. Biaya PEMBELIAN MATERIAL PABRIKASI PINTU BESI RUKO SN3</t>
  </si>
  <si>
    <t>By. Biaya TF KEKURANGAN SALDO D2 IDA TAHAP 3</t>
  </si>
  <si>
    <t xml:space="preserve">By. Biaya PEMBAYARAN KOMSUMSI PERTEMUAN PIHAK RUMAH BERNYANYI </t>
  </si>
  <si>
    <t xml:space="preserve">Terima Uang Masuk atas PEMBAYARAN KE 2 KELEBIHAN TANAH B34 OLEH NURSYAM TAHAP 1 TOTAL 31,5 JT (LUNAS) </t>
  </si>
  <si>
    <t>Terima Uang Masuk atas PEMBAYARAN BIAYA AKAD D4 OLEH RISNA TAHAP 3</t>
  </si>
  <si>
    <t xml:space="preserve">By. Biaya PEMBELIAN MATERAL PABRIKASI SN3 (BELI DILUAR) </t>
  </si>
  <si>
    <t>By. Biaya PEMBELIAN DILUAR MATERIAL PABRIKASI GYPSUN 250 LBR X 57K TAHAP 3</t>
  </si>
  <si>
    <t>By. Biaya PEMBELIAN DILUAR MATERIAL PABRIKASI  GYPSUN 300 LBR TAHAP 3</t>
  </si>
  <si>
    <t xml:space="preserve">By. Biaya PEMBELIAN DILUAR MATERIAL PABRIKASI CAT PINTU RUKO </t>
  </si>
  <si>
    <t>By. Biaya PEMBAYARAN SUBKON 5 UNIT DG RA'JA SN3 YANG KE 2 TAHAP 3</t>
  </si>
  <si>
    <t>By. Biaya PEMBAYARAN SUBKON KUSEN PAK SUBAIR KE 3 TAHAP 3</t>
  </si>
  <si>
    <t>By. Biaya PEMBAYARAN SUBKON KE 1 DAHLAN &amp; AKBAR 7 UNIT 2,5 JT/UNIT TAHAP 3</t>
  </si>
  <si>
    <t>Terima Uang Masuk atas PEMBAYARAN DP RUMAH BLOK D19 RAHMAT PRAYUDI TAHAP 3 (CASHBACK 1 JT</t>
  </si>
  <si>
    <t>By. Biaya CASHBACK DP RAHMAT D19 TGL 17/2/2026</t>
  </si>
  <si>
    <t>By. Biaya PEMBELIAN MATERIAL PABRIKASI UNTUK RUKO 443K, PEMBELIAN CAT 2.640, PEMBELIAN MATERIAL PABRIKASI 196K, GAJI TUKANG 3 JT</t>
  </si>
  <si>
    <t>By. Biaya SPONSOR KEGIATAN LIGA RAMADHAN BANGKIT</t>
  </si>
  <si>
    <t>By. Biaya GIVEAWAY 1 SN BLN FEB</t>
  </si>
  <si>
    <t>By. Biaya PEMBAYARAN PEMBUATAN 2 SPANDUK SN</t>
  </si>
  <si>
    <t>By. Biaya PEMBELIAN DILUAR MATERIAL PABRIKASI (KUPINIS 5 BTL) TAHAP 3</t>
  </si>
  <si>
    <t>By. Biaya PEMBAYARAN PEMAKAIAN  AIR TUKANG KE PAK RISWAN SN3</t>
  </si>
  <si>
    <t>By. Biaya PEMBELIAN AIR DOS KANTOR SN</t>
  </si>
  <si>
    <t xml:space="preserve">By. Biaya PEMBELIAN KOMSUMSI AKAD 13 FEB </t>
  </si>
  <si>
    <t>By. Biaya PEMBELIAN STOP KONTAK KANTOR</t>
  </si>
  <si>
    <t>By. Biaya PEMBAYARAN UPAH BATU BECAH DG ACCUNG 300K X 16 MOBIL TAHAP 3</t>
  </si>
  <si>
    <t>By. Biaya GIVEAWAY KAK CIO DAN SN</t>
  </si>
  <si>
    <t>By. Biaya PEMBERIAN UTANG KEPADA  SN2 (TAGIH 10 JT/BLN TIAP TGL 25)</t>
  </si>
  <si>
    <t>By. Biaya PEMBERIAN HADIAH PERNIKAHAN PERABOTAN KAK DINDA</t>
  </si>
  <si>
    <t>By. Biaya BUDGET MARKETING ADS SN</t>
  </si>
  <si>
    <t>By. Biaya PEMBAYARAN PERCEPATAN PENERBITAN AKTA CERAI ABD RAHMAN (PENGURUSAN TANAH)</t>
  </si>
  <si>
    <t>By. Biaya PEMBAYARAN SUBKON DG ANCA PELUNASAN 18 JT DG RA'JA KE 3 6,5 JT DG NASO PELUNASAN 8 JT (SUBKON TAHAP 3)</t>
  </si>
  <si>
    <t>By. Biaya PEMBAYARAN SKK PERSYARATAN PENGURUSAN PSU</t>
  </si>
  <si>
    <t>By. Biaya PEMBELIAN MATERIAL PABRIKASI (BELI CAT DILUAR) TAHAP 3</t>
  </si>
  <si>
    <t xml:space="preserve">By. Biaya PEMBAYARAN UTANG TANAH TAHAP 1 KEPADA HJ ANI  </t>
  </si>
  <si>
    <t>By. Biaya PEMBAYARAN JASA EKSPEDISI GYPSUN 300 LBR SN3 TAHAP  3</t>
  </si>
  <si>
    <t>By. Biaya PEMBAYARAN JASA EKSPEDISI SN3</t>
  </si>
  <si>
    <t>By. Biaya PEMBAYARAN PDAM RUKO BLOK R12 SYAHRIR SN3</t>
  </si>
  <si>
    <t>By. Biaya PEMBAYARAN DP TANAH RAMLI 5 JT TAHAP 5, DAN PEMBELIAN TAHAP 3 (400K 20 BTG BALOK) 100K UPAH KERJA)</t>
  </si>
  <si>
    <t>By. Biaya PEMBELIAN MATERAI AKAD D1 INRIYANI TAHAP 3</t>
  </si>
  <si>
    <t>By. Biaya PEMBAYARAN PDAM D1 INDRIYANI TAHAP 3</t>
  </si>
  <si>
    <t>By. Biaya PEMBAYARAN LISTRIK D1 INDRIYANI TAHAP 3</t>
  </si>
  <si>
    <t>By. Biaya PEMBAYARAN PPH D1 INDRIYANI TAHAP 3</t>
  </si>
  <si>
    <t>By. Biaya SUBKON OM LABBANG LISTRIK 550K X 5 UNIT TAHAP 3</t>
  </si>
  <si>
    <t>By. Biaya AKSESORIS KUNCI TAHAP 3</t>
  </si>
  <si>
    <t>By. Biaya AKSESORIS UNTUK TAHAP 3</t>
  </si>
  <si>
    <t>Terima Uang Masuk atas PENCAIRAN D4 RISNA TAHAP 3</t>
  </si>
  <si>
    <t>By. Biaya PEMBERIAN PINJAMAN BARU KEPADA ARYA</t>
  </si>
  <si>
    <t>By. Biaya PEMBAYARAN FEE UANG TTD KREDIT KPP K'NADIN</t>
  </si>
  <si>
    <t>By. Biaya BANTUAN PEMESANAN AKSESORIS TAHAP 3</t>
  </si>
  <si>
    <t>By. Biaya PAPAN 62 LBR TAHAP 3</t>
  </si>
  <si>
    <t>By. Biaya PEMBAYARAN LISTRIK D3 ELFAREZA TAHAP 3</t>
  </si>
  <si>
    <t>By. Biaya PEMBAYARAN PDAM D3 ELFAREZA TAHAP 3</t>
  </si>
  <si>
    <t>Terima Uang Masuk atas PEMBAYARAN DP OLEH E24 DAN E25 TAHAP 3 (CASHBACK MASING2 1 JT)</t>
  </si>
  <si>
    <t>By. Biaya PEMBAYARAN SUBKON KE 4 DG AHMAD 1 UNIT 9 JT TAHAP 3</t>
  </si>
  <si>
    <t>By. Biaya CASHBACK DP RUMAH MASING2 1 JT  BLOK 24 DAN 25 TGL 25/2/2026</t>
  </si>
  <si>
    <t>By. Biaya PEMBAYARAN LISTRIK RUKO BLOK R12 SYAHRIR SN3</t>
  </si>
  <si>
    <t>By. Biaya PEMBAYARAN PELUNASAN PENGERJAAN GERBANG SN3</t>
  </si>
  <si>
    <t>By. Biaya SPONSOR SLM BUKBER RADAR NASIONAL</t>
  </si>
  <si>
    <t>By. Biaya PEMBAYARAN PDAM D5 FITRIANA TAHAP 3</t>
  </si>
  <si>
    <t>By. Biaya PEMBAYARAN PENGURUSAN PBB DLL SN3</t>
  </si>
  <si>
    <t>By. Biaya PEMBAYARAN UPAH LEMBUR TUKANG PENGERJAAN SELOKAN SN3</t>
  </si>
  <si>
    <t>By. Biaya PEMBAYARAN CICILAN 3 BULAN EMAS</t>
  </si>
  <si>
    <t>By. Biaya PEMBAYARAN CASHBACK D17 TAHAP 3 SN3</t>
  </si>
  <si>
    <t>By. Biaya PEMBAYARAN ADMIN BANK D1 INDRIYANI TAHAP 3 SN3</t>
  </si>
  <si>
    <t>By. Biaya PEMBAYARAN DP AKAD D1 INDRIYANI TAHAP 3</t>
  </si>
  <si>
    <t>By. Biaya PEMBAYARAN BIAYA NOTARIS D1 INDRIYANI TAHAP 3</t>
  </si>
  <si>
    <t>By. Biaya PEMBELIAN OPERASIONAL UPPI RINCIAN ADA DI GB</t>
  </si>
  <si>
    <t>Terima Uang Masuk atas PEMBAYARAN BIAYA AKAD D1 OLEH INDRIYANI TAHAP 3</t>
  </si>
  <si>
    <t>Terima Uang Masuk atas REIMBURS DP AKAD D1 INDRIYANI TAHAP 3</t>
  </si>
  <si>
    <t>Terima Uang Masuk atas REIMBURS DP AKAD D1 INDRIYANI TAHAP 3 TGL 27/2/2026</t>
  </si>
  <si>
    <t>By. Biaya PEMBAYARAN BIAYA AKAD D4 RISNA MARDANI J TAHAP 3 (PROVISI 825K, ADM 250K, NOTARIS 4.150.000, ADMIN BANK UNTUK NOTARIS 2.830.000)</t>
  </si>
  <si>
    <t>By. Biaya PEMBAYARAN BIAYA AKAD D4 RISNA MARDANI J TAHAP 3 (DP 4 JT AKAN DI TF BALIK KE REK GIRO BNI DAN DI TARIK SETELAH PENCAIRAN)</t>
  </si>
  <si>
    <t>By. Biaya PEMBELIAN MATERAI PENGECEKAN KREDIT KPP</t>
  </si>
  <si>
    <t>PENGAKUAN PENDAPATAN D2 OLEH IDA TAHAP 3</t>
  </si>
  <si>
    <t>PENGAKUAN PENDAPATAN D4 OLEH RISNA TAHAP 3</t>
  </si>
  <si>
    <t>By. Biaya PEMBAYARAN GAJI HARIAN TUKANG SELOKAN PEDESTRIAN SN3</t>
  </si>
  <si>
    <t>PENGAKUAN PENDAPATAN D1 OLEH INDRIYANI TAHAP 3</t>
  </si>
  <si>
    <t>Adj HPP Februari 3 unit</t>
  </si>
  <si>
    <t>PEMBAYARAN DP RUMAH BLOK D17 ASRIANI AZMAN TAHAP 3</t>
  </si>
  <si>
    <t>PEMINDAHAN DANA</t>
  </si>
  <si>
    <t>PENCAIRAN DANA SWADANA</t>
  </si>
  <si>
    <t>GAJI TANGGUNGAN ARYA</t>
  </si>
  <si>
    <t>GAJI SECURITY SN3 DAN KEBERSIHAN 2 ORANG</t>
  </si>
  <si>
    <t>REIMBERS GAJI TANGGUNGAN H NASRUN TGL 1/3/2026</t>
  </si>
  <si>
    <t>GAJI TANGGUNGAN H NASRUN</t>
  </si>
  <si>
    <t>GAJI CONTENT CREATOR</t>
  </si>
  <si>
    <t>GAJI SECURITY DAN PENJAGA ALAT H NASRUN</t>
  </si>
  <si>
    <t>GAJI DIREKTUR SN TANGGUNGAN H NASRUN</t>
  </si>
  <si>
    <t xml:space="preserve">BONUS APRESIASI BULANAN </t>
  </si>
  <si>
    <t>TAMBAHAN KONTRIBUSI SATARA</t>
  </si>
  <si>
    <t>PEMBAYARAN MATERIAL ALAN BATU MERAH H ALI 13 NOTA TAHAP 3</t>
  </si>
  <si>
    <t>FEE AKAD D1 INDRIYANI TAHAP 3</t>
  </si>
  <si>
    <t xml:space="preserve">PEMBAYARAN KOMSUMSI PEKERJA GERBANG SN3 DI CAFE SECOND HOME </t>
  </si>
  <si>
    <t>PEMBAYARAN SUBKON KUSEN KE 4 OLEH PAK SUBAIR TAHAP 3</t>
  </si>
  <si>
    <t xml:space="preserve">PEMBAYARAN KEKURANGAN KOMSUMSI PEKERJA GERBANG SN3 DI CAFE SECOND HOME </t>
  </si>
  <si>
    <t>PEMBAYARAN UPAH BATU PECAH DG ACCUNG 1 MOBIL</t>
  </si>
  <si>
    <t>PEMBAYARAN FEE AKAD B49 SRIANA DAN C26 ANGGUN TAHAP 2</t>
  </si>
  <si>
    <t>PEMBAYARAN FEE D4 KAK RISNA TAHAP 3</t>
  </si>
  <si>
    <t>PENCAIRAN 2 UNIT BRI D1 INDRIYANI DAN D2 IDA FITRIANI TAHAP 3</t>
  </si>
  <si>
    <t>PEMBAYARAN MATERIAL ALAM TAHAP 3</t>
  </si>
  <si>
    <t>PEMBAYARAN MATERIAL PABRIKASI PEMBELIAN KACA KUSEN TAHAP 3</t>
  </si>
  <si>
    <t>PEMBAYARAN BUDGET MARKETING ADS MARET 1</t>
  </si>
  <si>
    <t>ZAKAT</t>
  </si>
  <si>
    <t>PEMBAYARAN FEE AKAD RUKO KAK SHINTA R22 PAK TAFSIR SN3</t>
  </si>
  <si>
    <t>PEMBAYARAN PEMBUATAN MAP SN 50 LBR</t>
  </si>
  <si>
    <t>TAMBAHAN KEKURANGAN TOTAL 1.465 KOMSUMSI 3 ORANG PEKERJA GERBANG SN3 SELAMA 16 HARI</t>
  </si>
  <si>
    <t>BALOK 52 BTG TAHAP 3</t>
  </si>
  <si>
    <t>PEMBERIAN PINJAMAN KEPADA SATARA (PEMBUATAN REK PERUSAHAAN SATARA)</t>
  </si>
  <si>
    <t>PENGEMBALIAN DP PAK JHONY TAHAP 1</t>
  </si>
  <si>
    <t>PEMBERIAN PINJAMAN KEPADA SN2 (PEMBAYARAN BPHTB MARLON C35 SN2)</t>
  </si>
  <si>
    <t>GAJI TUKANG HARIAN FASUM SN3</t>
  </si>
  <si>
    <t>PEMBAYARAN DP PEMBELIAN TANAH MANGARABBE 3 LOKASI (PEMILIK 1 MUSTARI BIN LEWA PEMILIK 2 HARMIATI PEMILIK 3?)</t>
  </si>
  <si>
    <t>PEMBAYARAN PPH 1.730 X 2 RUMAH (D3 ALFAHREZA, E25 MUH YUSRI), PPH 6 JT X 1 UNIT RUKO R15 HJ ANI</t>
  </si>
  <si>
    <t>PEMBAYARAN PEMBERSIHAN LAHAN TAHAP 3</t>
  </si>
  <si>
    <t>PEMBAYARAN SPANDUK BALAP LARI UNTUK PROMOSI</t>
  </si>
  <si>
    <t>PEMBELIAN BAMBU BALAP LARI UNTUK PROMOSI</t>
  </si>
  <si>
    <t>PEMBELIAN PERLENGKAPAN DAN HADIAH LOMBA LARI UNTUK PROMOSI</t>
  </si>
  <si>
    <t>PEMBAYARAN BATU PECAH 9 MOBIL X 300K  DG ACCUNG TOTAL 10 MOBIL (300K SUDAH DIAMBIL)</t>
  </si>
  <si>
    <t>KEKURANGAN UANG BALAP LARI UNTUK PROMOSI</t>
  </si>
  <si>
    <t>PEMBELIAN BAMBU TAHAP 3</t>
  </si>
  <si>
    <t>PEMBAYARAN SUBKON PINTU BESI BLOK R11 (TUKANG DG RAJA)</t>
  </si>
  <si>
    <t>PEMBERIAN PINJAMAN KEPADA SATARA PROPERTI (PEMBUATAN NIB SATARA PROPERTI)</t>
  </si>
  <si>
    <t>PEMBAYARAN BIAYA AKAD E25 YUSRI TAHAP 3</t>
  </si>
  <si>
    <t>PEMBAYARAN DP AKAD E25 MUHAMMAD YUSRI TAHAP 3</t>
  </si>
  <si>
    <t>PEMBAYARAN ADMIN BANK E25 MUHAMMAD YUSRI TAHAP 3</t>
  </si>
  <si>
    <t>PEMBAYARAN BIAYA NOTARIS E25 MUHAMMAD YUSRI SN3 TAHAP 3</t>
  </si>
  <si>
    <t>REIMBERS DP AKAD E25 MUHAMMAD YUSRI TAHAP 3 TGL 11/3/2026</t>
  </si>
  <si>
    <t>PEMBAYARAN NIDI SLO (LISTRIK 135K X 29 UNIT)</t>
  </si>
  <si>
    <t>PEMBAYARAN MATERAI AKAD E25 MUHAMMAD YUSRI TAHAP 3</t>
  </si>
  <si>
    <t>PEMBAYARAN PDAM E25 MUHAMMAD YUSRI TAHAP 3</t>
  </si>
  <si>
    <t>REIMBERS DP PEMBELIAN TANAH 3 LOKASI MANGARABE 95 JT TGL 5/3/2026 (TOTAL 53.5JT DIGUNAKAN UNTUK PEMBAYARAN PENGEMBALIAN DP YANG BATAL 5 JT BLOK E22 RAHMI TAHAP 3 DAN PEMBAYARAN SUBKON 48,5 JT  (DG DANDI 24.650.000, DG AHMAD 9 JT, DG ZUL 14.850.000))</t>
  </si>
  <si>
    <t>PEMBAYARAN ONGKOS SERVICE PRINTER KANTOR SN</t>
  </si>
  <si>
    <t>SPONSOR LOMBA FASHION SHOW BANTAENG BANGKIT</t>
  </si>
  <si>
    <t xml:space="preserve">PEMBERIAN PINJAMAN KEPADA SEKALA INSDUSTRI </t>
  </si>
  <si>
    <t>PEMBELIAN MATERIAL PABRIKASI ALAT PINTU BESI UNTUK RUKO</t>
  </si>
  <si>
    <t>PEMBELIAN BALOK 52 BTG TAHAP 3</t>
  </si>
  <si>
    <t>PEMBELIAN MATERAI 50 LBR D3 ALFAREZA TAHAP 3</t>
  </si>
  <si>
    <t>PEMBAYARAN ADMIN BANK D3 ALFAREZA TAHAP 3</t>
  </si>
  <si>
    <t>PEMBAYARAN DP AKAD D3 ALFAREZA TAHAP 3</t>
  </si>
  <si>
    <t>PEMBAYARAN BIAYA AKAD D3 ALFAREZA TAHAP 3</t>
  </si>
  <si>
    <t>META ADS SN</t>
  </si>
  <si>
    <t>REIMBURS DP E34 NURHARLINA TAHAP 3</t>
  </si>
  <si>
    <t>PEMBAYARAN DP E23 OLEH RAHMAT RIZAKTI TAHAP 3 (TOTAL 5 JT CASHBACK 1 JT TUNAI)</t>
  </si>
  <si>
    <t>PENCAIRAN TAHAP 3 (E25 YUSRI 78,5 JT DAN D3 148,5 JT)</t>
  </si>
  <si>
    <t>THR STAFF SN</t>
  </si>
  <si>
    <t>FEE MEDIASI RUMAH BERNYANYI</t>
  </si>
  <si>
    <t>PEMBAYARAN BIAYA NOTARIS D3 ALFAREZA TAHAP 3</t>
  </si>
  <si>
    <t>THR HARDIANTI</t>
  </si>
  <si>
    <t>THR IRDAYANTI</t>
  </si>
  <si>
    <t>THR UMMU ATHIYAH</t>
  </si>
  <si>
    <t>THR ADINDA</t>
  </si>
  <si>
    <t>THR KURNIA SYARIF</t>
  </si>
  <si>
    <t>THR RESKI AWALIA S</t>
  </si>
  <si>
    <t xml:space="preserve">THR ROIS SURYA </t>
  </si>
  <si>
    <t>THR NURSHINTA PUTRI</t>
  </si>
  <si>
    <t>THR ALKAHFI SEPTIAN</t>
  </si>
  <si>
    <t>THR NURHIKMA</t>
  </si>
  <si>
    <t>THR SATARA</t>
  </si>
  <si>
    <t>GORONG-GORONG 36 BIJI TAHAP 3</t>
  </si>
  <si>
    <t>PEMBELIAN MATERIAL ALAM (PASIR 2 MOBIL) TAHAP 3</t>
  </si>
  <si>
    <t>PEMBELIAN DILUAR MATERIAL PABRIKASI TAHAP 3</t>
  </si>
  <si>
    <t>PEMBAYARAN KEKURANGAN PEMBELIAN MATERIAL PABRIKASI TAHAP 3 TGL 14/3/2026 (HARUSNYA 980K)</t>
  </si>
  <si>
    <t>PEMBELIAN EMAS 1 GR UNTUK PARCEL PAK REFKY</t>
  </si>
  <si>
    <t xml:space="preserve">PEMBERIAN PINJAMAN KEPADA HJ UNI 1 HARI </t>
  </si>
  <si>
    <t>PEMBAYARAN PINJAM OLEH HJ UNI 1 HARI TGL 14/3/2026</t>
  </si>
  <si>
    <t xml:space="preserve">PEMBERIAN PINJAMAN KEPADA HJ UNI </t>
  </si>
  <si>
    <t>GIVE AWAY SN</t>
  </si>
  <si>
    <t>PEMBAYARAN PEMASANGAN PEKERJA HARIAN PAVING SN3</t>
  </si>
  <si>
    <t>PEMBAYARAN BATU MERAH H ALI 6 NOTA TAHAP 3</t>
  </si>
  <si>
    <t>SUBKON RUMAH TAHAP 3</t>
  </si>
  <si>
    <t>REIMBURS DP AKAD D3 ALFAREZA TAHAP 3 TGL 13/3/2026</t>
  </si>
  <si>
    <t>PEMBAYARAN PINJAMAN OLEH HJ UNI TGL 16/3/2026</t>
  </si>
  <si>
    <t>PEMBAYARAN KELEBIHAN TANAH A1 OLEH NURUL YULIANTO</t>
  </si>
  <si>
    <t>PEMBELIAN PARCEL RAMADHAN</t>
  </si>
  <si>
    <t>THR RAMADHAN</t>
  </si>
  <si>
    <t>PEMBELIAN HEMPERS</t>
  </si>
  <si>
    <t xml:space="preserve">PEMBAYARAN GAJI HARIAN TUKANG FASUM SN3 </t>
  </si>
  <si>
    <t>PEMBERIAN PINJAMAN KEPADA K NADIN 1 HARI</t>
  </si>
  <si>
    <t>PELUNASAN SUBKON RUKO DG ANCA BLOK R10</t>
  </si>
  <si>
    <t>THR AWALUDDIN</t>
  </si>
  <si>
    <t>THR BU BIA DAN BU KIKI</t>
  </si>
  <si>
    <t>THR MBA DILA</t>
  </si>
  <si>
    <t>PEMBELIAN BAJU BATIK SN UNTUK STAFF BARU HIKMA</t>
  </si>
  <si>
    <t>PEMBAYARAN FEE OM KURNI D1 INDRIYANI TAHAP 3</t>
  </si>
  <si>
    <t>SUBKON KE 3 RUKO DG BASO BLOK R1</t>
  </si>
  <si>
    <t>UPAH BATU PECAH 300K X 7 MOBIL DG ACCUNG TAHAP 3</t>
  </si>
  <si>
    <t>PEMBAYARAN SUBKON KE 5 KUSEN PAK SUBAIR TAHAP 3</t>
  </si>
  <si>
    <t>PEMBAYARAN KE 2 SUBKON DG ANSAR</t>
  </si>
  <si>
    <t xml:space="preserve">PENCAIRAN KE 2 KREDIT KPP TAHAP 3 </t>
  </si>
  <si>
    <t>PEMBERIAN PINJAMAN KEPADA ARYA UNTUK THR KELUARGA</t>
  </si>
  <si>
    <t>PEMBELIAN KUE PARCEL UNTUK KOLEGA</t>
  </si>
  <si>
    <t>PEMBELIAN WIFI SN3</t>
  </si>
  <si>
    <t>META ADS SN MARET 2026</t>
  </si>
  <si>
    <t>PEMBAYARAN DP TANAH 1 MANGARABBE TF KE UPI (SALAH TF)</t>
  </si>
  <si>
    <t>PEMBAYARAN DP TANAH 1 MANGARABBE PAK IRWAN IRYANTO</t>
  </si>
  <si>
    <t>REIMBURS SALAH TF DP TANAH 1 MANGARABBE TGL 23/3/2026</t>
  </si>
  <si>
    <t>PEMBAYARAN WIFI KANTOR SN</t>
  </si>
  <si>
    <t>PEMBAYARAN BUKA PUASA AKAD SN3</t>
  </si>
  <si>
    <t>PEMBERIAN PINJAMAN KEPADA CV AINUN</t>
  </si>
  <si>
    <t>PEMBAYARAN DP RUMAH BLOK C31 OLEH ZUL FADLI TAHAP 3</t>
  </si>
  <si>
    <t>PEMBAYARAN PENGADAAN KEBUTUHAN KANTOR</t>
  </si>
  <si>
    <t>PEMBAYARAN UPAH BURUH PENDISTRIAN PERBAIKAN COR UNTUK FASUM SN3</t>
  </si>
  <si>
    <t>PEMBAYARAN IURAN BPJS KETENAGAKERJAAN MARET 2026</t>
  </si>
  <si>
    <t>PEMBAYARAN DP TANAH 2 MANGARABBE</t>
  </si>
  <si>
    <t>PEMBELIAN MATERIAL PABRIKASI BELI DILUAR (KAWAT LAS 1 DOS RUKO)</t>
  </si>
  <si>
    <t>PEMBAYARAN DP RUMAH BLOK C30 RIDWAN TAHAP 3</t>
  </si>
  <si>
    <t>PEMBAYARAN DP TANAH 3 MANGARABBE</t>
  </si>
  <si>
    <t>PEMBAYARAN DP TANAH SINOA</t>
  </si>
  <si>
    <t>PENGEMBALIAN PEMBATALAN RUKO 40 JT BLOK R1 SN3</t>
  </si>
  <si>
    <t>PENEBUSAN SERTIFIKAT E6 TAHAP 3</t>
  </si>
  <si>
    <t>TAMBAHAN PEMBAYARAN MATERIAL ALAM TAHAP 3</t>
  </si>
  <si>
    <t>PEMBERIAN PINJAM KEPADA HJ INA 1 HARI</t>
  </si>
  <si>
    <t>PEMBAYARAN OPERATOR PANGGILAN ALAT BERAT TAHAP 3</t>
  </si>
  <si>
    <t>PEMBAYARAN PINJAM 1 HARI OLEH HJ INA TGL 26/3/2026</t>
  </si>
  <si>
    <t>PEMBERIAN PINJAMAN KEPADA SATARA (PERJALANAN DINAS SATARA GROUP KE BANDUNG)</t>
  </si>
  <si>
    <t>PELUNASAN TANAH 1 MANGARABBE</t>
  </si>
  <si>
    <t>ANGSURAN RUKO MACCINI</t>
  </si>
  <si>
    <t>PEMBAYARAN PEMBUATAN SPANDUK PROMOSI SN3</t>
  </si>
  <si>
    <t>PEMBAYARAN APERSI PT BERKAH BINTANG PRATAMA</t>
  </si>
  <si>
    <t>PEMBAYARAN FEE PEMBELIAN TANAH</t>
  </si>
  <si>
    <t>PEMBELIAN BALOK 20 BTG X 20K UNTUK SPANDUK K CIO DAN PROMOSI SN3</t>
  </si>
  <si>
    <t>MATERAI 500K DAN BIAYA PEMBUATAN CEK 300K SN3</t>
  </si>
  <si>
    <t>PEMBAYARAN LISTRIK 943K X 29 UNIT TAHAP 3</t>
  </si>
  <si>
    <t>PEMBERIAN PINJAMAN KEPADA  HJ ANI</t>
  </si>
  <si>
    <t>PEMBAYARAN OLEH K NADIN</t>
  </si>
  <si>
    <t>PBB TERHITUNG RUMAH BERNYANYI</t>
  </si>
  <si>
    <t>PAJAK REKLAME BALIHO PANSER</t>
  </si>
  <si>
    <t>SIMPAN DANA AKHIR BULAN</t>
  </si>
  <si>
    <t>PEMBAYARAN DP AKAD FAIDUL AHDAR D16 TAHAP 3</t>
  </si>
  <si>
    <t>PEMBAYARAN ADMIN BANK FAIDUL AHDAR D16 TAHAP 3</t>
  </si>
  <si>
    <t>RIM TONGKAT SECURITY SN3</t>
  </si>
  <si>
    <t>SENTER SECURITY</t>
  </si>
  <si>
    <t>PEMBAYARAN BIAYA AKAD D16 FAIDUL AHDAR TAHAP 3</t>
  </si>
  <si>
    <t>BAJU SECURITY</t>
  </si>
  <si>
    <t>BUDGET GIVE AWAY</t>
  </si>
  <si>
    <t>PEMBAYARAN BIAYA AKAD D16 FAIDUL AHDAR TAHAP 3 (LISTRIK 1,2 JT, PDAM 1.545, MATERAI 500K, PPH 1.730)</t>
  </si>
  <si>
    <t xml:space="preserve"> PEMBAYARAN BIAYA NOTARIS D16 FAIDUL AHDAR TAHAP 3</t>
  </si>
  <si>
    <t xml:space="preserve">PEMBAYARAN PERBAIKAN WEBSITE SIKUMBANG </t>
  </si>
  <si>
    <t xml:space="preserve">ROYA PENGURUSAN TANAH ABD RAHMAN </t>
  </si>
  <si>
    <t>PEMBAYARAN MATERIAL PABRIKASI (SK UTICON 5L 30K TAHAP 3) (ADUTOLUY 1 KG 50K RUKO)</t>
  </si>
  <si>
    <t>DANA INVESTASI UNTUK SN3 DARI PEGADAIAN</t>
  </si>
  <si>
    <t>PEMBAYARAN FEE PENGERJAAN PBG TAHAP 3</t>
  </si>
  <si>
    <t>PEMBERIAN PINJAMAN KEPADA SATARA (PEMBUATAN STEMPEL SATARA)</t>
  </si>
  <si>
    <t>PEMBAYARAN DP RUMAH BLOK E26 OLEH AWALUDDIN TAHAP 3</t>
  </si>
  <si>
    <t>SIMPAN DAN SN3 DI ARYA</t>
  </si>
  <si>
    <t>SIMPAN DANA SN3 DI ARYA</t>
  </si>
  <si>
    <t>PEMBERIAN PINJAMAN KEPADA  SATARA PROPERTY</t>
  </si>
  <si>
    <t xml:space="preserve"> SIMPAN DANA DI BANK BTN</t>
  </si>
  <si>
    <t>PEMBERIAN PINJAMAN KEPADA SATARA PROPERTY (PEMBAYARAN TANAH JL BARRU)</t>
  </si>
  <si>
    <t>PEMBERIAN PINJAMAN KEPADA SATARA PROPERTY</t>
  </si>
  <si>
    <t>Terima Uang Masuk atas PEMBAYARAN DP RUMAH BLOK D17 ASRIANI AZMAN TAHAP 3</t>
  </si>
  <si>
    <t>Terima Uang Masuk atas PEMINDAHAN DANA</t>
  </si>
  <si>
    <t>Terima Uang Masuk atas PENCAIRAN DANA SWADANA</t>
  </si>
  <si>
    <t>Terima Uang Masuk atas REIMBERS GAJI TANGGUNGAN H NASRUN TGL 1/3/2026</t>
  </si>
  <si>
    <t>By. Biaya PEMBAYARAN MATERIAL ALAN BATU MERAH H ALI 13 NOTA TAHAP 3</t>
  </si>
  <si>
    <t>By. Biaya FEE AKAD D1 INDRIYANI TAHAP 3</t>
  </si>
  <si>
    <t xml:space="preserve">By. Biaya PEMBAYARAN KOMSUMSI PEKERJA GERBANG SN3 DI CAFE SECOND HOME </t>
  </si>
  <si>
    <t>By. Biaya PEMBAYARAN SUBKON KUSEN KE 4 OLEH PAK SUBAIR TAHAP 3</t>
  </si>
  <si>
    <t xml:space="preserve">By. Biaya PEMBAYARAN KEKURANGAN KOMSUMSI PEKERJA GERBANG SN3 DI CAFE SECOND HOME </t>
  </si>
  <si>
    <t>By. Biaya PEMBAYARAN UPAH BATU PECAH DG ACCUNG 1 MOBIL</t>
  </si>
  <si>
    <t>By. Biaya PEMBAYARAN FEE AKAD B49 SRIANA DAN C26 ANGGUN TAHAP 2</t>
  </si>
  <si>
    <t>By. Biaya PEMBAYARAN FEE D4 KAK RISNA TAHAP 3</t>
  </si>
  <si>
    <t>Terima Uang Masuk atas PENCAIRAN 2 UNIT BRI D1 INDRIYANI DAN D2 IDA FITRIANI TAHAP 3</t>
  </si>
  <si>
    <t>By. Biaya PEMBAYARAN MATERIAL ALAM TAHAP 3</t>
  </si>
  <si>
    <t>By. Biaya PEMBAYARAN MATERIAL PABRIKASI PEMBELIAN KACA KUSEN TAHAP 3</t>
  </si>
  <si>
    <t>By. Biaya PEMBAYARAN BUDGET MARKETING ADS MARET 1</t>
  </si>
  <si>
    <t>By. Biaya PEMBAYARAN FEE AKAD RUKO KAK SHINTA R22 PAK TAFSIR SN3</t>
  </si>
  <si>
    <t>By. Biaya PEMBAYARAN PEMBUATAN MAP SN 50 LBR</t>
  </si>
  <si>
    <t>By. Biaya TAMBAHAN KEKURANGAN TOTAL 1.465 KOMSUMSI 3 ORANG PEKERJA GERBANG SN3 SELAMA 16 HARI</t>
  </si>
  <si>
    <t>By. Biaya BALOK 52 BTG TAHAP 3</t>
  </si>
  <si>
    <t>By. Biaya PEMBERIAN PINJAMAN KEPADA SATARA (PEMBUATAN REK PERUSAHAAN SATARA)</t>
  </si>
  <si>
    <t>By. Biaya PENGEMBALIAN DP PAK JHONY TAHAP 1</t>
  </si>
  <si>
    <t>By. Biaya PEMBERIAN PINJAMAN KEPADA SN2 (PEMBAYARAN BPHTB MARLON C35 SN2)</t>
  </si>
  <si>
    <t>By. Biaya GAJI TUKANG HARIAN FASUM SN3</t>
  </si>
  <si>
    <t>By. Biaya PEMBAYARAN PPH 1.730 X 2 RUMAH (D3 ALFAHREZA, E25 MUH YUSRI), PPH 6 JT X 1 UNIT RUKO R15 HJ ANI</t>
  </si>
  <si>
    <t>By. Biaya PEMBAYARAN PEMBERSIHAN LAHAN TAHAP 3</t>
  </si>
  <si>
    <t>By. Biaya PEMBAYARAN SPANDUK BALAP LARI UNTUK PROMOSI</t>
  </si>
  <si>
    <t>By. Biaya PEMBELIAN BAMBU BALAP LARI UNTUK PROMOSI</t>
  </si>
  <si>
    <t>By. Biaya PEMBELIAN PERLENGKAPAN DAN HADIAH LOMBA LARI UNTUK PROMOSI</t>
  </si>
  <si>
    <t>By. Biaya PEMBAYARAN BATU PECAH 9 MOBIL X 300K  DG ACCUNG TOTAL 10 MOBIL (300K SUDAH DIAMBIL)</t>
  </si>
  <si>
    <t>By. Biaya KEKURANGAN UANG BALAP LARI UNTUK PROMOSI</t>
  </si>
  <si>
    <t>By. Biaya PEMBELIAN BAMBU TAHAP 3</t>
  </si>
  <si>
    <t>By. Biaya PEMBAYARAN SUBKON PINTU BESI BLOK R11 (TUKANG DG RAJA)</t>
  </si>
  <si>
    <t>By. Biaya PEMBERIAN PINJAMAN KEPADA SATARA PROPERTI (PEMBUATAN NIB SATARA PROPERTI)</t>
  </si>
  <si>
    <t>Terima Uang Masuk atas PEMBAYARAN BIAYA AKAD E25 YUSRI TAHAP 3</t>
  </si>
  <si>
    <t>By. Biaya PEMBAYARAN DP AKAD E25 MUHAMMAD YUSRI TAHAP 3</t>
  </si>
  <si>
    <t>By. Biaya PEMBAYARAN ADMIN BANK E25 MUHAMMAD YUSRI TAHAP 3</t>
  </si>
  <si>
    <t>By. Biaya PEMBAYARAN BIAYA NOTARIS E25 MUHAMMAD YUSRI SN3 TAHAP 3</t>
  </si>
  <si>
    <t>Terima Uang Masuk atas REIMBERS DP AKAD E25 MUHAMMAD YUSRI TAHAP 3 TGL 11/3/2026</t>
  </si>
  <si>
    <t>By. Biaya PEMBAYARAN NIDI SLO (LISTRIK 135K X 29 UNIT)</t>
  </si>
  <si>
    <t>By. Biaya PEMBAYARAN MATERAI AKAD E25 MUHAMMAD YUSRI TAHAP 3</t>
  </si>
  <si>
    <t>By. Biaya PEMBAYARAN PDAM E25 MUHAMMAD YUSRI TAHAP 3</t>
  </si>
  <si>
    <t>Terima Uang Masuk atas REIMBERS DP PEMBELIAN TANAH 3 LOKASI MANGARABE 95 JT TGL 5/3/2026 (TOTAL 53.5JT DIGUNAKAN UNTUK PEMBAYARAN PENGEMBALIAN DP YANG BATAL 5 JT BLOK E22 RAHMI TAHAP 3 DAN PEMBAYARAN SUBKON 48,5 JT  (DG DANDI 24.650.000, DG AHMAD 9 JT, DG ZUL 14.850.000))</t>
  </si>
  <si>
    <t>By. Biaya PEMBAYARAN ONGKOS SERVICE PRINTER KANTOR SN</t>
  </si>
  <si>
    <t xml:space="preserve">By. Biaya PEMBERIAN PINJAMAN KEPADA SEKALA INSDUSTRI </t>
  </si>
  <si>
    <t>By. Biaya PEMBELIAN MATERIAL PABRIKASI ALAT PINTU BESI UNTUK RUKO</t>
  </si>
  <si>
    <t>By. Biaya PEMBELIAN BALOK 52 BTG TAHAP 3</t>
  </si>
  <si>
    <t>By. Biaya PEMBELIAN MATERAI 50 LBR D3 ALFAREZA TAHAP 3</t>
  </si>
  <si>
    <t>By. Biaya PEMBAYARAN ADMIN BANK D3 ALFAREZA TAHAP 3</t>
  </si>
  <si>
    <t>By. Biaya PEMBAYARAN DP AKAD D3 ALFAREZA TAHAP 3</t>
  </si>
  <si>
    <t>Terima Uang Masuk atas PEMBAYARAN BIAYA AKAD D3 ALFAREZA TAHAP 3</t>
  </si>
  <si>
    <t>By. Biaya REIMBURS DP E34 NURHARLINA TAHAP 3</t>
  </si>
  <si>
    <t>Terima Uang Masuk atas PEMBAYARAN DP E23 OLEH RAHMAT RIZAKTI TAHAP 3 (TOTAL 5 JT CASHBACK 1 JT TUNAI)</t>
  </si>
  <si>
    <t>Terima Uang Masuk atas PENCAIRAN TAHAP 3 (E25 YUSRI 78,5 JT DAN D3 148,5 JT)</t>
  </si>
  <si>
    <t>Terima Uang Masuk atas THR STAFF SN</t>
  </si>
  <si>
    <t>By. Biaya PEMBAYARAN BIAYA NOTARIS D3 ALFAREZA TAHAP 3</t>
  </si>
  <si>
    <t>By. Biaya GORONG-GORONG 36 BIJI TAHAP 3</t>
  </si>
  <si>
    <t>By. Biaya PEMBELIAN MATERIAL ALAM (PASIR 2 MOBIL) TAHAP 3</t>
  </si>
  <si>
    <t>By. Biaya PEMBELIAN DILUAR MATERIAL PABRIKASI TAHAP 3</t>
  </si>
  <si>
    <t>By. Biaya PEMBAYARAN KEKURANGAN PEMBELIAN MATERIAL PABRIKASI TAHAP 3 TGL 14/3/2026 (HARUSNYA 980K)</t>
  </si>
  <si>
    <t xml:space="preserve">By. Biaya PEMBERIAN PINJAMAN KEPADA HJ UNI 1 HARI </t>
  </si>
  <si>
    <t>Terima Uang Masuk atas PEMBAYARAN PINJAM OLEH HJ UNI 1 HARI TGL 14/3/2026</t>
  </si>
  <si>
    <t xml:space="preserve">By. Biaya PEMBERIAN PINJAMAN KEPADA HJ UNI </t>
  </si>
  <si>
    <t>By. Biaya PEMBAYARAN PEMASANGAN PEKERJA HARIAN PAVING SN3</t>
  </si>
  <si>
    <t>By. Biaya PEMBAYARAN BATU MERAH H ALI 6 NOTA TAHAP 3</t>
  </si>
  <si>
    <t>By. Biaya SUBKON RUMAH TAHAP 3</t>
  </si>
  <si>
    <t>Terima Uang Masuk atas REIMBURS DP AKAD D3 ALFAREZA TAHAP 3 TGL 13/3/2026</t>
  </si>
  <si>
    <t>Terima Uang Masuk atas PEMBAYARAN PINJAMAN OLEH HJ UNI TGL 16/3/2026</t>
  </si>
  <si>
    <t>Terima Uang Masuk atas PEMBAYARAN KELEBIHAN TANAH A1 OLEH NURUL YULIANTO</t>
  </si>
  <si>
    <t xml:space="preserve">By. Biaya PEMBAYARAN GAJI HARIAN TUKANG FASUM SN3 </t>
  </si>
  <si>
    <t>By. Biaya PEMBERIAN PINJAMAN KEPADA K NADIN 1 HARI</t>
  </si>
  <si>
    <t>By. Biaya PELUNASAN SUBKON RUKO DG ANCA BLOK R10</t>
  </si>
  <si>
    <t>By. Biaya PEMBELIAN BAJU BATIK SN UNTUK STAFF BARU HIKMA</t>
  </si>
  <si>
    <t>By. Biaya PEMBAYARAN FEE OM KURNI D1 INDRIYANI TAHAP 3</t>
  </si>
  <si>
    <t>By. Biaya SUBKON KE 3 RUKO DG BASO BLOK R1</t>
  </si>
  <si>
    <t>By. Biaya UPAH BATU PECAH 300K X 7 MOBIL DG ACCUNG TAHAP 3</t>
  </si>
  <si>
    <t>By. Biaya PEMBAYARAN SUBKON KE 5 KUSEN PAK SUBAIR TAHAP 3</t>
  </si>
  <si>
    <t>By. Biaya PEMBAYARAN KE 2 SUBKON DG ANSAR</t>
  </si>
  <si>
    <t xml:space="preserve">Terima Uang Masuk atas PENCAIRAN KE 2 KREDIT KPP TAHAP 3 </t>
  </si>
  <si>
    <t>By. Biaya PEMBERIAN PINJAMAN KEPADA ARYA UNTUK THR KELUARGA</t>
  </si>
  <si>
    <t>By. Biaya PEMBELIAN WIFI SN3</t>
  </si>
  <si>
    <t>By. Biaya PEMBAYARAN DP TANAH 1 MANGARABBE TF KE UPI (SALAH TF)</t>
  </si>
  <si>
    <t>Terima Uang Masuk atas REIMBURS SALAH TF DP TANAH 1 MANGARABBE TGL 23/3/2026</t>
  </si>
  <si>
    <t>By. Biaya PEMBAYARAN WIFI KANTOR SN</t>
  </si>
  <si>
    <t>By. Biaya PEMBAYARAN BUKA PUASA AKAD SN3</t>
  </si>
  <si>
    <t>By. Biaya PEMBERIAN PINJAMAN KEPADA CV AINUN</t>
  </si>
  <si>
    <t>Terima Uang Masuk atas PEMBAYARAN DP RUMAH BLOK C31 OLEH ZUL FADLI TAHAP 3</t>
  </si>
  <si>
    <t>By. Biaya PEMBAYARAN PENGADAAN KEBUTUHAN KANTOR</t>
  </si>
  <si>
    <t>By. Biaya PEMBAYARAN UPAH BURUH PENDISTRIAN PERBAIKAN COR UNTUK FASUM SN3</t>
  </si>
  <si>
    <t>By. Biaya PEMBAYARAN IURAN BPJS KETENAGAKERJAAN MARET 2026</t>
  </si>
  <si>
    <t>By. Biaya PEMBELIAN MATERIAL PABRIKASI BELI DILUAR (KAWAT LAS 1 DOS RUKO)</t>
  </si>
  <si>
    <t>Terima Uang Masuk atas PEMBAYARAN DP RUMAH BLOK C30 RIDWAN TAHAP 3</t>
  </si>
  <si>
    <t>By. Biaya PEMBAYARAN DP TANAH SINOA</t>
  </si>
  <si>
    <t>By. Biaya PENEBUSAN SERTIFIKAT E6 TAHAP 3</t>
  </si>
  <si>
    <t>By. Biaya TAMBAHAN PEMBAYARAN MATERIAL ALAM TAHAP 3</t>
  </si>
  <si>
    <t>By. Biaya PEMBERIAN PINJAM KEPADA HJ INA 1 HARI</t>
  </si>
  <si>
    <t>By. Biaya PEMBAYARAN OPERATOR PANGGILAN ALAT BERAT TAHAP 3</t>
  </si>
  <si>
    <t>Terima Uang Masuk atas PEMBAYARAN PINJAM 1 HARI OLEH HJ INA TGL 26/3/2026</t>
  </si>
  <si>
    <t>By. Biaya PEMBERIAN PINJAMAN KEPADA SATARA (PERJALANAN DINAS SATARA GROUP KE BANDUNG)</t>
  </si>
  <si>
    <t>By. Biaya PEMBAYARAN PEMBUATAN SPANDUK PROMOSI SN3</t>
  </si>
  <si>
    <t>By. Biaya PEMBAYARAN FEE PEMBELIAN TANAH</t>
  </si>
  <si>
    <t>By. Biaya PEMBELIAN BALOK 20 BTG X 20K UNTUK SPANDUK K CIO DAN PROMOSI SN3</t>
  </si>
  <si>
    <t>By. Biaya MATERAI 500K DAN BIAYA PEMBUATAN CEK 300K SN3</t>
  </si>
  <si>
    <t>By. Biaya PEMBAYARAN LISTRIK 943K X 29 UNIT TAHAP 3</t>
  </si>
  <si>
    <t>By. Biaya PEMBERIAN PINJAMAN KEPADA  HJ ANI</t>
  </si>
  <si>
    <t>Terima Uang Masuk atas PEMBAYARAN OLEH K NADIN</t>
  </si>
  <si>
    <t>By. Biaya PEMINDAHAN DANA</t>
  </si>
  <si>
    <t>By. Biaya PEMBAYARAN DP AKAD FAIDUL AHDAR D16 TAHAP 3</t>
  </si>
  <si>
    <t>By. Biaya PEMBAYARAN ADMIN BANK FAIDUL AHDAR D16 TAHAP 3</t>
  </si>
  <si>
    <t>Terima Uang Masuk atas PEMBAYARAN BIAYA AKAD D16 FAIDUL AHDAR TAHAP 3</t>
  </si>
  <si>
    <t>By. Biaya PEMBAYARAN BIAYA AKAD D16 FAIDUL AHDAR TAHAP 3 (LISTRIK 1,2 JT, PDAM 1.545, MATERAI 500K, PPH 1.730)</t>
  </si>
  <si>
    <t>By. Biaya  PEMBAYARAN BIAYA NOTARIS D16 FAIDUL AHDAR TAHAP 3</t>
  </si>
  <si>
    <t xml:space="preserve">By. Biaya PEMBAYARAN PERBAIKAN WEBSITE SIKUMBANG </t>
  </si>
  <si>
    <t xml:space="preserve">By. Biaya ROYA PENGURUSAN TANAH ABD RAHMAN </t>
  </si>
  <si>
    <t>By. Biaya PEMBAYARAN MATERIAL PABRIKASI (SK UTICON 5L 30K TAHAP 3) (ADUTOLUY 1 KG 50K RUKO)</t>
  </si>
  <si>
    <t>By. Biaya PEMBAYARAN FEE PENGERJAAN PBG TAHAP 3</t>
  </si>
  <si>
    <t>By. Biaya PEMBERIAN PINJAMAN KEPADA SATARA (PEMBUATAN STEMPEL SATARA)</t>
  </si>
  <si>
    <t>Terima Uang Masuk atas PEMBAYARAN DP RUMAH BLOK E26 OLEH AWALUDDIN TAHAP 3</t>
  </si>
  <si>
    <t>By. Biaya PEMBERIAN PINJAMAN KEPADA  SATARA PROPERTY</t>
  </si>
  <si>
    <t>By. Biaya PEMBERIAN PINJAMAN KEPADA SATARA PROPERTY</t>
  </si>
  <si>
    <t>PENGAKUAN PENDAPATAN AKAD E25 YUSRI TAHAP 3</t>
  </si>
  <si>
    <t>PENGAKUAN PENDAPATAN D3 ALFAREZA TAHAP 3</t>
  </si>
  <si>
    <t>PENGAKUAN PEMBAYARAN KPP PENCAIRAN TAHAP 3 (E25 YUSRI 78,5 JT)</t>
  </si>
  <si>
    <t>PENGAKUAN ASET TANAH SINOA</t>
  </si>
  <si>
    <t>Piutang Lain-Lain</t>
  </si>
  <si>
    <t>PENGAKUAN PENDAPATAN D16 FAIDUL AHDAR TAHAP 3</t>
  </si>
  <si>
    <t>By. Biaya PEMBAYARAN BIAYA AKAD D16 FAIDUL AHDAR TAHAP 3 ( MATERAI 500K)</t>
  </si>
  <si>
    <t>By. Biaya PEMBAYARAN BIAYA AKAD D16 FAIDUL AHDAR TAHAP 3 ( PPH 1.730)</t>
  </si>
  <si>
    <t>Adj HPP 3 unit Maret</t>
  </si>
  <si>
    <t>PEMBELIAN PAPAN 15 LBR X 30K TAHAP 3</t>
  </si>
  <si>
    <t>(AIR 1.545 X 3) (MATERAI 500K X 3) (PPH 1.730 X 3) RINA D20, LIA E30, DAN RAHMAT D19 TAHAP 3</t>
  </si>
  <si>
    <t>PEMBELIAN ROKOK YANG BANTU TURUNKAN BALIHO SN3</t>
  </si>
  <si>
    <t>PEMBERIAN PINJAMAN KEPADA (GAJIAN KEAMANAN DAN KEBERSIHAN SN3)</t>
  </si>
  <si>
    <t xml:space="preserve">MAKAN SIANG DINAS PERUMAHAN </t>
  </si>
  <si>
    <t>BUDGET MARKETING ADS APRIL SN3</t>
  </si>
  <si>
    <t>PEMBAYARAN DP RUMAH BLOK C20 OLEH RISMAWATI/ SATRIAWAN</t>
  </si>
  <si>
    <t>PEMBELIAN BAMBU 51 BTG X 25K TAHAP 3</t>
  </si>
  <si>
    <t>REIMBERS 10 JT DARI 150 JT DARI BANK BTN TGL 31/3/2026</t>
  </si>
  <si>
    <t>REIMBERS 30 JT DARI SIMPAN 1 M 50 JT SISA 1M 20 JT DI MANDIRI</t>
  </si>
  <si>
    <t>GAJI DIREKTUR SN MARET</t>
  </si>
  <si>
    <t>GAJI MARET SECURITY SN1</t>
  </si>
  <si>
    <t>GAJI CONTENT CREATOR MARET</t>
  </si>
  <si>
    <t>BONUS CONTENT CREATOR FEBRUARI</t>
  </si>
  <si>
    <t>KONTRIBUSI JAWAB SATARA</t>
  </si>
  <si>
    <t>REIMBERS DP AKAD FAIDUL AHDAR D16 TAHAP 3 TGL 31/3/2026</t>
  </si>
  <si>
    <t>REIMBERS 40 JT DARI 150 JT DARI BANK BTN SISA 100 JT TGL 31/3/2026</t>
  </si>
  <si>
    <t>PEMBERIAN PINJAMAN KEPADA ARYA</t>
  </si>
  <si>
    <t>PEMBAYARAN ONGKOS KERJA PINTU RUKO R5 DG BASO</t>
  </si>
  <si>
    <t xml:space="preserve">PEMBAYARAN DP RUMAH BLOK F6 OLEH TAUFAN HIDAYAH </t>
  </si>
  <si>
    <t>PEMBAYARAN TUKANG PECAH BATU 2 MOBIL X 300K TAHAP 3</t>
  </si>
  <si>
    <t>PENGEMBALIAN KE SN3 30+15 DARI 1.050 SISA 1M 5 JT DI MANDIRI</t>
  </si>
  <si>
    <t>PEMBAYARAN BIAYA AKAD E30 NURLIA TAHAP 3</t>
  </si>
  <si>
    <t>PEMBAYARAN DP AKAD E30 NURLIA TAHAP 3</t>
  </si>
  <si>
    <t>PEMBAYARANADMIN BANK E30 NURLIA TAHAP 3</t>
  </si>
  <si>
    <t>PEMBAYARAN KELEBIHAN TANAH OLEH KAK TESHA B36 TAHAP 1</t>
  </si>
  <si>
    <t>GAJI BORONGAN TUKANG DG NASO TAHAP 3</t>
  </si>
  <si>
    <t>PENCAIRAN E30 NURLIA TAHAP 3</t>
  </si>
  <si>
    <t>PEMBAYARAN DP AKAD D19 RAHMAT PRAYUDI TAHAP 3</t>
  </si>
  <si>
    <t>PEMBAYARAN BIAYA NOTARIS E30 NURLIA TAHAP 3</t>
  </si>
  <si>
    <t>REIMBERS PINJAM CV AINUN TGL 24/3/2026</t>
  </si>
  <si>
    <t>PEMBAYARAN BIAYA AKAD D19 OLEH RAHMAT PRAYUDI TAHAP 3</t>
  </si>
  <si>
    <t>PEMBAYARAN ADMIN BANK D19 RAHMAT PRAYUDI TAHAP 3</t>
  </si>
  <si>
    <t>PEMBAYARAN BIAYA NOTARIS D19 RAHMAT PRAYUDI TAHAP 3</t>
  </si>
  <si>
    <t>PEMBAYARAN (GAJI HARIAN TUKANG FASUM 5.830) (BATU PECAH 600K TAHAP 3)</t>
  </si>
  <si>
    <t>PEMBELIAN PAPAN 31 LBR TAHAP 3</t>
  </si>
  <si>
    <t>PEMBELIAN BAMBU 5 BTG UNTUK BALIHO SN3</t>
  </si>
  <si>
    <t>PEMBAYARAN BATU PECAH 300K X 27 MBL TAHAP 3</t>
  </si>
  <si>
    <t>PENGEMBALIAN DP AKAD E30 NURLIA TAHAP 3 TGL 6/4/2026</t>
  </si>
  <si>
    <t>PEMBAYARAN UTANG OLEH ARYA TGL 4/4/2026</t>
  </si>
  <si>
    <t>REIMBERS SALAH TF ARYA 5 JT TGL 10/4/2026</t>
  </si>
  <si>
    <t>BUDGET MARKETING ADS SN3</t>
  </si>
  <si>
    <t>PEMBAYARAN DP RUMAH (BLOK F2 ERNAWATI GANI DAN F3 IPAR ERNAWATI TAHAP 4)</t>
  </si>
  <si>
    <t>PEMBAYARAN PEMBELIAN MATERIAL PABRIKASI TAHAP 3</t>
  </si>
  <si>
    <t>PENGEMBALIAN UANG SN 30 + 15 + 100 DARI 1.050 SISA 905 JT</t>
  </si>
  <si>
    <t>PEMBAYARAN KE 5 SUBKON KUSEN PAK SUBAIR</t>
  </si>
  <si>
    <t>SPANDUK PROMOSI SN</t>
  </si>
  <si>
    <t xml:space="preserve">PEMBELIAN MATERIAL PABRIKASI (RUKO APLUS 82.500 X 50 ZAK 4.125)( TAHAP 3 7.072) </t>
  </si>
  <si>
    <t>PEMBAYARAN KE 3 SUBKON PAK AKBAR TAHAP 3</t>
  </si>
  <si>
    <t>PEMBELIAN MATERIAL PABRIKASI (SAKLAR LAMPU GERBANG SN3)</t>
  </si>
  <si>
    <t>PLAT KPR E6 KASMIATI TAHAP 3</t>
  </si>
  <si>
    <t>PEMBELIAN MATERIAL PABRIKASI UNTUK RUKO</t>
  </si>
  <si>
    <t>PELUNASAN SISA PBG TAHAP 3</t>
  </si>
  <si>
    <t>PEMBELIAN MAKAN BERSAMA PIHAK BRI</t>
  </si>
  <si>
    <t xml:space="preserve">PEMBELIAN MATERIAL PABRIKASI UNTUK RUKO </t>
  </si>
  <si>
    <t>BUDGET MARKETING ADS 15 APRIL 2026</t>
  </si>
  <si>
    <t>PEMBELIAN AIR DOS DAN TEH KOTAK KANTOR</t>
  </si>
  <si>
    <t>PEMBELIAN MATERAI 500K DAN PEMBAYARAN AIR 1.545 RAHMAT RIZAKTI E23 TAHAP 3</t>
  </si>
  <si>
    <t xml:space="preserve">PEMBAYARAN PPH RAHMAT RIZAKTI E23 TAHAP 3 </t>
  </si>
  <si>
    <t>PENCAIRAN AKAD 2 UNIT BRI 78,5 JT X 2 UNIT (</t>
  </si>
  <si>
    <t xml:space="preserve">PEMBAYARAN DP AKAD E23 RAHMAT RIZAKTI TAHAP 3 </t>
  </si>
  <si>
    <t>PEMBAYARAN ADMIN BANK E23 RAHMAT RIZAKTI TAHAP 3</t>
  </si>
  <si>
    <t>REIMBERS DP AKAD RAHMAT RIZAKTI E23 TAHAP 3 TGL 16/4/2026</t>
  </si>
  <si>
    <t>PEMBAYARAN BIAYA AKAD E23 OLEH RAHMAT RIZAKTI TAHAP 3</t>
  </si>
  <si>
    <t>PEMBAYARAN BIAYA NOTARIS RAHMAT RIZAKTI E23 TAHAP 3</t>
  </si>
  <si>
    <t>PEMBELIAN OPERASIONAL (TIM PENGADAAN UPI)</t>
  </si>
  <si>
    <t>PEMBAYARAN DP F5 OLEH JUSMA TAHAP 4</t>
  </si>
  <si>
    <t>PEMBAYARAN DP AKAD D20 OLEH RINA TAHAP 3</t>
  </si>
  <si>
    <t>PEMBAYARAN ADMIN BANK D20 RINA TAHAP 3</t>
  </si>
  <si>
    <t>PEMBAYARAN BIAYA NOTARIS D20 RINA TAHAP 3</t>
  </si>
  <si>
    <t>PEMBAYARAN KELEBIHAN TANAH OLEH SULATSRI AYU B19 TAHAP 1</t>
  </si>
  <si>
    <t>PEMBAYARAN PENGECEKAN KEDUA D20 RINA TAHAP 3</t>
  </si>
  <si>
    <t xml:space="preserve">PEMBERIAN PINJAMAN KEPADA SATARA </t>
  </si>
  <si>
    <t>PEMBAYARAN PEMBUATAN MAP KANTOR</t>
  </si>
  <si>
    <t>REIMBERS KELEBIHAN BAYAR MAP KANTOR TGL 17/4/2026</t>
  </si>
  <si>
    <t>PEMBAYARAN SUBKON GORONG-GORONG TAHAP 3</t>
  </si>
  <si>
    <t xml:space="preserve">PEMBAYARAN TANAH PAK KEPALA BARRU </t>
  </si>
  <si>
    <t>PEMBAYARAN PINJAMAN OLEH H AMRAN</t>
  </si>
  <si>
    <t>REIMBERS DP AKAD D20 RINA TAHAP 3 TGL 17/4/2026</t>
  </si>
  <si>
    <t>PEMBAYARAN UPAH BATU PECAH 46 MOBIL X 300K SN3</t>
  </si>
  <si>
    <t>PEMBELIAN MATERIAL PABRIKASI (KAPEK)</t>
  </si>
  <si>
    <t>PEMBAYARAN PDAM E26 E28 1.545 X 2, MATERAI 500K X 2 TAHAP 3</t>
  </si>
  <si>
    <t>PEMBAYARAN BIAYA AKAD OLEH AWALUDDIN E26 TAHAP 3</t>
  </si>
  <si>
    <t>SUBKON TAHAP 4 19,8 JT DAN TAHAP 3 35 JT SN3</t>
  </si>
  <si>
    <t>PEMBAYARAN PPH AWALUDDIN E26 TAHAP 3</t>
  </si>
  <si>
    <t>PEMBAYARAN BIAYA AKAD OLEH ALDILA E28 TAHAP 3</t>
  </si>
  <si>
    <t>PEMBAYARAN BIAYA AKAD OLEH RINA D20 TAHAP 3</t>
  </si>
  <si>
    <t>PEMBAYARAN BIAYA DP OLEH E34 NANDI TAHAP 3</t>
  </si>
  <si>
    <t>PEMBERIAN PINJAMAN KEPADA SATARA PROPERTY (OPERASIONAL INC CHARGING DAN TOL SATARA PROPERTI)</t>
  </si>
  <si>
    <t>PEMBAYARAN DP AKAD E26 AWALUDDIN TAHAP 3</t>
  </si>
  <si>
    <t>PEMBAYARAN ADMIN BANK E26 AWALUDDIN TAHAP 3</t>
  </si>
  <si>
    <t>PEMBELIAN MATERIAL PABRIKASI (CAT TAHAP 3)</t>
  </si>
  <si>
    <t>REIMBERS DP AKAD E26 AWALUDDIN TAHAP 3 TGL 20/4/2026)</t>
  </si>
  <si>
    <t>PEMBELIAN BAMBU 21 BTG X 25K TAHAP 3</t>
  </si>
  <si>
    <t>PEMBAYARAN PPH E28 ALDILA TAHAP 3</t>
  </si>
  <si>
    <t>PEMBERIAN PINJAMAN KEPADA SATARA PROPETY (PEMBAYARAN TANAH LINDA NO 2 BARRU)</t>
  </si>
  <si>
    <t>PENCAIRAN RAHMAT RIZAKTI E23 TAHAP 3</t>
  </si>
  <si>
    <t>PEMBAYARAN PINJAMAN OLEH HJ UNI</t>
  </si>
  <si>
    <t>PEMBERIAN PINJAMAN KEPADA SATARA PROPERTY (PELUNASAN TANAH BARRU LINDA)</t>
  </si>
  <si>
    <t>PEMBAYARAN GAJI HARIAN TUKANG FASUM SN3</t>
  </si>
  <si>
    <t>PEMBAYARAN PDAM D17 FAJAR HIDAYAT TAHAP 3</t>
  </si>
  <si>
    <t>PEMBELIAN KOMSUMSI BRI</t>
  </si>
  <si>
    <t>PEMBELIAN BAMBU 5 BTG X 25K TAHAP 3</t>
  </si>
  <si>
    <t>PEMBELIAN MATERIAL PABRIKASI (SAMBUNGAN PIPA TAHAP 3)</t>
  </si>
  <si>
    <t>PEMBELIAN MATERIAL PABRIKASI (PLAT HITAM BESI RUKO SN3)</t>
  </si>
  <si>
    <t>PEMBAYARAN DP AKAD E28 MUHAMMAD ALDILA TAHAP 3</t>
  </si>
  <si>
    <t>PEMBAYARAN ADMIN BANK E28 MUHAMMAD ALDILA TAHAP 3</t>
  </si>
  <si>
    <t>PEMBAYARAN PPH D17 FAJAR 1.730 MATERAI 500K TAHAP 3</t>
  </si>
  <si>
    <t>REIMBERS DP AKAD E28 MUHAMMAD ALDILA TAHAP 3 TGL 22/4/2026</t>
  </si>
  <si>
    <t>PEMBAYARAN DP AKAD 8 JT DAN ADMIN BANK 3.740 D17 FAJAR TAHAP 3</t>
  </si>
  <si>
    <t>REIMBERS DP AKAD D17 FAJAR TAHAP 3 TGL 22/4/2026</t>
  </si>
  <si>
    <t>PEMBAYARAN BATU MERAH 4 NOTA TAHAP 3</t>
  </si>
  <si>
    <t>PEMBELIAN BUNGA UNTUK PERUMAHAN SN3</t>
  </si>
  <si>
    <t>PEMBAYARAN SUBKON DG BASO RUKO BLOK R1 SN3</t>
  </si>
  <si>
    <t>PEMBELIAN MATERAI 1 LBR OPERASIONAL KANTOR</t>
  </si>
  <si>
    <t>PEMBAYARAN BIAYA AKAD D17 FAJAR HIDAYAT TAHAP 3</t>
  </si>
  <si>
    <t>PENCAIRAN PINJAM SKUR 500 JT(TIDAK CUKUP 500 JT KARENA SALDO TERBLOKIR 62,5 JT, ASURANSI 3,5 JT, ADMIN 7,5 JT, NOTARIS 5,9 JT TOTAL 79,4 JT) TOTAL DANA MASUK HARUSNYA 420 JT TAPI REALISASI 435 JT KARENA 15 JT UANG TALANGAN DARI SN</t>
  </si>
  <si>
    <t>PEMBAYARAN SUBKON KUSEN PAK SUBAIR TAHAP 3</t>
  </si>
  <si>
    <t>FEE TTD KREDIT K NADIN</t>
  </si>
  <si>
    <t>PEMBAYARAN PEMAKAIAN AIR TUKANG PENGERJAAN RUMAH</t>
  </si>
  <si>
    <t>BUDGET MARKETING SN3</t>
  </si>
  <si>
    <t>PEMBAYARAN SUBKON KE 5 DG RAJA TAHAP 3</t>
  </si>
  <si>
    <t>PEMBERIAN PINJAMAN SATARA PROPERTY (OPERASIONAL CHARGING TOLL, CARWASH)</t>
  </si>
  <si>
    <t>PEMBERIAN PINJAMAN KEPADA SN2 (UPAH KERJA PEMASANGAN PIPA PDAM)</t>
  </si>
  <si>
    <t>PEMBAYARAN DP GAMBAR SN HILS MANGARABE</t>
  </si>
  <si>
    <t>DP LUKISAN 9MURAL TEMBOK SN3)</t>
  </si>
  <si>
    <t>PEMBELIAN MATAERIAL PABRIKASI (CAT TAHAP 3)</t>
  </si>
  <si>
    <t>PEMBELIAN MATERIAL PABRIKASI (RUKO 130K DAN TAHAP 3 80K)</t>
  </si>
  <si>
    <t>PEMBERIAN PINJAMAN KEPADA SATARA PROPERTY (OPERASIONAL)</t>
  </si>
  <si>
    <t>PEMBAYARAN BIAYA AKAD C20 RISMAWATI/SATRIAWAN TAHAP 1</t>
  </si>
  <si>
    <t>PEMBAYARAN PDAM 1.545 X 3 (TAHAP 3 : E2, D21) (TAHAP 4: F28) MATERAI 500K X 3 SN3 (TAHAP 3 : E2, D21) (TAHAP 4 : F28)</t>
  </si>
  <si>
    <t>PPH D21 NIASA TAHAP 3 (2 KALI BAYAR FAKTOR JARINGAN JADI NDA TERBACA SEMENTARA PROSES PENGURUSAN PENGEMBALIAN DANA)</t>
  </si>
  <si>
    <t>PEMBAYARAN PPH D21 NIASA TAHAP 3</t>
  </si>
  <si>
    <t>PEMBAYARAN PPH E2 RAHMATIA TAHAP 3</t>
  </si>
  <si>
    <t>PEMBERIAN PINJAMAN KEPADA SATARA PROPERTY (PEMBAYARAN TANAH PAK KEPALA)</t>
  </si>
  <si>
    <t>PEMBAYARAN UTANG KEPADA HJ UNI</t>
  </si>
  <si>
    <t>REIMBERS DP AKAD WULANDA IRWAN F28 TAHAP 4 TGL</t>
  </si>
  <si>
    <t>REIMBERS DP AKAD NIASA D21 TAHAP 3 TGL</t>
  </si>
  <si>
    <t>PEMBAYARAN RUKO R12 OLEH ANDI SYAHRIR SN3</t>
  </si>
  <si>
    <t>PEMBAYARAN SUBKON DG BASO RUKO SN3</t>
  </si>
  <si>
    <t>PEMBAYARAN KOMSUMSI MAKAN PIHAK BRI</t>
  </si>
  <si>
    <t>PEMBELIAN BELI TEH 2 DOS DAN GULA-GULA KANTOR SN</t>
  </si>
  <si>
    <t>PEMBERIAN PINJAMAN KEPADA SATARA PROPERTY (UNTUK PENGECEKAN TANAH 350K X 2)</t>
  </si>
  <si>
    <t>BIAYA NOTARIS 4 JT X 3 (TAHAP 3: E2 TAHMATIA D21 NIASA) (TAHAP 4: F28 WULANDA IRWAN)4</t>
  </si>
  <si>
    <t>PEMBAYARAN BATU PECAH 4 MBL X 300K TAHAP 4</t>
  </si>
  <si>
    <t>PEMBELIAN MAKAN SIANG LEMBUR HARI SABTU SN3</t>
  </si>
  <si>
    <t>PENEBUSAN SERTIFIKAT NO SERTIF 20.22000006356</t>
  </si>
  <si>
    <t>PENEBUSAN SERTIFIKAT  NO SERTIF 20.22000006363.0</t>
  </si>
  <si>
    <t>PENEBUSAN SERTIFIKAT NO SERTIF 20.22000006374.0</t>
  </si>
  <si>
    <t>FEE PENJUALAN 1 UNIT AN WULANDA F28 TAHAP 4</t>
  </si>
  <si>
    <t>PEMBAYARAN DP AKAD E2 RAHMATIA TAHAP 3</t>
  </si>
  <si>
    <t>PEMBAYARAN ADMIN BANK E2 RAHMATIA TAHAP 3</t>
  </si>
  <si>
    <t>PEMBELIAN MAKAN BERSAMA PIHAK MANDIRI</t>
  </si>
  <si>
    <t>REIMBERS DP AKAD E2 RAHMATIA TAHAP 3 TGL 28/4/2026</t>
  </si>
  <si>
    <t>PEMBAYARAN BIAYA AKAD OLEH WULANDA IRWAN F28 TAHAP 4</t>
  </si>
  <si>
    <t>PEMBAYARAN BIAYA AKAD E2 OLEH RAHMATIA TAHAP 3</t>
  </si>
  <si>
    <t>PEMBAYARAN BIAYA AKAD D21 OLEH NIASA TAHAP 3 (TOTAL 15 JT SISA 100K)</t>
  </si>
  <si>
    <t>PEMBAYARAN PPH D18 NURASIA TAHAP 3</t>
  </si>
  <si>
    <t>PEMBAYARAN PPH E6 KASMI TAHAP 3</t>
  </si>
  <si>
    <t>PEMBAYARAN PDAM E6 D18 1.545 X 2 MATERAI 500K X 2 SN3 TAHAP 3</t>
  </si>
  <si>
    <t>PEMBAYARAN BIAYA AKAD RIDWAN/NURASIA D18 TAHAP 3</t>
  </si>
  <si>
    <t>DP AKAD 8 JT ADMIN BANK 3.740 (PINJAM ANGSURAN BLOKIR 1.305 D18 NURASIA TAHAP 3)</t>
  </si>
  <si>
    <t>PEMBERIAN PINJAMAN  KEPADA D18 NURASIA TAHAP 3 (TAMBAHAN PINJAM ANGSURAN BLOKIR)</t>
  </si>
  <si>
    <t>REIMBERS DP AKAD D18 NURASIA TAHAP 3 TGL 29/4/2026</t>
  </si>
  <si>
    <t>PEMBERIAN PINJAMAN KE SATARA PROPERTY (UNTUK ASURANSI KREDIT BANK MANDIRI 500 JT)</t>
  </si>
  <si>
    <t>PEMBAYARAN BPJS KETENAGAKERJAAN STAF SN</t>
  </si>
  <si>
    <t>PEMBELIAN GORENGAN AKAD BRI</t>
  </si>
  <si>
    <t>PEMBAYARAN SPT TAHUNAN DARI AJI</t>
  </si>
  <si>
    <t>PEMBAYARAN DP E32 RINA RESKI SN3 TAHAP 3</t>
  </si>
  <si>
    <t>PEMBERIAN PINJAMAN KEPADA MASDAR (PEMBAYARAN ANGSURAN BLN APRIL)</t>
  </si>
  <si>
    <t>ADMIN BANK AKAD E6 KASMIATI TAHAP 3</t>
  </si>
  <si>
    <t>PEMBERIAN PINJAMAN KEPADA SALMANA/MBANG (PEMBAYARAN ANGSURAN BLN APRIL)</t>
  </si>
  <si>
    <t>By. Biaya PEMBELIAN PAPAN 15 LBR X 30K TAHAP 3</t>
  </si>
  <si>
    <t>By. Biaya PEMBELIAN ROKOK YANG BANTU TURUNKAN BALIHO SN3</t>
  </si>
  <si>
    <t>Terima Uang Masuk atas REIMBERS 100 JT DARI SIMPAN 150 JT DI BANK BTN SN3</t>
  </si>
  <si>
    <t>By. Biaya PEMBERIAN PINJAMAN KEPADA (GAJIAN KEAMANAN DAN KEBERSIHAN SN3)</t>
  </si>
  <si>
    <t xml:space="preserve">By. Biaya MAKAN SIANG DINAS PERUMAHAN </t>
  </si>
  <si>
    <t>By. Biaya KEPERLUAN SECURITY</t>
  </si>
  <si>
    <t>By. Biaya BUDGET MARKETING ADS APRIL SN3</t>
  </si>
  <si>
    <t>By. Biaya FASUM SN3</t>
  </si>
  <si>
    <t>Terima Uang Masuk atas PEMBAYARAN DP RUMAH BLOK C20 OLEH RISMAWATI/ SATRIAWAN</t>
  </si>
  <si>
    <t>By. Biaya KOMSUMSI BPN 200K KIPAS 135K MEJA 110K POS SN3</t>
  </si>
  <si>
    <t>By. Biaya PEMBELIAN BAMBU 51 BTG X 25K TAHAP 3</t>
  </si>
  <si>
    <t>Terima Uang Masuk atas REIMBERS 10 JT DARI 150 JT DARI BANK BTN TGL 31/3/2026</t>
  </si>
  <si>
    <t>Terima Uang Masuk atas REIMBERS 30 JT DARI SIMPAN 1 M 50 JT SISA 1M 20 JT DI MANDIRI</t>
  </si>
  <si>
    <t>By. Biaya GAJI BULAN MARET</t>
  </si>
  <si>
    <t>By. Biaya GAJI DIREKTUR SN MARET</t>
  </si>
  <si>
    <t>By. Biaya GAJI MARET SECURITY SN1</t>
  </si>
  <si>
    <t>By. Biaya GAJI CONTENT CREATOR MARET</t>
  </si>
  <si>
    <t>By. Biaya BONUS CONTENT CREATOR FEBRUARI</t>
  </si>
  <si>
    <t>By. Biaya GAJI SECURITY SN1,SN2 DAN BONUS KAK KAHFI 250</t>
  </si>
  <si>
    <t>By. Biaya KONTRIBUSI JAWAB SATARA</t>
  </si>
  <si>
    <t>Terima Uang Masuk atas REIMBERS DP AKAD FAIDUL AHDAR D16 TAHAP 3 TGL 31/3/2026</t>
  </si>
  <si>
    <t>Terima Uang Masuk atas REIMBERS 40 JT DARI 150 JT DARI BANK BTN SISA 100 JT TGL 31/3/2026</t>
  </si>
  <si>
    <t>Terima Uang Masuk atas PEMBAYARAN RUKO ANDI SYAHRIR (R12)</t>
  </si>
  <si>
    <t>By. Biaya PEMBERIAN PINJAMAN KEPADA ARYA</t>
  </si>
  <si>
    <t>By. Biaya PEMBAYARAN ONGKOS KERJA PINTU RUKO R5 DG BASO</t>
  </si>
  <si>
    <t xml:space="preserve">Terima Uang Masuk atas PEMBAYARAN DP RUMAH BLOK F6 OLEH TAUFAN HIDAYAH </t>
  </si>
  <si>
    <t>By. Biaya PEMBAYARAN TUKANG PECAH BATU 2 MOBIL X 300K TAHAP 3</t>
  </si>
  <si>
    <t>Terima Uang Masuk atas PENGEMBALIAN KE SN3 30+15 DARI 1.050 SISA 1M 5 JT DI MANDIRI</t>
  </si>
  <si>
    <t>By. Biaya PEMBAYARAN BPHTB RUMAH BERNYANYI</t>
  </si>
  <si>
    <t>Terima Uang Masuk atas PEMBAYARAN BIAYA AKAD E30 NURLIA TAHAP 3</t>
  </si>
  <si>
    <t>By. Biaya PEMBAYARAN DP AKAD E30 NURLIA TAHAP 3</t>
  </si>
  <si>
    <t>By. Biaya PEMBAYARANADMIN BANK E30 NURLIA TAHAP 3</t>
  </si>
  <si>
    <t>By. Biaya PENDAFTARAN PENGURUSAN TANAH CAMBA LOJONG</t>
  </si>
  <si>
    <t>Terima Uang Masuk atas PEMBAYARAN KELEBIHAN TANAH OLEH KAK TESHA B36 TAHAP 1</t>
  </si>
  <si>
    <t>By. Biaya GAJI BORONGAN TUKANG DG NASO TAHAP 3</t>
  </si>
  <si>
    <t>Terima Uang Masuk atas PENCAIRAN E30 NURLIA TAHAP 3</t>
  </si>
  <si>
    <t>By. Biaya PEMBAYARAN DP AKAD D19 RAHMAT PRAYUDI TAHAP 3</t>
  </si>
  <si>
    <t>By. Biaya PEMBAYARAN BIAYA NOTARIS E30 NURLIA TAHAP 3</t>
  </si>
  <si>
    <t>Terima Uang Masuk atas REIMBERS PINJAM CV AINUN TGL 24/3/2026</t>
  </si>
  <si>
    <t>Terima Uang Masuk atas PEMBAYARAN BIAYA AKAD D19 OLEH RAHMAT PRAYUDI TAHAP 3</t>
  </si>
  <si>
    <t>By. Biaya PEMBAYARAN ADMIN BANK D19 RAHMAT PRAYUDI TAHAP 3</t>
  </si>
  <si>
    <t>By. Biaya PEMBAYARAN BIAYA NOTARIS D19 RAHMAT PRAYUDI TAHAP 3</t>
  </si>
  <si>
    <t>By. Biaya PEMBAYARAN (GAJI HARIAN TUKANG FASUM 5.830) (BATU PECAH 600K TAHAP 3)</t>
  </si>
  <si>
    <t>By. Biaya KOMSUMSI AKAD SN3</t>
  </si>
  <si>
    <t>By. Biaya PEMBELIAN PAPAN 31 LBR TAHAP 3</t>
  </si>
  <si>
    <t>By. Biaya PEMBELIAN BAMBU 5 BTG UNTUK BALIHO SN3</t>
  </si>
  <si>
    <t>By. Biaya PEMBAYARAN BATU PECAH 300K X 27 MBL TAHAP 3</t>
  </si>
  <si>
    <t>Terima Uang Masuk atas PENGEMBALIAN DP AKAD E30 NURLIA TAHAP 3 TGL 6/4/2026</t>
  </si>
  <si>
    <t>By. Biaya PERJALANAN DINAS TOTAL 33 JT 686 RB</t>
  </si>
  <si>
    <t>Terima Uang Masuk atas PEMBAYARAN UTANG OLEH ARYA TGL 4/4/2026</t>
  </si>
  <si>
    <t xml:space="preserve">By. Biaya KEKURANGAN TF PERJALANAN DINAS </t>
  </si>
  <si>
    <t>Terima Uang Masuk atas SALAH TF ARYA KE SN3 5 JT</t>
  </si>
  <si>
    <t>By. Biaya REIMBERS SALAH TF ARYA 5 JT TGL 10/4/2026</t>
  </si>
  <si>
    <t>By. Biaya BUDGET MARKETING ADS SN3</t>
  </si>
  <si>
    <t>Terima Uang Masuk atas PEMBAYARAN DP RUMAH (BLOK F2 ERNAWATI GANI DAN F3 IPAR ERNAWATI TAHAP 4)</t>
  </si>
  <si>
    <t>By. Biaya PEMBAYARAN PEMBELIAN MATERIAL PABRIKASI TAHAP 3</t>
  </si>
  <si>
    <t>Terima Uang Masuk atas PENGEMBALIAN UANG SN 30 + 15 + 100 DARI 1.050 SISA 905 JT</t>
  </si>
  <si>
    <t>By. Biaya PEMBAYARAN KE 5 SUBKON KUSEN PAK SUBAIR</t>
  </si>
  <si>
    <t>By. Biaya SPANDUK PROMOSI SN</t>
  </si>
  <si>
    <t xml:space="preserve">By. Biaya PEMBELIAN MATERIAL PABRIKASI (RUKO APLUS 82.500 X 50 ZAK 4.125)( TAHAP 3 7.072) </t>
  </si>
  <si>
    <t>By. Biaya BUDGET MARKETING GIVEAWAY SN3</t>
  </si>
  <si>
    <t>By. Biaya BUDGET MICRO INFLUENSER SN3</t>
  </si>
  <si>
    <t>By. Biaya PEMBAYARAN KE 3 SUBKON PAK AKBAR TAHAP 3</t>
  </si>
  <si>
    <t>By. Biaya PEMBELIAN MATERIAL PABRIKASI (SAKLAR LAMPU GERBANG SN3)</t>
  </si>
  <si>
    <t>By. Biaya PLAT KPR E6 KASMIATI TAHAP 3</t>
  </si>
  <si>
    <t>By. Biaya PEMBELIAN MATERIAL PABRIKASI UNTUK RUKO</t>
  </si>
  <si>
    <t>By. Biaya PEMBELI ROKOK</t>
  </si>
  <si>
    <t>By. Biaya PELUNASAN SISA PBG TAHAP 3</t>
  </si>
  <si>
    <t>By. Biaya PEMBELIAN MAKAN BERSAMA PIHAK BRI</t>
  </si>
  <si>
    <t>Terima Uang Masuk atas PENGEMBALIAN 30 15 100 BTN 300 MANDIRI 589 TOTAL 1.034 KURANG 16 JT</t>
  </si>
  <si>
    <t>By. Biaya BONUS BULAN MARET KAK NAIMA</t>
  </si>
  <si>
    <t xml:space="preserve">By. Biaya PEMBELIAN MATERIAL PABRIKASI UNTUK RUKO </t>
  </si>
  <si>
    <t>By. Biaya BAYAR PEKERJA PINTU BESI RUKO SN3</t>
  </si>
  <si>
    <t>By. Biaya PEDISTRIAN SN3</t>
  </si>
  <si>
    <t>By. Biaya BUDGET MARKETING ADS 15 APRIL 2026</t>
  </si>
  <si>
    <t>By. Biaya PEMBELIAN AIR DOS DAN TEH KOTAK KANTOR</t>
  </si>
  <si>
    <t xml:space="preserve">By. Biaya PEMBAYARAN PPH RAHMAT RIZAKTI E23 TAHAP 3 </t>
  </si>
  <si>
    <t>By. Biaya PEMBAYARAN BUNGA KREDIT (ANGSURAN BRI KPP YG 4,5 M SN3</t>
  </si>
  <si>
    <t>Terima Uang Masuk atas PENCAIRAN AKAD 2 UNIT BRI 78,5 JT X 2 UNIT (</t>
  </si>
  <si>
    <t>By. Biaya SUBKON RUKO OM NASIR SN3</t>
  </si>
  <si>
    <t>By. Biaya KOMSUMSI PEKERJA MANGARABE</t>
  </si>
  <si>
    <t xml:space="preserve">By. Biaya PEMBAYARAN DP AKAD E23 RAHMAT RIZAKTI TAHAP 3 </t>
  </si>
  <si>
    <t>By. Biaya PEMBAYARAN ADMIN BANK E23 RAHMAT RIZAKTI TAHAP 3</t>
  </si>
  <si>
    <t>Terima Uang Masuk atas REIMBERS DP AKAD RAHMAT RIZAKTI E23 TAHAP 3 TGL 16/4/2026</t>
  </si>
  <si>
    <t>By. Biaya SEWA KAMAR UNTUK TAMU SN3</t>
  </si>
  <si>
    <t>Terima Uang Masuk atas PEMBAYARAN BIAYA AKAD E23 OLEH RAHMAT RIZAKTI TAHAP 3</t>
  </si>
  <si>
    <t>By. Biaya PEMBAYARAN BIAYA NOTARIS RAHMAT RIZAKTI E23 TAHAP 3</t>
  </si>
  <si>
    <t>By. Biaya CICILAN EMAS PEGADAIAN 2 BULAN</t>
  </si>
  <si>
    <t>By. Biaya FEE PENEBANGAN POHON MANGARABE</t>
  </si>
  <si>
    <t>By. Biaya PEMBAYARAN BUNGA ANGSURAN KE 2 KPP DARI 4,5 M</t>
  </si>
  <si>
    <t>By. Biaya PEMBELIAN OPERASIONAL (TIM PENGADAAN UPI)</t>
  </si>
  <si>
    <t>By. Biaya PANJAR UPAH SENSONG MANGARABE</t>
  </si>
  <si>
    <t>Terima Uang Masuk atas PEMBAYARAN DP F5 OLEH JUSMA TAHAP 4</t>
  </si>
  <si>
    <t>By. Biaya PEMBAYARAN DP AKAD D20 OLEH RINA TAHAP 3</t>
  </si>
  <si>
    <t>By. Biaya PEMBAYARAN ADMIN BANK D20 RINA TAHAP 3</t>
  </si>
  <si>
    <t>By. Biaya PEMBAYARAN BIAYA NOTARIS D20 RINA TAHAP 3</t>
  </si>
  <si>
    <t>Terima Uang Masuk atas PEMBAYARAN KELEBIHAN TANAH OLEH SULATSRI AYU B19 TAHAP 1</t>
  </si>
  <si>
    <t>By. Biaya PEMBAYARAN PENGECEKAN KEDUA D20 RINA TAHAP 3</t>
  </si>
  <si>
    <t xml:space="preserve">By. Biaya PEMBERIAN PINJAMAN KEPADA SATARA </t>
  </si>
  <si>
    <t>By. Biaya PEMBAYARAN PEMBUATAN MAP KANTOR</t>
  </si>
  <si>
    <t>Terima Uang Masuk atas REIMBERS KELEBIHAN BAYAR MAP KANTOR TGL 17/4/2026</t>
  </si>
  <si>
    <t>By. Biaya PEMBAYARAN SUBKON GORONG-GORONG TAHAP 3</t>
  </si>
  <si>
    <t>Terima Uang Masuk atas PEMBAYARAN PINJAMAN OLEH H AMRAN</t>
  </si>
  <si>
    <t>Terima Uang Masuk atas REIMBERS DP AKAD D20 RINA TAHAP 3 TGL 17/4/2026</t>
  </si>
  <si>
    <t>By. Biaya PENGURUSAN AHLI WARIS 2 SPORADIK 1 TANAH MANGARABE SN3</t>
  </si>
  <si>
    <t>By. Biaya PEMBAYARAN UPAH BATU PECAH 46 MOBIL X 300K SN3</t>
  </si>
  <si>
    <t>By. Biaya PEMBELIAN MATERIAL PABRIKASI (KAPEK)</t>
  </si>
  <si>
    <t>By. Biaya VOUCHER LISTRIK POS SN3</t>
  </si>
  <si>
    <t>Terima Uang Masuk atas PEMBAYARAN BIAYA AKAD OLEH AWALUDDIN E26 TAHAP 3</t>
  </si>
  <si>
    <t>By. Biaya SUBKON TAHAP 4 19,8 JT DAN TAHAP 3 35 JT SN3</t>
  </si>
  <si>
    <t>By. Biaya PEMBAYARAN PPH AWALUDDIN E26 TAHAP 3</t>
  </si>
  <si>
    <t>Terima Uang Masuk atas PEMBAYARAN BIAYA AKAD OLEH ALDILA E28 TAHAP 3</t>
  </si>
  <si>
    <t>Terima Uang Masuk atas PEMBAYARAN BIAYA AKAD OLEH RINA D20 TAHAP 3</t>
  </si>
  <si>
    <t>Terima Uang Masuk atas PEMBAYARAN BIAYA DP OLEH E34 NANDI TAHAP 3</t>
  </si>
  <si>
    <t>By. Biaya PANJAR SELOKAN SN3</t>
  </si>
  <si>
    <t>By. Biaya PEMBERIAN PINJAMAN KEPADA SATARA PROPERTY (OPERASIONAL INC CHARGING DAN TOL SATARA PROPERTI)</t>
  </si>
  <si>
    <t>By. Biaya PEMBAYARAN DP AKAD E26 AWALUDDIN TAHAP 3</t>
  </si>
  <si>
    <t>By. Biaya PEMBAYARAN ADMIN BANK E26 AWALUDDIN TAHAP 3</t>
  </si>
  <si>
    <t>By. Biaya PEMBELIAN MATERIAL PABRIKASI (CAT TAHAP 3)</t>
  </si>
  <si>
    <t>Terima Uang Masuk atas REIMBERS DP AKAD E26 AWALUDDIN TAHAP 3 TGL 20/4/2026)</t>
  </si>
  <si>
    <t>By. Biaya PEMBELIAN BAMBU 21 BTG X 25K TAHAP 3</t>
  </si>
  <si>
    <t>By. Biaya PEMBAYARAN TEMPLATE HRD</t>
  </si>
  <si>
    <t>By. Biaya PARCEL 210K KOPI DAN KUE 390K</t>
  </si>
  <si>
    <t>By. Biaya PEMBAYARAN PPH E28 ALDILA TAHAP 3</t>
  </si>
  <si>
    <t>By. Biaya PEMBERIAN PINJAMAN KEPADA SATARA PROPETY (PEMBAYARAN TANAH LINDA NO 2 BARRU)</t>
  </si>
  <si>
    <t>Terima Uang Masuk atas PENCAIRAN RAHMAT RIZAKTI E23 TAHAP 3</t>
  </si>
  <si>
    <t>Terima Uang Masuk atas PEMBAYARAN PINJAMAN OLEH HJ UNI</t>
  </si>
  <si>
    <t>By. Biaya PEMBERIAN PINJAMAN KEPADA SATARA PROPERTY (PELUNASAN TANAH BARRU LINDA)</t>
  </si>
  <si>
    <t>By. Biaya PEMBAYARAN MATERIAL PABRIKASI (SN BANGUNAN)</t>
  </si>
  <si>
    <t>By. Biaya PEMBAYARAN GAJI HARIAN TUKANG FASUM SN3</t>
  </si>
  <si>
    <t>By. Biaya PEMBAYARAN PDAM D17 FAJAR HIDAYAT TAHAP 3</t>
  </si>
  <si>
    <t>By. Biaya PEMBELIAN KOMSUMSI BRI</t>
  </si>
  <si>
    <t>By. Biaya PEMBELIAN BAMBU 5 BTG X 25K TAHAP 3</t>
  </si>
  <si>
    <t>By. Biaya PEMBELIAN MATERIAL PABRIKASI (SAMBUNGAN PIPA TAHAP 3)</t>
  </si>
  <si>
    <t>By. Biaya PEMBELIAN MATERIAL PABRIKASI (PLAT HITAM BESI RUKO SN3)</t>
  </si>
  <si>
    <t>By. Biaya WIFI KANTOR</t>
  </si>
  <si>
    <t>By. Biaya PEMBAYARAN DP AKAD E28 MUHAMMAD ALDILA TAHAP 3</t>
  </si>
  <si>
    <t>By. Biaya PEMBAYARAN ADMIN BANK E28 MUHAMMAD ALDILA TAHAP 3</t>
  </si>
  <si>
    <t>By. Biaya PEMBAYARAN PPH D17 FAJAR 1.730 MATERAI 500K TAHAP 3</t>
  </si>
  <si>
    <t xml:space="preserve">By. Biaya TOPI SECURITY SN3 </t>
  </si>
  <si>
    <t>By. Biaya BAJU SECURITY SN3</t>
  </si>
  <si>
    <t>By. Biaya BAJU SAFARI OM WAWI SN3</t>
  </si>
  <si>
    <t>Terima Uang Masuk atas REIMBERS DP AKAD E28 MUHAMMAD ALDILA TAHAP 3 TGL 22/4/2026</t>
  </si>
  <si>
    <t>Terima Uang Masuk atas REIMBERS DP AKAD D17 FAJAR TAHAP 3 TGL 22/4/2026</t>
  </si>
  <si>
    <t>By. Biaya PEMBAYARAN BATU MERAH 4 NOTA TAHAP 3</t>
  </si>
  <si>
    <t>By. Biaya PEMBELIAN BUNGA UNTUK PERUMAHAN SN3</t>
  </si>
  <si>
    <t>By. Biaya BIAYA ADMIN KREDIT SKUR 500 JT</t>
  </si>
  <si>
    <t>By. Biaya PEMBAYARAN SUBKON DG BASO RUKO BLOK R1 SN3</t>
  </si>
  <si>
    <t>By. Biaya KOMSUMSI PENGURUSAN KAK NAIMA</t>
  </si>
  <si>
    <t>By. Biaya PEMBELIAN MATERAI 1 LBR OPERASIONAL KANTOR</t>
  </si>
  <si>
    <t>Terima Uang Masuk atas PEMBAYARAN BIAYA AKAD D17 FAJAR HIDAYAT TAHAP 3</t>
  </si>
  <si>
    <t>Terima Uang Masuk atas PENCAIRAN PINJAM SKUR 500 JT(TIDAK CUKUP 500 JT KARENA SALDO TERBLOKIR 62,5 JT, ASURANSI 3,5 JT, ADMIN 7,5 JT, NOTARIS 5,9 JT TOTAL 79,4 JT) TOTAL DANA MASUK HARUSNYA 420 JT TAPI REALISASI 435 JT KARENA 15 JT UANG TALANGAN DARI SN</t>
  </si>
  <si>
    <t>By. Biaya PEMBAYARAN SUBKON KUSEN PAK SUBAIR TAHAP 3</t>
  </si>
  <si>
    <t>By. Biaya FEE TTD KREDIT K NADIN</t>
  </si>
  <si>
    <t>By. Biaya PEMBAYARAN PEMAKAIAN AIR TUKANG PENGERJAAN RUMAH</t>
  </si>
  <si>
    <t>By. Biaya BUDGET MARKETING SN3</t>
  </si>
  <si>
    <t>By. Biaya BUDGET MINGGUAN INFLUENCER</t>
  </si>
  <si>
    <t>By. Biaya PEMBAYARAN SUBKON KE 5 DG RAJA TAHAP 3</t>
  </si>
  <si>
    <t>By. Biaya BELA SUNGKAWA UNTUK BU RISKA SN3</t>
  </si>
  <si>
    <t xml:space="preserve">Terima Uang Masuk atas PENCAIRAN 4 UNIT DI BRI (D17 FAJAR., D20 RINA, E26 AWALUDDIN, E28 MUH ALDILA) </t>
  </si>
  <si>
    <t>By. Biaya PEMBERIAN PINJAMAN SATARA PROPERTY (OPERASIONAL CHARGING TOLL, CARWASH)</t>
  </si>
  <si>
    <t>By. Biaya PEMBERIAN PINJAMAN KEPADA SN2 (UPAH KERJA PEMASANGAN PIPA PDAM)</t>
  </si>
  <si>
    <t>By. Biaya PEMBAYARAN TANAH KAVLING DI SN3</t>
  </si>
  <si>
    <t>By. Biaya PEMBAYARAN DP GAMBAR SN HILS MANGARABE</t>
  </si>
  <si>
    <t>By. Biaya DP LUKISAN 9MURAL TEMBOK SN3)</t>
  </si>
  <si>
    <t>By. Biaya PEMBAYARAN AKTA PELEPASAN MANGARABE</t>
  </si>
  <si>
    <t>By. Biaya PEMBAYARAN SUBKON LISTRIK RUKO 6 UNIT</t>
  </si>
  <si>
    <t>By. Biaya DP SELOKAN SN3</t>
  </si>
  <si>
    <t>By. Biaya CICILAN EMAS BSI</t>
  </si>
  <si>
    <t>By. Biaya PEMBELIAN MATAERIAL PABRIKASI (CAT TAHAP 3)</t>
  </si>
  <si>
    <t>By. Biaya PEMBELIAN MATERIAL PABRIKASI (RUKO 130K DAN TAHAP 3 80K)</t>
  </si>
  <si>
    <t>By. Biaya PEMBERIAN PINJAMAN KEPADA SATARA PROPERTY (OPERASIONAL)</t>
  </si>
  <si>
    <t xml:space="preserve">By. Biaya PEMBAYARAN TANAH DG ARI </t>
  </si>
  <si>
    <t>By. Biaya PEMBAYARAN NOTARIS UNTUK TTD AKAD INVESTASI PAK AWAL 500 JT</t>
  </si>
  <si>
    <t>Terima Uang Masuk atas PEMBAYARAN BIAYA AKAD C20 RISMAWATI/SATRIAWAN TAHAP 1</t>
  </si>
  <si>
    <t>By. Biaya SPANDUK KAK CIO 154K SITEPLAN SN3 10K DAN MAP SN 350K</t>
  </si>
  <si>
    <t>By. Biaya SLO NIDI 12 UNIT TAHAP 4 2.860 BENSIN 200K SN3</t>
  </si>
  <si>
    <t>By. Biaya PPH D21 NIASA TAHAP 3 (2 KALI BAYAR FAKTOR JARINGAN JADI NDA TERBACA SEMENTARA PROSES PENGURUSAN PENGEMBALIAN DANA)</t>
  </si>
  <si>
    <t>By. Biaya PEMBAYARAN PPH D21 NIASA TAHAP 3</t>
  </si>
  <si>
    <t>By. Biaya PEMBAYARAN PPH E2 RAHMATIA TAHAP 3</t>
  </si>
  <si>
    <t>By. Biaya PEMBAYARAN UTANG KEPADA HJ UNI</t>
  </si>
  <si>
    <t>Terima Uang Masuk atas REIMBERS DP AKAD WULANDA IRWAN F28 TAHAP 4 TGL</t>
  </si>
  <si>
    <t>Terima Uang Masuk atas REIMBERS DP AKAD NIASA D21 TAHAP 3 TGL</t>
  </si>
  <si>
    <t>Terima Uang Masuk atas PEMBAYARAN RUKO R12 OLEH ANDI SYAHRIR SN3</t>
  </si>
  <si>
    <t>By. Biaya PEMBAYARAN SUBKON DG BASO RUKO SN3</t>
  </si>
  <si>
    <t>By. Biaya REIMBERS BIAYA-BIAYA AKAD SN3 TAHAP 3 DAN 4</t>
  </si>
  <si>
    <t>By. Biaya REIMBERS GIVEAWAY SN3</t>
  </si>
  <si>
    <t>By. Biaya PEMBAYARAN KOMSUMSI MAKAN PIHAK BRI</t>
  </si>
  <si>
    <t>By. Biaya PEMBELIAN BELI TEH 2 DOS DAN GULA-GULA KANTOR SN</t>
  </si>
  <si>
    <t>By. Biaya PEMBERIAN PINJAMAN KEPADA SATARA PROPERTY (UNTUK PENGECEKAN TANAH 350K X 2)</t>
  </si>
  <si>
    <t>By. Biaya BIAYA NOTARIS 4 JT X 3 (TAHAP 3: E2 TAHMATIA D21 NIASA) (TAHAP 4: F28 WULANDA IRWAN)4</t>
  </si>
  <si>
    <t>By. Biaya PEMBAYARAN BATU PECAH 4 MBL X 300K TAHAP 4</t>
  </si>
  <si>
    <t>By. Biaya PEMBELIAN MAKAN SIANG LEMBUR HARI SABTU SN3</t>
  </si>
  <si>
    <t>By. Biaya FEE PENJUALAN 1 UNIT AN WULANDA F28 TAHAP 4</t>
  </si>
  <si>
    <t>By. Biaya PEMBAYARAN DP AKAD E2 RAHMATIA TAHAP 3</t>
  </si>
  <si>
    <t>By. Biaya PEMBAYARAN ADMIN BANK E2 RAHMATIA TAHAP 3</t>
  </si>
  <si>
    <t>By. Biaya PEMBELIAN MAKAN BERSAMA PIHAK MANDIRI</t>
  </si>
  <si>
    <t>Terima Uang Masuk atas REIMBERS DP AKAD E2 RAHMATIA TAHAP 3 TGL 28/4/2026</t>
  </si>
  <si>
    <t>Terima Uang Masuk atas PEMBAYARAN BIAYA AKAD OLEH WULANDA IRWAN F28 TAHAP 4</t>
  </si>
  <si>
    <t>Terima Uang Masuk atas PEMBAYARAN BIAYA AKAD E2 OLEH RAHMATIA TAHAP 3</t>
  </si>
  <si>
    <t>Terima Uang Masuk atas PEMBAYARAN BIAYA AKAD D21 OLEH NIASA TAHAP 3 (TOTAL 15 JT SISA 100K)</t>
  </si>
  <si>
    <t>By. Biaya PEMBAYARAN PPH D18 NURASIA TAHAP 3</t>
  </si>
  <si>
    <t>By. Biaya PEMBAYARAN PPH E6 KASMI TAHAP 3</t>
  </si>
  <si>
    <t>By. Biaya LISTRIK 943 X 22 UNIT SN3</t>
  </si>
  <si>
    <t>Terima Uang Masuk atas PEMBAYARAN BIAYA AKAD RIDWAN/NURASIA D18 TAHAP 3</t>
  </si>
  <si>
    <t>By. Biaya PEMBERIAN PINJAMAN  KEPADA D18 NURASIA TAHAP 3 (TAMBAHAN PINJAM ANGSURAN BLOKIR)</t>
  </si>
  <si>
    <t>By. Biaya PEMBAYARAN SPT TAHUNAN SN PT BERKAH BINTANG PRATAMA</t>
  </si>
  <si>
    <t>Terima Uang Masuk atas REIMBERS DP AKAD D18 NURASIA TAHAP 3 TGL 29/4/2026</t>
  </si>
  <si>
    <t>By. Biaya PEMBELIAN KUE UNTUK KOLEGA</t>
  </si>
  <si>
    <t>By. Biaya PEMBERIAN PINJAMAN KE SATARA PROPERTY (UNTUK ASURANSI KREDIT BANK MANDIRI 500 JT)</t>
  </si>
  <si>
    <t>By. Biaya SIMPAN AKHIR BULAN BANK BTN</t>
  </si>
  <si>
    <t>By. Biaya PEMBAYARAN BPJS KETENAGAKERJAAN STAF SN</t>
  </si>
  <si>
    <t>By. Biaya OPERASIONAL SN3 (NOTA UPI)</t>
  </si>
  <si>
    <t>By. Biaya PLAT RUMAH 25KX3 LAKBAN 10K SN3</t>
  </si>
  <si>
    <t>By. Biaya PEMBELIAN GORENGAN AKAD BRI</t>
  </si>
  <si>
    <t>Terima Uang Masuk atas PEMBAYARAN SPT TAHUNAN DARI AJI</t>
  </si>
  <si>
    <t>Terima Uang Masuk atas PEMBAYARAN DP E32 RINA RESKI SN3 TAHAP 3</t>
  </si>
  <si>
    <t>Terima Uang Masuk atas PENCAIRAN 1 UNIT</t>
  </si>
  <si>
    <t>By. Biaya PEMBERIAN PINJAMAN KEPADA MASDAR (PEMBAYARAN ANGSURAN BLN APRIL)</t>
  </si>
  <si>
    <t>By. Biaya SIMPAN DANA DI ARYA BANK BTN</t>
  </si>
  <si>
    <t>Terima Uang Masuk atas PEMBAYARAN UTANG SEKALA</t>
  </si>
  <si>
    <t>By. Biaya ADMIN BANK AKAD E6 KASMIATI TAHAP 3</t>
  </si>
  <si>
    <t>By. Biaya PEMBERIAN PINJAMAN KEPADA SALMANA/MBANG (PEMBAYARAN ANGSURAN BLN APRIL)</t>
  </si>
  <si>
    <t>PEMBAYARAN 5 TUKANG AKBAR  TAHAP 3 TOTAL 33.000.000 TERRSISA 9.000.000</t>
  </si>
  <si>
    <t xml:space="preserve">ADM </t>
  </si>
  <si>
    <t>GAJI KARYAWAN APRIL (TANGGUNGAN ARYA 15.903.510, TANGGUNGAN H.NASRUN 13.903.466)</t>
  </si>
  <si>
    <t>GAJI DIREKTUR OM TAHIR (TANGGUNGAN HJ. NASRUN  TUKAR PEMBAYARAN MATERIAL ALAM)</t>
  </si>
  <si>
    <t>GAJI KONTEN KREATOR KAK SHINTA (TANGGUNGAN HJ. NASRUN  TUKAR PEMBAYARAN MATERIAL ALAM)</t>
  </si>
  <si>
    <t>PIUTANG KEKUARANGAN IURAN UNTUK GAJI SATPAM SN3 TAHAP 3 DAN TAHAP 4</t>
  </si>
  <si>
    <t>GAJI SECURITY SN1, SN2, PENJAGA ALAT (TANGGUNGAN HJ. NASRUN  TUKAR PEMBAYARAN MATERIAL ALAM)</t>
  </si>
  <si>
    <t xml:space="preserve">IURAN WAJIB SATARA </t>
  </si>
  <si>
    <t>FEE AKAD BLOK E28 DAN E30 TAHAP 3</t>
  </si>
  <si>
    <t>FEE AKAD D5, D2, DAN D18 TAHAP 3</t>
  </si>
  <si>
    <t>FEE AKAD D17 TAHAP 3</t>
  </si>
  <si>
    <t>FEE AKAD E23 TAHAP 3</t>
  </si>
  <si>
    <t>FEE AKAD E6 TAHAP 3</t>
  </si>
  <si>
    <t>PEMBELIAN MATERIAL PABRIKASI RUKO SN3 (MATA GURINDA DAN KAWAT)</t>
  </si>
  <si>
    <t xml:space="preserve">TAMBAHAN GAJI KAK UMMU BULAN APRIL </t>
  </si>
  <si>
    <t>PIUTANG BARU HJ. BAPONG (ANGSURAN KE BANK DIBAYARKAN OLEH SN)</t>
  </si>
  <si>
    <t>BONUS 750K X 18 UNIT UNTUK NADIA (</t>
  </si>
  <si>
    <t>FEE AKAD D3 NAZWA TAHAP 3</t>
  </si>
  <si>
    <t>PEMBAYARAN DP FASUM GAZEBO SN3</t>
  </si>
  <si>
    <t xml:space="preserve">PENGEMBALIAN DANA DARI REKENING OWER </t>
  </si>
  <si>
    <t>PPH PENGURUSAN TANAH (TARI 598.500 DAN HARMIATI 17.570.250 MANGARABE, MUSI 14.556.500 TANAH SN3)</t>
  </si>
  <si>
    <t>PEMBAYARAN TANAH MANGARABE DG RIPING TERMIN 1 TOTAL 150.000.000 SISA 131.000.000</t>
  </si>
  <si>
    <t>PEMBERIAN PIUTANG BIAYA OPERASIONAL SATARA/BARRU BY MAHDI (TOL, CAS)</t>
  </si>
  <si>
    <t>PEMBAYARAN SUBKON KUSEN PAK SUBAIR TERMIN 5 TAHAP 3</t>
  </si>
  <si>
    <t xml:space="preserve">PEMBAYARAN MATERIAL PABRIKASI SN3 TAHAP 4 (BAMBU 10 BTG X 25K BALOK 52 BTG X 850K) </t>
  </si>
  <si>
    <t>PEMBAYARAN TERMIN 1 SUBKON TUKANG DG AGUS TAHAP 4 TOTAL 82,500,000 SISA 67.650.000</t>
  </si>
  <si>
    <t>DP PEMBELIAN KENDARAAN OPERASIONAL MOTOR KAISAR</t>
  </si>
  <si>
    <t>PEMBELIAN MATERIAL ALAM TAHAP 4 (BATU MERAH 21000 X 600)</t>
  </si>
  <si>
    <t>PEMBAYARAN MANGARABE (PPH TANAH DIAN DAMAYANTI )</t>
  </si>
  <si>
    <t>PEMBAYARAN MATERIAL PABRIKASI RUKO R1 SN3</t>
  </si>
  <si>
    <t>PENCAIRAN KPP TERMIN 3 TOTAL 4,5 M (SUDAH CAIR SEMUA)</t>
  </si>
  <si>
    <t xml:space="preserve">PIUTANG PEMBAYARAN TANAH BARRU/SATARA PROPERTY TERMIN TOTAL 630 SISA </t>
  </si>
  <si>
    <t xml:space="preserve">SIMPAN DI ARYA </t>
  </si>
  <si>
    <t>PEMBAYARAN MATERIAL PABRIKASI RUKO SN3 (PINTU BESI)</t>
  </si>
  <si>
    <t>BIAYA OPERSIONAL KANTOR SN BY UPI (ATK DAN TINTA PRINTER)</t>
  </si>
  <si>
    <t>BIAYA OPERASINOAL (MOUSE 80K,PAKET DATA 75K )</t>
  </si>
  <si>
    <t xml:space="preserve">PENGADAAN LAPANGAN BY UPI (SEPATU SECURITY 2 PCS) </t>
  </si>
  <si>
    <t>KOMSUMSI BRI 121K  DAN MATERAI AKAD 5 LBR SN3 TAHAO 3</t>
  </si>
  <si>
    <t xml:space="preserve">PEMINDAHAN DANA UNTUK BIAYA ADMINISTRASI LAPANGAN  KE KAK UMMU </t>
  </si>
  <si>
    <t xml:space="preserve">REMBERS BATU MERAH </t>
  </si>
  <si>
    <t xml:space="preserve">PENERIMAAN ATAS BIAYA AKAD BLOK E6 TAHAP 3 KASMI </t>
  </si>
  <si>
    <t xml:space="preserve">PEMINDAHAN REKENING PEMBAYARA IURAN KEAMANA a.n ERNI </t>
  </si>
  <si>
    <t>PENGADAAN PERALATAN KANTOR BY UPI (LAPTOP ASUS)</t>
  </si>
  <si>
    <t xml:space="preserve">PENCAIRAN PLAFON KASMI E6 TAHAP 3  </t>
  </si>
  <si>
    <t xml:space="preserve">TAMBAHAN PENCAIRAN PLAFON KASMI E6 TAHAP 3  </t>
  </si>
  <si>
    <t>PEMBAYARAN KE 6 RUKO R12 PAK SYAHRIR TOTAL 80 JT TERSISA 20 JT</t>
  </si>
  <si>
    <t xml:space="preserve">PEMBAYARAN FASUM PENGERJAAN SELOKAN SN3 </t>
  </si>
  <si>
    <t>PEMBAYARAN MATERIAL ALAM TAHAP 4 (BATU PECAH 43 X 300K)</t>
  </si>
  <si>
    <t>PEMBAYARAN HUTANG KPP SETIFIKAT F7 TAHAP 4</t>
  </si>
  <si>
    <t xml:space="preserve">BIAYA PPH E34 TAHAP 3 NANDI </t>
  </si>
  <si>
    <t xml:space="preserve">BIAYA PPH E3 TAHAP 3 NAPPA  </t>
  </si>
  <si>
    <t xml:space="preserve">BIAYA PPH E9 TAHAP 3 RIANI </t>
  </si>
  <si>
    <t>PENGELUARAN OPERASIONAL BY UPI (KOPI SECURITY)</t>
  </si>
  <si>
    <t>PEMBAYARAN TANAH TERMIN 1 MANGARABBE DG OMNYA OM AKBAR/BU ROHANI TOTAL 300,000,000 SISA 14.000.000</t>
  </si>
  <si>
    <t>PIUTANG PEMBAYARAN TANAH TERMIN 1 BARRU/ SATARA PROPERTY  H.RAHIM TOTAL 313,525,000 SISA 213,525,000.  PEMBAYARAN TANAH PAK KEPALA 1,000,000</t>
  </si>
  <si>
    <t>PEMBAYARAN AIR TAHAP 3 (1.545 X 5 BLOK E31, E34, E3, E9, E10)</t>
  </si>
  <si>
    <t>PEMBERIAN PIUTANG BIAYA OPERASIONAL SATARA/BARRU BY MAHDI (CAS)</t>
  </si>
  <si>
    <t>BIAYA PENGADAAN BY UPI (ONGKIR 3 KALI PENGIRIMAN BARANG KANTOR SN)</t>
  </si>
  <si>
    <t xml:space="preserve">PINJAM ARYA </t>
  </si>
  <si>
    <t>BIAYA  AKAD BLOK E34 TAHAP 3 NANDI (DP AKAD 8,000,000, ADM BANK 3,740,000)</t>
  </si>
  <si>
    <t xml:space="preserve">PENERIMAAN PENGEMBALIAN DP ATAS AKAD BLOK E34 TAHAP 3 NANDI  </t>
  </si>
  <si>
    <t>BIAYA  AKAD BLOK E9 TAHAP 3 RIANI (DP AKAD 8,000,000, ADM BANK 3,740,000)</t>
  </si>
  <si>
    <t>PENERIMAAN ATAS BIAYA AKAD BLOK E34 TAHAP 3 NANDI TOTAL 15, SISANYA DI TGL 8</t>
  </si>
  <si>
    <t>BIAYA OPERASIONAL BY KAK RESKI (PEMBELIAN KERTAS)</t>
  </si>
  <si>
    <t xml:space="preserve">PENERIMAAN PENGEMBALIAN DP ATAS AKAD BLOK E39 TAHAP 3 RIANI   </t>
  </si>
  <si>
    <t xml:space="preserve">DP F4  TAHAP 4 MAGHFIRA </t>
  </si>
  <si>
    <t>PENGEMBALIAN DP F9 TAHAP 4 PRATIWI BATAL SN3</t>
  </si>
  <si>
    <t>SUBKON SN3 TERMIN 4 PELUNASAN ZUL 13,3 JT PELUNASAN AKBAR 10 JT NUDING 15 JT IWANG 10 JT</t>
  </si>
  <si>
    <t xml:space="preserve">DP E33 TAHAP 3 HASRAWATI </t>
  </si>
  <si>
    <t xml:space="preserve">PELUNASAN PIUTANG BIAYA AKAD D21 TAHAP 3 NIASA </t>
  </si>
  <si>
    <t>PENERIMAAN KUKARANGAN  ATAS BIAYA  AKAD TGL 7 BLOK E34 TAHAP 3 NANDI TOTAL 15</t>
  </si>
  <si>
    <t xml:space="preserve">PENERIMAAN ATAS BIAYA  AKAD BLOK E9 TAHAP 3 RIANI </t>
  </si>
  <si>
    <t>DP F29 TAHAP 4NURHAYATI SN3</t>
  </si>
  <si>
    <t>PPH E31 TAHAP 3 TAKDIR SN3</t>
  </si>
  <si>
    <t>PPH E10 TAHAP 3 ARINI SN3</t>
  </si>
  <si>
    <t>PELUNASAN KENDARAAN OPERASIONAL (PEMBELIAN VIAR 1 UNIT)</t>
  </si>
  <si>
    <t>BIAYA  AKAD BLOK E3 TAHAP 3 NAPPA (ADM BANK 1,575,000)</t>
  </si>
  <si>
    <t>BIAYA  AKAD BLOK E31 TAHAP 3 TKADIR  (ADM BANK 1,575,000)</t>
  </si>
  <si>
    <t>PEMBELIAN MATERIAL PABRIKASI TAHAP 3 (KACA POLOS 10 LBR X 148K )</t>
  </si>
  <si>
    <t xml:space="preserve">PENERIMAAN ATAS BIAYA  AKAD BLOK E31 TAHAP 3 TAKBIR,  </t>
  </si>
  <si>
    <t xml:space="preserve">PENERIMAAN ATAS BIAYA  AKAD BLOK E3 TAHAP 3 NAPPA </t>
  </si>
  <si>
    <t>PEMBAYARAN TERMIN 4  TAHAP 3SUBKON RUMAH DAHLAN 82,500,000 SISA 49,000,000 T</t>
  </si>
  <si>
    <t>ADM</t>
  </si>
  <si>
    <t xml:space="preserve">DP MUH HAIDIER ALI G7 TAHAP 4 </t>
  </si>
  <si>
    <t xml:space="preserve">PELUNASAN PEMBAYARAN MURAL SN3 </t>
  </si>
  <si>
    <t xml:space="preserve">PENCAIRAN PLAFON KASMI E34 NANDI  DAN  E9 RIANI  TAHAP 3  </t>
  </si>
  <si>
    <t xml:space="preserve">KONSUMSI UNTUK ORANG CAPIL </t>
  </si>
  <si>
    <t>PEMBAYARAN HUTANG KPP SETIFIKAT E23 TAHAP 3</t>
  </si>
  <si>
    <t xml:space="preserve">PEMBAYARAN PBB PENGURUSAN  TANAH HARMIATI MANGARABBE </t>
  </si>
  <si>
    <t>PEMBAYARAN PERBAIKAN LAPTOP KANTOR SN</t>
  </si>
  <si>
    <t>SUBKON TUKANG BASO/FAHRI TERMIN 1 TOTAL 49,500,000 SISA 39,5000,000</t>
  </si>
  <si>
    <t>PEMBAYARAN MATERIAL ALAM TAHAP 4 (UPAH BATU PECAH 10 MOBIL X 300K)</t>
  </si>
  <si>
    <t>PEMBAYARAN MATERIAL ALAM TAHAP 4 (BURUH ANGKAT BATU PECAH)</t>
  </si>
  <si>
    <t>PEMBAYARAN SUBKON ROSETER RIBAS TAHAP 3</t>
  </si>
  <si>
    <t>BIAYA ROYA BLOK E29 SN3 (PENEBUSAN SERTIFIKAT KPP)</t>
  </si>
  <si>
    <t>PEMBELIAN TAMBAHAN MATERAI AKAD ARINI ASPIATI TAHAP 3</t>
  </si>
  <si>
    <t>PEMBAYARAN MATERIAL PABRIKASI SN3 TAHAP3</t>
  </si>
  <si>
    <t>BIAYA  AKAD BLOK E10 TAHAP 3 ARINI (ADM BANK 3,740,000)</t>
  </si>
  <si>
    <t>BIAYA POTONG KAYU MANGARABE</t>
  </si>
  <si>
    <t xml:space="preserve">PIUTANG PEMBAYARAN PENGURUSAN TANAH BARRU/SATARA PROPERTY BPHTB MUHAMMAD HUSNI 19.450.000 OFFLINE MEET 150K </t>
  </si>
  <si>
    <t>PEMBAYRAN SUBKON RUKO PEMASANGAN LISTRIK SN3</t>
  </si>
  <si>
    <t>PENERIMAAN ATAS BIAYA AKAD BLOK E10 TAHAP 3 ASPITA</t>
  </si>
  <si>
    <t xml:space="preserve">BIAYA NOTARIS AKAD BLOK  E26, D17, E6, E9, E10, E28, E34 TAHAP 3 </t>
  </si>
  <si>
    <t xml:space="preserve">BIAYA NOTARIS AKAD BLOK  E3 DAN E31 TAHAP 3 </t>
  </si>
  <si>
    <t>BIAYA NOTARIS AKAD BLOK  D18 TAHAP 3 NURASIA</t>
  </si>
  <si>
    <t>PEMBAYARAN TERMIN 6 SUBKON KUSEN SN3</t>
  </si>
  <si>
    <t>BIAYA PPH E29 EKAYULISA  DAN E5 RAHMATIA  SN3</t>
  </si>
  <si>
    <t>DP F9 TAUFAN/NATRI TAHAP 4 SN3</t>
  </si>
  <si>
    <t>PENERIMAAN ATAS BIAYA AKAD BLOK E29 TAHAP 3 SELFI</t>
  </si>
  <si>
    <t>BAUDGET MARKETING ADS 3</t>
  </si>
  <si>
    <t>PEMBAYARAN BUNGA HUTANG KPP BRI 4,5 M</t>
  </si>
  <si>
    <t>REWARD TARUHAN TUKANG SN3</t>
  </si>
  <si>
    <t>DP SASMITA F10 T4 SN3</t>
  </si>
  <si>
    <t>PEMBAYARAN UTANG  TERMIN 3 KELEBIHAN TANAH B36 TESHA NANDA TOTAL 35,000,000 DAN SISA 26,000,000</t>
  </si>
  <si>
    <t>PINJAM ARYA (PIUTANG)</t>
  </si>
  <si>
    <t xml:space="preserve">PEMBAYARAN TERMIN 1 KELEBIHAN TANAH  FAIDUL AHDAR TAHAP 3  TOTAL  33 JT SISA PIUTANG 24 JT </t>
  </si>
  <si>
    <t>PEMBAYARAN MATERIAL PABRIKASI TAHAP 3 (ALAT LISTRIK)</t>
  </si>
  <si>
    <t>PEMBAYARAN TERMIN 6 SUBKON PEKERJA RUMAH DG RAJA TAHAP 3 TOTAL 82,500,000 SISA 66.000.0000</t>
  </si>
  <si>
    <t>PEMBAYARAN TERMIN 2 SUBKON PEKERJA RUMAH DG BASO 9 JT DG ANCA 5JT TAHAP 4 SN3</t>
  </si>
  <si>
    <t>DP PEMBELIAN TANAH MANGARABE DG MAHA/IBU DIKALIMANTAN TOTAL 128.000.000 SISA  110.000.000</t>
  </si>
  <si>
    <t>BIAYA OPERASIONAL LOKASI BY UPI TAHAP 3 (ROKOK, AIR DUS, KOPI, GALON)</t>
  </si>
  <si>
    <t>PEMBERSIHAN LAHAN MANGARABE (SOLAR)</t>
  </si>
  <si>
    <t>KOMSUMSI RAPAT TIM DI HAGEMONY</t>
  </si>
  <si>
    <t>BIAYA  AKAD BLOK E29 TAHAP 3 LINGGA (DP AKAD 13,500,000, ADM BANK 1,277,500, SKMHT 500.000)</t>
  </si>
  <si>
    <t>ADMIN BANK ALVIA C51 SN1 (SALAH PAKE REK BESOK DI REIMBERS)</t>
  </si>
  <si>
    <t>PEMBAYARAN TANAH SHM KAK DIAN TERMIN  TOTAL 650.000.000</t>
  </si>
  <si>
    <t>PEMBELIAN MATERIAL PABRIKASI RUKO SN3 (DEMPUL)</t>
  </si>
  <si>
    <t xml:space="preserve">BIAYA PENGURUSAN  MANGARABE PENGALIHAN TANAH ARIFIN </t>
  </si>
  <si>
    <t>PDAM D23 ROSI DAN E32 IDIL TAHAP 3</t>
  </si>
  <si>
    <t>PEMBELIAN MATERAI AKAD D23 ROSI DAN E32 IDIL TAHAP 3</t>
  </si>
  <si>
    <t>PPH D23 ROSI TAHAP 3</t>
  </si>
  <si>
    <t>PPH  E32 IDIL TAHAP 3</t>
  </si>
  <si>
    <t xml:space="preserve">PENGEMBALIAN DANA SN 3 DARI REKENING OWNER </t>
  </si>
  <si>
    <t xml:space="preserve">DP FASILITAS UMUM PAVING BLOCK </t>
  </si>
  <si>
    <t xml:space="preserve">PEMBAYARAN JASA BRANDING SN HILLS MANGARABE </t>
  </si>
  <si>
    <t>SUBKON LISTRIK DG LABBANG TAHAP 3</t>
  </si>
  <si>
    <t xml:space="preserve">GAJI HARIAN  TUKANG FASUM SN3 </t>
  </si>
  <si>
    <t>PEMBAYARAN MATERIAL ALAM BURUH BATU 70K X 7 MBL TAHAP 4</t>
  </si>
  <si>
    <t xml:space="preserve">PEMBAYARAN UPAH KERJA PINTU BESI RUKO 2 PINTU </t>
  </si>
  <si>
    <t>PEMBAYARAN TERMIN 2 SUBKON TUKANG DG SAPRI TOTAL 33.000.000 SISA 21.900.000 TAHAP 4</t>
  </si>
  <si>
    <t>PEMBAYARAN TERMIN 7 SUBKON TUKANG RAJA TOTAL 82,500,000 SISA 70,000,000 TAHAP 3</t>
  </si>
  <si>
    <t xml:space="preserve">PEMBAYARAN PEMBERSIHAN MANGARABBE BURUH BAGIAN BELAKANG </t>
  </si>
  <si>
    <t>BIAYA KELENGKAPAN  F5 TAHAP 4 JUSMA (PPH 1,730,000. PDAM 1.545.000 DAN MATERAI 500.000)</t>
  </si>
  <si>
    <t>BIAYA KELENGKAPAN  E4 TAHAP 3 ULFA (PPH 1,730,000. PDAM 1.545.000 DAN MATERAI 500.000)</t>
  </si>
  <si>
    <t>PEMBELIAN BENSIT UNTUK GENSET SN3</t>
  </si>
  <si>
    <t>PEMBAYARAN HUTANG KPP SETIFIKAT D23 TAHAP 3</t>
  </si>
  <si>
    <t xml:space="preserve">PERCOBAAN REKENING </t>
  </si>
  <si>
    <t xml:space="preserve">BUDGET MARKETING ADS SN 1 TANGGUNGAN H.NASRUN TUKAR MATERIAL ALAM/ALAT BERAT </t>
  </si>
  <si>
    <t>BUDGET MARKETING ADS SN 3</t>
  </si>
  <si>
    <t>PEMBAYARAN TANAH TERMIN 2 MANGARABBE DG NIO/ HARMIATI TOTAL 300,000,000 (LUNAS)</t>
  </si>
  <si>
    <t>PEMBAYARAN BIAYA OPERASIONAL PEMBELIAN BENSIN GENSET 5 LITER SN 3</t>
  </si>
  <si>
    <t xml:space="preserve">PEMBELIAN MATERIAL PABRIKASI BAMBU 25K X 20 BATANG TAHAP 4 SN3 </t>
  </si>
  <si>
    <t>BIAYA  AKAD BLOK E4 TAHAP 3 ULFA (DP AKAD 8,000,000, ADM BANK 3,740,000)</t>
  </si>
  <si>
    <t>BIAYA  AKAD BLOK F5 TAHAP 4 JUSMA (DP AKAD 8,000,000, ADM BANK 3,740,000)</t>
  </si>
  <si>
    <t xml:space="preserve">PENERIMAAN PENGEMBALIAN DP ATAS AKAD BLOK E4 TAHAP 3 ULFA </t>
  </si>
  <si>
    <t>PENERIMAAN PENGEMBALIAN DP ATAS AKAD BLOK F5 TAHAP 4 JUSMA</t>
  </si>
  <si>
    <t>PENERIMAAN ATAS BIAYA AKAD BLOK E4 TAHAP 3 ULFA</t>
  </si>
  <si>
    <t>PEMBELIAN MATERIAL PABRIKASI NITTO UNTUK PEMBANGUNAN RUKO SN3</t>
  </si>
  <si>
    <t xml:space="preserve">BIAYA NOTARIS AKAD BLOK E29 TAHAP 3 LINGGA RAMADHAN </t>
  </si>
  <si>
    <t>BIAYA PEMBERSIHAN LANAH MANGARABBE (PELUNASAN BURUH 400.000, SOLAR 100.000, BURUH AKAR 550.0000)</t>
  </si>
  <si>
    <t>PEMBELIAN PLAT RUMAH 37 PCS UNTUK TAHAP 3 SN 3 (MASUK HPP)</t>
  </si>
  <si>
    <t xml:space="preserve">PENERIMAAN ATAS BIAYA AKAD BLOK E1 TAHAP 3 EKAYULISA </t>
  </si>
  <si>
    <t>PENERIMAAN ATAS BIAYA AKAD BLOK F3 TAHAP 4 ERMAWATI</t>
  </si>
  <si>
    <t>BIAYA  AKAD BLOK E32 TAHAP 3 IDIL AKABR (DP AKAD 8,000,000, ADM BANK 3,740,000)</t>
  </si>
  <si>
    <t xml:space="preserve">BIAYA PPH E1TAHAP 3 EKAYULISA  </t>
  </si>
  <si>
    <t xml:space="preserve">BIAYA PPH F3 TAHAP 4 ERNAWATI </t>
  </si>
  <si>
    <t xml:space="preserve">BIAYA PDAM (BLOK E1 TAHAP 3 EKAYULISA 1.545.000, BLOK F3 TAHAP 4 ERNAWATI) </t>
  </si>
  <si>
    <t>PEMBERIAN PIUTANG BIAYA OPERASIONAL SATARA/ BARRU BY MAHDI (ROKOK DAN MAKAN TUKANG 5 ORANG)</t>
  </si>
  <si>
    <t>PENERIMAAN PENGEMBALIAN DP ATAS AKAD BLOK E32 TAHAP 3 IDIL AKABR</t>
  </si>
  <si>
    <t>PENERIMAAN PENCAIRAN DANA TERTAHAN JAMINAN TAHAP 1  SN 3 (ANAS B21, ILHAM B22, AJIS MUBARAK B28, NURIDA  B32) 5.190</t>
  </si>
  <si>
    <t xml:space="preserve">SALAH TF </t>
  </si>
  <si>
    <t xml:space="preserve">REMBERS SALAH TF </t>
  </si>
  <si>
    <t>PEMBAYARAN BPJS KESEHATAN STAFF SN3</t>
  </si>
  <si>
    <t xml:space="preserve">FASUM WIFI SN3 CCTV PERUMAHAN </t>
  </si>
  <si>
    <t xml:space="preserve">WIFI KANTOR SN </t>
  </si>
  <si>
    <t>BIAYA  AKAD BLOK F3 TAHAP 4 ERMAWATI (DP AKAD 8,000,000, ADM BANK 3,740,000)</t>
  </si>
  <si>
    <t>BIAYA  AKAD BLOK E1 TAHAP 3 EKA YULISA (DP AKAD 8,000,000, ADM BANK 3,740,000)</t>
  </si>
  <si>
    <t xml:space="preserve">PENERIMAAN PENGEMBALIAN DP ATAS AKAD BLOK F3  TAHAP 4 ERMAWATI  </t>
  </si>
  <si>
    <t xml:space="preserve">PENERIMAAN PENGEMBALIAN DP ATAS AKAD BLOK F1  TAHAP 3 EKA YULISA   </t>
  </si>
  <si>
    <t>PENDAFTARANI NIDI SLO UNTUK PEMBANGUNAN RUKO SN3</t>
  </si>
  <si>
    <t>PERJALANA  DINAS JAKARTA BY. MAHDI (TRANSPORT, MAKAN, PADEL)</t>
  </si>
  <si>
    <t xml:space="preserve">PENGELUARAN OPERASIONAL RAPAT ALONICA DAN PEMBELIAN BUKU </t>
  </si>
  <si>
    <t>PEMBERIAN PIUTANG OPERASIONL SATARA/BARRU BY MAHDI (UANG NGOPI, BENSIN SENSONG)</t>
  </si>
  <si>
    <t>PEMBERIAN PIUTANG OPERASIONL SATARA/BARRU BY MAHDI (UANG ROKOK TUKANG)</t>
  </si>
  <si>
    <t>PEMBERIAN PIUTANG OPERASIONL SATARA/BARRU BY MAHDI (MAKAN TUKANG)</t>
  </si>
  <si>
    <t>PEMBERIAN PIUTANG SATARA/BARRU 20 JT PERORANG (DP TANAH MASSIANAI, NENI, MAKMUS, TAHIR )</t>
  </si>
  <si>
    <t>By. Biaya (AIR 1.545 X 3) RINA D20, LIA E30, DAN RAHMAT D19 TAHAP 3</t>
  </si>
  <si>
    <t>By. Biaya (MATERAI 500K X 3) RINA D20, LIA E30, DAN RAHMAT D19 TAHAP 3</t>
  </si>
  <si>
    <t>By. Biaya (PPH 1.730 X 3) RINA D20, LIA E30, DAN RAHMAT D19 TAHAP 3</t>
  </si>
  <si>
    <t>PENGAKUAN PENDAPATAN DAN PEMBAYARAN UTANG ATAS PENCAIRAN E30 NURLIA TAHAP 3</t>
  </si>
  <si>
    <t>PENGAKUAN PENDAPATAN E30 NURLIA TAHAP 3</t>
  </si>
  <si>
    <t>PENGAKUAN PENDAPATAN D19 OLEH RAHMAT PRAYUDI TAHAP 3</t>
  </si>
  <si>
    <t>By. Biaya PEMBELIAN MATERAI 500K RAHMAT RIZAKTI E23 TAHAP 3</t>
  </si>
  <si>
    <t>By. Biaya PEMBAYARAN AIR 1.545 RAHMAT RIZAKTI E23 TAHAP 3</t>
  </si>
  <si>
    <t>PENGAKUAN PENDAPATAN DAN PEMBAYARAN UTANG KPP 2 UNIT BRI 78,5 JT X 2 UNIT (</t>
  </si>
  <si>
    <t>PENGAKUAN PENDAPATAN RAHMAT RIZAKTI E23 TAHAP 3 TGL 16/4/2026</t>
  </si>
  <si>
    <t>By. Biaya PEMBAYARAN PDAM E26 E28 1.545 X 2 TAHAP 3</t>
  </si>
  <si>
    <t>By. Biaya PEMBAYARAN MATERAI 500K X 2 TAHAP 3</t>
  </si>
  <si>
    <t>PENGAKUAN PENDAPATAN OLEH AWALUDDIN E26 TAHAP 3</t>
  </si>
  <si>
    <t>PENGKAUAN PENDAPATAN OLEH RINA D20 TAHAP 3</t>
  </si>
  <si>
    <t>PENGAKUAN PENDAPATAN ALDILA E28 TAHAP 3</t>
  </si>
  <si>
    <t>PENGKAUAN PENDAPATAN DAN PEMBAYARAN UTANG KPP RAHMAT RIZAKTI E23 TAHAP 3</t>
  </si>
  <si>
    <t>By. Biaya PEMBAYARAN MATERAI 500K TAHAP 3</t>
  </si>
  <si>
    <t>By. Biaya PEMBAYARAN ADMIN BANK 3.740 D17 FAJAR TAHAP 3</t>
  </si>
  <si>
    <t>By. Biaya PEMBAYARAN DP AKAD 8 JT D17 FAJAR TAHAP 3</t>
  </si>
  <si>
    <t>PENGAKUAN PENDAPATAN D17 FAJAR HIDAYAT TAHAP 3</t>
  </si>
  <si>
    <t xml:space="preserve">PENGAKUAN PENDAPATAN DAN PEMBAYARAN UTANG KPP PENCAIRAN 4 UNIT DI BRI (D17 FAJAR., D20 RINA, E26 AWALUDDIN, E28 MUH ALDILA) </t>
  </si>
  <si>
    <t>PENGAKUAN PENDAPATAN C20 RISMAWATI/SATRIAWAN TAHAP 1</t>
  </si>
  <si>
    <t xml:space="preserve">By. Biaya PEMBAYARAN PDAM 1.545 X 3 (TAHAP 3 : E2, D21) (TAHAP 4: F28) </t>
  </si>
  <si>
    <t>By. Biaya PEMBAYARAN MATERAI 500K X 3 SN3 (TAHAP 3 : E2, D21) (TAHAP 4 : F28)</t>
  </si>
  <si>
    <t>By. Biaya PENEBUSAN SERTIFIKAT NO SERTIF E3 20.22000006356</t>
  </si>
  <si>
    <t>By. Biaya PENEBUSAN SERTIFIKAT  NO SERTIF E10 20.22000006363.0</t>
  </si>
  <si>
    <t>By. Biaya PENEBUSAN SERTIFIKAT NO SERTIF E31 20.22000006374.0</t>
  </si>
  <si>
    <t>PENGAKUAN PENDAPATAN E2 OLEH RAHMATIA TAHAP 3</t>
  </si>
  <si>
    <t>PENGAKUAN PENDAPATAN D21 OLEH NIASA TAHAP 3 (TOTAL 15 JT SISA 100K)</t>
  </si>
  <si>
    <t>PENGAKUAN PENDAPATAN OLEH WULANDA IRWAN F28 TAHAP 4</t>
  </si>
  <si>
    <t>By. Biaya PEMBAYARAN MATERAI 500K X 2 SN3 TAHAP 3</t>
  </si>
  <si>
    <t>By. Biaya PEMBAYARAN PDAM E6 D18 1.545 X 2 SN3 TAHAP 3</t>
  </si>
  <si>
    <t>PENGAKUAN PENDAPATAN RIDWAN/NURASIA D18 TAHAP 3</t>
  </si>
  <si>
    <t>By. Biaya DP AKAD 8 JT D18 NURASIA TAHAP 3)</t>
  </si>
  <si>
    <t>By. Biaya PINJAM ANGSURAN BLOKIR 1.305 D18 NURASIA TAHAP 3)</t>
  </si>
  <si>
    <t>By. Biaya ADMIN BANK 3.740 (D18 NURASIA TAHAP 3)</t>
  </si>
  <si>
    <t>PENGAKUAN PENDAPATAN DAN PEMBAYARAN UTANG KPP PENCAIRAN 1 UNIT</t>
  </si>
  <si>
    <t>Adj HPP April 12 Unit</t>
  </si>
  <si>
    <t>By. Biaya PEMBAYARAN 5 TUKANG AKBAR  TAHAP 3 TOTAL 33.000.000 TERRSISA 9.000.000</t>
  </si>
  <si>
    <t xml:space="preserve">By. Biaya ADM </t>
  </si>
  <si>
    <t>By. Biaya GAJI KARYAWAN APRIL (TANGGUNGAN ARYA 15.903.510, TANGGUNGAN H.NASRUN 13.903.466)</t>
  </si>
  <si>
    <t>By. Biaya GAJI DIREKTUR OM TAHIR (TANGGUNGAN HJ. NASRUN  TUKAR PEMBAYARAN MATERIAL ALAM)</t>
  </si>
  <si>
    <t>By. Biaya GAJI KONTEN KREATOR KAK SHINTA (TANGGUNGAN HJ. NASRUN  TUKAR PEMBAYARAN MATERIAL ALAM)</t>
  </si>
  <si>
    <t>By. Biaya PIUTANG KEKUARANGAN IURAN UNTUK GAJI SATPAM SN3 TAHAP 3 DAN TAHAP 4</t>
  </si>
  <si>
    <t>By. Biaya GAJI SECURITY SN1, SN2, PENJAGA ALAT (TANGGUNGAN HJ. NASRUN  TUKAR PEMBAYARAN MATERIAL ALAM)</t>
  </si>
  <si>
    <t xml:space="preserve">By. Biaya IURAN WAJIB SATARA </t>
  </si>
  <si>
    <t>By. Biaya FEE AKAD BLOK E28 DAN E30 TAHAP 3</t>
  </si>
  <si>
    <t>By. Biaya FEE AKAD D5, D2, DAN D18 TAHAP 3</t>
  </si>
  <si>
    <t>By. Biaya FEE AKAD D17 TAHAP 3</t>
  </si>
  <si>
    <t>By. Biaya FEE AKAD E23 TAHAP 3</t>
  </si>
  <si>
    <t>By. Biaya FEE AKAD E6 TAHAP 3</t>
  </si>
  <si>
    <t>By. Biaya PEMBELIAN MATERIAL PABRIKASI RUKO SN3 (MATA GURINDA DAN KAWAT)</t>
  </si>
  <si>
    <t xml:space="preserve">By. Biaya TAMBAHAN GAJI KAK UMMU BULAN APRIL </t>
  </si>
  <si>
    <t>By. Biaya PIUTANG BARU HJ. BAPONG (ANGSURAN KE BANK DIBAYARKAN OLEH SN)</t>
  </si>
  <si>
    <t>Terima Uang Masuk atas PENGEMBALIAN DANA SN</t>
  </si>
  <si>
    <t>By. Biaya PEMBAYARAN DANA INVESTASI</t>
  </si>
  <si>
    <t>By. Biaya BONUS 750K X 18 UNIT UNTUK NADIA (</t>
  </si>
  <si>
    <t>By. Biaya BUDGET MARKETING ADS MEI 1</t>
  </si>
  <si>
    <t>By. Biaya FEE AKAD D3 NAZWA TAHAP 3</t>
  </si>
  <si>
    <t>By. Biaya PEMBAYARAN DP FASUM GAZEBO SN3</t>
  </si>
  <si>
    <t>By. Biaya PEMBELIAN JAM TANGAN PAK REFKY</t>
  </si>
  <si>
    <t xml:space="preserve">Terima Uang Masuk atas PENGEMBALIAN DANA DARI REKENING OWER </t>
  </si>
  <si>
    <t>By. Biaya PPH PENGURUSAN TANAH (TARI 598.500 DAN HARMIATI 17.570.250 MANGARABE, MUSI 14.556.500 TANAH SN3)</t>
  </si>
  <si>
    <t>By. Biaya PEMBAYARAN TANAH MANGARABE DG RIPING TERMIN 1 TOTAL 150.000.000 SISA 131.000.000</t>
  </si>
  <si>
    <t>By. Biaya PEMBERIAN PIUTANG BIAYA OPERASIONAL SATARA/BARRU BY MAHDI (TOL, CAS)</t>
  </si>
  <si>
    <t>By. Biaya PEMBAYARAN SUBKON KUSEN PAK SUBAIR TERMIN 5 TAHAP 3</t>
  </si>
  <si>
    <t xml:space="preserve">By. Biaya PEMBAYARAN MATERIAL PABRIKASI SN3 TAHAP 4 (BAMBU 10 BTG X 25K BALOK 52 BTG X 850K) </t>
  </si>
  <si>
    <t>By. Biaya PEMBAYARAN TERMIN 1 SUBKON TUKANG DG AGUS TAHAP 4 TOTAL 82,500,000 SISA 67.650.000</t>
  </si>
  <si>
    <t>By. Biaya DP PEMBELIAN KENDARAAN OPERASIONAL MOTOR KAISAR</t>
  </si>
  <si>
    <t>By. Biaya PEMBELIAN MATERIAL ALAM TAHAP 4 (BATU MERAH 21000 X 600)</t>
  </si>
  <si>
    <t>By. Biaya PEMBAYARAN MANGARABE (PPH TANAH DIAN DAMAYANTI )</t>
  </si>
  <si>
    <t>By. Biaya PEMBAYARAN MATERIAL PABRIKASI RUKO R1 SN3</t>
  </si>
  <si>
    <t>Terima Uang Masuk atas PENCAIRAN KPP TERMIN 3 TOTAL 4,5 M (SUDAH CAIR SEMUA)</t>
  </si>
  <si>
    <t xml:space="preserve">By. Biaya SIMPAN DI ARYA </t>
  </si>
  <si>
    <t>By. Biaya PEMBAYARAN MATERIAL PABRIKASI RUKO SN3 (PINTU BESI)</t>
  </si>
  <si>
    <t>By. Biaya BIAYA OPERSIONAL KANTOR SN BY UPI (ATK DAN TINTA PRINTER)</t>
  </si>
  <si>
    <t>By. Biaya BIAYA OPERASINOAL (MOUSE 80K,PAKET DATA 75K )</t>
  </si>
  <si>
    <t xml:space="preserve">By. Biaya PENGADAAN LAPANGAN BY UPI (SEPATU SECURITY 2 PCS) </t>
  </si>
  <si>
    <t>By. Biaya FEE PENJUALAN TANAH OM AKBAR</t>
  </si>
  <si>
    <t xml:space="preserve">By. Biaya PEMINDAHAN DANA UNTUK BIAYA ADMINISTRASI LAPANGAN  KE KAK UMMU </t>
  </si>
  <si>
    <t xml:space="preserve">Terima Uang Masuk atas REMBERS BATU MERAH </t>
  </si>
  <si>
    <t xml:space="preserve">Terima Uang Masuk atas PENERIMAAN ATAS BIAYA AKAD BLOK E6 TAHAP 3 KASMI </t>
  </si>
  <si>
    <t xml:space="preserve">By. Biaya PEMINDAHAN REKENING PEMBAYARA IURAN KEAMANA a.n ERNI </t>
  </si>
  <si>
    <t>By. Biaya PENGADAAN PERALATAN KANTOR BY UPI (LAPTOP ASUS)</t>
  </si>
  <si>
    <t xml:space="preserve">Terima Uang Masuk atas PENCAIRAN PLAFON KASMI E6 TAHAP 3  </t>
  </si>
  <si>
    <t xml:space="preserve">Terima Uang Masuk atas TAMBAHAN PENCAIRAN PLAFON KASMI E6 TAHAP 3  </t>
  </si>
  <si>
    <t>By. Biaya SIMPAN DANA DI ARYA</t>
  </si>
  <si>
    <t>By. Biaya PELUNASAN UTANG PEGADAIAN HJ SRI WAHYUNI</t>
  </si>
  <si>
    <t>Terima Uang Masuk atas PEMBAYARAN KE 6 RUKO R12 PAK SYAHRIR TOTAL 80 JT TERSISA 20 JT</t>
  </si>
  <si>
    <t xml:space="preserve">By. Biaya PEMBAYARAN FASUM PENGERJAAN SELOKAN SN3 </t>
  </si>
  <si>
    <t>By. Biaya PEMBAYARAN MATERIAL ALAM TAHAP 4 (BATU PECAH 43 X 300K)</t>
  </si>
  <si>
    <t>By. Biaya PEMBAYARAN HUTANG KPP SETIFIKAT F7 TAHAP 4</t>
  </si>
  <si>
    <t xml:space="preserve">By. Biaya BIAYA PPH E34 TAHAP 3 NANDI </t>
  </si>
  <si>
    <t xml:space="preserve">By. Biaya BIAYA PPH E3 TAHAP 3 NAPPA  </t>
  </si>
  <si>
    <t xml:space="preserve">By. Biaya BIAYA PPH E9 TAHAP 3 RIANI </t>
  </si>
  <si>
    <t>By. Biaya PENGELUARAN OPERASIONAL BY UPI (KOPI SECURITY)</t>
  </si>
  <si>
    <t>By. Biaya PEMBAYARAN TANAH TERMIN 1 MANGARABBE DG OMNYA OM AKBAR/BU ROHANI TOTAL 300,000,000 SISA 14.000.000</t>
  </si>
  <si>
    <t>By. Biaya PIUTANG PEMBAYARAN TANAH TERMIN 1 BARRU/ SATARA PROPERTY  H.RAHIM TOTAL 313,525,000 SISA 213,525,000.  PEMBAYARAN TANAH PAK KEPALA 1,000,000</t>
  </si>
  <si>
    <t>By. Biaya PEMBAYARAN AIR TAHAP 3 (1.545 X 5 BLOK E31, E34, E3, E9, E10)</t>
  </si>
  <si>
    <t>By. Biaya PEMBERIAN PIUTANG BIAYA OPERASIONAL SATARA/BARRU BY MAHDI (CAS)</t>
  </si>
  <si>
    <t>By. Biaya BIAYA PENGADAAN BY UPI (ONGKIR 3 KALI PENGIRIMAN BARANG KANTOR SN)</t>
  </si>
  <si>
    <t xml:space="preserve">By. Biaya PINJAM ARYA </t>
  </si>
  <si>
    <t xml:space="preserve">Terima Uang Masuk atas PENERIMAAN PENGEMBALIAN DP ATAS AKAD BLOK E34 TAHAP 3 NANDI  </t>
  </si>
  <si>
    <t>Terima Uang Masuk atas PENERIMAAN ATAS BIAYA AKAD BLOK E34 TAHAP 3 NANDI TOTAL 15, SISANYA DI TGL 8</t>
  </si>
  <si>
    <t>By. Biaya BIAYA OPERASIONAL BY KAK RESKI (PEMBELIAN KERTAS)</t>
  </si>
  <si>
    <t xml:space="preserve">Terima Uang Masuk atas PENERIMAAN PENGEMBALIAN DP ATAS AKAD BLOK E39 TAHAP 3 RIANI   </t>
  </si>
  <si>
    <t xml:space="preserve">Terima Uang Masuk atas DP F4  TAHAP 4 MAGHFIRA </t>
  </si>
  <si>
    <t>By. Biaya PERJALANAN DINAS KE JAKARTA KAHURIPAH SN3</t>
  </si>
  <si>
    <t>By. Biaya PENGEMBALIAN DP F9 TAHAP 4 PRATIWI BATAL SN3</t>
  </si>
  <si>
    <t>By. Biaya SUBKON SN3 TERMIN 4 PELUNASAN ZUL 13,3 JT PELUNASAN AKBAR 10 JT NUDING 15 JT IWANG 10 JT</t>
  </si>
  <si>
    <t xml:space="preserve">Terima Uang Masuk atas DP E33 TAHAP 3 HASRAWATI </t>
  </si>
  <si>
    <t xml:space="preserve">Terima Uang Masuk atas PELUNASAN PIUTANG BIAYA AKAD D21 TAHAP 3 NIASA </t>
  </si>
  <si>
    <t>Terima Uang Masuk atas PENERIMAAN KUKARANGAN  ATAS BIAYA  AKAD TGL 7 BLOK E34 TAHAP 3 NANDI TOTAL 15</t>
  </si>
  <si>
    <t xml:space="preserve">Terima Uang Masuk atas PENERIMAAN ATAS BIAYA  AKAD BLOK E9 TAHAP 3 RIANI </t>
  </si>
  <si>
    <t>Terima Uang Masuk atas DP F29 TAHAP 4NURHAYATI SN3</t>
  </si>
  <si>
    <t>By. Biaya PPH E31 TAHAP 3 TAKDIR SN3</t>
  </si>
  <si>
    <t>By. Biaya PPH E10 TAHAP 3 ARINI SN3</t>
  </si>
  <si>
    <t>By. Biaya PELUNASAN KENDARAAN OPERASIONAL (PEMBELIAN VIAR 1 UNIT)</t>
  </si>
  <si>
    <t>By. Biaya EKSPEDISI PEMBELIAN VIAR SN3</t>
  </si>
  <si>
    <t>By. Biaya BIAYA  AKAD BLOK E3 TAHAP 3 NAPPA (ADM BANK 1,575,000)</t>
  </si>
  <si>
    <t>By. Biaya BIAYA  AKAD BLOK E31 TAHAP 3 TKADIR  (ADM BANK 1,575,000)</t>
  </si>
  <si>
    <t>By. Biaya PEMBELIAN MATERIAL PABRIKASI TAHAP 3 (KACA POLOS 10 LBR X 148K )</t>
  </si>
  <si>
    <t xml:space="preserve">Terima Uang Masuk atas PENERIMAAN ATAS BIAYA  AKAD BLOK E31 TAHAP 3 TAKBIR,  </t>
  </si>
  <si>
    <t xml:space="preserve">Terima Uang Masuk atas PENERIMAAN ATAS BIAYA  AKAD BLOK E3 TAHAP 3 NAPPA </t>
  </si>
  <si>
    <t xml:space="preserve">By. Biaya BUDGET MARKETING ADS 2 </t>
  </si>
  <si>
    <t>By. Biaya PEMBAYARAN TERMIN 4  TAHAP 3SUBKON RUMAH DAHLAN 82,500,000 SISA 49,000,000 T</t>
  </si>
  <si>
    <t>By. Biaya ADM</t>
  </si>
  <si>
    <t>By. Biaya PEMBAYARAN TUKANG FASUM PAVING BLOCK DEPAN RUKO</t>
  </si>
  <si>
    <t xml:space="preserve">Terima Uang Masuk atas DP MUH HAIDIER ALI G7 TAHAP 4 </t>
  </si>
  <si>
    <t>By. Biaya PEMBAYARAN UPAH BURUH MANGARABE</t>
  </si>
  <si>
    <t xml:space="preserve">By. Biaya PELUNASAN PEMBAYARAN MURAL SN3 </t>
  </si>
  <si>
    <t xml:space="preserve">Terima Uang Masuk atas PENCAIRAN PLAFON KASMI E34 NANDI  DAN  E9 RIANI  TAHAP 3  </t>
  </si>
  <si>
    <t xml:space="preserve">By. Biaya KONSUMSI UNTUK ORANG CAPIL </t>
  </si>
  <si>
    <t>By. Biaya VOUCHER LISTRIK RUMAH KR LAWI PEMAKAIAN TUKANG</t>
  </si>
  <si>
    <t>By. Biaya PEMBAYARAN HUTANG KPP SETIFIKAT E23 TAHAP 3</t>
  </si>
  <si>
    <t xml:space="preserve">By. Biaya PEMBAYARAN PBB PENGURUSAN  TANAH HARMIATI MANGARABBE </t>
  </si>
  <si>
    <t>By. Biaya PEMBAYARAN PERBAIKAN LAPTOP KANTOR SN</t>
  </si>
  <si>
    <t>By. Biaya SUBKON TUKANG BASO/FAHRI TERMIN 1 TOTAL 49,500,000 SISA 39,5000,000</t>
  </si>
  <si>
    <t>By. Biaya PEMBAYARAN MATERIAL ALAM TAHAP 4 (UPAH BATU PECAH 10 MOBIL X 300K)</t>
  </si>
  <si>
    <t>By. Biaya PEMBAYARAN MATERIAL ALAM TAHAP 4 (BURUH ANGKAT BATU PECAH)</t>
  </si>
  <si>
    <t>By. Biaya PEMBAYARAN SUBKON ROSETER RIBAS TAHAP 3</t>
  </si>
  <si>
    <t>By. Biaya BIAYA ROYA BLOK E29 SN3 (PENEBUSAN SERTIFIKAT KPP)</t>
  </si>
  <si>
    <t>By. Biaya PEMBELIAN TAMBAHAN MATERAI AKAD ARINI ASPIATI TAHAP 3</t>
  </si>
  <si>
    <t>By. Biaya PEMBAYARAN MATERIAL PABRIKASI SN3 TAHAP3</t>
  </si>
  <si>
    <t>By. Biaya BIAYA  AKAD BLOK E10 TAHAP 3 ARINI (ADM BANK 3,740,000)</t>
  </si>
  <si>
    <t>By. Biaya VOUCHER POS 203K, AIR DOS PELUKIS 38K, RACUN 2 + ROKOK OM WAWI 200K.</t>
  </si>
  <si>
    <t>By. Biaya BIAYA POTONG KAYU MANGARABE</t>
  </si>
  <si>
    <t>By. Biaya VOUCHER LISTRIK PEMAKAIAN PELUKIS SN3</t>
  </si>
  <si>
    <t xml:space="preserve">By. Biaya PIUTANG PEMBAYARAN PENGURUSAN TANAH BARRU/SATARA PROPERTY BPHTB MUHAMMAD HUSNI 19.450.000 OFFLINE MEET 150K </t>
  </si>
  <si>
    <t>By. Biaya PEMBELIAN BENSIN VIAR SN3</t>
  </si>
  <si>
    <t>Terima Uang Masuk atas DP KELEBIHAN TANAH E23 RAHMAT RIZAKTI SN3</t>
  </si>
  <si>
    <t>By. Biaya PEMBAYRAN SUBKON RUKO PEMASANGAN LISTRIK SN3</t>
  </si>
  <si>
    <t>Terima Uang Masuk atas PENERIMAAN ATAS BIAYA AKAD BLOK E10 TAHAP 3 ASPITA</t>
  </si>
  <si>
    <t xml:space="preserve">By. Biaya BIAYA NOTARIS AKAD BLOK  E26, D17, E6, E9, E10, E28, E34 TAHAP 3 </t>
  </si>
  <si>
    <t xml:space="preserve">By. Biaya BIAYA NOTARIS AKAD BLOK  E3 DAN E31 TAHAP 3 </t>
  </si>
  <si>
    <t>By. Biaya BIAYA NOTARIS AKAD BLOK  D18 TAHAP 3 NURASIA</t>
  </si>
  <si>
    <t>Terima Uang Masuk atas PENGEMBALIAN DANA DARI REK BTN</t>
  </si>
  <si>
    <t>By. Biaya PEMBAYARAN TERMIN 6 SUBKON KUSEN SN3</t>
  </si>
  <si>
    <t>By. Biaya BIAYA PPH E29 EKAYULISA  DAN E5 RAHMATIA  SN3</t>
  </si>
  <si>
    <t>Terima Uang Masuk atas DP F9 TAUFAN/NATRI TAHAP 4 SN3</t>
  </si>
  <si>
    <t>Terima Uang Masuk atas PENERIMAAN ATAS BIAYA AKAD BLOK E29 TAHAP 3 SELFI</t>
  </si>
  <si>
    <t>Terima Uang Masuk atas TAMBAHAN DP TURUN PLAFON E29 SELFI</t>
  </si>
  <si>
    <t>By. Biaya PEMASANGAN AIR PDAM E5 RAHMATIA</t>
  </si>
  <si>
    <t>By. Biaya BAUDGET MARKETING ADS 3</t>
  </si>
  <si>
    <t>By. Biaya PEMBAYARAN BUNGA HUTANG KPP BRI 4,5 M</t>
  </si>
  <si>
    <t>By. Biaya REWARD TARUHAN TUKANG SN3</t>
  </si>
  <si>
    <t>Terima Uang Masuk atas DP SASMITA F10 T4 SN3</t>
  </si>
  <si>
    <t>Terima Uang Masuk atas PEMBAYARAN UTANG  TERMIN 3 KELEBIHAN TANAH B36 TESHA NANDA TOTAL 35,000,000 DAN SISA 26,000,000</t>
  </si>
  <si>
    <t>By. Biaya PINJAM ARYA (PIUTANG)</t>
  </si>
  <si>
    <t xml:space="preserve">Terima Uang Masuk atas PEMBAYARAN TERMIN 1 KELEBIHAN TANAH  FAIDUL AHDAR TAHAP 3  TOTAL  33 JT SISA PIUTANG 24 JT </t>
  </si>
  <si>
    <t>By. Biaya PEMBAYARAN MATERIAL PABRIKASI TAHAP 3 (ALAT LISTRIK)</t>
  </si>
  <si>
    <t>By. Biaya PEMBAYARAN TERMIN 6 SUBKON PEKERJA RUMAH DG RAJA TAHAP 3 TOTAL 82,500,000 SISA 66.000.0000</t>
  </si>
  <si>
    <t>By. Biaya PEMBAYARAN TERMIN 2 SUBKON PEKERJA RUMAH DG BASO 9 JT DG ANCA 5JT TAHAP 4 SN3</t>
  </si>
  <si>
    <t>By. Biaya DP PEMBELIAN TANAH MANGARABE DG MAHA/IBU DIKALIMANTAN TOTAL 128.000.000 SISA  110.000.000</t>
  </si>
  <si>
    <t>By. Biaya BIAYA OPERASIONAL LOKASI BY UPI TAHAP 3 (ROKOK, AIR DUS, KOPI, GALON)</t>
  </si>
  <si>
    <t>By. Biaya PEMBERSIHAN LAHAN MANGARABE (SOLAR)</t>
  </si>
  <si>
    <t>By. Biaya KOMSUMSI RAPAT TIM DI HAGEMONY</t>
  </si>
  <si>
    <t>By. Biaya ADMIN BANK ALVIA C51 SN1 (SALAH PAKE REK BESOK DI REIMBERS)</t>
  </si>
  <si>
    <t>By. Biaya PEMBAYARAN TANAH SHM KAK DIAN TERMIN  TOTAL 650.000.000</t>
  </si>
  <si>
    <t>By. Biaya PEMBELIAN MATERIAL PABRIKASI RUKO SN3 (DEMPUL)</t>
  </si>
  <si>
    <t xml:space="preserve">By. Biaya BIAYA PENGURUSAN  MANGARABE PENGALIHAN TANAH ARIFIN </t>
  </si>
  <si>
    <t>By. Biaya PDAM D23 ROSI DAN E32 IDIL TAHAP 3</t>
  </si>
  <si>
    <t>By. Biaya PEMBELIAN MATERAI AKAD D23 ROSI DAN E32 IDIL TAHAP 3</t>
  </si>
  <si>
    <t>By. Biaya PPH D23 ROSI TAHAP 3</t>
  </si>
  <si>
    <t>By. Biaya PPH  E32 IDIL TAHAP 3</t>
  </si>
  <si>
    <t xml:space="preserve">Terima Uang Masuk atas PENGEMBALIAN DANA SN 3 DARI REKENING OWNER </t>
  </si>
  <si>
    <t xml:space="preserve">By. Biaya DP FASILITAS UMUM PAVING BLOCK </t>
  </si>
  <si>
    <t xml:space="preserve">By. Biaya PEMBAYARAN JASA BRANDING SN HILLS MANGARABE </t>
  </si>
  <si>
    <t>By. Biaya SUBKON LISTRIK DG LABBANG TAHAP 3</t>
  </si>
  <si>
    <t xml:space="preserve">By. Biaya GAJI HARIAN  TUKANG FASUM SN3 </t>
  </si>
  <si>
    <t>By. Biaya PEMBAYARAN MATERIAL ALAM BURUH BATU 70K X 7 MBL TAHAP 4</t>
  </si>
  <si>
    <t xml:space="preserve">By. Biaya PEMBAYARAN UPAH KERJA PINTU BESI RUKO 2 PINTU </t>
  </si>
  <si>
    <t>By. Biaya PEMBAYARAN TERMIN 2 SUBKON TUKANG DG SAPRI TOTAL 33.000.000 SISA 21.900.000 TAHAP 4</t>
  </si>
  <si>
    <t>By. Biaya PEMBAYARAN TERMIN 7 SUBKON TUKANG RAJA TOTAL 82,500,000 SISA 70,000,000 TAHAP 3</t>
  </si>
  <si>
    <t xml:space="preserve">By. Biaya PEMBAYARAN PEMBERSIHAN MANGARABBE BURUH BAGIAN BELAKANG </t>
  </si>
  <si>
    <t>By. Biaya BIAYA KELENGKAPAN  F5 TAHAP 4 JUSMA (PPH 1,730,000. PDAM 1.545.000 DAN MATERAI 500.000)</t>
  </si>
  <si>
    <t>By. Biaya BIAYA KELENGKAPAN  E4 TAHAP 3 ULFA (PPH 1,730,000. PDAM 1.545.000 DAN MATERAI 500.000)</t>
  </si>
  <si>
    <t>By. Biaya PEMBELIAN BENSIT UNTUK GENSET SN3</t>
  </si>
  <si>
    <t>By. Biaya PEMBAYARAN HUTANG KPP SETIFIKAT D23 TAHAP 3</t>
  </si>
  <si>
    <t xml:space="preserve">By. Biaya PERCOBAAN REKENING </t>
  </si>
  <si>
    <t xml:space="preserve">By. Biaya BUDGET MARKETING ADS SN 1 TANGGUNGAN H.NASRUN TUKAR MATERIAL ALAM/ALAT BERAT </t>
  </si>
  <si>
    <t>By. Biaya BUDGET MARKETING ADS SN 3</t>
  </si>
  <si>
    <t>By. Biaya PEMBAYARAN TANAH TERMIN 2 MANGARABBE DG NIO/ HARMIATI TOTAL 300,000,000 (LUNAS)</t>
  </si>
  <si>
    <t>By. Biaya PEMBAYARAN BIAYA OPERASIONAL PEMBELIAN BENSIN GENSET 5 LITER SN 3</t>
  </si>
  <si>
    <t xml:space="preserve">By. Biaya PEMBELIAN MATERIAL PABRIKASI BAMBU 25K X 20 BATANG TAHAP 4 SN3 </t>
  </si>
  <si>
    <t>By. Biaya BIAYA  AKAD BLOK E4 TAHAP 3 ULFA (DP AKAD 8,000,000, ADM BANK 3,740,000)</t>
  </si>
  <si>
    <t>By. Biaya BIAYA  AKAD BLOK F5 TAHAP 4 JUSMA (DP AKAD 8,000,000, ADM BANK 3,740,000)</t>
  </si>
  <si>
    <t xml:space="preserve">Terima Uang Masuk atas PENERIMAAN PENGEMBALIAN DP ATAS AKAD BLOK E4 TAHAP 3 ULFA </t>
  </si>
  <si>
    <t>Terima Uang Masuk atas PENERIMAAN PENGEMBALIAN DP ATAS AKAD BLOK F5 TAHAP 4 JUSMA</t>
  </si>
  <si>
    <t>Terima Uang Masuk atas PENERIMAAN ATAS BIAYA AKAD BLOK E4 TAHAP 3 ULFA</t>
  </si>
  <si>
    <t>By. Biaya PEMBELIAN MATERIAL PABRIKASI NITTO UNTUK PEMBANGUNAN RUKO SN3</t>
  </si>
  <si>
    <t xml:space="preserve">By. Biaya BIAYA NOTARIS AKAD BLOK E29 TAHAP 3 LINGGA RAMADHAN </t>
  </si>
  <si>
    <t>By. Biaya BIAYA PEMBERSIHAN LANAH MANGARABBE (PELUNASAN BURUH 400.000, SOLAR 100.000, BURUH AKAR 550.0000)</t>
  </si>
  <si>
    <t>By. Biaya PEMBELIAN PLAT RUMAH 37 PCS UNTUK TAHAP 3 SN 3 (MASUK HPP)</t>
  </si>
  <si>
    <t xml:space="preserve">Terima Uang Masuk atas PENERIMAAN ATAS BIAYA AKAD BLOK E1 TAHAP 3 EKAYULISA </t>
  </si>
  <si>
    <t>Terima Uang Masuk atas PENERIMAAN ATAS BIAYA AKAD BLOK F3 TAHAP 4 ERMAWATI</t>
  </si>
  <si>
    <t>By. Biaya BIAYA  AKAD BLOK E32 TAHAP 3 IDIL AKABR (DP AKAD 8,000,000, ADM BANK 3,740,000)</t>
  </si>
  <si>
    <t xml:space="preserve">By. Biaya BIAYA PPH E1TAHAP 3 EKAYULISA  </t>
  </si>
  <si>
    <t xml:space="preserve">By. Biaya BIAYA PPH F3 TAHAP 4 ERNAWATI </t>
  </si>
  <si>
    <t xml:space="preserve">By. Biaya BIAYA PDAM (BLOK E1 TAHAP 3 EKAYULISA 1.545.000, BLOK F3 TAHAP 4 ERNAWATI) </t>
  </si>
  <si>
    <t>By. Biaya PEMBERIAN PIUTANG BIAYA OPERASIONAL SATARA/ BARRU BY MAHDI (ROKOK DAN MAKAN TUKANG 5 ORANG)</t>
  </si>
  <si>
    <t>Terima Uang Masuk atas PENERIMAAN PENGEMBALIAN DP ATAS AKAD BLOK E32 TAHAP 3 IDIL AKABR</t>
  </si>
  <si>
    <t>Terima Uang Masuk atas PENERIMAAN PENCAIRAN DANA TERTAHAN JAMINAN TAHAP 1  SN 3 (ANAS B21, ILHAM B22, AJIS MUBARAK B28, NURIDA  B32) 5.190</t>
  </si>
  <si>
    <t xml:space="preserve">By. Biaya SALAH TF </t>
  </si>
  <si>
    <t xml:space="preserve">Terima Uang Masuk atas REMBERS SALAH TF </t>
  </si>
  <si>
    <t>By. Biaya PEMBAYARAN BPJS KESEHATAN STAFF SN3</t>
  </si>
  <si>
    <t xml:space="preserve">By. Biaya FASUM WIFI SN3 CCTV PERUMAHAN </t>
  </si>
  <si>
    <t xml:space="preserve">By. Biaya WIFI KANTOR SN </t>
  </si>
  <si>
    <t>By. Biaya BIAYA  AKAD BLOK F3 TAHAP 4 ERMAWATI (DP AKAD 8,000,000, ADM BANK 3,740,000)</t>
  </si>
  <si>
    <t>By. Biaya BIAYA  AKAD BLOK E1 TAHAP 3 EKA YULISA (DP AKAD 8,000,000, ADM BANK 3,740,000)</t>
  </si>
  <si>
    <t xml:space="preserve">Terima Uang Masuk atas PENERIMAAN PENGEMBALIAN DP ATAS AKAD BLOK F3  TAHAP 4 ERMAWATI  </t>
  </si>
  <si>
    <t xml:space="preserve">Terima Uang Masuk atas PENERIMAAN PENGEMBALIAN DP ATAS AKAD BLOK F1  TAHAP 3 EKA YULISA   </t>
  </si>
  <si>
    <t>By. Biaya PENDAFTARANI NIDI SLO UNTUK PEMBANGUNAN RUKO SN3</t>
  </si>
  <si>
    <t>By. Biaya PERJALANA  DINAS JAKARTA BY. MAHDI (TRANSPORT, MAKAN, PADEL)</t>
  </si>
  <si>
    <t xml:space="preserve">By. Biaya PENGELUARAN OPERASIONAL RAPAT ALONICA DAN PEMBELIAN BUKU </t>
  </si>
  <si>
    <t>By. Biaya PEMBERIAN PIUTANG OPERASIONL SATARA/BARRU BY MAHDI (UANG NGOPI, BENSIN SENSONG)</t>
  </si>
  <si>
    <t>By. Biaya PEMBERIAN PIUTANG OPERASIONL SATARA/BARRU BY MAHDI (UANG ROKOK TUKANG)</t>
  </si>
  <si>
    <t>By. Biaya PEMBERIAN PIUTANG OPERASIONL SATARA/BARRU BY MAHDI (MAKAN TUKANG)</t>
  </si>
  <si>
    <t>By. Biaya PEMBERIAN PIUTANG SATARA/BARRU 20 JT PERORANG (DP TANAH MASSIANAI, NENI, MAKMUS, TAHIR )</t>
  </si>
  <si>
    <t>PENGAKUAN TANAH MANGARABE DG RIPING TERMIN 1 TOTAL 150.000.000 SISA 131.000.000</t>
  </si>
  <si>
    <t xml:space="preserve">By. Biaya KOMSUMSI BRI 121K </t>
  </si>
  <si>
    <t xml:space="preserve">PENGAKUAN PENERIMAAN ATAS BLOK E6 TAHAP 3 KASMI </t>
  </si>
  <si>
    <t>By. Biaya BIAYA  AKAD BLOK E34 TAHAP 3 NANDI ADM BANK 3,740,000)</t>
  </si>
  <si>
    <t>By. Biaya BIAYA  AKAD BLOK E34 TAHAP 3 NANDI (DP AKAD 8,000,000)</t>
  </si>
  <si>
    <t>By. Biaya BIAYA  AKAD BLOK E9 TAHAP 3 RIANI ( ADM BANK 3,740,000)</t>
  </si>
  <si>
    <t>By. Biaya BIAYA  AKAD BLOK E9 TAHAP 3 RIANI (DP AKAD 8,000,000)</t>
  </si>
  <si>
    <t>PENGAKUAN PENDAPATAN ATAS BLOK E34 TAHAP 3 NANDI TOTAL 15</t>
  </si>
  <si>
    <t xml:space="preserve">PENGAKUAN PENDAPATAN ATAS BLOK E9 TAHAP 3 RIANI </t>
  </si>
  <si>
    <t xml:space="preserve">PENGAKUAN PENDAPATAN ATAS BLOK E31 TAHAP 3 TAKBIR,  </t>
  </si>
  <si>
    <t xml:space="preserve">PENGAKUAN PENDAPATAN BLOK E3 TAHAP 3 NAPPA </t>
  </si>
  <si>
    <t xml:space="preserve">PENGAKUAN PENDAPATAN DAN PEMBAYARAN UTANG KPP PENCAIRAN PLAFON KASMI E34 NANDI  DAN  E9 RIANI  TAHAP 3  </t>
  </si>
  <si>
    <t>PENGAKUAN PENDAPATAN BLOK E10 TAHAP 3 ASPITA</t>
  </si>
  <si>
    <t>PENGAKUAN PENDAPATAN BLOK E29 TAHAP 3 SELFI</t>
  </si>
  <si>
    <t xml:space="preserve">PENGAKUAN PENDAPATAN KELEBIHAN TANAH  FAIDUL AHDAR TAHAP 3  TOTAL  33 JT SISA PIUTANG 24 JT </t>
  </si>
  <si>
    <t>PENGAKUAN ASET ATAS PEMBELIAN TANAH MANGARABE DG MAHA/IBU DIKALIMANTAN TOTAL 128.000.000 SISA  110.000.000</t>
  </si>
  <si>
    <t>By. Biaya BIAYA  AKAD BLOK E29 TAHAP 3 LINGGA (DP AKAD 13,500,000)</t>
  </si>
  <si>
    <t>By. Biaya BIAYA  AKAD BLOK E29 TAHAP 3 LINGGA (ADM BANK 1,277,500)</t>
  </si>
  <si>
    <t>By. Biaya BIAYA  AKAD BLOK E29 TAHAP 3 LINGGA (SKMHT 500.000)</t>
  </si>
  <si>
    <t>PENGAKUAN PENDAPATAN BLOK E4 TAHAP 3 ULFA</t>
  </si>
  <si>
    <t xml:space="preserve">PENGAKUAN PENDAPATAN BLOK E1 TAHAP 3 EKAYULISA </t>
  </si>
  <si>
    <t>PENGAKUAN PENDAPATAN BLOK F3 TAHAP 4 ERMAWATI</t>
  </si>
  <si>
    <t>BIAYA ATK</t>
  </si>
  <si>
    <t>GAJI &amp; TUNJANGAN</t>
  </si>
  <si>
    <t>BIAYA INTERNET KANTOR</t>
  </si>
  <si>
    <t xml:space="preserve">Terima Uang Masuk atas PENCAIRAN DANA SBUM 5 UNIT (TAHAP 1 : A10, B37, A16, B31, B42) </t>
  </si>
  <si>
    <t>By. Biaya PEMBAYARAN BPHTB PENGURUSAN TANAH PAK PINCA TAHAP 5</t>
  </si>
  <si>
    <t>By. Biaya PEMBAYARAN PPH TANAH PAK PINCA TAHAP 5</t>
  </si>
  <si>
    <t>By. Biaya PBB F23 TANAH PAK PINCA TAHAP 5</t>
  </si>
  <si>
    <t>Terima Uang Masuk atas PENCAIRAN DAJAM BANK BTN (TAHAP 1 : A13) (TAHAP 2: B49, C1, C24, C12)</t>
  </si>
  <si>
    <t>By. Biaya PEMBAYARAN DP TANAH 2 MANGARABBE HARMIATI -DG.NIO</t>
  </si>
  <si>
    <t>By. Biaya PEMBAYARAN DP TANAH 2 MANGARABBE HARMIATI -DG.NIO NILAI 300JT</t>
  </si>
  <si>
    <t>By. Biaya PEMBAYARAN DP TANAH 3 MANGARABBE KAK DIAN</t>
  </si>
  <si>
    <t>PENGAKUAN ASET ATAS TANAH 3 MANGARABBE KAK DIAN</t>
  </si>
  <si>
    <t>BU ROHANI</t>
  </si>
  <si>
    <t>PENGAKUAN ASET ATAS TANAH TERMIN 1 MANGARABBE DG OMNYA OM AKBAR/BU ROHANI TOTAL 300,000,000 TUKAR RUKO 285JT (TUNAI 15JT SISA 14.000.000)</t>
  </si>
  <si>
    <t>PENGAKUAN PENDAPATAN ATAS TANAH TERMIN 1 MANGARABBE DG OMNYA OM AKBAR/BU ROHANI TOTAL 300,000,000 TUKAR RUKO 285JT (TUNAI 15JT SISA 14.000.000)</t>
  </si>
  <si>
    <t>PENGAKUAN HPP RUKO ATAS TANAH TERMIN 1 MANGARABBE DG OMNYA OM AKBAR/BU ROHANI TOTAL 300,000,000 TUKAR RUKO 285JT (TUNAI 15JT SISA 14.000.000)</t>
  </si>
  <si>
    <t>DG IWAN/mustari</t>
  </si>
  <si>
    <t>DG NIO/HARMIATI</t>
  </si>
  <si>
    <t>DG RIPING/ARIFIN</t>
  </si>
  <si>
    <t>By. Biaya PEMBAYARAN TANAH MANGARABE DG RIPING TERMIN 1 TOTAL 150.000.000 SISA 130.000.000</t>
  </si>
  <si>
    <t>By. Biaya PEMBAYARAN TANAH MANGARABE Kak Dian</t>
  </si>
  <si>
    <t>By. Biaya PEMBAYARAN TANAH SN3 TAHAP 5 DG ARI</t>
  </si>
  <si>
    <t>By. Biaya PEMBAYARAN TANAH MANGARABE dg nio-HARMIATI</t>
  </si>
  <si>
    <t>By. Biaya PELUNASAN TANAH 1 MANGARABBE MUSTARI/DG IWAN</t>
  </si>
  <si>
    <t>By. Biaya PEMBAYARAN DP TANAH 1 MANGARABBE PAK IRWAN IRYANTO/DG IWANG/MUSTARI</t>
  </si>
  <si>
    <t>By. Biaya PEMBAYARAN DP TANAH 1 MANGARABBE PAK IRWAN IRYANTO NILAI 90JT/DG IWANG/MUSTARI</t>
  </si>
  <si>
    <t>Terima Uang Masuk atas PENGEMBALIAN DANA</t>
  </si>
  <si>
    <t>Terima Uang Masuk atas PENGEMBALIAN DANA UANG SN3 (DANA SIMPANAN DARI BANK BTN</t>
  </si>
  <si>
    <t>Terima Uang Masuk atas PENGEMBALIAN DANA REKENING OWNER</t>
  </si>
  <si>
    <t>MATERIAL PABRIKASI</t>
  </si>
  <si>
    <t>MATERIAL ALAM</t>
  </si>
  <si>
    <t>SUBKON TUKANG</t>
  </si>
  <si>
    <t>PAK KEPALA Muhammad Husni</t>
  </si>
  <si>
    <t>By. Biaya PEMBERIAN PINJAMAN KEPADA SATARA PROPERTY (PEMBAYARAN TANAH BARRU) Pak Kepala Muhammad Husni</t>
  </si>
  <si>
    <t xml:space="preserve">By. Biaya PIUTANG PEMBAYARAN TANAH BARRU/SATARA PROPERTY Barru Muhammmad Husni Pak Kepala TERMIN TOTAL 630 SISA </t>
  </si>
  <si>
    <t>By. Biaya PEMBERIAN PINJAMAN KEPADA SATARA PROPERTY (PEMBAYARAN TANAH PAK KEPALA muhammad Husni)</t>
  </si>
  <si>
    <t>By. Biaya PEMBERIAN PINJAMAN KEPADA SATARA PROPERTY DP tanah Barru H.Rahim total 393.525.000</t>
  </si>
  <si>
    <t xml:space="preserve">By. Biaya PIUTANG SATARA PROPERTY KE SN3 PELUNASAN TANGGAL 29/4 BIJAK BAYAR PAJAK </t>
  </si>
  <si>
    <t>By. Biaya PEMBERIAN PINJAMAN KEPADA SATARA PROPERTY BIJAK BAYAR PAJAK 5jt dan Ngopi 100rb</t>
  </si>
  <si>
    <t>By. Biaya PEMBERIAN PINJAMAN KEPADA SATARA PROPERTY UNTUK (PEMBAYARAN DP TANAH PERUMAHAN BARRU KEPADA MUHAMMAD HUSNI Pak Kepala)</t>
  </si>
  <si>
    <t>PENGAKUAN TANAH DG RAMANG TAHAP 5 TOTAL 95 JT</t>
  </si>
  <si>
    <t>Tanah Dg Ramang</t>
  </si>
  <si>
    <t>PENGAKUAN ASET ATAS TANAH KEPADA DG JUANDI USMAN 1,069,000</t>
  </si>
  <si>
    <t>By. Biaya PEMBAYARAN DP PEMBELIAN TANAH MANGARABBE 3 LOKASI (PEMILIK 1 MUSTARI BIN LEWA PEMILIK 2 HARMIATI PEMILIK 3Dian)</t>
  </si>
  <si>
    <t>By. Biaya PEMBAYARAN TANAH PAK KEPALA BARRU Muhammad Husni</t>
  </si>
  <si>
    <t>Dg Maha</t>
  </si>
  <si>
    <t xml:space="preserve"> TANAH 3 Massinai</t>
  </si>
  <si>
    <t>TANAH 2 Neni</t>
  </si>
  <si>
    <t>TANAH 4 Muh tahir Sapa</t>
  </si>
  <si>
    <t>TANAH 1 Maksum</t>
  </si>
  <si>
    <t>22 - SKUR BRI 500jt</t>
  </si>
  <si>
    <t>10 - Cilem PGD Mariso 25 (4)</t>
  </si>
  <si>
    <t>8 - Cilem BSI 50</t>
  </si>
  <si>
    <t>4 - Cilem PGD Bantaeng 5</t>
  </si>
  <si>
    <t>Kredit Emas 50 (2)</t>
  </si>
  <si>
    <t>27 - Kredit Emas PGD Mariso 25</t>
  </si>
  <si>
    <t>14 - Ruko Maccini</t>
  </si>
  <si>
    <t>Kredit 500Jt Pak Awal</t>
  </si>
  <si>
    <t>PENGAKUAN PENCAIRAN PINJAM SKUR 500 JT(TIDAK CUKUP 500 JT KARENA SALDO TERBLOKIR 62,5 JT, ASURANSI 3,5 JT, ADMIN 7,5 JT, NOTARIS 5,9 JT TOTAL 79,4 JT) TOTAL DANA MASUK HARUSNYA 420 JT TAPI REALISASI 435 JT KARENA 15 JT UANG TALANGAN DARI SN</t>
  </si>
  <si>
    <t>22 - SKUR 500 JT</t>
  </si>
  <si>
    <t>Terima Uang Masuk atas DANA INVESTASI UNTUK SN3 DARI Pak Awal BIAYA PER 4 BULAN</t>
  </si>
  <si>
    <t>Terima Uang Masuk atas DANA INVESTASI UNTUK SN3 DARI Pak Awal SETORAN 31 MARET 2027</t>
  </si>
  <si>
    <t>Terima Uang Masuk atas DANA INVESTASI UNTUK SN3 DARI Pak Awal DIKEMBALIKAN 27 MARET 2027</t>
  </si>
  <si>
    <t>PENGAKUAN ASET CICILAN EMAS 25 X 4 KEPING PEGADAIAN MARISO 3 TAHUN</t>
  </si>
  <si>
    <t>PENGAKUAN ASET KREDIT EMAS 25 PEGADAIAN MARISO PER 4 BULAN</t>
  </si>
  <si>
    <t>PENGAKUAN ASET CICILAN EMAS BSI 50 gr 3 TAHUN</t>
  </si>
  <si>
    <t>PENGAKUAN KREDIT INVESTASI EMAS 50 X 2 PER 4 BULAN</t>
  </si>
  <si>
    <t>By. Biaya PEMBELIAN EMAS UNTUK INVESTASI 100 GRAM (25 X4) DP 42 JT (-20 JT DP DIBAYAR BULAN DEPAN)</t>
  </si>
  <si>
    <t>By. Biaya PEMBAYARAN UTANG DP EMAS PEGADAIAN 100 GRAM (25 X 4) (HARUSNYA 42 JT DIBAYARKAN BARU 22 JT)</t>
  </si>
  <si>
    <t xml:space="preserve">SPEMBAYARAN SUBKON DG MUNASSAR R9 RUKO </t>
  </si>
  <si>
    <t>PEMBAYARAN MATERIAL ALAM TAHAP 4 (BURUH ANGKAT MOBIL 70K X 6 MBL)</t>
  </si>
  <si>
    <t xml:space="preserve">PENCAIRAN AKAD PLAFON E29 TAHAP 3 LINGGA </t>
  </si>
  <si>
    <t xml:space="preserve">PEMBAYARAN ANGSURAN KUR MANDIRI DARI 500 JT </t>
  </si>
  <si>
    <t xml:space="preserve">PEMBAYARAN DG TAYANG TUKANG POTONG POHON MANGARABE </t>
  </si>
  <si>
    <t xml:space="preserve">PEMINDAHAN DANA KE REKENING BSI OWNER </t>
  </si>
  <si>
    <t xml:space="preserve">PENGEMBALIAN BIAYA AKAD E32 TAHAP 3 IDIL AKBAR </t>
  </si>
  <si>
    <t>PENERIMAAN PIUTANG CASH LUNAK D5 TAHAP 3 FITRIA</t>
  </si>
  <si>
    <t xml:space="preserve">REMBERS TANAH BATAL DP MANGARABE DG MAHA TGL 18/05 </t>
  </si>
  <si>
    <t xml:space="preserve">DP G1 TAHAP 4 SULFITRIANI </t>
  </si>
  <si>
    <t>PEMBAYARAN MATERIAL ALAM TAHAP 4 (PEMBAYARAN UPAH BATU PECAH 300K X 10 MOBIL)</t>
  </si>
  <si>
    <t xml:space="preserve">PENGEMBALIAN DANA KELEBIHAN TF 10 JT ATAS TRANSAKSI PAS DIATAS </t>
  </si>
  <si>
    <t xml:space="preserve">PEMBAYARAN FASUM BORONGAN SELOKAN 5 UNIT TAHAP 3 </t>
  </si>
  <si>
    <t xml:space="preserve">Terima Uang Masuk atas PENCAIRAN AKAD PLAFON E29 TAHAP 3 LINGGA </t>
  </si>
  <si>
    <t xml:space="preserve">By. Biaya PEMBAYARAN ANGSURAN KUR MANDIRI DARI 500 JT </t>
  </si>
  <si>
    <t xml:space="preserve">By. Biaya PEMBAYARAN DG TAYANG TUKANG POTONG POHON MANGARABE </t>
  </si>
  <si>
    <t xml:space="preserve">By. Biaya PEMINDAHAN DANA KE REKENING BSI OWNER </t>
  </si>
  <si>
    <t xml:space="preserve">Terima Uang Masuk atas PENGEMBALIAN BIAYA AKAD E32 TAHAP 3 IDIL AKBAR </t>
  </si>
  <si>
    <t>Terima Uang Masuk atas PENERIMAAN PIUTANG CASH LUNAK D5 TAHAP 3 FITRIA</t>
  </si>
  <si>
    <t xml:space="preserve">Terima Uang Masuk atas REMBERS TANAH BATAL DP MANGARABE DG MAHA TGL 18/05 </t>
  </si>
  <si>
    <t xml:space="preserve">Terima Uang Masuk atas DP G1 TAHAP 4 SULFITRIANI </t>
  </si>
  <si>
    <t>By. Biaya PEMBAYARAN MATERIAL ALAM TAHAP 4 (PEMBAYARAN UPAH BATU PECAH 300K X 10 MOBIL)</t>
  </si>
  <si>
    <t xml:space="preserve">Terima Uang Masuk atas PENGEMBALIAN DANA KELEBIHAN TF 10 JT ATAS TRANSAKSI PAS DIATAS </t>
  </si>
  <si>
    <t xml:space="preserve">By. Biaya PEMBAYARAN FASUM BORONGAN SELOKAN 5 UNIT TAHAP 3 </t>
  </si>
  <si>
    <t xml:space="preserve">By. Biaya SPEMBAYARAN SUBKON DG MUNASSAR R9 RUKO </t>
  </si>
  <si>
    <t>By. Biaya PEMBAYARAN MATERIAL ALAM TAHAP 4 (BURUH ANGKAT MOBIL 70K X 6 MBL)</t>
  </si>
  <si>
    <t xml:space="preserve">PENGAKUAN PENDAPATAN ATAS E32 TAHAP 3 IDIL AKBAR </t>
  </si>
  <si>
    <t>By. Biaya MATERAI AKAD 5 LBR SN3 TAHAP 3</t>
  </si>
  <si>
    <t>PENGAKUAN PENDAPATAN ATAS CASH LUNAK D5 TAHAP 3 FITRIA</t>
  </si>
  <si>
    <t>HUTANG USAHA</t>
  </si>
  <si>
    <t xml:space="preserve">ADJ PERSEDIAAN ATAS TANAH BATAL DP MANGARABE DG MAHA TGL 18/05 </t>
  </si>
  <si>
    <t>PEMBERIAN PINJAMAN SATARA PROPERI/BARRU FASUM (BIAYA TUKANG DAN BAHAN MATERIAL PEMBUATAN DEKKER)</t>
  </si>
  <si>
    <t>TAMBAHAN PEMBERIAN PINJAMAN SATARA PROPERI/BARRU FASUM (BIAYA TUKANG DAN BAHAN MATERIAL PEMBUATAN DEKKER)</t>
  </si>
  <si>
    <t xml:space="preserve">PENGELUARAN KONSUMSI RAPAT FINANCE MAKASSAR 2 HARI </t>
  </si>
  <si>
    <t xml:space="preserve">PBB MENUNGGAK TANAH BU SUSAN TAHAP 5 </t>
  </si>
  <si>
    <t>PIUTANG SATARA PROPERTI (BIAYA SENSONG PENEBANGAN 50 POHON)</t>
  </si>
  <si>
    <t>SEWA PROYEKTOR RAPAT SN 2 HARI DI MAKASSAR</t>
  </si>
  <si>
    <t>PEMBELIAN OPERASIONAL KANTOR BY UPI (ATK, TEH KOTAK. BUKU)</t>
  </si>
  <si>
    <t>MAKAN MALAM RAPAT MAKASSAR (ARYA, UPI, K IRDA)</t>
  </si>
  <si>
    <t>PINJAM SATARA  PROPERTY/BARRU OPERASIONAL (UANG HARIAN PENGAWAS 1 HARI)</t>
  </si>
  <si>
    <t>PINJAM SATARA  PROPERTY/BARRU OPERASIONAL (UANG MAKAN TUKANG 3 HARI, AIR DOS 4)</t>
  </si>
  <si>
    <t xml:space="preserve">PENERIMAAN ATAS TAMBAHAN DP E5 TAHAP 3 RAHMATIA </t>
  </si>
  <si>
    <t xml:space="preserve">PEMBERIAN PIUTANG KEPADA H. NASRUM (ORTU ARYA)  UNTUK DAJAM </t>
  </si>
  <si>
    <t>PENCAIRAN PLAFON TAHAP 3 (E32 IDIL AKBAR, E4 ULFA PUTRI, E1 EKA YULISA), TAHAP 4 (F5 JUSMA, F3 ERNAWATI)</t>
  </si>
  <si>
    <t>BIAYA AKAD TAHAP 3 E5 RAHMATIA (DP AKAD 8,000,000, ADM BANK 3,740,0000)</t>
  </si>
  <si>
    <t xml:space="preserve">PENCAIRAN DANA SBUM D18 TAHAP 3 NURASIA </t>
  </si>
  <si>
    <t xml:space="preserve">STIKER KEYBORD UNTUK KOMPUTER KANTOR </t>
  </si>
  <si>
    <t>PERRCEPATAN PENGECEKAN TAHAP 3 (D23, E32,E4), TAHAP 4 (F5 DAN F3)</t>
  </si>
  <si>
    <t xml:space="preserve"> KEBURUHAN RAPAT MAKASSAR (TISSU DAN OBAT)</t>
  </si>
  <si>
    <t>PEMBERIAN PIUTANG SATARA/BARRU BIAYA OPERASIONAL BY MAHDI (CHARGING,TOLL)</t>
  </si>
  <si>
    <t xml:space="preserve">PPH F2 TAHAP 4 MULIYADI </t>
  </si>
  <si>
    <t>BIAYA TAHAP 4 F2 MULIYADI (PDAM 1.545 DAN MATERAI 500K)</t>
  </si>
  <si>
    <t>BIAYA TAHAP 4 F9 NATRY (PDAM 1.545 DAN MATERAI 500K)</t>
  </si>
  <si>
    <t>BIAYA TAHAP 4 F10 SASMITA (PDAM 1.545 DAN MATERAI 500K)</t>
  </si>
  <si>
    <t xml:space="preserve">PENGEMBALIAN DP AKAD E5 TAHAP 3 RAHMATIA </t>
  </si>
  <si>
    <t>KEBUTUHAN RAPAT MAKASSAR (KONSUMSI RAPAT SEKALA TGL 24)</t>
  </si>
  <si>
    <t>KEBUTUHAN RAPAT MAKASSAR (MINUMAN RAPAT SEKALA TGL 24)</t>
  </si>
  <si>
    <t>KEBUTUHAN RAPAT MAKASSAR (TRANSPORTASI FULL)</t>
  </si>
  <si>
    <t xml:space="preserve">PEMBAYARAN CICILAN RUKO MACCINI </t>
  </si>
  <si>
    <t>PEMBERIAN PIUTANG SATARA PROPERTI/BARRU FASUM (MATERIAL PABRIKASI PEMBUATAN DEKKER)</t>
  </si>
  <si>
    <t>PEMBERIAN PIUTANG SATARA PROPERT/BARRU LAND CLEARING (DP BIAYA MATERIAL PENIMBUNAN)</t>
  </si>
  <si>
    <t xml:space="preserve">UANG SINGGAH </t>
  </si>
  <si>
    <t xml:space="preserve">PEMBERIAN PIUTANG BARU KEPADA ARYA </t>
  </si>
  <si>
    <t xml:space="preserve">PPH TAHAP 4 F10 SASMITA </t>
  </si>
  <si>
    <t xml:space="preserve">PPH TAHAP 4 F9 NATRI </t>
  </si>
  <si>
    <t>BIAYA OPERASIONAL KANTOR BY UPI (KARUNG, ROKOK, KERTAS)</t>
  </si>
  <si>
    <t>PEMBERIAN PIUTANG KEPADA SATARA PROPERTI/BARRU (MEETING DINAS PERIZINAN 200.000, TUKANG RUKO 2HARI 1.080.0000)</t>
  </si>
  <si>
    <t>PEMBERIAN PIUTANG SATARA PROPERTI/BARRU GAJI PENGAWAS LAPANGAN 2 HARI)</t>
  </si>
  <si>
    <t>PEMBAYARAN SUBKON TUKANG TAHAP 4</t>
  </si>
  <si>
    <t>PEMBAYARAN FASUM DP SUBKON SELOKAN 5 UNIT TAHAP 4</t>
  </si>
  <si>
    <t>PEMBAYARAN MATERIAL PABRIKASI LISTRIK TAHAP 3</t>
  </si>
  <si>
    <t xml:space="preserve">PELUNASAN SUBKON KUSEN TAHAP 3 </t>
  </si>
  <si>
    <t xml:space="preserve">PEMBAYARAN CICILAN EMAS PEGADAIAN BTG 10 GRAM </t>
  </si>
  <si>
    <t xml:space="preserve">PELUNASAN FASUM GASEBO TAHAP3 </t>
  </si>
  <si>
    <t>PEMBERIAN PINJAMAN SATARA PROPERTI/BARRU (PEMBAYARAN TANAH PAK KEPALA ATAU HUSNI TERMIN 7 TOTAL 390 JT SISA 195JT)</t>
  </si>
  <si>
    <t>PEMBAYARAN SUBKON RUKO R1 SN3</t>
  </si>
  <si>
    <t xml:space="preserve">PEMBAYARAN MATERIAL ALAM TAHAP 4 (UPAH BATU PECAH 300K X 9 MOBIL) </t>
  </si>
  <si>
    <t>PEMBAYARAN MATERIAL ALAM MANGARABBE TAHAP 4 (BURUH ANGKUT BATU 2 MOBIL)</t>
  </si>
  <si>
    <t>PEMBERIAN PINJAMAN SATARA PROPERTI/BARRU BY MAHDI (CHARGING, TOLL)</t>
  </si>
  <si>
    <t xml:space="preserve">PENERIMAAN ATAS BIAYA AKAD BLOK F3 TAHAP 4 MAULIADI </t>
  </si>
  <si>
    <t xml:space="preserve">PENERIMAAN ATAS BIAYA AKAD BLOK F30 TAHAP 4 ABDULL SATTAR </t>
  </si>
  <si>
    <t xml:space="preserve">PEMBELIAN SAPI IDUL AHDA SN3 </t>
  </si>
  <si>
    <t xml:space="preserve">BUDGET MARKETING ADS </t>
  </si>
  <si>
    <t>PENERIMAAN ATAS DANA TERTAHAN TAHAP 2 (C17 AHMAD,C11 SABRINA) TAHAP 3 (E30 NURLIA,D16 FAIDUL,D19 RAHMAT,D3 ALFAREZA, D20 RINA)</t>
  </si>
  <si>
    <t>BIAYA AKAD TAHAP 4 F2 MAULIDIN (DP AKAD 8,000,000, ADM BANK 3,740,0000)</t>
  </si>
  <si>
    <t>BIAYA AKAD TAHAP 4 F10 SASMITA  (DP AKAD 8,000,000, ADM BANK 3,740,0000)</t>
  </si>
  <si>
    <t>KWH RUKO 6 UNIT SN3</t>
  </si>
  <si>
    <t>PEMBAYARAN SUBKON TUKANG DANDI TAHAP 3</t>
  </si>
  <si>
    <t xml:space="preserve">PENGEMBALIAN DP AKAD F2 TAHAP 4 MULIADI </t>
  </si>
  <si>
    <t>PEMBERIAN PIUTANG BARRU/SATARA BY MAHDI (PEMBELIAN LAPTOP ASUS KANTOR 1 UNIT)</t>
  </si>
  <si>
    <t>PEMBERIAN PIUTANG BARRU/SATARA BY MAHDI (PEMBELIAN PRINTER EPSON KANTOR 1 UNIT)</t>
  </si>
  <si>
    <t xml:space="preserve">PENGEMBALIAN DP AKAD F10 TAHAP 4 SASMITA </t>
  </si>
  <si>
    <t>PEMBAYARAN PIUTANG H. NASRUN TGL 25/05 DAJAM TOTAL 82.500.000 SISA 16.5000.0000</t>
  </si>
  <si>
    <t>PEMBYARAN DP TANAH MARE SN3 TAHAP  6</t>
  </si>
  <si>
    <t>BIAYA AKAD TAHAP 3 D23 ROSI (ADM BANK )</t>
  </si>
  <si>
    <t>PENERUMAAN ATAS SBUM TAHAP 3 (D1 INDRIYANI, E25 YUSRI, D20 RINA, D16 FAIDUL)</t>
  </si>
  <si>
    <t>PEMBAYARAN MATERIAL PABRIKASI SN3 TAHAP 3</t>
  </si>
  <si>
    <t>By. Biaya PEMBERIAN PINJAMAN SATARA PROPERI/BARRU FASUM (BIAYA TUKANG DAN BAHAN MATERIAL PEMBUATAN DEKKER)</t>
  </si>
  <si>
    <t>By. Biaya TAMBAHAN PEMBERIAN PINJAMAN SATARA PROPERI/BARRU FASUM (BIAYA TUKANG DAN BAHAN MATERIAL PEMBUATAN DEKKER)</t>
  </si>
  <si>
    <t xml:space="preserve">By. Biaya PENGELUARAN KONSUMSI RAPAT FINANCE MAKASSAR 2 HARI </t>
  </si>
  <si>
    <t xml:space="preserve">By. Biaya PBB MENUNGGAK TANAH BU SUSAN TAHAP 5 </t>
  </si>
  <si>
    <t>By. Biaya PIUTANG SATARA PROPERTI (BIAYA SENSONG PENEBANGAN 50 POHON)</t>
  </si>
  <si>
    <t>By. Biaya SEWA PROYEKTOR RAPAT SN 2 HARI DI MAKASSAR</t>
  </si>
  <si>
    <t>By. Biaya PEMBELIAN OPERASIONAL KANTOR BY UPI (ATK, TEH KOTAK. BUKU)</t>
  </si>
  <si>
    <t>By. Biaya MAKAN MALAM RAPAT MAKASSAR (ARYA, UPI, K IRDA)</t>
  </si>
  <si>
    <t>By. Biaya PINJAM SATARA  PROPERTY/BARRU OPERASIONAL (UANG HARIAN PENGAWAS 1 HARI)</t>
  </si>
  <si>
    <t>By. Biaya PINJAM SATARA  PROPERTY/BARRU OPERASIONAL (UANG MAKAN TUKANG 3 HARI, AIR DOS 4)</t>
  </si>
  <si>
    <t xml:space="preserve">Terima Uang Masuk atas PENERIMAAN ATAS TAMBAHAN DP E5 TAHAP 3 RAHMATIA </t>
  </si>
  <si>
    <t xml:space="preserve">By. Biaya PEMBERIAN PIUTANG KEPADA H. NASRUM (ORTU ARYA)  UNTUK DAJAM </t>
  </si>
  <si>
    <t>Terima Uang Masuk atas PENCAIRAN PLAFON TAHAP 3 (E32 IDIL AKBAR, E4 ULFA PUTRI, E1 EKA YULISA), TAHAP 4 (F5 JUSMA, F3 ERNAWATI)</t>
  </si>
  <si>
    <t>By. Biaya BIAYA AKAD TAHAP 3 E5 RAHMATIA (DP AKAD 8,000,000, ADM BANK 3,740,0000)</t>
  </si>
  <si>
    <t xml:space="preserve">Terima Uang Masuk atas PENCAIRAN DANA SBUM D18 TAHAP 3 NURASIA </t>
  </si>
  <si>
    <t xml:space="preserve">By. Biaya STIKER KEYBORD UNTUK KOMPUTER KANTOR </t>
  </si>
  <si>
    <t>By. Biaya PERRCEPATAN PENGECEKAN TAHAP 3 (D23, E32,E4), TAHAP 4 (F5 DAN F3)</t>
  </si>
  <si>
    <t>By. Biaya  KEBURUHAN RAPAT MAKASSAR (TISSU DAN OBAT)</t>
  </si>
  <si>
    <t>By. Biaya PEMBERIAN PIUTANG SATARA/BARRU BIAYA OPERASIONAL BY MAHDI (CHARGING,TOLL)</t>
  </si>
  <si>
    <t xml:space="preserve">By. Biaya PPH F2 TAHAP 4 MULIYADI </t>
  </si>
  <si>
    <t>By. Biaya BIAYA TAHAP 4 F2 MULIYADI (PDAM 1.545 DAN MATERAI 500K)</t>
  </si>
  <si>
    <t>By. Biaya BIAYA TAHAP 4 F9 NATRY (PDAM 1.545 DAN MATERAI 500K)</t>
  </si>
  <si>
    <t>By. Biaya BIAYA TAHAP 4 F10 SASMITA (PDAM 1.545 DAN MATERAI 500K)</t>
  </si>
  <si>
    <t xml:space="preserve">Terima Uang Masuk atas PENGEMBALIAN DP AKAD E5 TAHAP 3 RAHMATIA </t>
  </si>
  <si>
    <t>By. Biaya KEBUTUHAN RAPAT MAKASSAR (KONSUMSI RAPAT SEKALA TGL 24)</t>
  </si>
  <si>
    <t>By. Biaya KEBUTUHAN RAPAT MAKASSAR (MINUMAN RAPAT SEKALA TGL 24)</t>
  </si>
  <si>
    <t>By. Biaya KEBUTUHAN RAPAT MAKASSAR (TRANSPORTASI FULL)</t>
  </si>
  <si>
    <t xml:space="preserve">By. Biaya PEMBAYARAN CICILAN RUKO MACCINI </t>
  </si>
  <si>
    <t>By. Biaya PEMBERIAN PIUTANG SATARA PROPERTI/BARRU FASUM (MATERIAL PABRIKASI PEMBUATAN DEKKER)</t>
  </si>
  <si>
    <t>By. Biaya PEMBERIAN PIUTANG SATARA PROPERT/BARRU LAND CLEARING (DP BIAYA MATERIAL PENIMBUNAN)</t>
  </si>
  <si>
    <t xml:space="preserve">Terima Uang Masuk atas UANG SINGGAH </t>
  </si>
  <si>
    <t xml:space="preserve">By. Biaya UANG SINGGAH </t>
  </si>
  <si>
    <t xml:space="preserve">By. Biaya PEMBERIAN PIUTANG BARU KEPADA ARYA </t>
  </si>
  <si>
    <t xml:space="preserve">By. Biaya PPH TAHAP 4 F10 SASMITA </t>
  </si>
  <si>
    <t xml:space="preserve">By. Biaya PPH TAHAP 4 F9 NATRI </t>
  </si>
  <si>
    <t>By. Biaya BIAYA OPERASIONAL KANTOR BY UPI (KARUNG, ROKOK, KERTAS)</t>
  </si>
  <si>
    <t>By. Biaya PEMBERIAN PIUTANG KEPADA SATARA PROPERTI/BARRU (MEETING DINAS PERIZINAN 200.000, TUKANG RUKO 2HARI 1.080.0000)</t>
  </si>
  <si>
    <t>By. Biaya PEMBERIAN PIUTANG SATARA PROPERTI/BARRU GAJI PENGAWAS LAPANGAN 2 HARI)</t>
  </si>
  <si>
    <t>By. Biaya PEMBAYARAN SUBKON TUKANG TAHAP 4</t>
  </si>
  <si>
    <t>By. Biaya PEMBAYARAN FASUM DP SUBKON SELOKAN 5 UNIT TAHAP 4</t>
  </si>
  <si>
    <t>By. Biaya PEMBAYARAN MATERIAL PABRIKASI LISTRIK TAHAP 3</t>
  </si>
  <si>
    <t xml:space="preserve">By. Biaya PELUNASAN SUBKON KUSEN TAHAP 3 </t>
  </si>
  <si>
    <t xml:space="preserve">By. Biaya PEMBAYARAN CICILAN EMAS PEGADAIAN BTG 10 GRAM </t>
  </si>
  <si>
    <t xml:space="preserve">By. Biaya PELUNASAN FASUM GASEBO TAHAP3 </t>
  </si>
  <si>
    <t>By. Biaya PEMBERIAN PINJAMAN SATARA PROPERTI/BARRU (PEMBAYARAN TANAH PAK KEPALA ATAU HUSNI TERMIN 7 TOTAL 390 JT SISA 195JT)</t>
  </si>
  <si>
    <t>By. Biaya PEMBAYARAN SUBKON RUKO R1 SN3</t>
  </si>
  <si>
    <t xml:space="preserve">By. Biaya PEMBAYARAN MATERIAL ALAM TAHAP 4 (UPAH BATU PECAH 300K X 9 MOBIL) </t>
  </si>
  <si>
    <t>By. Biaya PEMBAYARAN MATERIAL ALAM MANGARABBE TAHAP 4 (BURUH ANGKUT BATU 2 MOBIL)</t>
  </si>
  <si>
    <t>By. Biaya PEMBERIAN PINJAMAN SATARA PROPERTI/BARRU BY MAHDI (CHARGING, TOLL)</t>
  </si>
  <si>
    <t xml:space="preserve">Terima Uang Masuk atas PENERIMAAN ATAS BIAYA AKAD BLOK F3 TAHAP 4 MAULIADI </t>
  </si>
  <si>
    <t xml:space="preserve">Terima Uang Masuk atas PENERIMAAN ATAS BIAYA AKAD BLOK F30 TAHAP 4 ABDULL SATTAR </t>
  </si>
  <si>
    <t xml:space="preserve">By. Biaya PEMBELIAN SAPI IDUL AHDA SN3 </t>
  </si>
  <si>
    <t xml:space="preserve">By. Biaya BUDGET MARKETING ADS </t>
  </si>
  <si>
    <t>Terima Uang Masuk atas PENERIMAAN ATAS DANA TERTAHAN TAHAP 2 (C17 AHMAD,C11 SABRINA) TAHAP 3 (E30 NURLIA,D16 FAIDUL,D19 RAHMAT,D3 ALFAREZA, D20 RINA)</t>
  </si>
  <si>
    <t>By. Biaya BIAYA AKAD TAHAP 4 F2 MAULIDIN (DP AKAD 8,000,000, ADM BANK 3,740,0000)</t>
  </si>
  <si>
    <t>By. Biaya BIAYA AKAD TAHAP 4 F10 SASMITA  (DP AKAD 8,000,000, ADM BANK 3,740,0000)</t>
  </si>
  <si>
    <t>By. Biaya KWH RUKO 6 UNIT SN3</t>
  </si>
  <si>
    <t>By. Biaya PEMBAYARAN SUBKON TUKANG DANDI TAHAP 3</t>
  </si>
  <si>
    <t xml:space="preserve">Terima Uang Masuk atas PENGEMBALIAN DP AKAD F2 TAHAP 4 MULIADI </t>
  </si>
  <si>
    <t>By. Biaya PEMBERIAN PIUTANG BARRU/SATARA BY MAHDI (PEMBELIAN LAPTOP ASUS KANTOR 1 UNIT)</t>
  </si>
  <si>
    <t>By. Biaya PEMBERIAN PIUTANG BARRU/SATARA BY MAHDI (PEMBELIAN PRINTER EPSON KANTOR 1 UNIT)</t>
  </si>
  <si>
    <t xml:space="preserve">Terima Uang Masuk atas PENGEMBALIAN DP AKAD F10 TAHAP 4 SASMITA </t>
  </si>
  <si>
    <t>Terima Uang Masuk atas PEMBAYARAN PIUTANG H. NASRUN TGL 25/05 DAJAM TOTAL 82.500.000 SISA 16.5000.0000</t>
  </si>
  <si>
    <t>By. Biaya PEMBYARAN DP TANAH MARE SN3 TAHAP  6</t>
  </si>
  <si>
    <t>By. Biaya BIAYA AKAD TAHAP 3 D23 ROSI (ADM BANK )</t>
  </si>
  <si>
    <t>Terima Uang Masuk atas PENERUMAAN ATAS SBUM TAHAP 3 (D1 INDRIYANI, E25 YUSRI, D20 RINA, D16 FAIDUL)</t>
  </si>
  <si>
    <t>By. Biaya PEMBAYARAN MATERIAL PABRIKASI SN3 TAHAP 3</t>
  </si>
  <si>
    <t xml:space="preserve">PENGAKUAN PENERIMAAN ATAS AKAD BLOK F3 TAHAP 4 MAULIADI </t>
  </si>
  <si>
    <t>PENGAKUAN atas PENCAIRAN PLAFON TAHAP 3 (E32 IDIL AKBAR, E4 ULFA PUTRI, E1 EKA YULISA), TAHAP 4 (F5 JUSMA, F3 ERNAWATI)</t>
  </si>
  <si>
    <t>Adj HPP Mei 13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</si>
</sst>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Rp&quot;#,##0.00;[Red]\-&quot;Rp&quot;#,##0.00"/>
    <numFmt numFmtId="41" formatCode="_-* #,##0_-;\-* #,##0_-;_-* &quot;-&quot;_-;_-@_-"/>
    <numFmt numFmtId="43" formatCode="_-* #,##0.00_-;\-* #,##0.00_-;_-* &quot;-&quot;??_-;_-@_-"/>
    <numFmt numFmtId="164" formatCode="_-* #,##0_-;\-* #,##0_-;_-* &quot;-&quot;??_-;_-@_-"/>
    <numFmt numFmtId="165" formatCode="[$-409]d\-mmm\-yy;@"/>
    <numFmt numFmtId="166" formatCode="* #,##0_);* \(#,##0\);\-??_);@"/>
    <numFmt numFmtId="167" formatCode="dd\ mmmm\ yyyy"/>
    <numFmt numFmtId="168" formatCode="_(* #,##0_);_(* \(#,##0\);_(* \-??_);_(@_)"/>
    <numFmt numFmtId="169" formatCode="dd\ mmmm\ yy"/>
    <numFmt numFmtId="170" formatCode="_(* #,##0_);_(* \(#,##0\);_(* \-_);_(@_)"/>
    <numFmt numFmtId="171" formatCode="#,##0_);\!\(#,##0\!\)"/>
    <numFmt numFmtId="172" formatCode="_(* #,##0_);_(* \(#,##0\);_(* &quot;-&quot;??_);_(@_)"/>
    <numFmt numFmtId="173" formatCode="_(* #,##0.000_);_(* \(#,##0.000\);_(* &quot;-&quot;_);_(@_)"/>
    <numFmt numFmtId="174" formatCode="_(* #,##0_);_(* \(#,##0\);_(* &quot;-&quot;_);_(@_)"/>
    <numFmt numFmtId="175" formatCode="&quot;SFr.&quot;\ #,##0;&quot;SFr.&quot;\ \-#,##0"/>
    <numFmt numFmtId="176" formatCode="* \(#,##0\);* #,##0_);\-??_);@"/>
    <numFmt numFmtId="177" formatCode="_([$EUR]\ * #,##0_);_([$EUR]\ * \(#,##0\);_([$EUR]\ * &quot;-&quot;_);_(@_)"/>
    <numFmt numFmtId="178" formatCode="[$-421]dd\ mmmm\ yyyy;@"/>
  </numFmts>
  <fonts count="51">
    <font>
      <sz val="11"/>
      <name val="Calibri"/>
    </font>
    <font>
      <b/>
      <sz val="11"/>
      <color rgb="FF000000"/>
      <name val="Calibri"/>
    </font>
    <font>
      <sz val="11"/>
      <color rgb="FF000000"/>
      <name val="Calibri"/>
    </font>
    <font>
      <sz val="11"/>
      <color rgb="FFFF0000"/>
      <name val="Calibri"/>
    </font>
    <font>
      <sz val="11"/>
      <color rgb="FF000000"/>
      <name val="Calibri"/>
    </font>
    <font>
      <sz val="11"/>
      <color indexed="8"/>
      <name val="Calibri"/>
      <charset val="1"/>
    </font>
    <font>
      <b/>
      <i/>
      <sz val="11"/>
      <color rgb="FF000000"/>
      <name val="Calibri"/>
    </font>
    <font>
      <b/>
      <sz val="11"/>
      <color indexed="8"/>
      <name val="Calibri"/>
      <charset val="1"/>
    </font>
    <font>
      <sz val="11"/>
      <color rgb="FFFFFFFF"/>
      <name val="Calibri"/>
    </font>
    <font>
      <sz val="10"/>
      <name val="Times New Roman"/>
    </font>
    <font>
      <sz val="10"/>
      <color indexed="8"/>
      <name val="MS Sans Serif"/>
    </font>
    <font>
      <sz val="12"/>
      <color indexed="8"/>
      <name val="Arial Narrow"/>
    </font>
    <font>
      <b/>
      <sz val="14"/>
      <color indexed="8"/>
      <name val="Arial Narrow"/>
    </font>
    <font>
      <b/>
      <sz val="14"/>
      <name val="Arial Narrow"/>
    </font>
    <font>
      <b/>
      <i/>
      <sz val="14"/>
      <color indexed="8"/>
      <name val="Arial Narrow"/>
    </font>
    <font>
      <sz val="11"/>
      <color indexed="8"/>
      <name val="Arial Narrow"/>
    </font>
    <font>
      <b/>
      <sz val="12"/>
      <name val="Arial Narrow"/>
    </font>
    <font>
      <b/>
      <sz val="12"/>
      <color indexed="8"/>
      <name val="Arial Narrow"/>
    </font>
    <font>
      <b/>
      <sz val="11"/>
      <color indexed="8"/>
      <name val="Arial Narrow"/>
    </font>
    <font>
      <b/>
      <i/>
      <sz val="12"/>
      <color indexed="8"/>
      <name val="Arial Narrow"/>
    </font>
    <font>
      <sz val="12"/>
      <name val="Arial Narrow"/>
    </font>
    <font>
      <b/>
      <i/>
      <sz val="12"/>
      <name val="Arial Narrow"/>
    </font>
    <font>
      <i/>
      <sz val="12"/>
      <name val="Arial Narrow"/>
    </font>
    <font>
      <i/>
      <sz val="12"/>
      <color indexed="8"/>
      <name val="Arial Narrow"/>
    </font>
    <font>
      <sz val="10"/>
      <color indexed="8"/>
      <name val="MS Sans Serif"/>
      <charset val="1"/>
    </font>
    <font>
      <sz val="12"/>
      <color indexed="8"/>
      <name val="Arial Narrow"/>
      <charset val="1"/>
    </font>
    <font>
      <sz val="12"/>
      <name val="Arial Narrow"/>
      <charset val="1"/>
    </font>
    <font>
      <b/>
      <sz val="10"/>
      <color indexed="8"/>
      <name val="MS Sans Serif"/>
      <charset val="1"/>
    </font>
    <font>
      <sz val="11"/>
      <color rgb="FF000000"/>
      <name val="Arial Narrow"/>
    </font>
    <font>
      <b/>
      <i/>
      <sz val="11"/>
      <color rgb="FF7F7F7F"/>
      <name val="Arial Narrow"/>
    </font>
    <font>
      <b/>
      <sz val="11"/>
      <color rgb="FFFFFFFF"/>
      <name val="Arial Narrow"/>
    </font>
    <font>
      <b/>
      <sz val="11"/>
      <color rgb="FF000000"/>
      <name val="Arial Narrow"/>
    </font>
    <font>
      <sz val="11"/>
      <color rgb="FFFFFFFF"/>
      <name val="Arial Narrow"/>
    </font>
    <font>
      <b/>
      <sz val="11"/>
      <color rgb="FFFFFFFF"/>
      <name val="Arial Narrow"/>
      <charset val="1"/>
    </font>
    <font>
      <b/>
      <sz val="11"/>
      <color rgb="FFFFFFFF"/>
      <name val="Calibri"/>
      <charset val="1"/>
    </font>
    <font>
      <sz val="10"/>
      <name val="Arial"/>
    </font>
    <font>
      <b/>
      <sz val="12"/>
      <color indexed="10"/>
      <name val="BOSOWA3"/>
      <charset val="2"/>
    </font>
    <font>
      <b/>
      <sz val="11"/>
      <color rgb="FFFA7D00"/>
      <name val="Calibri"/>
    </font>
    <font>
      <sz val="11"/>
      <color indexed="9"/>
      <name val="Calibri"/>
      <charset val="1"/>
    </font>
    <font>
      <b/>
      <sz val="9"/>
      <color indexed="81"/>
      <name val="Tahoma"/>
      <family val="2"/>
    </font>
    <font>
      <sz val="9"/>
      <color indexed="81"/>
      <name val="Tahoma"/>
      <family val="2"/>
    </font>
    <font>
      <b/>
      <sz val="9"/>
      <color indexed="81"/>
      <name val="Tahoma"/>
      <charset val="1"/>
    </font>
    <font>
      <b/>
      <sz val="11"/>
      <color theme="0"/>
      <name val="Calibri"/>
      <family val="2"/>
    </font>
    <font>
      <sz val="11"/>
      <color theme="0"/>
      <name val="Calibri"/>
      <family val="2"/>
    </font>
    <font>
      <b/>
      <sz val="11"/>
      <name val="Calibri"/>
      <family val="2"/>
    </font>
    <font>
      <b/>
      <sz val="12"/>
      <name val="Calibri"/>
      <family val="2"/>
    </font>
    <font>
      <sz val="11"/>
      <color rgb="FF000000"/>
      <name val="Calibri"/>
      <family val="2"/>
    </font>
    <font>
      <sz val="11"/>
      <color rgb="FFFF0000"/>
      <name val="Calibri"/>
      <family val="2"/>
    </font>
    <font>
      <sz val="11"/>
      <name val="Calibri"/>
      <family val="2"/>
    </font>
    <font>
      <sz val="9"/>
      <color indexed="81"/>
      <name val="Tahoma"/>
      <charset val="1"/>
    </font>
    <font>
      <sz val="11"/>
      <color theme="8"/>
      <name val="Calibri"/>
      <family val="2"/>
    </font>
  </fonts>
  <fills count="23">
    <fill>
      <patternFill patternType="none"/>
    </fill>
    <fill>
      <patternFill patternType="gray125"/>
    </fill>
    <fill>
      <patternFill patternType="solid">
        <fgColor rgb="FFFF99FF"/>
        <bgColor indexed="64"/>
      </patternFill>
    </fill>
    <fill>
      <patternFill patternType="solid">
        <fgColor rgb="FFFFCCFF"/>
        <bgColor indexed="64"/>
      </patternFill>
    </fill>
    <fill>
      <patternFill patternType="solid">
        <fgColor rgb="FFFFFF00"/>
        <bgColor indexed="64"/>
      </patternFill>
    </fill>
    <fill>
      <patternFill patternType="solid">
        <fgColor indexed="26"/>
      </patternFill>
    </fill>
    <fill>
      <patternFill patternType="solid">
        <fgColor indexed="31"/>
      </patternFill>
    </fill>
    <fill>
      <patternFill patternType="solid">
        <fgColor indexed="42"/>
      </patternFill>
    </fill>
    <fill>
      <patternFill patternType="solid">
        <fgColor rgb="FF4A4529"/>
        <bgColor indexed="64"/>
      </patternFill>
    </fill>
    <fill>
      <patternFill patternType="solid">
        <fgColor rgb="FF494529"/>
        <bgColor indexed="64"/>
      </patternFill>
    </fill>
    <fill>
      <patternFill patternType="solid">
        <fgColor indexed="45"/>
      </patternFill>
    </fill>
    <fill>
      <patternFill patternType="solid">
        <fgColor rgb="FFEEECE1"/>
        <bgColor indexed="64"/>
      </patternFill>
    </fill>
    <fill>
      <patternFill patternType="solid">
        <fgColor rgb="FFDDD9C3"/>
        <bgColor indexed="64"/>
      </patternFill>
    </fill>
    <fill>
      <patternFill patternType="solid">
        <fgColor rgb="FFDDD9C4"/>
        <bgColor indexed="64"/>
      </patternFill>
    </fill>
    <fill>
      <patternFill patternType="solid">
        <fgColor rgb="FFF2F2F2"/>
        <bgColor indexed="64"/>
      </patternFill>
    </fill>
    <fill>
      <patternFill patternType="solid">
        <fgColor rgb="FFFFD1FF"/>
        <bgColor indexed="64"/>
      </patternFill>
    </fill>
    <fill>
      <patternFill patternType="solid">
        <fgColor rgb="FFF2F2F2"/>
      </patternFill>
    </fill>
    <fill>
      <patternFill patternType="solid">
        <fgColor indexed="30"/>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rgb="FFFFFFFF"/>
      </left>
      <right style="thin">
        <color rgb="FFFFFFFF"/>
      </right>
      <top style="thin">
        <color rgb="FFFFFFFF"/>
      </top>
      <bottom style="thin">
        <color rgb="FFFFFFFF"/>
      </bottom>
      <diagonal/>
    </border>
    <border>
      <left style="thick">
        <color rgb="FFBFBFBF"/>
      </left>
      <right style="thick">
        <color rgb="FFBFBFBF"/>
      </right>
      <top style="thick">
        <color rgb="FFBFBFBF"/>
      </top>
      <bottom style="thick">
        <color rgb="FFBFBFBF"/>
      </bottom>
      <diagonal/>
    </border>
    <border>
      <left/>
      <right/>
      <top style="thin">
        <color indexed="8"/>
      </top>
      <bottom style="double">
        <color indexed="8"/>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style="thin">
        <color indexed="64"/>
      </left>
      <right/>
      <top/>
      <bottom/>
      <diagonal/>
    </border>
  </borders>
  <cellStyleXfs count="10">
    <xf numFmtId="0" fontId="0" fillId="0" borderId="0">
      <alignment vertical="center"/>
    </xf>
    <xf numFmtId="41" fontId="4" fillId="0" borderId="0">
      <protection locked="0"/>
    </xf>
    <xf numFmtId="43" fontId="4" fillId="0" borderId="0">
      <protection locked="0"/>
    </xf>
    <xf numFmtId="175" fontId="35" fillId="0" borderId="0">
      <protection locked="0"/>
    </xf>
    <xf numFmtId="0" fontId="10" fillId="0" borderId="0">
      <protection locked="0"/>
    </xf>
    <xf numFmtId="41" fontId="36" fillId="0" borderId="0">
      <protection locked="0"/>
    </xf>
    <xf numFmtId="176" fontId="9" fillId="0" borderId="18">
      <protection locked="0"/>
    </xf>
    <xf numFmtId="177" fontId="37" fillId="16" borderId="20">
      <protection locked="0"/>
    </xf>
    <xf numFmtId="0" fontId="38" fillId="17" borderId="0">
      <protection locked="0"/>
    </xf>
    <xf numFmtId="0" fontId="5" fillId="5" borderId="14">
      <protection locked="0"/>
    </xf>
  </cellStyleXfs>
  <cellXfs count="305">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3" borderId="3" xfId="0" applyFont="1" applyFill="1" applyBorder="1" applyAlignment="1">
      <alignment horizontal="center" vertical="top"/>
    </xf>
    <xf numFmtId="0" fontId="1" fillId="3" borderId="4" xfId="0" applyFont="1" applyFill="1" applyBorder="1" applyAlignment="1">
      <alignment horizontal="center" vertical="top"/>
    </xf>
    <xf numFmtId="0" fontId="2" fillId="0" borderId="1" xfId="0" applyFont="1" applyBorder="1" applyAlignment="1">
      <alignment horizontal="center" vertical="center"/>
    </xf>
    <xf numFmtId="0" fontId="2" fillId="0" borderId="1" xfId="0" applyFont="1" applyBorder="1" applyAlignment="1"/>
    <xf numFmtId="0" fontId="2" fillId="0" borderId="2" xfId="0" applyFont="1" applyBorder="1" applyAlignment="1">
      <alignment horizontal="center" vertical="center"/>
    </xf>
    <xf numFmtId="0" fontId="2" fillId="0" borderId="2" xfId="0" applyFont="1" applyBorder="1" applyAlignment="1"/>
    <xf numFmtId="41" fontId="2" fillId="0" borderId="0" xfId="1" applyFont="1" applyProtection="1"/>
    <xf numFmtId="0" fontId="2" fillId="4" borderId="2" xfId="0" applyFont="1" applyFill="1" applyBorder="1" applyAlignment="1"/>
    <xf numFmtId="0" fontId="1" fillId="3" borderId="3" xfId="0" applyFont="1" applyFill="1" applyBorder="1" applyAlignment="1">
      <alignment horizontal="left" vertical="top"/>
    </xf>
    <xf numFmtId="0" fontId="3" fillId="0" borderId="2" xfId="0" applyFont="1" applyBorder="1" applyAlignment="1"/>
    <xf numFmtId="41" fontId="1" fillId="0" borderId="0" xfId="1" applyFont="1" applyProtection="1"/>
    <xf numFmtId="0" fontId="1" fillId="0" borderId="0" xfId="0" applyFont="1" applyAlignment="1"/>
    <xf numFmtId="0" fontId="1" fillId="3" borderId="5" xfId="0" applyFont="1" applyFill="1" applyBorder="1" applyAlignment="1">
      <alignment horizontal="center" vertical="top"/>
    </xf>
    <xf numFmtId="164" fontId="4" fillId="0" borderId="0" xfId="2" applyNumberFormat="1" applyProtection="1"/>
    <xf numFmtId="164" fontId="2" fillId="0" borderId="0" xfId="0" applyNumberFormat="1" applyFont="1" applyAlignment="1"/>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41" fontId="1" fillId="2" borderId="1" xfId="1" applyFont="1" applyFill="1" applyBorder="1" applyAlignment="1" applyProtection="1">
      <alignment horizontal="center" vertical="center"/>
    </xf>
    <xf numFmtId="17" fontId="1" fillId="2" borderId="1" xfId="1" applyNumberFormat="1" applyFont="1" applyFill="1" applyBorder="1" applyAlignment="1" applyProtection="1">
      <alignment horizontal="center" vertical="center" wrapText="1"/>
    </xf>
    <xf numFmtId="164" fontId="4" fillId="0" borderId="9" xfId="2" applyNumberFormat="1" applyBorder="1" applyAlignment="1" applyProtection="1">
      <alignment horizontal="center" vertical="center"/>
    </xf>
    <xf numFmtId="41" fontId="4" fillId="0" borderId="0" xfId="1" applyAlignment="1" applyProtection="1">
      <alignment horizontal="center" vertical="center"/>
    </xf>
    <xf numFmtId="41" fontId="4" fillId="0" borderId="9" xfId="1" applyBorder="1" applyAlignment="1" applyProtection="1">
      <alignment horizontal="center" vertical="center" wrapText="1"/>
    </xf>
    <xf numFmtId="0" fontId="1" fillId="3" borderId="11" xfId="0" applyFont="1" applyFill="1" applyBorder="1" applyAlignment="1">
      <alignment horizontal="center" vertical="top"/>
    </xf>
    <xf numFmtId="164" fontId="4" fillId="0" borderId="1" xfId="2" applyNumberFormat="1" applyBorder="1" applyAlignment="1" applyProtection="1">
      <alignment horizontal="center" vertical="center"/>
    </xf>
    <xf numFmtId="41" fontId="4" fillId="0" borderId="12" xfId="1" applyBorder="1" applyProtection="1"/>
    <xf numFmtId="41" fontId="4" fillId="0" borderId="13" xfId="1" applyBorder="1" applyProtection="1"/>
    <xf numFmtId="41" fontId="4" fillId="0" borderId="1" xfId="1" applyBorder="1" applyProtection="1"/>
    <xf numFmtId="0" fontId="2" fillId="0" borderId="3" xfId="0" applyFont="1" applyBorder="1" applyAlignment="1"/>
    <xf numFmtId="164" fontId="4" fillId="0" borderId="1" xfId="2" applyNumberFormat="1" applyBorder="1" applyProtection="1"/>
    <xf numFmtId="41" fontId="2" fillId="0" borderId="0" xfId="0" applyNumberFormat="1" applyFont="1" applyAlignment="1"/>
    <xf numFmtId="164" fontId="2" fillId="0" borderId="0" xfId="2" applyNumberFormat="1" applyFont="1" applyProtection="1"/>
    <xf numFmtId="0" fontId="1" fillId="3" borderId="1" xfId="0" applyFont="1" applyFill="1" applyBorder="1" applyAlignment="1">
      <alignment horizontal="center" vertical="center"/>
    </xf>
    <xf numFmtId="41" fontId="1" fillId="0" borderId="1" xfId="1" applyFont="1" applyBorder="1" applyProtection="1"/>
    <xf numFmtId="0" fontId="5" fillId="5" borderId="14" xfId="3" applyNumberFormat="1" applyFont="1" applyFill="1" applyBorder="1" applyAlignment="1">
      <alignment vertical="top"/>
      <protection locked="0"/>
    </xf>
    <xf numFmtId="164" fontId="1" fillId="0" borderId="1" xfId="2" applyNumberFormat="1" applyFont="1" applyBorder="1" applyProtection="1"/>
    <xf numFmtId="0" fontId="6" fillId="3" borderId="1" xfId="0" applyFont="1" applyFill="1" applyBorder="1" applyAlignment="1">
      <alignment horizontal="right" vertical="center"/>
    </xf>
    <xf numFmtId="164" fontId="6" fillId="0" borderId="1" xfId="2" applyNumberFormat="1" applyFont="1" applyBorder="1" applyProtection="1"/>
    <xf numFmtId="0" fontId="2" fillId="0" borderId="5" xfId="0" applyFont="1" applyBorder="1" applyAlignment="1"/>
    <xf numFmtId="0" fontId="7" fillId="0" borderId="15" xfId="3" applyNumberFormat="1" applyFont="1" applyBorder="1" applyAlignment="1">
      <alignment vertical="top"/>
      <protection locked="0"/>
    </xf>
    <xf numFmtId="0" fontId="1" fillId="2" borderId="16" xfId="0" applyFont="1" applyFill="1" applyBorder="1" applyAlignment="1">
      <alignment horizontal="center" vertical="center"/>
    </xf>
    <xf numFmtId="49" fontId="1" fillId="2" borderId="16" xfId="0" applyNumberFormat="1" applyFont="1" applyFill="1" applyBorder="1" applyAlignment="1">
      <alignment horizontal="center" vertical="center"/>
    </xf>
    <xf numFmtId="164" fontId="1" fillId="2" borderId="16" xfId="2" applyNumberFormat="1" applyFont="1" applyFill="1" applyBorder="1" applyAlignment="1" applyProtection="1">
      <alignment horizontal="center" vertical="center"/>
    </xf>
    <xf numFmtId="165" fontId="1" fillId="0" borderId="0" xfId="0" applyNumberFormat="1" applyFont="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horizontal="center" vertical="center"/>
    </xf>
    <xf numFmtId="164" fontId="1" fillId="0" borderId="0" xfId="2" applyNumberFormat="1" applyFont="1" applyAlignment="1" applyProtection="1">
      <alignment horizontal="center" vertical="center"/>
    </xf>
    <xf numFmtId="165" fontId="2" fillId="0" borderId="0" xfId="0" applyNumberFormat="1" applyFont="1" applyAlignment="1">
      <alignment horizontal="center"/>
    </xf>
    <xf numFmtId="0" fontId="2" fillId="0" borderId="0" xfId="0" applyFont="1" applyAlignment="1">
      <alignment horizontal="left" vertical="center"/>
    </xf>
    <xf numFmtId="0" fontId="2" fillId="0" borderId="0" xfId="0" applyFont="1" applyAlignment="1">
      <alignment horizontal="center" vertical="center"/>
    </xf>
    <xf numFmtId="0" fontId="5" fillId="6" borderId="0" xfId="3" applyNumberFormat="1" applyFont="1" applyFill="1" applyAlignment="1">
      <alignment vertical="top"/>
      <protection locked="0"/>
    </xf>
    <xf numFmtId="49" fontId="2" fillId="0" borderId="0" xfId="0" applyNumberFormat="1" applyFont="1" applyAlignment="1"/>
    <xf numFmtId="8" fontId="2" fillId="0" borderId="0" xfId="0" applyNumberFormat="1" applyFont="1" applyAlignment="1"/>
    <xf numFmtId="165" fontId="1" fillId="2" borderId="17" xfId="0" applyNumberFormat="1" applyFont="1" applyFill="1" applyBorder="1" applyAlignment="1">
      <alignment horizontal="left" vertical="center"/>
    </xf>
    <xf numFmtId="1" fontId="2" fillId="0" borderId="0" xfId="0" applyNumberFormat="1" applyFont="1" applyAlignment="1">
      <alignment horizontal="left" vertical="center"/>
    </xf>
    <xf numFmtId="164" fontId="1" fillId="2" borderId="17" xfId="2" applyNumberFormat="1" applyFont="1" applyFill="1" applyBorder="1" applyProtection="1"/>
    <xf numFmtId="164" fontId="2" fillId="0" borderId="0" xfId="2" applyNumberFormat="1" applyFont="1" applyAlignment="1" applyProtection="1">
      <alignment horizontal="center" vertical="center"/>
    </xf>
    <xf numFmtId="164" fontId="1" fillId="2" borderId="17" xfId="2" applyNumberFormat="1" applyFont="1" applyFill="1" applyBorder="1" applyAlignment="1" applyProtection="1">
      <alignment horizontal="center" vertical="center"/>
    </xf>
    <xf numFmtId="165" fontId="1" fillId="0" borderId="0" xfId="0" applyNumberFormat="1" applyFont="1" applyAlignment="1">
      <alignment horizontal="left" vertical="center"/>
    </xf>
    <xf numFmtId="0" fontId="1" fillId="0" borderId="0" xfId="0" applyFont="1" applyAlignment="1">
      <alignment horizontal="left" vertical="center"/>
    </xf>
    <xf numFmtId="0" fontId="1" fillId="2" borderId="17" xfId="0" applyFont="1" applyFill="1" applyBorder="1" applyAlignment="1">
      <alignment horizontal="left" vertical="center"/>
    </xf>
    <xf numFmtId="166" fontId="9" fillId="0" borderId="18" xfId="3" applyNumberFormat="1" applyFont="1" applyBorder="1">
      <protection locked="0"/>
    </xf>
    <xf numFmtId="165" fontId="1" fillId="3"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164" fontId="1" fillId="3" borderId="1" xfId="2" applyNumberFormat="1" applyFont="1" applyFill="1" applyBorder="1" applyAlignment="1" applyProtection="1">
      <alignment horizontal="center" vertical="center"/>
    </xf>
    <xf numFmtId="165" fontId="2" fillId="0" borderId="1" xfId="0" applyNumberFormat="1" applyFont="1" applyBorder="1" applyAlignment="1">
      <alignment horizontal="center" vertical="center"/>
    </xf>
    <xf numFmtId="0" fontId="1" fillId="0" borderId="1" xfId="0" applyFont="1" applyBorder="1" applyAlignment="1">
      <alignment horizontal="left" vertical="center"/>
    </xf>
    <xf numFmtId="49" fontId="2" fillId="0" borderId="1" xfId="0" applyNumberFormat="1" applyFont="1" applyBorder="1" applyAlignment="1"/>
    <xf numFmtId="164" fontId="2" fillId="0" borderId="1" xfId="2" applyNumberFormat="1" applyFont="1" applyBorder="1" applyProtection="1"/>
    <xf numFmtId="164" fontId="2" fillId="0" borderId="1" xfId="2" applyNumberFormat="1" applyFont="1" applyBorder="1" applyAlignment="1" applyProtection="1">
      <alignment horizontal="center" vertical="center"/>
    </xf>
    <xf numFmtId="165" fontId="2" fillId="0" borderId="1" xfId="0" applyNumberFormat="1" applyFont="1" applyBorder="1" applyAlignment="1">
      <alignment horizontal="left" vertical="center"/>
    </xf>
    <xf numFmtId="49" fontId="2" fillId="0" borderId="1" xfId="0" applyNumberFormat="1" applyFont="1" applyBorder="1" applyAlignment="1">
      <alignment horizontal="center" vertical="center"/>
    </xf>
    <xf numFmtId="0" fontId="10" fillId="0" borderId="0" xfId="4" applyProtection="1"/>
    <xf numFmtId="0" fontId="11" fillId="0" borderId="0" xfId="4" applyFont="1" applyAlignment="1" applyProtection="1">
      <alignment vertical="center"/>
    </xf>
    <xf numFmtId="0" fontId="12" fillId="0" borderId="0" xfId="4" applyFont="1" applyAlignment="1" applyProtection="1">
      <alignment vertical="center"/>
    </xf>
    <xf numFmtId="0" fontId="13" fillId="0" borderId="0" xfId="4" applyFont="1" applyAlignment="1" applyProtection="1">
      <alignment vertical="center"/>
    </xf>
    <xf numFmtId="0" fontId="14" fillId="0" borderId="0" xfId="4" applyFont="1" applyAlignment="1" applyProtection="1">
      <alignment vertical="center"/>
    </xf>
    <xf numFmtId="0" fontId="15" fillId="0" borderId="0" xfId="4" applyFont="1" applyAlignment="1" applyProtection="1">
      <alignment vertical="center"/>
    </xf>
    <xf numFmtId="41" fontId="16" fillId="0" borderId="0" xfId="5" applyFont="1" applyAlignment="1" applyProtection="1">
      <alignment horizontal="center" vertical="center"/>
    </xf>
    <xf numFmtId="0" fontId="17" fillId="0" borderId="0" xfId="4" applyFont="1" applyAlignment="1" applyProtection="1">
      <alignment horizontal="left" vertical="center"/>
    </xf>
    <xf numFmtId="168" fontId="17" fillId="0" borderId="0" xfId="4" applyNumberFormat="1" applyFont="1" applyAlignment="1" applyProtection="1">
      <alignment horizontal="left" vertical="center"/>
    </xf>
    <xf numFmtId="168" fontId="17" fillId="0" borderId="0" xfId="4" applyNumberFormat="1" applyFont="1" applyAlignment="1" applyProtection="1">
      <alignment horizontal="center" vertical="center"/>
    </xf>
    <xf numFmtId="0" fontId="17" fillId="0" borderId="0" xfId="4" applyFont="1" applyAlignment="1" applyProtection="1">
      <alignment horizontal="center" vertical="center"/>
    </xf>
    <xf numFmtId="167" fontId="18" fillId="0" borderId="0" xfId="4" quotePrefix="1" applyNumberFormat="1" applyFont="1" applyAlignment="1" applyProtection="1">
      <alignment horizontal="center" vertical="center"/>
    </xf>
    <xf numFmtId="169" fontId="16" fillId="0" borderId="0" xfId="4" applyNumberFormat="1" applyFont="1" applyAlignment="1" applyProtection="1">
      <alignment horizontal="center" vertical="center"/>
    </xf>
    <xf numFmtId="0" fontId="19" fillId="0" borderId="0" xfId="4" applyFont="1" applyAlignment="1" applyProtection="1">
      <alignment horizontal="center" vertical="center"/>
    </xf>
    <xf numFmtId="168" fontId="11" fillId="0" borderId="0" xfId="4" applyNumberFormat="1" applyFont="1" applyAlignment="1" applyProtection="1">
      <alignment vertical="center"/>
    </xf>
    <xf numFmtId="0" fontId="20" fillId="0" borderId="0" xfId="4" applyFont="1" applyAlignment="1" applyProtection="1">
      <alignment vertical="center"/>
    </xf>
    <xf numFmtId="0" fontId="17" fillId="0" borderId="0" xfId="4" applyFont="1" applyAlignment="1" applyProtection="1">
      <alignment vertical="center"/>
    </xf>
    <xf numFmtId="170" fontId="17" fillId="0" borderId="0" xfId="4" applyNumberFormat="1" applyFont="1" applyAlignment="1" applyProtection="1">
      <alignment vertical="center"/>
    </xf>
    <xf numFmtId="170" fontId="16" fillId="0" borderId="0" xfId="4" applyNumberFormat="1" applyFont="1" applyAlignment="1" applyProtection="1">
      <alignment vertical="center"/>
    </xf>
    <xf numFmtId="0" fontId="19" fillId="0" borderId="0" xfId="4" applyFont="1" applyAlignment="1" applyProtection="1">
      <alignment vertical="center"/>
    </xf>
    <xf numFmtId="170" fontId="11" fillId="0" borderId="0" xfId="4" applyNumberFormat="1" applyFont="1" applyAlignment="1" applyProtection="1">
      <alignment vertical="center"/>
    </xf>
    <xf numFmtId="170" fontId="20" fillId="0" borderId="0" xfId="4" applyNumberFormat="1" applyFont="1" applyAlignment="1" applyProtection="1">
      <alignment vertical="center"/>
    </xf>
    <xf numFmtId="170" fontId="16" fillId="0" borderId="0" xfId="5" applyNumberFormat="1" applyFont="1" applyAlignment="1" applyProtection="1">
      <alignment vertical="center"/>
    </xf>
    <xf numFmtId="0" fontId="16" fillId="0" borderId="0" xfId="4" applyFont="1" applyAlignment="1" applyProtection="1">
      <alignment vertical="center"/>
    </xf>
    <xf numFmtId="41" fontId="20" fillId="0" borderId="0" xfId="4" applyNumberFormat="1" applyFont="1" applyAlignment="1" applyProtection="1">
      <alignment vertical="center"/>
    </xf>
    <xf numFmtId="0" fontId="21" fillId="0" borderId="0" xfId="4" applyFont="1" applyAlignment="1" applyProtection="1">
      <alignment vertical="center"/>
    </xf>
    <xf numFmtId="41" fontId="20" fillId="0" borderId="0" xfId="5" applyFont="1" applyAlignment="1" applyProtection="1">
      <alignment vertical="center"/>
    </xf>
    <xf numFmtId="0" fontId="22" fillId="0" borderId="0" xfId="4" applyFont="1" applyAlignment="1" applyProtection="1">
      <alignment vertical="center"/>
    </xf>
    <xf numFmtId="41" fontId="11" fillId="0" borderId="0" xfId="4" applyNumberFormat="1" applyFont="1" applyAlignment="1" applyProtection="1">
      <alignment vertical="center"/>
    </xf>
    <xf numFmtId="171" fontId="11" fillId="0" borderId="0" xfId="4" applyNumberFormat="1" applyFont="1" applyAlignment="1" applyProtection="1">
      <alignment vertical="center"/>
    </xf>
    <xf numFmtId="172" fontId="11" fillId="0" borderId="0" xfId="4" applyNumberFormat="1" applyFont="1" applyAlignment="1" applyProtection="1">
      <alignment vertical="center"/>
    </xf>
    <xf numFmtId="172" fontId="20" fillId="0" borderId="0" xfId="4" applyNumberFormat="1" applyFont="1" applyAlignment="1" applyProtection="1">
      <alignment vertical="center"/>
    </xf>
    <xf numFmtId="173" fontId="11" fillId="0" borderId="0" xfId="4" applyNumberFormat="1" applyFont="1" applyAlignment="1" applyProtection="1">
      <alignment vertical="center"/>
    </xf>
    <xf numFmtId="170" fontId="23" fillId="0" borderId="0" xfId="4" applyNumberFormat="1" applyFont="1" applyAlignment="1" applyProtection="1">
      <alignment vertical="center"/>
    </xf>
    <xf numFmtId="0" fontId="24" fillId="0" borderId="0" xfId="4" applyFont="1" applyProtection="1"/>
    <xf numFmtId="170" fontId="25" fillId="0" borderId="0" xfId="4" applyNumberFormat="1" applyFont="1" applyAlignment="1" applyProtection="1">
      <alignment vertical="center"/>
    </xf>
    <xf numFmtId="0" fontId="25" fillId="0" borderId="0" xfId="4" applyFont="1" applyAlignment="1" applyProtection="1">
      <alignment vertical="center"/>
    </xf>
    <xf numFmtId="170" fontId="26" fillId="0" borderId="0" xfId="5" applyNumberFormat="1" applyFont="1" applyAlignment="1" applyProtection="1">
      <alignment vertical="center"/>
    </xf>
    <xf numFmtId="170" fontId="26" fillId="0" borderId="0" xfId="4" applyNumberFormat="1" applyFont="1" applyAlignment="1" applyProtection="1">
      <alignment vertical="center"/>
    </xf>
    <xf numFmtId="41" fontId="26" fillId="0" borderId="0" xfId="4" applyNumberFormat="1" applyFont="1" applyAlignment="1" applyProtection="1">
      <alignment vertical="center"/>
    </xf>
    <xf numFmtId="0" fontId="27" fillId="0" borderId="0" xfId="4" applyFont="1" applyProtection="1"/>
    <xf numFmtId="0" fontId="26" fillId="0" borderId="0" xfId="4" applyFont="1" applyAlignment="1" applyProtection="1">
      <alignment vertical="center"/>
    </xf>
    <xf numFmtId="41" fontId="26" fillId="0" borderId="0" xfId="5" applyFont="1" applyAlignment="1" applyProtection="1">
      <alignment vertical="center"/>
    </xf>
    <xf numFmtId="171" fontId="25" fillId="0" borderId="0" xfId="4" applyNumberFormat="1" applyFont="1" applyAlignment="1" applyProtection="1">
      <alignment vertical="center"/>
    </xf>
    <xf numFmtId="173" fontId="25" fillId="0" borderId="0" xfId="4" applyNumberFormat="1" applyFont="1" applyAlignment="1" applyProtection="1">
      <alignment vertical="center"/>
    </xf>
    <xf numFmtId="174" fontId="25" fillId="0" borderId="0" xfId="4" applyNumberFormat="1" applyFont="1" applyAlignment="1" applyProtection="1">
      <alignment vertical="center"/>
    </xf>
    <xf numFmtId="41" fontId="4" fillId="0" borderId="0" xfId="1" applyProtection="1"/>
    <xf numFmtId="0" fontId="28" fillId="0" borderId="18" xfId="6" applyNumberFormat="1" applyFont="1" applyProtection="1"/>
    <xf numFmtId="0" fontId="29" fillId="0" borderId="18" xfId="6" applyNumberFormat="1" applyFont="1" applyAlignment="1" applyProtection="1">
      <alignment horizontal="right" vertical="center"/>
    </xf>
    <xf numFmtId="0" fontId="5" fillId="7" borderId="0" xfId="3" applyNumberFormat="1" applyFont="1" applyFill="1" applyAlignment="1">
      <alignment vertical="top"/>
      <protection locked="0"/>
    </xf>
    <xf numFmtId="0" fontId="30" fillId="8" borderId="7" xfId="6" applyNumberFormat="1" applyFont="1" applyFill="1" applyBorder="1" applyAlignment="1" applyProtection="1">
      <alignment horizontal="center" vertical="center"/>
    </xf>
    <xf numFmtId="0" fontId="30" fillId="8" borderId="8" xfId="6" applyNumberFormat="1" applyFont="1" applyFill="1" applyBorder="1" applyAlignment="1" applyProtection="1">
      <alignment horizontal="center" vertical="center"/>
    </xf>
    <xf numFmtId="0" fontId="30" fillId="9" borderId="8" xfId="6" applyNumberFormat="1" applyFont="1" applyFill="1" applyBorder="1" applyAlignment="1" applyProtection="1">
      <alignment horizontal="center" vertical="center"/>
    </xf>
    <xf numFmtId="17" fontId="30" fillId="8" borderId="1" xfId="7" applyNumberFormat="1" applyFont="1" applyFill="1" applyBorder="1" applyAlignment="1" applyProtection="1">
      <alignment horizontal="center" vertical="center" wrapText="1"/>
    </xf>
    <xf numFmtId="17" fontId="30" fillId="8" borderId="1" xfId="7" quotePrefix="1" applyNumberFormat="1" applyFont="1" applyFill="1" applyBorder="1" applyAlignment="1" applyProtection="1">
      <alignment horizontal="center" vertical="center" wrapText="1"/>
    </xf>
    <xf numFmtId="17" fontId="30" fillId="8" borderId="7" xfId="7" applyNumberFormat="1" applyFont="1" applyFill="1" applyBorder="1" applyAlignment="1" applyProtection="1">
      <alignment horizontal="center" vertical="center" wrapText="1"/>
    </xf>
    <xf numFmtId="0" fontId="5" fillId="10" borderId="0" xfId="3" applyNumberFormat="1" applyFont="1" applyFill="1" applyAlignment="1">
      <alignment vertical="top"/>
      <protection locked="0"/>
    </xf>
    <xf numFmtId="0" fontId="31" fillId="3" borderId="1" xfId="6" applyNumberFormat="1" applyFont="1" applyFill="1" applyBorder="1" applyAlignment="1" applyProtection="1">
      <alignment horizontal="center" vertical="top"/>
    </xf>
    <xf numFmtId="41" fontId="31" fillId="0" borderId="1" xfId="7" applyNumberFormat="1" applyFont="1" applyFill="1" applyBorder="1" applyProtection="1"/>
    <xf numFmtId="0" fontId="28" fillId="0" borderId="1" xfId="6" applyNumberFormat="1" applyFont="1" applyBorder="1" applyAlignment="1" applyProtection="1">
      <alignment horizontal="center" vertical="center"/>
    </xf>
    <xf numFmtId="0" fontId="28" fillId="0" borderId="3" xfId="6" applyNumberFormat="1" applyFont="1" applyBorder="1" applyAlignment="1" applyProtection="1">
      <alignment horizontal="center" vertical="center"/>
    </xf>
    <xf numFmtId="0" fontId="28" fillId="0" borderId="3" xfId="6" applyNumberFormat="1" applyFont="1" applyBorder="1" applyProtection="1"/>
    <xf numFmtId="41" fontId="28" fillId="0" borderId="1" xfId="7" applyNumberFormat="1" applyFont="1" applyFill="1" applyBorder="1" applyProtection="1"/>
    <xf numFmtId="41" fontId="4" fillId="0" borderId="18" xfId="6" applyNumberFormat="1" applyFont="1" applyProtection="1"/>
    <xf numFmtId="0" fontId="28" fillId="11" borderId="1" xfId="6" applyNumberFormat="1" applyFont="1" applyFill="1" applyBorder="1" applyAlignment="1" applyProtection="1">
      <alignment horizontal="center" vertical="center"/>
    </xf>
    <xf numFmtId="0" fontId="28" fillId="11" borderId="1" xfId="6" applyNumberFormat="1" applyFont="1" applyFill="1" applyBorder="1" applyAlignment="1" applyProtection="1">
      <alignment horizontal="left" vertical="center"/>
    </xf>
    <xf numFmtId="41" fontId="28" fillId="11" borderId="1" xfId="7" applyNumberFormat="1" applyFont="1" applyFill="1" applyBorder="1" applyProtection="1"/>
    <xf numFmtId="41" fontId="28" fillId="11" borderId="1" xfId="7" applyNumberFormat="1" applyFont="1" applyFill="1" applyBorder="1" applyAlignment="1" applyProtection="1">
      <alignment horizontal="center" vertical="center"/>
    </xf>
    <xf numFmtId="164" fontId="28" fillId="11" borderId="1" xfId="8" applyNumberFormat="1" applyFont="1" applyFill="1" applyBorder="1" applyAlignment="1" applyProtection="1">
      <alignment horizontal="center" vertical="center"/>
    </xf>
    <xf numFmtId="41" fontId="4" fillId="11" borderId="18" xfId="6" applyNumberFormat="1" applyFont="1" applyFill="1" applyProtection="1"/>
    <xf numFmtId="0" fontId="28" fillId="11" borderId="1" xfId="6" applyNumberFormat="1" applyFont="1" applyFill="1" applyBorder="1" applyAlignment="1" applyProtection="1">
      <alignment horizontal="center" vertical="top"/>
    </xf>
    <xf numFmtId="0" fontId="28" fillId="11" borderId="1" xfId="6" applyNumberFormat="1" applyFont="1" applyFill="1" applyBorder="1" applyAlignment="1" applyProtection="1">
      <alignment horizontal="left" vertical="top"/>
    </xf>
    <xf numFmtId="0" fontId="28" fillId="11" borderId="3" xfId="6" applyNumberFormat="1" applyFont="1" applyFill="1" applyBorder="1" applyAlignment="1" applyProtection="1">
      <alignment horizontal="center" vertical="center"/>
    </xf>
    <xf numFmtId="0" fontId="28" fillId="11" borderId="3" xfId="6" applyNumberFormat="1" applyFont="1" applyFill="1" applyBorder="1" applyAlignment="1" applyProtection="1">
      <alignment horizontal="left"/>
    </xf>
    <xf numFmtId="0" fontId="31" fillId="3" borderId="1" xfId="6" applyNumberFormat="1" applyFont="1" applyFill="1" applyBorder="1" applyAlignment="1" applyProtection="1">
      <alignment horizontal="left" vertical="top"/>
    </xf>
    <xf numFmtId="41" fontId="28" fillId="0" borderId="1" xfId="7" applyNumberFormat="1" applyFont="1" applyFill="1" applyBorder="1" applyAlignment="1" applyProtection="1">
      <alignment horizontal="center" vertical="center"/>
    </xf>
    <xf numFmtId="164" fontId="31" fillId="0" borderId="1" xfId="8" applyNumberFormat="1" applyFont="1" applyFill="1" applyBorder="1" applyAlignment="1" applyProtection="1">
      <alignment horizontal="center" vertical="center"/>
    </xf>
    <xf numFmtId="0" fontId="28" fillId="0" borderId="3" xfId="6" applyNumberFormat="1" applyFont="1" applyBorder="1" applyAlignment="1" applyProtection="1">
      <alignment horizontal="left"/>
    </xf>
    <xf numFmtId="164" fontId="28" fillId="0" borderId="1" xfId="8" applyNumberFormat="1" applyFont="1" applyFill="1" applyBorder="1" applyAlignment="1" applyProtection="1">
      <alignment horizontal="center" vertical="center"/>
    </xf>
    <xf numFmtId="0" fontId="31" fillId="12" borderId="1" xfId="6" applyNumberFormat="1" applyFont="1" applyFill="1" applyBorder="1" applyAlignment="1" applyProtection="1">
      <alignment horizontal="center" vertical="center"/>
    </xf>
    <xf numFmtId="0" fontId="31" fillId="13" borderId="1" xfId="6" applyNumberFormat="1" applyFont="1" applyFill="1" applyBorder="1" applyAlignment="1" applyProtection="1">
      <alignment horizontal="left" vertical="center"/>
    </xf>
    <xf numFmtId="41" fontId="31" fillId="12" borderId="1" xfId="7" applyNumberFormat="1" applyFont="1" applyFill="1" applyBorder="1" applyProtection="1"/>
    <xf numFmtId="41" fontId="28" fillId="12" borderId="1" xfId="7" applyNumberFormat="1" applyFont="1" applyFill="1" applyBorder="1" applyProtection="1"/>
    <xf numFmtId="164" fontId="31" fillId="12" borderId="1" xfId="8" applyNumberFormat="1" applyFont="1" applyFill="1" applyBorder="1" applyAlignment="1" applyProtection="1">
      <alignment horizontal="center" vertical="center"/>
    </xf>
    <xf numFmtId="41" fontId="4" fillId="12" borderId="18" xfId="6" applyNumberFormat="1" applyFont="1" applyFill="1" applyProtection="1"/>
    <xf numFmtId="0" fontId="31" fillId="12" borderId="1" xfId="6" applyNumberFormat="1" applyFont="1" applyFill="1" applyBorder="1" applyAlignment="1" applyProtection="1">
      <alignment horizontal="left" vertical="center"/>
    </xf>
    <xf numFmtId="0" fontId="28" fillId="3" borderId="1" xfId="6" applyNumberFormat="1" applyFont="1" applyFill="1" applyBorder="1" applyAlignment="1" applyProtection="1">
      <alignment horizontal="center" vertical="top"/>
    </xf>
    <xf numFmtId="0" fontId="28" fillId="14" borderId="1" xfId="6" applyNumberFormat="1" applyFont="1" applyFill="1" applyBorder="1" applyAlignment="1" applyProtection="1">
      <alignment horizontal="center" vertical="top"/>
    </xf>
    <xf numFmtId="0" fontId="28" fillId="14" borderId="1" xfId="6" applyNumberFormat="1" applyFont="1" applyFill="1" applyBorder="1" applyAlignment="1" applyProtection="1">
      <alignment horizontal="left" vertical="top"/>
    </xf>
    <xf numFmtId="41" fontId="28" fillId="14" borderId="1" xfId="7" applyNumberFormat="1" applyFont="1" applyFill="1" applyBorder="1" applyProtection="1"/>
    <xf numFmtId="41" fontId="28" fillId="14" borderId="1" xfId="7" applyNumberFormat="1" applyFont="1" applyFill="1" applyBorder="1" applyAlignment="1" applyProtection="1">
      <alignment horizontal="center" vertical="center"/>
    </xf>
    <xf numFmtId="164" fontId="28" fillId="14" borderId="1" xfId="8" applyNumberFormat="1" applyFont="1" applyFill="1" applyBorder="1" applyAlignment="1" applyProtection="1">
      <alignment horizontal="center" vertical="center"/>
    </xf>
    <xf numFmtId="0" fontId="28" fillId="14" borderId="3" xfId="6" applyNumberFormat="1" applyFont="1" applyFill="1" applyBorder="1" applyAlignment="1" applyProtection="1">
      <alignment horizontal="center" vertical="center"/>
    </xf>
    <xf numFmtId="0" fontId="28" fillId="14" borderId="3" xfId="6" applyNumberFormat="1" applyFont="1" applyFill="1" applyBorder="1" applyAlignment="1" applyProtection="1">
      <alignment horizontal="left"/>
    </xf>
    <xf numFmtId="0" fontId="28" fillId="3" borderId="1" xfId="6" applyNumberFormat="1" applyFont="1" applyFill="1" applyBorder="1" applyAlignment="1" applyProtection="1">
      <alignment horizontal="center" vertical="center"/>
    </xf>
    <xf numFmtId="0" fontId="28" fillId="14" borderId="1" xfId="6" applyNumberFormat="1" applyFont="1" applyFill="1" applyBorder="1" applyAlignment="1" applyProtection="1">
      <alignment horizontal="center" vertical="center"/>
    </xf>
    <xf numFmtId="0" fontId="28" fillId="14" borderId="1" xfId="6" applyNumberFormat="1" applyFont="1" applyFill="1" applyBorder="1" applyAlignment="1" applyProtection="1">
      <alignment horizontal="left" vertical="center"/>
    </xf>
    <xf numFmtId="164" fontId="28" fillId="14" borderId="1" xfId="8" applyNumberFormat="1" applyFont="1" applyFill="1" applyBorder="1" applyProtection="1"/>
    <xf numFmtId="0" fontId="28" fillId="3" borderId="5" xfId="6" applyNumberFormat="1" applyFont="1" applyFill="1" applyBorder="1" applyAlignment="1" applyProtection="1">
      <alignment horizontal="center" vertical="top"/>
    </xf>
    <xf numFmtId="0" fontId="28" fillId="14" borderId="5" xfId="6" applyNumberFormat="1" applyFont="1" applyFill="1" applyBorder="1" applyAlignment="1" applyProtection="1">
      <alignment horizontal="center" vertical="top"/>
    </xf>
    <xf numFmtId="0" fontId="28" fillId="14" borderId="5" xfId="6" applyNumberFormat="1" applyFont="1" applyFill="1" applyBorder="1" applyAlignment="1" applyProtection="1">
      <alignment horizontal="left" vertical="top"/>
    </xf>
    <xf numFmtId="0" fontId="28" fillId="0" borderId="2" xfId="6" applyNumberFormat="1" applyFont="1" applyBorder="1" applyAlignment="1" applyProtection="1">
      <alignment horizontal="center" vertical="center"/>
    </xf>
    <xf numFmtId="0" fontId="28" fillId="14" borderId="5" xfId="6" applyNumberFormat="1" applyFont="1" applyFill="1" applyBorder="1" applyAlignment="1" applyProtection="1">
      <alignment horizontal="center" vertical="center"/>
    </xf>
    <xf numFmtId="0" fontId="28" fillId="14" borderId="5" xfId="6" applyNumberFormat="1" applyFont="1" applyFill="1" applyBorder="1" applyAlignment="1" applyProtection="1">
      <alignment horizontal="left"/>
    </xf>
    <xf numFmtId="0" fontId="31" fillId="15" borderId="1" xfId="6" applyNumberFormat="1" applyFont="1" applyFill="1" applyBorder="1" applyAlignment="1" applyProtection="1">
      <alignment horizontal="center" vertical="top"/>
    </xf>
    <xf numFmtId="0" fontId="31" fillId="15" borderId="1" xfId="6" applyNumberFormat="1" applyFont="1" applyFill="1" applyBorder="1" applyAlignment="1" applyProtection="1">
      <alignment horizontal="left" vertical="top"/>
    </xf>
    <xf numFmtId="41" fontId="31" fillId="15" borderId="1" xfId="7" applyNumberFormat="1" applyFont="1" applyFill="1" applyBorder="1" applyProtection="1"/>
    <xf numFmtId="41" fontId="28" fillId="15" borderId="1" xfId="7" applyNumberFormat="1" applyFont="1" applyFill="1" applyBorder="1" applyProtection="1"/>
    <xf numFmtId="41" fontId="28" fillId="15" borderId="1" xfId="7" applyNumberFormat="1" applyFont="1" applyFill="1" applyBorder="1" applyAlignment="1" applyProtection="1">
      <alignment horizontal="center" vertical="center"/>
    </xf>
    <xf numFmtId="164" fontId="31" fillId="15" borderId="1" xfId="8" applyNumberFormat="1" applyFont="1" applyFill="1" applyBorder="1" applyAlignment="1" applyProtection="1">
      <alignment horizontal="center" vertical="center"/>
    </xf>
    <xf numFmtId="0" fontId="28" fillId="15" borderId="3" xfId="6" applyNumberFormat="1" applyFont="1" applyFill="1" applyBorder="1" applyAlignment="1" applyProtection="1">
      <alignment horizontal="center" vertical="center"/>
    </xf>
    <xf numFmtId="0" fontId="28" fillId="15" borderId="3" xfId="6" applyNumberFormat="1" applyFont="1" applyFill="1" applyBorder="1" applyAlignment="1" applyProtection="1">
      <alignment horizontal="left"/>
    </xf>
    <xf numFmtId="164" fontId="28" fillId="15" borderId="1" xfId="8" applyNumberFormat="1" applyFont="1" applyFill="1" applyBorder="1" applyAlignment="1" applyProtection="1">
      <alignment horizontal="center" vertical="center"/>
    </xf>
    <xf numFmtId="41" fontId="28" fillId="12" borderId="1" xfId="7" applyNumberFormat="1" applyFont="1" applyFill="1" applyBorder="1" applyAlignment="1" applyProtection="1">
      <alignment horizontal="center" vertical="center"/>
    </xf>
    <xf numFmtId="0" fontId="30" fillId="8" borderId="1" xfId="6" applyNumberFormat="1" applyFont="1" applyFill="1" applyBorder="1" applyAlignment="1" applyProtection="1">
      <alignment horizontal="center" vertical="center"/>
    </xf>
    <xf numFmtId="0" fontId="30" fillId="8" borderId="7" xfId="6" applyNumberFormat="1" applyFont="1" applyFill="1" applyBorder="1" applyAlignment="1" applyProtection="1">
      <alignment horizontal="left" vertical="center"/>
    </xf>
    <xf numFmtId="164" fontId="30" fillId="8" borderId="7" xfId="8" applyNumberFormat="1" applyFont="1" applyFill="1" applyBorder="1" applyProtection="1"/>
    <xf numFmtId="41" fontId="32" fillId="8" borderId="7" xfId="7" applyNumberFormat="1" applyFont="1" applyFill="1" applyBorder="1" applyProtection="1"/>
    <xf numFmtId="164" fontId="30" fillId="8" borderId="7" xfId="8" applyNumberFormat="1" applyFont="1" applyFill="1" applyBorder="1" applyAlignment="1" applyProtection="1">
      <alignment horizontal="center" vertical="center"/>
    </xf>
    <xf numFmtId="41" fontId="8" fillId="8" borderId="18" xfId="6" applyNumberFormat="1" applyFont="1" applyFill="1" applyProtection="1"/>
    <xf numFmtId="0" fontId="33" fillId="8" borderId="3" xfId="0" applyFont="1" applyFill="1" applyBorder="1" applyAlignment="1">
      <alignment horizontal="center" vertical="center"/>
    </xf>
    <xf numFmtId="164" fontId="33" fillId="8" borderId="4" xfId="2" applyNumberFormat="1" applyFont="1" applyFill="1" applyBorder="1" applyProtection="1"/>
    <xf numFmtId="164" fontId="33" fillId="8" borderId="1" xfId="2" applyNumberFormat="1" applyFont="1" applyFill="1" applyBorder="1" applyProtection="1"/>
    <xf numFmtId="41" fontId="33" fillId="8" borderId="3" xfId="1" applyFont="1" applyFill="1" applyBorder="1" applyProtection="1"/>
    <xf numFmtId="164" fontId="33" fillId="8" borderId="11" xfId="2" applyNumberFormat="1" applyFont="1" applyFill="1" applyBorder="1" applyAlignment="1" applyProtection="1">
      <alignment horizontal="center" vertical="center"/>
    </xf>
    <xf numFmtId="164" fontId="33" fillId="8" borderId="4" xfId="2" applyNumberFormat="1" applyFont="1" applyFill="1" applyBorder="1" applyAlignment="1" applyProtection="1">
      <alignment horizontal="center" vertical="center"/>
    </xf>
    <xf numFmtId="164" fontId="33" fillId="8" borderId="0" xfId="2" applyNumberFormat="1" applyFont="1" applyFill="1" applyProtection="1"/>
    <xf numFmtId="41" fontId="34" fillId="8" borderId="0" xfId="0" applyNumberFormat="1" applyFont="1" applyFill="1" applyAlignment="1"/>
    <xf numFmtId="0" fontId="33" fillId="8" borderId="1" xfId="0" applyFont="1" applyFill="1" applyBorder="1" applyAlignment="1">
      <alignment horizontal="center" vertical="center"/>
    </xf>
    <xf numFmtId="164" fontId="33" fillId="8" borderId="9" xfId="2" applyNumberFormat="1" applyFont="1" applyFill="1" applyBorder="1" applyProtection="1"/>
    <xf numFmtId="41" fontId="33" fillId="8" borderId="9" xfId="1" applyFont="1" applyFill="1" applyBorder="1" applyProtection="1"/>
    <xf numFmtId="9" fontId="33" fillId="8" borderId="9" xfId="9" applyNumberFormat="1" applyFont="1" applyFill="1" applyBorder="1" applyAlignment="1" applyProtection="1">
      <alignment horizontal="center" vertical="center"/>
    </xf>
    <xf numFmtId="41" fontId="33" fillId="8" borderId="1" xfId="1" applyFont="1" applyFill="1" applyBorder="1" applyProtection="1"/>
    <xf numFmtId="9" fontId="33" fillId="8" borderId="1" xfId="9" applyNumberFormat="1" applyFont="1" applyFill="1" applyBorder="1" applyAlignment="1" applyProtection="1">
      <alignment horizontal="center" vertical="center"/>
    </xf>
    <xf numFmtId="17" fontId="1" fillId="2" borderId="7" xfId="1" applyNumberFormat="1" applyFont="1" applyFill="1" applyBorder="1" applyAlignment="1" applyProtection="1">
      <alignment horizontal="center" vertical="center" wrapText="1"/>
    </xf>
    <xf numFmtId="0" fontId="42" fillId="0" borderId="0" xfId="0" applyFont="1" applyAlignment="1">
      <alignment horizontal="center" vertical="center"/>
    </xf>
    <xf numFmtId="0" fontId="43" fillId="0" borderId="0" xfId="0" applyFont="1">
      <alignment vertical="center"/>
    </xf>
    <xf numFmtId="0" fontId="43" fillId="0" borderId="0" xfId="0" applyFont="1" applyAlignment="1">
      <alignment horizontal="center" vertical="center"/>
    </xf>
    <xf numFmtId="165" fontId="43" fillId="0" borderId="0" xfId="0" applyNumberFormat="1" applyFont="1" applyAlignment="1">
      <alignment horizontal="center"/>
    </xf>
    <xf numFmtId="165" fontId="0" fillId="0" borderId="0" xfId="0" applyNumberFormat="1" applyAlignment="1">
      <alignment horizontal="center" vertical="center"/>
    </xf>
    <xf numFmtId="165" fontId="2" fillId="0" borderId="0" xfId="0" applyNumberFormat="1" applyFont="1" applyAlignment="1">
      <alignment horizontal="center" vertical="center"/>
    </xf>
    <xf numFmtId="164" fontId="4" fillId="0" borderId="0" xfId="2" applyNumberFormat="1">
      <protection locked="0"/>
    </xf>
    <xf numFmtId="165" fontId="0" fillId="0" borderId="0" xfId="0" applyNumberFormat="1">
      <alignment vertical="center"/>
    </xf>
    <xf numFmtId="0" fontId="46" fillId="0" borderId="0" xfId="0" applyFont="1" applyAlignment="1">
      <alignment horizontal="left" vertical="center"/>
    </xf>
    <xf numFmtId="0" fontId="2" fillId="0" borderId="0" xfId="0" applyFont="1" applyAlignment="1"/>
    <xf numFmtId="0" fontId="5" fillId="0" borderId="0" xfId="3" applyNumberFormat="1" applyFont="1" applyAlignment="1">
      <alignment vertical="top"/>
      <protection locked="0"/>
    </xf>
    <xf numFmtId="165" fontId="47" fillId="0" borderId="0" xfId="0" applyNumberFormat="1" applyFont="1" applyAlignment="1">
      <alignment horizontal="center"/>
    </xf>
    <xf numFmtId="165" fontId="47" fillId="0" borderId="0" xfId="0" applyNumberFormat="1" applyFont="1" applyAlignment="1">
      <alignment horizontal="center" vertical="center"/>
    </xf>
    <xf numFmtId="0" fontId="47" fillId="0" borderId="0" xfId="0" applyFont="1">
      <alignment vertical="center"/>
    </xf>
    <xf numFmtId="0" fontId="47" fillId="0" borderId="0" xfId="0" applyFont="1" applyAlignment="1">
      <alignment horizontal="left" vertical="center"/>
    </xf>
    <xf numFmtId="0" fontId="47" fillId="0" borderId="0" xfId="0" applyFont="1" applyAlignment="1">
      <alignment horizontal="center" vertical="center"/>
    </xf>
    <xf numFmtId="164" fontId="47" fillId="0" borderId="0" xfId="2" applyNumberFormat="1" applyFont="1">
      <protection locked="0"/>
    </xf>
    <xf numFmtId="164" fontId="47" fillId="0" borderId="0" xfId="2" applyNumberFormat="1" applyFont="1" applyProtection="1"/>
    <xf numFmtId="165" fontId="48" fillId="0" borderId="0" xfId="0" applyNumberFormat="1" applyFont="1" applyAlignment="1">
      <alignment horizontal="center"/>
    </xf>
    <xf numFmtId="0" fontId="48" fillId="0" borderId="0" xfId="0" applyFont="1">
      <alignment vertical="center"/>
    </xf>
    <xf numFmtId="0" fontId="48" fillId="0" borderId="0" xfId="0" applyFont="1" applyAlignment="1">
      <alignment horizontal="center" vertical="center"/>
    </xf>
    <xf numFmtId="164" fontId="48" fillId="0" borderId="0" xfId="2" applyNumberFormat="1" applyFont="1">
      <protection locked="0"/>
    </xf>
    <xf numFmtId="164" fontId="48" fillId="0" borderId="0" xfId="2" applyNumberFormat="1" applyFont="1" applyProtection="1"/>
    <xf numFmtId="43" fontId="4" fillId="0" borderId="0" xfId="2">
      <protection locked="0"/>
    </xf>
    <xf numFmtId="43" fontId="28" fillId="0" borderId="18" xfId="6" applyNumberFormat="1" applyFont="1" applyProtection="1"/>
    <xf numFmtId="0" fontId="47" fillId="0" borderId="3" xfId="0" applyFont="1" applyBorder="1" applyAlignment="1"/>
    <xf numFmtId="164" fontId="47" fillId="0" borderId="1" xfId="2" applyNumberFormat="1" applyFont="1" applyBorder="1" applyProtection="1"/>
    <xf numFmtId="164" fontId="0" fillId="0" borderId="0" xfId="0" applyNumberFormat="1">
      <alignment vertical="center"/>
    </xf>
    <xf numFmtId="0" fontId="44" fillId="3" borderId="1" xfId="0" applyFont="1" applyFill="1" applyBorder="1" applyAlignment="1">
      <alignment horizontal="center" vertical="center"/>
    </xf>
    <xf numFmtId="178" fontId="1" fillId="3" borderId="1" xfId="0" applyNumberFormat="1" applyFont="1" applyFill="1" applyBorder="1" applyAlignment="1">
      <alignment horizontal="center" vertical="center"/>
    </xf>
    <xf numFmtId="178" fontId="0" fillId="0" borderId="0" xfId="0" applyNumberFormat="1" applyAlignment="1">
      <alignment horizontal="center" vertical="center"/>
    </xf>
    <xf numFmtId="0" fontId="46" fillId="0" borderId="3" xfId="0" applyFont="1" applyBorder="1" applyAlignment="1"/>
    <xf numFmtId="0" fontId="0" fillId="0" borderId="0" xfId="0" applyAlignment="1">
      <alignment horizontal="center" vertical="center"/>
    </xf>
    <xf numFmtId="0" fontId="44" fillId="0" borderId="1" xfId="0" applyFont="1" applyBorder="1" applyAlignment="1">
      <alignment horizontal="center" vertical="center"/>
    </xf>
    <xf numFmtId="0" fontId="44" fillId="0" borderId="0" xfId="0" applyFont="1" applyAlignment="1">
      <alignment horizontal="center" vertical="center"/>
    </xf>
    <xf numFmtId="0" fontId="0" fillId="0" borderId="1" xfId="0" applyBorder="1">
      <alignment vertical="center"/>
    </xf>
    <xf numFmtId="0" fontId="48" fillId="18" borderId="0" xfId="0" applyFont="1" applyFill="1">
      <alignment vertical="center"/>
    </xf>
    <xf numFmtId="164" fontId="4" fillId="18" borderId="0" xfId="2" applyNumberFormat="1" applyFill="1">
      <protection locked="0"/>
    </xf>
    <xf numFmtId="0" fontId="0" fillId="18" borderId="0" xfId="0" applyFill="1">
      <alignment vertical="center"/>
    </xf>
    <xf numFmtId="164" fontId="47" fillId="18" borderId="0" xfId="2" applyNumberFormat="1" applyFont="1" applyFill="1">
      <protection locked="0"/>
    </xf>
    <xf numFmtId="178" fontId="0" fillId="18" borderId="0" xfId="0" applyNumberFormat="1" applyFill="1" applyAlignment="1">
      <alignment horizontal="center" vertical="center"/>
    </xf>
    <xf numFmtId="0" fontId="43" fillId="18" borderId="0" xfId="0" applyFont="1" applyFill="1">
      <alignment vertical="center"/>
    </xf>
    <xf numFmtId="0" fontId="0" fillId="18" borderId="0" xfId="0" applyFill="1" applyAlignment="1">
      <alignment horizontal="center" vertical="center"/>
    </xf>
    <xf numFmtId="165" fontId="0" fillId="18" borderId="0" xfId="0" applyNumberFormat="1" applyFill="1" applyAlignment="1">
      <alignment horizontal="center" vertical="center"/>
    </xf>
    <xf numFmtId="0" fontId="0" fillId="0" borderId="0" xfId="0" applyAlignment="1">
      <alignment horizontal="left" vertical="center"/>
    </xf>
    <xf numFmtId="165" fontId="48" fillId="0" borderId="0" xfId="0" applyNumberFormat="1" applyFont="1" applyAlignment="1">
      <alignment horizontal="center" vertical="center"/>
    </xf>
    <xf numFmtId="0" fontId="2" fillId="4" borderId="0" xfId="0" applyFont="1" applyFill="1" applyAlignment="1">
      <alignment horizontal="left" vertical="center"/>
    </xf>
    <xf numFmtId="16" fontId="0" fillId="0" borderId="0" xfId="0" applyNumberFormat="1">
      <alignment vertical="center"/>
    </xf>
    <xf numFmtId="0" fontId="46" fillId="4" borderId="0" xfId="0" applyFont="1" applyFill="1" applyAlignment="1">
      <alignment horizontal="left" vertical="center"/>
    </xf>
    <xf numFmtId="14" fontId="0" fillId="0" borderId="0" xfId="0" applyNumberFormat="1">
      <alignment vertical="center"/>
    </xf>
    <xf numFmtId="2" fontId="0" fillId="0" borderId="0" xfId="0" applyNumberFormat="1">
      <alignment vertical="center"/>
    </xf>
    <xf numFmtId="49" fontId="0" fillId="0" borderId="0" xfId="0" applyNumberFormat="1">
      <alignment vertical="center"/>
    </xf>
    <xf numFmtId="0" fontId="48" fillId="0" borderId="0" xfId="0" applyFont="1" applyAlignment="1">
      <alignment horizontal="left" vertical="center"/>
    </xf>
    <xf numFmtId="0" fontId="2" fillId="19" borderId="0" xfId="0" applyFont="1" applyFill="1" applyAlignment="1">
      <alignment horizontal="left" vertical="center"/>
    </xf>
    <xf numFmtId="0" fontId="46" fillId="19" borderId="0" xfId="0" applyFont="1" applyFill="1" applyAlignment="1">
      <alignment horizontal="left" vertical="center"/>
    </xf>
    <xf numFmtId="0" fontId="47" fillId="4" borderId="0" xfId="0" applyFont="1" applyFill="1" applyAlignment="1">
      <alignment horizontal="left" vertical="center"/>
    </xf>
    <xf numFmtId="0" fontId="0" fillId="4" borderId="0" xfId="0" applyFill="1">
      <alignment vertical="center"/>
    </xf>
    <xf numFmtId="164" fontId="4" fillId="20" borderId="0" xfId="2" applyNumberFormat="1" applyFill="1">
      <protection locked="0"/>
    </xf>
    <xf numFmtId="164" fontId="4" fillId="21" borderId="0" xfId="2" applyNumberFormat="1" applyFill="1">
      <protection locked="0"/>
    </xf>
    <xf numFmtId="0" fontId="48" fillId="21" borderId="0" xfId="0" applyFont="1" applyFill="1">
      <alignment vertical="center"/>
    </xf>
    <xf numFmtId="164" fontId="50" fillId="0" borderId="0" xfId="2" applyNumberFormat="1" applyFont="1">
      <protection locked="0"/>
    </xf>
    <xf numFmtId="164" fontId="50" fillId="18" borderId="0" xfId="2" applyNumberFormat="1" applyFont="1" applyFill="1">
      <protection locked="0"/>
    </xf>
    <xf numFmtId="164" fontId="48" fillId="18" borderId="0" xfId="2" applyNumberFormat="1" applyFont="1" applyFill="1">
      <protection locked="0"/>
    </xf>
    <xf numFmtId="164" fontId="4" fillId="3" borderId="0" xfId="2" applyNumberFormat="1" applyFill="1">
      <protection locked="0"/>
    </xf>
    <xf numFmtId="0" fontId="2" fillId="22" borderId="0" xfId="0" applyFont="1" applyFill="1" applyAlignment="1">
      <alignment horizontal="left" vertical="center"/>
    </xf>
    <xf numFmtId="41" fontId="5" fillId="5" borderId="14" xfId="3" applyNumberFormat="1" applyFont="1" applyFill="1" applyBorder="1" applyAlignment="1">
      <alignment vertical="top"/>
      <protection locked="0"/>
    </xf>
    <xf numFmtId="0" fontId="44" fillId="3" borderId="22" xfId="0" applyFont="1" applyFill="1" applyBorder="1" applyAlignment="1">
      <alignment horizontal="center" vertical="center"/>
    </xf>
    <xf numFmtId="0" fontId="44" fillId="3" borderId="0" xfId="0" applyFont="1" applyFill="1" applyAlignment="1">
      <alignment horizontal="center" vertical="center"/>
    </xf>
    <xf numFmtId="0" fontId="44" fillId="3" borderId="8" xfId="0" applyFont="1" applyFill="1" applyBorder="1" applyAlignment="1">
      <alignment horizontal="center" vertical="center"/>
    </xf>
    <xf numFmtId="0" fontId="44" fillId="3" borderId="21" xfId="0" applyFont="1" applyFill="1" applyBorder="1" applyAlignment="1">
      <alignment horizontal="center" vertical="center"/>
    </xf>
    <xf numFmtId="0" fontId="1" fillId="3" borderId="1" xfId="0" applyFont="1" applyFill="1" applyBorder="1" applyAlignment="1">
      <alignment horizontal="center" vertical="top"/>
    </xf>
    <xf numFmtId="0" fontId="1" fillId="3" borderId="2"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1" fillId="2" borderId="2" xfId="0" applyFont="1" applyFill="1" applyBorder="1" applyAlignment="1">
      <alignment horizontal="center" vertical="center"/>
    </xf>
    <xf numFmtId="17" fontId="1" fillId="2" borderId="1" xfId="1" applyNumberFormat="1" applyFont="1" applyFill="1" applyBorder="1" applyAlignment="1" applyProtection="1">
      <alignment horizontal="center" vertical="center" wrapText="1"/>
    </xf>
    <xf numFmtId="41" fontId="1" fillId="2" borderId="1" xfId="1" applyFont="1" applyFill="1" applyBorder="1" applyAlignment="1" applyProtection="1">
      <alignment horizontal="center" vertical="center" wrapText="1"/>
    </xf>
    <xf numFmtId="0" fontId="1" fillId="3" borderId="1" xfId="0" applyFont="1" applyFill="1" applyBorder="1" applyAlignment="1">
      <alignment horizontal="center" vertical="center"/>
    </xf>
    <xf numFmtId="41" fontId="1" fillId="2" borderId="1" xfId="1" applyFont="1" applyFill="1" applyBorder="1" applyAlignment="1" applyProtection="1">
      <alignment horizontal="center" vertical="center"/>
    </xf>
    <xf numFmtId="1" fontId="1" fillId="2" borderId="1" xfId="2" applyNumberFormat="1" applyFont="1" applyFill="1" applyBorder="1" applyAlignment="1" applyProtection="1">
      <alignment horizontal="center" vertical="center"/>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6" xfId="0" applyFont="1" applyFill="1" applyBorder="1" applyAlignment="1">
      <alignment horizontal="center" vertical="center"/>
    </xf>
    <xf numFmtId="165" fontId="1" fillId="2" borderId="16" xfId="0" applyNumberFormat="1" applyFont="1" applyFill="1" applyBorder="1" applyAlignment="1">
      <alignment horizontal="center" vertical="center"/>
    </xf>
    <xf numFmtId="0" fontId="44" fillId="2" borderId="16" xfId="0" applyFont="1" applyFill="1" applyBorder="1" applyAlignment="1">
      <alignment horizontal="center" vertical="center"/>
    </xf>
    <xf numFmtId="178" fontId="44" fillId="3" borderId="0" xfId="0" applyNumberFormat="1" applyFont="1" applyFill="1" applyAlignment="1">
      <alignment horizontal="center" vertical="center"/>
    </xf>
    <xf numFmtId="165" fontId="45" fillId="0" borderId="0" xfId="0" applyNumberFormat="1" applyFont="1" applyAlignment="1">
      <alignment horizontal="center" vertical="center"/>
    </xf>
    <xf numFmtId="0" fontId="33" fillId="8" borderId="3" xfId="0" applyFont="1" applyFill="1" applyBorder="1" applyAlignment="1">
      <alignment horizontal="center" vertical="center"/>
    </xf>
    <xf numFmtId="0" fontId="33" fillId="8" borderId="11" xfId="0" applyFont="1" applyFill="1" applyBorder="1" applyAlignment="1">
      <alignment horizontal="center" vertical="center"/>
    </xf>
    <xf numFmtId="0" fontId="33" fillId="8" borderId="10" xfId="0" applyFont="1" applyFill="1" applyBorder="1" applyAlignment="1">
      <alignment horizontal="center" vertical="center"/>
    </xf>
    <xf numFmtId="0" fontId="33" fillId="8" borderId="19" xfId="0" applyFont="1" applyFill="1" applyBorder="1" applyAlignment="1">
      <alignment horizontal="center" vertical="center"/>
    </xf>
    <xf numFmtId="0" fontId="33" fillId="8" borderId="4" xfId="0" applyFont="1" applyFill="1" applyBorder="1" applyAlignment="1">
      <alignment horizontal="center" vertical="center"/>
    </xf>
    <xf numFmtId="167" fontId="11" fillId="0" borderId="0" xfId="4" quotePrefix="1" applyNumberFormat="1" applyFont="1" applyAlignment="1" applyProtection="1">
      <alignment horizontal="left" vertical="center"/>
    </xf>
  </cellXfs>
  <cellStyles count="10">
    <cellStyle name="_BOQ1_3_DT Fab Rev1_Cost Monitoring Sheet Phase 3" xfId="3" xr:uid="{00000000-0005-0000-0000-000003000000}"/>
    <cellStyle name="_BOQ1_D" xfId="4" xr:uid="{00000000-0005-0000-0000-000004000000}"/>
    <cellStyle name="_BUDGET STANDARD EID-NTS TTT 42 m 2007.10.24" xfId="5" xr:uid="{00000000-0005-0000-0000-000005000000}"/>
    <cellStyle name="_L0109B_2_TB-Amanusa 270109" xfId="7" xr:uid="{00000000-0005-0000-0000-000007000000}"/>
    <cellStyle name="_RDD-Cost_C" xfId="6" xr:uid="{00000000-0005-0000-0000-000006000000}"/>
    <cellStyle name="60% - Accent1 5" xfId="8" xr:uid="{00000000-0005-0000-0000-000008000000}"/>
    <cellStyle name="Comma" xfId="2" builtinId="3"/>
    <cellStyle name="Comma [0]" xfId="1" builtinId="6"/>
    <cellStyle name="Normal" xfId="0" builtinId="0"/>
    <cellStyle name="Percent" xfId="9" builtinId="5"/>
  </cellStyles>
  <dxfs count="13">
    <dxf>
      <font>
        <color rgb="FF9C0006"/>
      </font>
    </dxf>
    <dxf>
      <font>
        <b/>
        <color rgb="FFFF0000"/>
      </font>
    </dxf>
    <dxf>
      <font>
        <color rgb="FF9C0006"/>
      </font>
    </dxf>
    <dxf>
      <font>
        <color rgb="FF9C0006"/>
      </font>
    </dxf>
    <dxf>
      <font>
        <color rgb="FF9C0006"/>
      </font>
    </dxf>
    <dxf>
      <font>
        <color rgb="FF9C0006"/>
      </font>
    </dxf>
    <dxf>
      <font>
        <color rgb="FF9C0006"/>
      </font>
    </dxf>
    <dxf>
      <font>
        <b/>
        <color rgb="FFFF0000"/>
      </font>
    </dxf>
    <dxf>
      <font>
        <b/>
        <color rgb="FFFF0000"/>
      </font>
    </dxf>
    <dxf>
      <font>
        <i/>
        <color rgb="FFE6B9B8"/>
      </font>
    </dxf>
    <dxf>
      <font>
        <color rgb="FFC0514D"/>
      </font>
    </dxf>
    <dxf>
      <font>
        <color rgb="FFFF0000"/>
      </font>
    </dxf>
    <dxf>
      <font>
        <color rgb="FF9C0006"/>
      </font>
    </dxf>
  </dxfs>
  <tableStyles count="0" defaultTableStyle="TableStyleMedium9"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www.wps.cn/officeDocument/2020/cellImage" Target="NUL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j-lt"/>
                <a:ea typeface="+mj-ea"/>
                <a:cs typeface="+mj-cs"/>
              </a:defRPr>
            </a:pPr>
            <a:r>
              <a:rPr lang="en-US" sz="1600" b="1"/>
              <a:t>Profit/Loss Sekala 2025</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Diagram!$B$4</c:f>
              <c:strCache>
                <c:ptCount val="1"/>
                <c:pt idx="0">
                  <c:v>Pendapatan Penjualan</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Diagram!$C$4:$U$4</c:f>
            </c:numRef>
          </c:val>
          <c:smooth val="0"/>
          <c:extLst>
            <c:ext xmlns:c16="http://schemas.microsoft.com/office/drawing/2014/chart" uri="{C3380CC4-5D6E-409C-BE32-E72D297353CC}">
              <c16:uniqueId val="{00000000-49D0-4CD1-BA77-70B0E8C9B058}"/>
            </c:ext>
          </c:extLst>
        </c:ser>
        <c:ser>
          <c:idx val="1"/>
          <c:order val="1"/>
          <c:tx>
            <c:strRef>
              <c:f>Diagram!$B$5</c:f>
              <c:strCache>
                <c:ptCount val="1"/>
                <c:pt idx="0">
                  <c:v>Pendapatan Penjualan Rumah</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Diagram!$C$5:$U$5</c:f>
            </c:numRef>
          </c:val>
          <c:smooth val="0"/>
          <c:extLst>
            <c:ext xmlns:c16="http://schemas.microsoft.com/office/drawing/2014/chart" uri="{C3380CC4-5D6E-409C-BE32-E72D297353CC}">
              <c16:uniqueId val="{00000001-49D0-4CD1-BA77-70B0E8C9B058}"/>
            </c:ext>
          </c:extLst>
        </c:ser>
        <c:ser>
          <c:idx val="2"/>
          <c:order val="2"/>
          <c:tx>
            <c:strRef>
              <c:f>Diagram!$B$6</c:f>
              <c:strCache>
                <c:ptCount val="1"/>
                <c:pt idx="0">
                  <c:v>Pendapatan Penjualan Ruko/Apartemen</c:v>
                </c:pt>
              </c:strCache>
            </c:strRef>
          </c:tx>
          <c:spPr>
            <a:ln w="38100" cap="rnd">
              <a:solidFill>
                <a:schemeClr val="accent3"/>
              </a:solidFill>
              <a:round/>
            </a:ln>
            <a:effectLst/>
          </c:spPr>
          <c:marker>
            <c:symbol val="circle"/>
            <c:size val="8"/>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Diagram!$C$6:$U$6</c:f>
            </c:numRef>
          </c:val>
          <c:smooth val="0"/>
          <c:extLst>
            <c:ext xmlns:c16="http://schemas.microsoft.com/office/drawing/2014/chart" uri="{C3380CC4-5D6E-409C-BE32-E72D297353CC}">
              <c16:uniqueId val="{00000002-49D0-4CD1-BA77-70B0E8C9B058}"/>
            </c:ext>
          </c:extLst>
        </c:ser>
        <c:ser>
          <c:idx val="3"/>
          <c:order val="3"/>
          <c:tx>
            <c:strRef>
              <c:f>Diagram!$B$7</c:f>
              <c:strCache>
                <c:ptCount val="1"/>
                <c:pt idx="0">
                  <c:v>Total Pendapatan Penjualan</c:v>
                </c:pt>
              </c:strCache>
            </c:strRef>
          </c:tx>
          <c:spPr>
            <a:ln w="38100"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Diagram!$C$7:$U$7</c:f>
              <c:numCache>
                <c:formatCode>_(* #,##0_);_(* \(#,##0\);_(* "-"_);_(@_)</c:formatCode>
                <c:ptCount val="10"/>
                <c:pt idx="0">
                  <c:v>119</c:v>
                </c:pt>
                <c:pt idx="1">
                  <c:v>793.4</c:v>
                </c:pt>
                <c:pt idx="2">
                  <c:v>538</c:v>
                </c:pt>
                <c:pt idx="3">
                  <c:v>2271.9</c:v>
                </c:pt>
                <c:pt idx="4">
                  <c:v>3157.6</c:v>
                </c:pt>
                <c:pt idx="5">
                  <c:v>0</c:v>
                </c:pt>
                <c:pt idx="6">
                  <c:v>0</c:v>
                </c:pt>
                <c:pt idx="7">
                  <c:v>0</c:v>
                </c:pt>
                <c:pt idx="8">
                  <c:v>0</c:v>
                </c:pt>
                <c:pt idx="9">
                  <c:v>0</c:v>
                </c:pt>
              </c:numCache>
            </c:numRef>
          </c:val>
          <c:smooth val="0"/>
          <c:extLst>
            <c:ext xmlns:c16="http://schemas.microsoft.com/office/drawing/2014/chart" uri="{C3380CC4-5D6E-409C-BE32-E72D297353CC}">
              <c16:uniqueId val="{00000003-49D0-4CD1-BA77-70B0E8C9B058}"/>
            </c:ext>
          </c:extLst>
        </c:ser>
        <c:ser>
          <c:idx val="4"/>
          <c:order val="4"/>
          <c:tx>
            <c:strRef>
              <c:f>Diagram!$B$8</c:f>
              <c:strCache>
                <c:ptCount val="1"/>
                <c:pt idx="0">
                  <c:v>Total Pendapatan</c:v>
                </c:pt>
              </c:strCache>
            </c:strRef>
          </c:tx>
          <c:spPr>
            <a:ln w="38100" cap="rnd">
              <a:solidFill>
                <a:schemeClr val="accent5"/>
              </a:solidFill>
              <a:round/>
            </a:ln>
            <a:effectLst/>
          </c:spPr>
          <c:marker>
            <c:symbol val="circle"/>
            <c:size val="8"/>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Diagram!$C$8:$U$8</c:f>
            </c:numRef>
          </c:val>
          <c:smooth val="0"/>
          <c:extLst>
            <c:ext xmlns:c16="http://schemas.microsoft.com/office/drawing/2014/chart" uri="{C3380CC4-5D6E-409C-BE32-E72D297353CC}">
              <c16:uniqueId val="{00000004-49D0-4CD1-BA77-70B0E8C9B058}"/>
            </c:ext>
          </c:extLst>
        </c:ser>
        <c:ser>
          <c:idx val="5"/>
          <c:order val="5"/>
          <c:tx>
            <c:strRef>
              <c:f>Diagram!$B$9</c:f>
              <c:strCache>
                <c:ptCount val="1"/>
                <c:pt idx="0">
                  <c:v>Harga Pokok Penjualan</c:v>
                </c:pt>
              </c:strCache>
            </c:strRef>
          </c:tx>
          <c:spPr>
            <a:ln w="38100" cap="rnd">
              <a:solidFill>
                <a:schemeClr val="accent6"/>
              </a:solidFill>
              <a:round/>
            </a:ln>
            <a:effectLst/>
          </c:spPr>
          <c:marker>
            <c:symbol val="circle"/>
            <c:size val="8"/>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Diagram!$C$9:$U$9</c:f>
            </c:numRef>
          </c:val>
          <c:smooth val="0"/>
          <c:extLst>
            <c:ext xmlns:c16="http://schemas.microsoft.com/office/drawing/2014/chart" uri="{C3380CC4-5D6E-409C-BE32-E72D297353CC}">
              <c16:uniqueId val="{00000005-49D0-4CD1-BA77-70B0E8C9B058}"/>
            </c:ext>
          </c:extLst>
        </c:ser>
        <c:ser>
          <c:idx val="6"/>
          <c:order val="6"/>
          <c:tx>
            <c:strRef>
              <c:f>Diagram!$B$10</c:f>
              <c:strCache>
                <c:ptCount val="1"/>
                <c:pt idx="0">
                  <c:v>Biaya Perolehan Tanah</c:v>
                </c:pt>
              </c:strCache>
            </c:strRef>
          </c:tx>
          <c:spPr>
            <a:ln w="38100" cap="rnd">
              <a:solidFill>
                <a:schemeClr val="accent1">
                  <a:lumMod val="60000"/>
                </a:schemeClr>
              </a:solidFill>
              <a:round/>
            </a:ln>
            <a:effectLst/>
          </c:spPr>
          <c:marker>
            <c:symbol val="circle"/>
            <c:size val="8"/>
            <c:spPr>
              <a:solidFill>
                <a:schemeClr val="accent1">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Diagram!$C$10:$U$10</c:f>
            </c:numRef>
          </c:val>
          <c:smooth val="0"/>
          <c:extLst>
            <c:ext xmlns:c16="http://schemas.microsoft.com/office/drawing/2014/chart" uri="{C3380CC4-5D6E-409C-BE32-E72D297353CC}">
              <c16:uniqueId val="{00000006-49D0-4CD1-BA77-70B0E8C9B058}"/>
            </c:ext>
          </c:extLst>
        </c:ser>
        <c:ser>
          <c:idx val="7"/>
          <c:order val="7"/>
          <c:tx>
            <c:strRef>
              <c:f>Diagram!$B$11</c:f>
              <c:strCache>
                <c:ptCount val="1"/>
                <c:pt idx="0">
                  <c:v>Biaya Material Langsung (Material Alam)</c:v>
                </c:pt>
              </c:strCache>
            </c:strRef>
          </c:tx>
          <c:spPr>
            <a:ln w="38100" cap="rnd">
              <a:solidFill>
                <a:schemeClr val="accent2">
                  <a:lumMod val="60000"/>
                </a:schemeClr>
              </a:solidFill>
              <a:round/>
            </a:ln>
            <a:effectLst/>
          </c:spPr>
          <c:marker>
            <c:symbol val="circle"/>
            <c:size val="8"/>
            <c:spPr>
              <a:solidFill>
                <a:schemeClr val="accent2">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Diagram!$C$11:$U$11</c:f>
            </c:numRef>
          </c:val>
          <c:smooth val="0"/>
          <c:extLst>
            <c:ext xmlns:c16="http://schemas.microsoft.com/office/drawing/2014/chart" uri="{C3380CC4-5D6E-409C-BE32-E72D297353CC}">
              <c16:uniqueId val="{00000007-49D0-4CD1-BA77-70B0E8C9B058}"/>
            </c:ext>
          </c:extLst>
        </c:ser>
        <c:ser>
          <c:idx val="8"/>
          <c:order val="8"/>
          <c:tx>
            <c:strRef>
              <c:f>Diagram!$B$12</c:f>
              <c:strCache>
                <c:ptCount val="1"/>
                <c:pt idx="0">
                  <c:v>Biaya Material Langsung (Material Pabrikasi)</c:v>
                </c:pt>
              </c:strCache>
            </c:strRef>
          </c:tx>
          <c:spPr>
            <a:ln w="38100" cap="rnd">
              <a:solidFill>
                <a:schemeClr val="accent3">
                  <a:lumMod val="60000"/>
                </a:schemeClr>
              </a:solidFill>
              <a:round/>
            </a:ln>
            <a:effectLst/>
          </c:spPr>
          <c:marker>
            <c:symbol val="circle"/>
            <c:size val="8"/>
            <c:spPr>
              <a:solidFill>
                <a:schemeClr val="accent3">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Diagram!$C$12:$U$12</c:f>
            </c:numRef>
          </c:val>
          <c:smooth val="0"/>
          <c:extLst>
            <c:ext xmlns:c16="http://schemas.microsoft.com/office/drawing/2014/chart" uri="{C3380CC4-5D6E-409C-BE32-E72D297353CC}">
              <c16:uniqueId val="{00000008-49D0-4CD1-BA77-70B0E8C9B058}"/>
            </c:ext>
          </c:extLst>
        </c:ser>
        <c:ser>
          <c:idx val="9"/>
          <c:order val="9"/>
          <c:tx>
            <c:strRef>
              <c:f>Diagram!$B$13</c:f>
              <c:strCache>
                <c:ptCount val="1"/>
                <c:pt idx="0">
                  <c:v>Biaya Tenaga Kerja Langsung</c:v>
                </c:pt>
              </c:strCache>
            </c:strRef>
          </c:tx>
          <c:spPr>
            <a:ln w="38100" cap="rnd">
              <a:solidFill>
                <a:schemeClr val="accent4">
                  <a:lumMod val="60000"/>
                </a:schemeClr>
              </a:solidFill>
              <a:round/>
            </a:ln>
            <a:effectLst/>
          </c:spPr>
          <c:marker>
            <c:symbol val="circle"/>
            <c:size val="8"/>
            <c:spPr>
              <a:solidFill>
                <a:schemeClr val="accent4">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Diagram!$C$13:$U$13</c:f>
            </c:numRef>
          </c:val>
          <c:smooth val="0"/>
          <c:extLst>
            <c:ext xmlns:c16="http://schemas.microsoft.com/office/drawing/2014/chart" uri="{C3380CC4-5D6E-409C-BE32-E72D297353CC}">
              <c16:uniqueId val="{00000009-49D0-4CD1-BA77-70B0E8C9B058}"/>
            </c:ext>
          </c:extLst>
        </c:ser>
        <c:ser>
          <c:idx val="10"/>
          <c:order val="10"/>
          <c:tx>
            <c:strRef>
              <c:f>Diagram!$B$14</c:f>
              <c:strCache>
                <c:ptCount val="1"/>
                <c:pt idx="0">
                  <c:v>Biaya Overhead Lainnya</c:v>
                </c:pt>
              </c:strCache>
            </c:strRef>
          </c:tx>
          <c:spPr>
            <a:ln w="38100" cap="rnd">
              <a:solidFill>
                <a:schemeClr val="accent5">
                  <a:lumMod val="60000"/>
                </a:schemeClr>
              </a:solidFill>
              <a:round/>
            </a:ln>
            <a:effectLst/>
          </c:spPr>
          <c:marker>
            <c:symbol val="circle"/>
            <c:size val="8"/>
            <c:spPr>
              <a:solidFill>
                <a:schemeClr val="accent5">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Diagram!$C$14:$U$14</c:f>
            </c:numRef>
          </c:val>
          <c:smooth val="0"/>
          <c:extLst>
            <c:ext xmlns:c16="http://schemas.microsoft.com/office/drawing/2014/chart" uri="{C3380CC4-5D6E-409C-BE32-E72D297353CC}">
              <c16:uniqueId val="{0000000A-49D0-4CD1-BA77-70B0E8C9B058}"/>
            </c:ext>
          </c:extLst>
        </c:ser>
        <c:ser>
          <c:idx val="11"/>
          <c:order val="11"/>
          <c:tx>
            <c:strRef>
              <c:f>Diagram!$B$15</c:f>
              <c:strCache>
                <c:ptCount val="1"/>
                <c:pt idx="0">
                  <c:v>Biaya Infrastruktur &amp; Fasilitas Umum</c:v>
                </c:pt>
              </c:strCache>
            </c:strRef>
          </c:tx>
          <c:spPr>
            <a:ln w="38100" cap="rnd">
              <a:solidFill>
                <a:schemeClr val="accent6">
                  <a:lumMod val="60000"/>
                </a:schemeClr>
              </a:solidFill>
              <a:round/>
            </a:ln>
            <a:effectLst/>
          </c:spPr>
          <c:marker>
            <c:symbol val="circle"/>
            <c:size val="8"/>
            <c:spPr>
              <a:solidFill>
                <a:schemeClr val="accent6">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Diagram!$C$15:$U$15</c:f>
            </c:numRef>
          </c:val>
          <c:smooth val="0"/>
          <c:extLst>
            <c:ext xmlns:c16="http://schemas.microsoft.com/office/drawing/2014/chart" uri="{C3380CC4-5D6E-409C-BE32-E72D297353CC}">
              <c16:uniqueId val="{0000000B-49D0-4CD1-BA77-70B0E8C9B058}"/>
            </c:ext>
          </c:extLst>
        </c:ser>
        <c:ser>
          <c:idx val="12"/>
          <c:order val="12"/>
          <c:tx>
            <c:strRef>
              <c:f>Diagram!$B$16</c:f>
              <c:strCache>
                <c:ptCount val="1"/>
                <c:pt idx="0">
                  <c:v>Biaya Perizinan dan Notaris</c:v>
                </c:pt>
              </c:strCache>
            </c:strRef>
          </c:tx>
          <c:spPr>
            <a:ln w="38100" cap="rnd">
              <a:solidFill>
                <a:schemeClr val="accent1">
                  <a:lumMod val="80000"/>
                  <a:lumOff val="20000"/>
                </a:schemeClr>
              </a:solidFill>
              <a:round/>
            </a:ln>
            <a:effectLst/>
          </c:spPr>
          <c:marker>
            <c:symbol val="circle"/>
            <c:size val="8"/>
            <c:spPr>
              <a:solidFill>
                <a:schemeClr val="accent1">
                  <a:lumMod val="80000"/>
                  <a:lumOff val="2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Diagram!$C$16:$U$16</c:f>
            </c:numRef>
          </c:val>
          <c:smooth val="0"/>
          <c:extLst>
            <c:ext xmlns:c16="http://schemas.microsoft.com/office/drawing/2014/chart" uri="{C3380CC4-5D6E-409C-BE32-E72D297353CC}">
              <c16:uniqueId val="{0000000C-49D0-4CD1-BA77-70B0E8C9B058}"/>
            </c:ext>
          </c:extLst>
        </c:ser>
        <c:ser>
          <c:idx val="13"/>
          <c:order val="13"/>
          <c:tx>
            <c:strRef>
              <c:f>Diagram!$B$17</c:f>
              <c:strCache>
                <c:ptCount val="1"/>
                <c:pt idx="0">
                  <c:v>Biaya Promosi Penjualan (yang dikapitalisasi)</c:v>
                </c:pt>
              </c:strCache>
            </c:strRef>
          </c:tx>
          <c:spPr>
            <a:ln w="38100" cap="rnd">
              <a:solidFill>
                <a:schemeClr val="accent2">
                  <a:lumMod val="80000"/>
                  <a:lumOff val="20000"/>
                </a:schemeClr>
              </a:solidFill>
              <a:round/>
            </a:ln>
            <a:effectLst/>
          </c:spPr>
          <c:marker>
            <c:symbol val="circle"/>
            <c:size val="8"/>
            <c:spPr>
              <a:solidFill>
                <a:schemeClr val="accent2">
                  <a:lumMod val="80000"/>
                  <a:lumOff val="2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Diagram!$C$17:$U$17</c:f>
            </c:numRef>
          </c:val>
          <c:smooth val="0"/>
          <c:extLst>
            <c:ext xmlns:c16="http://schemas.microsoft.com/office/drawing/2014/chart" uri="{C3380CC4-5D6E-409C-BE32-E72D297353CC}">
              <c16:uniqueId val="{0000000D-49D0-4CD1-BA77-70B0E8C9B058}"/>
            </c:ext>
          </c:extLst>
        </c:ser>
        <c:ser>
          <c:idx val="14"/>
          <c:order val="14"/>
          <c:tx>
            <c:strRef>
              <c:f>Diagram!$B$18</c:f>
              <c:strCache>
                <c:ptCount val="1"/>
                <c:pt idx="0">
                  <c:v>Biaya Langsung Proyek Lainnya</c:v>
                </c:pt>
              </c:strCache>
            </c:strRef>
          </c:tx>
          <c:spPr>
            <a:ln w="38100" cap="rnd">
              <a:solidFill>
                <a:schemeClr val="accent3">
                  <a:lumMod val="80000"/>
                  <a:lumOff val="20000"/>
                </a:schemeClr>
              </a:solidFill>
              <a:round/>
            </a:ln>
            <a:effectLst/>
          </c:spPr>
          <c:marker>
            <c:symbol val="circle"/>
            <c:size val="8"/>
            <c:spPr>
              <a:solidFill>
                <a:schemeClr val="accent3">
                  <a:lumMod val="80000"/>
                  <a:lumOff val="2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Diagram!$C$18:$U$18</c:f>
            </c:numRef>
          </c:val>
          <c:smooth val="0"/>
          <c:extLst>
            <c:ext xmlns:c16="http://schemas.microsoft.com/office/drawing/2014/chart" uri="{C3380CC4-5D6E-409C-BE32-E72D297353CC}">
              <c16:uniqueId val="{0000000E-49D0-4CD1-BA77-70B0E8C9B058}"/>
            </c:ext>
          </c:extLst>
        </c:ser>
        <c:ser>
          <c:idx val="15"/>
          <c:order val="15"/>
          <c:tx>
            <c:strRef>
              <c:f>Diagram!$B$19</c:f>
              <c:strCache>
                <c:ptCount val="1"/>
                <c:pt idx="0">
                  <c:v>Total Harga Pokok Penjualan</c:v>
                </c:pt>
              </c:strCache>
            </c:strRef>
          </c:tx>
          <c:spPr>
            <a:ln w="38100" cap="rnd">
              <a:solidFill>
                <a:schemeClr val="accent4">
                  <a:lumMod val="80000"/>
                  <a:lumOff val="2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Diagram!$C$19:$U$19</c:f>
              <c:numCache>
                <c:formatCode>_(* #,##0_);_(* \(#,##0\);_(* "-"_);_(@_)</c:formatCode>
                <c:ptCount val="10"/>
                <c:pt idx="0">
                  <c:v>61.558</c:v>
                </c:pt>
                <c:pt idx="1">
                  <c:v>313.20300000000003</c:v>
                </c:pt>
                <c:pt idx="2">
                  <c:v>249.75700000000001</c:v>
                </c:pt>
                <c:pt idx="3">
                  <c:v>870.71300000000008</c:v>
                </c:pt>
                <c:pt idx="4">
                  <c:v>1013.957</c:v>
                </c:pt>
                <c:pt idx="5">
                  <c:v>0</c:v>
                </c:pt>
                <c:pt idx="6">
                  <c:v>0</c:v>
                </c:pt>
                <c:pt idx="7">
                  <c:v>0</c:v>
                </c:pt>
                <c:pt idx="8">
                  <c:v>0</c:v>
                </c:pt>
                <c:pt idx="9">
                  <c:v>0</c:v>
                </c:pt>
              </c:numCache>
            </c:numRef>
          </c:val>
          <c:smooth val="0"/>
          <c:extLst>
            <c:ext xmlns:c16="http://schemas.microsoft.com/office/drawing/2014/chart" uri="{C3380CC4-5D6E-409C-BE32-E72D297353CC}">
              <c16:uniqueId val="{0000000F-49D0-4CD1-BA77-70B0E8C9B058}"/>
            </c:ext>
          </c:extLst>
        </c:ser>
        <c:ser>
          <c:idx val="16"/>
          <c:order val="16"/>
          <c:tx>
            <c:strRef>
              <c:f>Diagram!$B$20</c:f>
              <c:strCache>
                <c:ptCount val="1"/>
                <c:pt idx="0">
                  <c:v>Beban Umum &amp; Administrasi</c:v>
                </c:pt>
              </c:strCache>
            </c:strRef>
          </c:tx>
          <c:spPr>
            <a:ln w="38100" cap="rnd">
              <a:solidFill>
                <a:schemeClr val="accent5">
                  <a:lumMod val="80000"/>
                  <a:lumOff val="20000"/>
                </a:schemeClr>
              </a:solidFill>
              <a:round/>
            </a:ln>
            <a:effectLst/>
          </c:spPr>
          <c:marker>
            <c:symbol val="circle"/>
            <c:size val="8"/>
            <c:spPr>
              <a:solidFill>
                <a:schemeClr val="accent5">
                  <a:lumMod val="80000"/>
                  <a:lumOff val="2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Diagram!$C$20:$U$20</c:f>
            </c:numRef>
          </c:val>
          <c:smooth val="0"/>
          <c:extLst>
            <c:ext xmlns:c16="http://schemas.microsoft.com/office/drawing/2014/chart" uri="{C3380CC4-5D6E-409C-BE32-E72D297353CC}">
              <c16:uniqueId val="{00000010-49D0-4CD1-BA77-70B0E8C9B058}"/>
            </c:ext>
          </c:extLst>
        </c:ser>
        <c:ser>
          <c:idx val="17"/>
          <c:order val="17"/>
          <c:tx>
            <c:strRef>
              <c:f>Diagram!$B$21</c:f>
              <c:strCache>
                <c:ptCount val="1"/>
                <c:pt idx="0">
                  <c:v>Gaji &amp; Tunjangan</c:v>
                </c:pt>
              </c:strCache>
            </c:strRef>
          </c:tx>
          <c:spPr>
            <a:ln w="38100" cap="rnd">
              <a:solidFill>
                <a:schemeClr val="accent6">
                  <a:lumMod val="80000"/>
                  <a:lumOff val="20000"/>
                </a:schemeClr>
              </a:solidFill>
              <a:round/>
            </a:ln>
            <a:effectLst/>
          </c:spPr>
          <c:marker>
            <c:symbol val="circle"/>
            <c:size val="8"/>
            <c:spPr>
              <a:solidFill>
                <a:schemeClr val="accent6">
                  <a:lumMod val="80000"/>
                  <a:lumOff val="2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Diagram!$C$21:$U$21</c:f>
            </c:numRef>
          </c:val>
          <c:smooth val="0"/>
          <c:extLst>
            <c:ext xmlns:c16="http://schemas.microsoft.com/office/drawing/2014/chart" uri="{C3380CC4-5D6E-409C-BE32-E72D297353CC}">
              <c16:uniqueId val="{00000011-49D0-4CD1-BA77-70B0E8C9B058}"/>
            </c:ext>
          </c:extLst>
        </c:ser>
        <c:ser>
          <c:idx val="18"/>
          <c:order val="18"/>
          <c:tx>
            <c:strRef>
              <c:f>Diagram!$B$22</c:f>
              <c:strCache>
                <c:ptCount val="1"/>
                <c:pt idx="0">
                  <c:v>Biaya Listrik</c:v>
                </c:pt>
              </c:strCache>
            </c:strRef>
          </c:tx>
          <c:spPr>
            <a:ln w="38100" cap="rnd">
              <a:solidFill>
                <a:schemeClr val="accent1">
                  <a:lumMod val="80000"/>
                </a:schemeClr>
              </a:solidFill>
              <a:round/>
            </a:ln>
            <a:effectLst/>
          </c:spPr>
          <c:marker>
            <c:symbol val="circle"/>
            <c:size val="8"/>
            <c:spPr>
              <a:solidFill>
                <a:schemeClr val="accent1">
                  <a:lumMod val="8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Diagram!$C$22:$U$22</c:f>
            </c:numRef>
          </c:val>
          <c:smooth val="0"/>
          <c:extLst>
            <c:ext xmlns:c16="http://schemas.microsoft.com/office/drawing/2014/chart" uri="{C3380CC4-5D6E-409C-BE32-E72D297353CC}">
              <c16:uniqueId val="{00000012-49D0-4CD1-BA77-70B0E8C9B058}"/>
            </c:ext>
          </c:extLst>
        </c:ser>
        <c:ser>
          <c:idx val="19"/>
          <c:order val="19"/>
          <c:tx>
            <c:strRef>
              <c:f>Diagram!$B$23</c:f>
              <c:strCache>
                <c:ptCount val="1"/>
                <c:pt idx="0">
                  <c:v>Biaya Air</c:v>
                </c:pt>
              </c:strCache>
            </c:strRef>
          </c:tx>
          <c:spPr>
            <a:ln w="38100" cap="rnd">
              <a:solidFill>
                <a:schemeClr val="accent2">
                  <a:lumMod val="80000"/>
                </a:schemeClr>
              </a:solidFill>
              <a:round/>
            </a:ln>
            <a:effectLst/>
          </c:spPr>
          <c:marker>
            <c:symbol val="circle"/>
            <c:size val="8"/>
            <c:spPr>
              <a:solidFill>
                <a:schemeClr val="accent2">
                  <a:lumMod val="8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Diagram!$C$23:$U$23</c:f>
            </c:numRef>
          </c:val>
          <c:smooth val="0"/>
          <c:extLst>
            <c:ext xmlns:c16="http://schemas.microsoft.com/office/drawing/2014/chart" uri="{C3380CC4-5D6E-409C-BE32-E72D297353CC}">
              <c16:uniqueId val="{00000013-49D0-4CD1-BA77-70B0E8C9B058}"/>
            </c:ext>
          </c:extLst>
        </c:ser>
        <c:ser>
          <c:idx val="20"/>
          <c:order val="20"/>
          <c:tx>
            <c:strRef>
              <c:f>Diagram!$B$24</c:f>
              <c:strCache>
                <c:ptCount val="1"/>
                <c:pt idx="0">
                  <c:v>Biaya ATK</c:v>
                </c:pt>
              </c:strCache>
            </c:strRef>
          </c:tx>
          <c:spPr>
            <a:ln w="38100" cap="rnd">
              <a:solidFill>
                <a:schemeClr val="accent3">
                  <a:lumMod val="80000"/>
                </a:schemeClr>
              </a:solidFill>
              <a:round/>
            </a:ln>
            <a:effectLst/>
          </c:spPr>
          <c:marker>
            <c:symbol val="circle"/>
            <c:size val="8"/>
            <c:spPr>
              <a:solidFill>
                <a:schemeClr val="accent3">
                  <a:lumMod val="8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Diagram!$C$24:$U$24</c:f>
            </c:numRef>
          </c:val>
          <c:smooth val="0"/>
          <c:extLst>
            <c:ext xmlns:c16="http://schemas.microsoft.com/office/drawing/2014/chart" uri="{C3380CC4-5D6E-409C-BE32-E72D297353CC}">
              <c16:uniqueId val="{00000014-49D0-4CD1-BA77-70B0E8C9B058}"/>
            </c:ext>
          </c:extLst>
        </c:ser>
        <c:ser>
          <c:idx val="21"/>
          <c:order val="21"/>
          <c:tx>
            <c:strRef>
              <c:f>Diagram!$B$25</c:f>
              <c:strCache>
                <c:ptCount val="1"/>
                <c:pt idx="0">
                  <c:v>Biaya Internet Kantor</c:v>
                </c:pt>
              </c:strCache>
            </c:strRef>
          </c:tx>
          <c:spPr>
            <a:ln w="38100" cap="rnd">
              <a:solidFill>
                <a:schemeClr val="accent4">
                  <a:lumMod val="80000"/>
                </a:schemeClr>
              </a:solidFill>
              <a:round/>
            </a:ln>
            <a:effectLst/>
          </c:spPr>
          <c:marker>
            <c:symbol val="circle"/>
            <c:size val="8"/>
            <c:spPr>
              <a:solidFill>
                <a:schemeClr val="accent4">
                  <a:lumMod val="8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Diagram!$C$25:$U$25</c:f>
            </c:numRef>
          </c:val>
          <c:smooth val="0"/>
          <c:extLst>
            <c:ext xmlns:c16="http://schemas.microsoft.com/office/drawing/2014/chart" uri="{C3380CC4-5D6E-409C-BE32-E72D297353CC}">
              <c16:uniqueId val="{00000015-49D0-4CD1-BA77-70B0E8C9B058}"/>
            </c:ext>
          </c:extLst>
        </c:ser>
        <c:ser>
          <c:idx val="22"/>
          <c:order val="22"/>
          <c:tx>
            <c:strRef>
              <c:f>Diagram!$B$26</c:f>
              <c:strCache>
                <c:ptCount val="1"/>
                <c:pt idx="0">
                  <c:v>Biaya Pemeliharaan Gedung Kantor</c:v>
                </c:pt>
              </c:strCache>
            </c:strRef>
          </c:tx>
          <c:spPr>
            <a:ln w="38100" cap="rnd">
              <a:solidFill>
                <a:schemeClr val="accent5">
                  <a:lumMod val="80000"/>
                </a:schemeClr>
              </a:solidFill>
              <a:round/>
            </a:ln>
            <a:effectLst/>
          </c:spPr>
          <c:marker>
            <c:symbol val="circle"/>
            <c:size val="8"/>
            <c:spPr>
              <a:solidFill>
                <a:schemeClr val="accent5">
                  <a:lumMod val="8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Diagram!$C$26:$U$26</c:f>
            </c:numRef>
          </c:val>
          <c:smooth val="0"/>
          <c:extLst>
            <c:ext xmlns:c16="http://schemas.microsoft.com/office/drawing/2014/chart" uri="{C3380CC4-5D6E-409C-BE32-E72D297353CC}">
              <c16:uniqueId val="{00000016-49D0-4CD1-BA77-70B0E8C9B058}"/>
            </c:ext>
          </c:extLst>
        </c:ser>
        <c:ser>
          <c:idx val="23"/>
          <c:order val="23"/>
          <c:tx>
            <c:strRef>
              <c:f>Diagram!$B$27</c:f>
              <c:strCache>
                <c:ptCount val="1"/>
                <c:pt idx="0">
                  <c:v>Biaya Transportasi &amp; Kendaraan</c:v>
                </c:pt>
              </c:strCache>
            </c:strRef>
          </c:tx>
          <c:spPr>
            <a:ln w="38100" cap="rnd">
              <a:solidFill>
                <a:schemeClr val="accent6">
                  <a:lumMod val="80000"/>
                </a:schemeClr>
              </a:solidFill>
              <a:round/>
            </a:ln>
            <a:effectLst/>
          </c:spPr>
          <c:marker>
            <c:symbol val="circle"/>
            <c:size val="8"/>
            <c:spPr>
              <a:solidFill>
                <a:schemeClr val="accent6">
                  <a:lumMod val="8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Diagram!$C$27:$U$27</c:f>
            </c:numRef>
          </c:val>
          <c:smooth val="0"/>
          <c:extLst>
            <c:ext xmlns:c16="http://schemas.microsoft.com/office/drawing/2014/chart" uri="{C3380CC4-5D6E-409C-BE32-E72D297353CC}">
              <c16:uniqueId val="{00000017-49D0-4CD1-BA77-70B0E8C9B058}"/>
            </c:ext>
          </c:extLst>
        </c:ser>
        <c:ser>
          <c:idx val="24"/>
          <c:order val="24"/>
          <c:tx>
            <c:strRef>
              <c:f>Diagram!$B$28</c:f>
              <c:strCache>
                <c:ptCount val="1"/>
                <c:pt idx="0">
                  <c:v>Biaya Pihak Afiliasi</c:v>
                </c:pt>
              </c:strCache>
            </c:strRef>
          </c:tx>
          <c:spPr>
            <a:ln w="38100" cap="rnd">
              <a:solidFill>
                <a:schemeClr val="accent1">
                  <a:lumMod val="60000"/>
                  <a:lumOff val="40000"/>
                </a:schemeClr>
              </a:solidFill>
              <a:round/>
            </a:ln>
            <a:effectLst/>
          </c:spPr>
          <c:marker>
            <c:symbol val="circle"/>
            <c:size val="8"/>
            <c:spPr>
              <a:solidFill>
                <a:schemeClr val="accent1">
                  <a:lumMod val="60000"/>
                  <a:lumOff val="4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Diagram!$C$28:$U$28</c:f>
            </c:numRef>
          </c:val>
          <c:smooth val="0"/>
          <c:extLst>
            <c:ext xmlns:c16="http://schemas.microsoft.com/office/drawing/2014/chart" uri="{C3380CC4-5D6E-409C-BE32-E72D297353CC}">
              <c16:uniqueId val="{00000018-49D0-4CD1-BA77-70B0E8C9B058}"/>
            </c:ext>
          </c:extLst>
        </c:ser>
        <c:ser>
          <c:idx val="25"/>
          <c:order val="25"/>
          <c:tx>
            <c:strRef>
              <c:f>Diagram!$B$29</c:f>
              <c:strCache>
                <c:ptCount val="1"/>
                <c:pt idx="0">
                  <c:v>Biaya Lain-Lain</c:v>
                </c:pt>
              </c:strCache>
            </c:strRef>
          </c:tx>
          <c:spPr>
            <a:ln w="38100" cap="rnd">
              <a:solidFill>
                <a:schemeClr val="accent2">
                  <a:lumMod val="60000"/>
                  <a:lumOff val="40000"/>
                </a:schemeClr>
              </a:solidFill>
              <a:round/>
            </a:ln>
            <a:effectLst/>
          </c:spPr>
          <c:marker>
            <c:symbol val="circle"/>
            <c:size val="8"/>
            <c:spPr>
              <a:solidFill>
                <a:schemeClr val="accent2">
                  <a:lumMod val="60000"/>
                  <a:lumOff val="4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Diagram!$C$29:$U$29</c:f>
            </c:numRef>
          </c:val>
          <c:smooth val="0"/>
          <c:extLst>
            <c:ext xmlns:c16="http://schemas.microsoft.com/office/drawing/2014/chart" uri="{C3380CC4-5D6E-409C-BE32-E72D297353CC}">
              <c16:uniqueId val="{00000019-49D0-4CD1-BA77-70B0E8C9B058}"/>
            </c:ext>
          </c:extLst>
        </c:ser>
        <c:ser>
          <c:idx val="26"/>
          <c:order val="26"/>
          <c:tx>
            <c:strRef>
              <c:f>Diagram!$B$30</c:f>
              <c:strCache>
                <c:ptCount val="1"/>
                <c:pt idx="0">
                  <c:v>Profit Margin</c:v>
                </c:pt>
              </c:strCache>
            </c:strRef>
          </c:tx>
          <c:spPr>
            <a:ln w="38100" cap="rnd">
              <a:solidFill>
                <a:schemeClr val="accent3">
                  <a:lumMod val="60000"/>
                  <a:lumOff val="40000"/>
                </a:schemeClr>
              </a:solidFill>
              <a:round/>
            </a:ln>
            <a:effectLst/>
          </c:spPr>
          <c:marker>
            <c:symbol val="circle"/>
            <c:size val="8"/>
            <c:spPr>
              <a:solidFill>
                <a:schemeClr val="accent3">
                  <a:lumMod val="60000"/>
                  <a:lumOff val="4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Diagram!$C$30:$U$30</c:f>
            </c:numRef>
          </c:val>
          <c:smooth val="0"/>
          <c:extLst>
            <c:ext xmlns:c16="http://schemas.microsoft.com/office/drawing/2014/chart" uri="{C3380CC4-5D6E-409C-BE32-E72D297353CC}">
              <c16:uniqueId val="{0000001A-49D0-4CD1-BA77-70B0E8C9B058}"/>
            </c:ext>
          </c:extLst>
        </c:ser>
        <c:ser>
          <c:idx val="27"/>
          <c:order val="27"/>
          <c:tx>
            <c:strRef>
              <c:f>Diagram!$B$31</c:f>
              <c:strCache>
                <c:ptCount val="1"/>
                <c:pt idx="0">
                  <c:v>Total Beban Umum &amp; Administrasi</c:v>
                </c:pt>
              </c:strCache>
            </c:strRef>
          </c:tx>
          <c:spPr>
            <a:ln w="38100" cap="rnd">
              <a:solidFill>
                <a:schemeClr val="accent4">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Diagram!$C$31:$U$31</c:f>
              <c:numCache>
                <c:formatCode>_(* #,##0_);_(* \(#,##0\);_(* "-"_);_(@_)</c:formatCode>
                <c:ptCount val="10"/>
                <c:pt idx="0">
                  <c:v>94.470997000000011</c:v>
                </c:pt>
                <c:pt idx="1">
                  <c:v>91.697036000000011</c:v>
                </c:pt>
                <c:pt idx="2">
                  <c:v>80.649286000000004</c:v>
                </c:pt>
                <c:pt idx="3">
                  <c:v>129.95113499999999</c:v>
                </c:pt>
                <c:pt idx="4">
                  <c:v>120.00913800000001</c:v>
                </c:pt>
                <c:pt idx="5">
                  <c:v>0</c:v>
                </c:pt>
                <c:pt idx="6">
                  <c:v>0</c:v>
                </c:pt>
                <c:pt idx="7">
                  <c:v>0</c:v>
                </c:pt>
                <c:pt idx="8">
                  <c:v>0</c:v>
                </c:pt>
                <c:pt idx="9">
                  <c:v>0</c:v>
                </c:pt>
              </c:numCache>
            </c:numRef>
          </c:val>
          <c:smooth val="0"/>
          <c:extLst>
            <c:ext xmlns:c16="http://schemas.microsoft.com/office/drawing/2014/chart" uri="{C3380CC4-5D6E-409C-BE32-E72D297353CC}">
              <c16:uniqueId val="{0000001B-49D0-4CD1-BA77-70B0E8C9B058}"/>
            </c:ext>
          </c:extLst>
        </c:ser>
        <c:ser>
          <c:idx val="28"/>
          <c:order val="28"/>
          <c:tx>
            <c:strRef>
              <c:f>Diagram!$B$32</c:f>
              <c:strCache>
                <c:ptCount val="1"/>
                <c:pt idx="0">
                  <c:v>Pendapatan Lain-Lain</c:v>
                </c:pt>
              </c:strCache>
            </c:strRef>
          </c:tx>
          <c:spPr>
            <a:ln w="38100" cap="rnd">
              <a:solidFill>
                <a:schemeClr val="accent5">
                  <a:lumMod val="60000"/>
                  <a:lumOff val="40000"/>
                </a:schemeClr>
              </a:solidFill>
              <a:round/>
            </a:ln>
            <a:effectLst/>
          </c:spPr>
          <c:marker>
            <c:symbol val="circle"/>
            <c:size val="8"/>
            <c:spPr>
              <a:solidFill>
                <a:schemeClr val="accent5">
                  <a:lumMod val="60000"/>
                  <a:lumOff val="4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Diagram!$C$32:$U$32</c:f>
            </c:numRef>
          </c:val>
          <c:smooth val="0"/>
          <c:extLst>
            <c:ext xmlns:c16="http://schemas.microsoft.com/office/drawing/2014/chart" uri="{C3380CC4-5D6E-409C-BE32-E72D297353CC}">
              <c16:uniqueId val="{0000001C-49D0-4CD1-BA77-70B0E8C9B058}"/>
            </c:ext>
          </c:extLst>
        </c:ser>
        <c:ser>
          <c:idx val="29"/>
          <c:order val="29"/>
          <c:tx>
            <c:strRef>
              <c:f>Diagram!$B$33</c:f>
              <c:strCache>
                <c:ptCount val="1"/>
                <c:pt idx="0">
                  <c:v>Pendapatan Lainnya</c:v>
                </c:pt>
              </c:strCache>
            </c:strRef>
          </c:tx>
          <c:spPr>
            <a:ln w="38100" cap="rnd">
              <a:solidFill>
                <a:schemeClr val="accent6">
                  <a:lumMod val="60000"/>
                  <a:lumOff val="40000"/>
                </a:schemeClr>
              </a:solidFill>
              <a:round/>
            </a:ln>
            <a:effectLst/>
          </c:spPr>
          <c:marker>
            <c:symbol val="circle"/>
            <c:size val="8"/>
            <c:spPr>
              <a:solidFill>
                <a:schemeClr val="accent6">
                  <a:lumMod val="60000"/>
                  <a:lumOff val="4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Diagram!$C$33:$U$33</c:f>
            </c:numRef>
          </c:val>
          <c:smooth val="0"/>
          <c:extLst>
            <c:ext xmlns:c16="http://schemas.microsoft.com/office/drawing/2014/chart" uri="{C3380CC4-5D6E-409C-BE32-E72D297353CC}">
              <c16:uniqueId val="{0000001D-49D0-4CD1-BA77-70B0E8C9B058}"/>
            </c:ext>
          </c:extLst>
        </c:ser>
        <c:ser>
          <c:idx val="30"/>
          <c:order val="30"/>
          <c:tx>
            <c:strRef>
              <c:f>Diagram!$B$34</c:f>
              <c:strCache>
                <c:ptCount val="1"/>
                <c:pt idx="0">
                  <c:v>Pendapatan Investasi</c:v>
                </c:pt>
              </c:strCache>
            </c:strRef>
          </c:tx>
          <c:spPr>
            <a:ln w="38100" cap="rnd">
              <a:solidFill>
                <a:schemeClr val="accent1">
                  <a:lumMod val="50000"/>
                </a:schemeClr>
              </a:solidFill>
              <a:round/>
            </a:ln>
            <a:effectLst/>
          </c:spPr>
          <c:marker>
            <c:symbol val="circle"/>
            <c:size val="8"/>
            <c:spPr>
              <a:solidFill>
                <a:schemeClr val="accent1">
                  <a:lumMod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Diagram!$C$34:$U$34</c:f>
            </c:numRef>
          </c:val>
          <c:smooth val="0"/>
          <c:extLst>
            <c:ext xmlns:c16="http://schemas.microsoft.com/office/drawing/2014/chart" uri="{C3380CC4-5D6E-409C-BE32-E72D297353CC}">
              <c16:uniqueId val="{0000001E-49D0-4CD1-BA77-70B0E8C9B058}"/>
            </c:ext>
          </c:extLst>
        </c:ser>
        <c:ser>
          <c:idx val="31"/>
          <c:order val="31"/>
          <c:tx>
            <c:strRef>
              <c:f>Diagram!$B$35</c:f>
              <c:strCache>
                <c:ptCount val="1"/>
                <c:pt idx="0">
                  <c:v>EBIT</c:v>
                </c:pt>
              </c:strCache>
            </c:strRef>
          </c:tx>
          <c:spPr>
            <a:ln w="38100" cap="rnd">
              <a:solidFill>
                <a:schemeClr val="accent2">
                  <a:lumMod val="50000"/>
                </a:schemeClr>
              </a:solidFill>
              <a:round/>
            </a:ln>
            <a:effectLst/>
          </c:spPr>
          <c:marker>
            <c:symbol val="circle"/>
            <c:size val="8"/>
            <c:spPr>
              <a:solidFill>
                <a:schemeClr val="accent2">
                  <a:lumMod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Diagram!$C$35:$U$35</c:f>
            </c:numRef>
          </c:val>
          <c:smooth val="0"/>
          <c:extLst>
            <c:ext xmlns:c16="http://schemas.microsoft.com/office/drawing/2014/chart" uri="{C3380CC4-5D6E-409C-BE32-E72D297353CC}">
              <c16:uniqueId val="{0000001F-49D0-4CD1-BA77-70B0E8C9B058}"/>
            </c:ext>
          </c:extLst>
        </c:ser>
        <c:ser>
          <c:idx val="32"/>
          <c:order val="32"/>
          <c:tx>
            <c:strRef>
              <c:f>Diagram!$B$36</c:f>
              <c:strCache>
                <c:ptCount val="1"/>
                <c:pt idx="0">
                  <c:v>Total Pendapatan Lain-Lain</c:v>
                </c:pt>
              </c:strCache>
            </c:strRef>
          </c:tx>
          <c:spPr>
            <a:ln w="38100" cap="rnd">
              <a:solidFill>
                <a:schemeClr val="accent3">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Diagram!$C$36:$U$36</c:f>
              <c:numCache>
                <c:formatCode>_(* #,##0_);_(* \(#,##0\);_(* "-"_);_(@_)</c:formatCode>
                <c:ptCount val="10"/>
                <c:pt idx="0">
                  <c:v>0</c:v>
                </c:pt>
                <c:pt idx="1">
                  <c:v>0.29364400000000002</c:v>
                </c:pt>
                <c:pt idx="2">
                  <c:v>0.253029</c:v>
                </c:pt>
                <c:pt idx="3">
                  <c:v>0.45425399999999999</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20-49D0-4CD1-BA77-70B0E8C9B058}"/>
            </c:ext>
          </c:extLst>
        </c:ser>
        <c:ser>
          <c:idx val="33"/>
          <c:order val="33"/>
          <c:tx>
            <c:strRef>
              <c:f>Diagram!$B$37</c:f>
              <c:strCache>
                <c:ptCount val="1"/>
                <c:pt idx="0">
                  <c:v>Beban Pemasaran</c:v>
                </c:pt>
              </c:strCache>
            </c:strRef>
          </c:tx>
          <c:spPr>
            <a:ln w="38100" cap="rnd">
              <a:solidFill>
                <a:schemeClr val="accent4">
                  <a:lumMod val="50000"/>
                </a:schemeClr>
              </a:solidFill>
              <a:round/>
            </a:ln>
            <a:effectLst/>
          </c:spPr>
          <c:marker>
            <c:symbol val="circle"/>
            <c:size val="8"/>
            <c:spPr>
              <a:solidFill>
                <a:schemeClr val="accent4">
                  <a:lumMod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Diagram!$C$37:$U$37</c:f>
            </c:numRef>
          </c:val>
          <c:smooth val="0"/>
          <c:extLst>
            <c:ext xmlns:c16="http://schemas.microsoft.com/office/drawing/2014/chart" uri="{C3380CC4-5D6E-409C-BE32-E72D297353CC}">
              <c16:uniqueId val="{00000021-49D0-4CD1-BA77-70B0E8C9B058}"/>
            </c:ext>
          </c:extLst>
        </c:ser>
        <c:ser>
          <c:idx val="34"/>
          <c:order val="34"/>
          <c:tx>
            <c:strRef>
              <c:f>Diagram!$B$38</c:f>
              <c:strCache>
                <c:ptCount val="1"/>
                <c:pt idx="0">
                  <c:v>Biaya Iklan &amp; Promosi</c:v>
                </c:pt>
              </c:strCache>
            </c:strRef>
          </c:tx>
          <c:spPr>
            <a:ln w="38100" cap="rnd">
              <a:solidFill>
                <a:schemeClr val="accent5">
                  <a:lumMod val="50000"/>
                </a:schemeClr>
              </a:solidFill>
              <a:round/>
            </a:ln>
            <a:effectLst/>
          </c:spPr>
          <c:marker>
            <c:symbol val="circle"/>
            <c:size val="8"/>
            <c:spPr>
              <a:solidFill>
                <a:schemeClr val="accent5">
                  <a:lumMod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Diagram!$C$38:$U$38</c:f>
            </c:numRef>
          </c:val>
          <c:smooth val="0"/>
          <c:extLst>
            <c:ext xmlns:c16="http://schemas.microsoft.com/office/drawing/2014/chart" uri="{C3380CC4-5D6E-409C-BE32-E72D297353CC}">
              <c16:uniqueId val="{00000022-49D0-4CD1-BA77-70B0E8C9B058}"/>
            </c:ext>
          </c:extLst>
        </c:ser>
        <c:ser>
          <c:idx val="35"/>
          <c:order val="35"/>
          <c:tx>
            <c:strRef>
              <c:f>Diagram!$B$39</c:f>
              <c:strCache>
                <c:ptCount val="1"/>
                <c:pt idx="0">
                  <c:v>Biaya Desain &amp; Branding</c:v>
                </c:pt>
              </c:strCache>
            </c:strRef>
          </c:tx>
          <c:spPr>
            <a:ln w="38100" cap="rnd">
              <a:solidFill>
                <a:schemeClr val="accent6">
                  <a:lumMod val="50000"/>
                </a:schemeClr>
              </a:solidFill>
              <a:round/>
            </a:ln>
            <a:effectLst/>
          </c:spPr>
          <c:marker>
            <c:symbol val="circle"/>
            <c:size val="8"/>
            <c:spPr>
              <a:solidFill>
                <a:schemeClr val="accent6">
                  <a:lumMod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Diagram!$C$39:$U$39</c:f>
            </c:numRef>
          </c:val>
          <c:smooth val="0"/>
          <c:extLst>
            <c:ext xmlns:c16="http://schemas.microsoft.com/office/drawing/2014/chart" uri="{C3380CC4-5D6E-409C-BE32-E72D297353CC}">
              <c16:uniqueId val="{00000023-49D0-4CD1-BA77-70B0E8C9B058}"/>
            </c:ext>
          </c:extLst>
        </c:ser>
        <c:ser>
          <c:idx val="36"/>
          <c:order val="36"/>
          <c:tx>
            <c:strRef>
              <c:f>Diagram!$B$40</c:f>
              <c:strCache>
                <c:ptCount val="1"/>
                <c:pt idx="0">
                  <c:v>Total Beban Pemasaran</c:v>
                </c:pt>
              </c:strCache>
            </c:strRef>
          </c:tx>
          <c:spPr>
            <a:ln w="38100" cap="rnd">
              <a:solidFill>
                <a:schemeClr val="accent1">
                  <a:lumMod val="70000"/>
                  <a:lumOff val="30000"/>
                </a:schemeClr>
              </a:solidFill>
              <a:round/>
            </a:ln>
            <a:effectLst/>
          </c:spPr>
          <c:marker>
            <c:symbol val="circle"/>
            <c:size val="8"/>
            <c:spPr>
              <a:solidFill>
                <a:schemeClr val="accent1">
                  <a:lumMod val="70000"/>
                  <a:lumOff val="3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Diagram!$C$40:$U$40</c:f>
            </c:numRef>
          </c:val>
          <c:smooth val="0"/>
          <c:extLst>
            <c:ext xmlns:c16="http://schemas.microsoft.com/office/drawing/2014/chart" uri="{C3380CC4-5D6E-409C-BE32-E72D297353CC}">
              <c16:uniqueId val="{00000024-49D0-4CD1-BA77-70B0E8C9B058}"/>
            </c:ext>
          </c:extLst>
        </c:ser>
        <c:ser>
          <c:idx val="37"/>
          <c:order val="37"/>
          <c:tx>
            <c:strRef>
              <c:f>Diagram!$B$41</c:f>
              <c:strCache>
                <c:ptCount val="1"/>
                <c:pt idx="0">
                  <c:v>Beban Keuangan</c:v>
                </c:pt>
              </c:strCache>
            </c:strRef>
          </c:tx>
          <c:spPr>
            <a:ln w="38100" cap="rnd">
              <a:solidFill>
                <a:schemeClr val="accent2">
                  <a:lumMod val="70000"/>
                  <a:lumOff val="30000"/>
                </a:schemeClr>
              </a:solidFill>
              <a:round/>
            </a:ln>
            <a:effectLst/>
          </c:spPr>
          <c:marker>
            <c:symbol val="circle"/>
            <c:size val="8"/>
            <c:spPr>
              <a:solidFill>
                <a:schemeClr val="accent2">
                  <a:lumMod val="70000"/>
                  <a:lumOff val="3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Diagram!$C$41:$U$41</c:f>
            </c:numRef>
          </c:val>
          <c:smooth val="0"/>
          <c:extLst>
            <c:ext xmlns:c16="http://schemas.microsoft.com/office/drawing/2014/chart" uri="{C3380CC4-5D6E-409C-BE32-E72D297353CC}">
              <c16:uniqueId val="{00000025-49D0-4CD1-BA77-70B0E8C9B058}"/>
            </c:ext>
          </c:extLst>
        </c:ser>
        <c:ser>
          <c:idx val="38"/>
          <c:order val="38"/>
          <c:tx>
            <c:strRef>
              <c:f>Diagram!$B$42</c:f>
              <c:strCache>
                <c:ptCount val="1"/>
                <c:pt idx="0">
                  <c:v>Beban Bunga Pinjaman</c:v>
                </c:pt>
              </c:strCache>
            </c:strRef>
          </c:tx>
          <c:spPr>
            <a:ln w="38100" cap="rnd">
              <a:solidFill>
                <a:schemeClr val="accent3">
                  <a:lumMod val="70000"/>
                  <a:lumOff val="30000"/>
                </a:schemeClr>
              </a:solidFill>
              <a:round/>
            </a:ln>
            <a:effectLst/>
          </c:spPr>
          <c:marker>
            <c:symbol val="circle"/>
            <c:size val="8"/>
            <c:spPr>
              <a:solidFill>
                <a:schemeClr val="accent3">
                  <a:lumMod val="70000"/>
                  <a:lumOff val="3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Diagram!$C$42:$U$42</c:f>
            </c:numRef>
          </c:val>
          <c:smooth val="0"/>
          <c:extLst>
            <c:ext xmlns:c16="http://schemas.microsoft.com/office/drawing/2014/chart" uri="{C3380CC4-5D6E-409C-BE32-E72D297353CC}">
              <c16:uniqueId val="{00000026-49D0-4CD1-BA77-70B0E8C9B058}"/>
            </c:ext>
          </c:extLst>
        </c:ser>
        <c:ser>
          <c:idx val="39"/>
          <c:order val="39"/>
          <c:tx>
            <c:strRef>
              <c:f>Diagram!$B$43</c:f>
              <c:strCache>
                <c:ptCount val="1"/>
                <c:pt idx="0">
                  <c:v>Total Beban Keuangan</c:v>
                </c:pt>
              </c:strCache>
            </c:strRef>
          </c:tx>
          <c:spPr>
            <a:ln w="38100" cap="rnd">
              <a:solidFill>
                <a:schemeClr val="accent4">
                  <a:lumMod val="70000"/>
                  <a:lumOff val="30000"/>
                </a:schemeClr>
              </a:solidFill>
              <a:round/>
            </a:ln>
            <a:effectLst/>
          </c:spPr>
          <c:marker>
            <c:symbol val="circle"/>
            <c:size val="8"/>
            <c:spPr>
              <a:solidFill>
                <a:schemeClr val="accent4">
                  <a:lumMod val="70000"/>
                  <a:lumOff val="3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Diagram!$C$43:$U$43</c:f>
            </c:numRef>
          </c:val>
          <c:smooth val="0"/>
          <c:extLst>
            <c:ext xmlns:c16="http://schemas.microsoft.com/office/drawing/2014/chart" uri="{C3380CC4-5D6E-409C-BE32-E72D297353CC}">
              <c16:uniqueId val="{00000027-49D0-4CD1-BA77-70B0E8C9B058}"/>
            </c:ext>
          </c:extLst>
        </c:ser>
        <c:ser>
          <c:idx val="40"/>
          <c:order val="40"/>
          <c:tx>
            <c:strRef>
              <c:f>Diagram!$B$44</c:f>
              <c:strCache>
                <c:ptCount val="1"/>
                <c:pt idx="0">
                  <c:v>Beban Lain-Lain</c:v>
                </c:pt>
              </c:strCache>
            </c:strRef>
          </c:tx>
          <c:spPr>
            <a:ln w="38100" cap="rnd">
              <a:solidFill>
                <a:schemeClr val="accent5">
                  <a:lumMod val="70000"/>
                  <a:lumOff val="30000"/>
                </a:schemeClr>
              </a:solidFill>
              <a:round/>
            </a:ln>
            <a:effectLst/>
          </c:spPr>
          <c:marker>
            <c:symbol val="circle"/>
            <c:size val="8"/>
            <c:spPr>
              <a:solidFill>
                <a:schemeClr val="accent5">
                  <a:lumMod val="70000"/>
                  <a:lumOff val="3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Diagram!$C$44:$U$44</c:f>
            </c:numRef>
          </c:val>
          <c:smooth val="0"/>
          <c:extLst>
            <c:ext xmlns:c16="http://schemas.microsoft.com/office/drawing/2014/chart" uri="{C3380CC4-5D6E-409C-BE32-E72D297353CC}">
              <c16:uniqueId val="{00000028-49D0-4CD1-BA77-70B0E8C9B058}"/>
            </c:ext>
          </c:extLst>
        </c:ser>
        <c:ser>
          <c:idx val="41"/>
          <c:order val="41"/>
          <c:tx>
            <c:strRef>
              <c:f>Diagram!$B$45</c:f>
              <c:strCache>
                <c:ptCount val="1"/>
                <c:pt idx="0">
                  <c:v>Sumbangan atau Donasi</c:v>
                </c:pt>
              </c:strCache>
            </c:strRef>
          </c:tx>
          <c:spPr>
            <a:ln w="38100" cap="rnd">
              <a:solidFill>
                <a:schemeClr val="accent6">
                  <a:lumMod val="70000"/>
                  <a:lumOff val="30000"/>
                </a:schemeClr>
              </a:solidFill>
              <a:round/>
            </a:ln>
            <a:effectLst/>
          </c:spPr>
          <c:marker>
            <c:symbol val="circle"/>
            <c:size val="8"/>
            <c:spPr>
              <a:solidFill>
                <a:schemeClr val="accent6">
                  <a:lumMod val="70000"/>
                  <a:lumOff val="3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Diagram!$C$45:$U$45</c:f>
            </c:numRef>
          </c:val>
          <c:smooth val="0"/>
          <c:extLst>
            <c:ext xmlns:c16="http://schemas.microsoft.com/office/drawing/2014/chart" uri="{C3380CC4-5D6E-409C-BE32-E72D297353CC}">
              <c16:uniqueId val="{00000029-49D0-4CD1-BA77-70B0E8C9B058}"/>
            </c:ext>
          </c:extLst>
        </c:ser>
        <c:ser>
          <c:idx val="42"/>
          <c:order val="42"/>
          <c:tx>
            <c:strRef>
              <c:f>Diagram!$B$46</c:f>
              <c:strCache>
                <c:ptCount val="1"/>
                <c:pt idx="0">
                  <c:v>Beban Non-Operasional</c:v>
                </c:pt>
              </c:strCache>
            </c:strRef>
          </c:tx>
          <c:spPr>
            <a:ln w="38100" cap="rnd">
              <a:solidFill>
                <a:schemeClr val="accent1">
                  <a:lumMod val="70000"/>
                </a:schemeClr>
              </a:solidFill>
              <a:round/>
            </a:ln>
            <a:effectLst/>
          </c:spPr>
          <c:marker>
            <c:symbol val="circle"/>
            <c:size val="8"/>
            <c:spPr>
              <a:solidFill>
                <a:schemeClr val="accent1">
                  <a:lumMod val="7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Diagram!$C$46:$U$46</c:f>
            </c:numRef>
          </c:val>
          <c:smooth val="0"/>
          <c:extLst>
            <c:ext xmlns:c16="http://schemas.microsoft.com/office/drawing/2014/chart" uri="{C3380CC4-5D6E-409C-BE32-E72D297353CC}">
              <c16:uniqueId val="{0000002A-49D0-4CD1-BA77-70B0E8C9B058}"/>
            </c:ext>
          </c:extLst>
        </c:ser>
        <c:ser>
          <c:idx val="43"/>
          <c:order val="43"/>
          <c:tx>
            <c:strRef>
              <c:f>Diagram!$B$47</c:f>
              <c:strCache>
                <c:ptCount val="1"/>
                <c:pt idx="0">
                  <c:v>Total Beban Lain-Lain</c:v>
                </c:pt>
              </c:strCache>
            </c:strRef>
          </c:tx>
          <c:spPr>
            <a:ln w="38100" cap="rnd">
              <a:solidFill>
                <a:schemeClr val="accent2">
                  <a:lumMod val="70000"/>
                </a:schemeClr>
              </a:solidFill>
              <a:round/>
            </a:ln>
            <a:effectLst/>
          </c:spPr>
          <c:marker>
            <c:symbol val="circle"/>
            <c:size val="8"/>
            <c:spPr>
              <a:solidFill>
                <a:schemeClr val="accent2">
                  <a:lumMod val="7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Diagram!$C$47:$U$47</c:f>
            </c:numRef>
          </c:val>
          <c:smooth val="0"/>
          <c:extLst>
            <c:ext xmlns:c16="http://schemas.microsoft.com/office/drawing/2014/chart" uri="{C3380CC4-5D6E-409C-BE32-E72D297353CC}">
              <c16:uniqueId val="{0000002B-49D0-4CD1-BA77-70B0E8C9B058}"/>
            </c:ext>
          </c:extLst>
        </c:ser>
        <c:ser>
          <c:idx val="44"/>
          <c:order val="44"/>
          <c:tx>
            <c:strRef>
              <c:f>Diagram!$B$48</c:f>
              <c:strCache>
                <c:ptCount val="1"/>
                <c:pt idx="0">
                  <c:v>Total Beban Lainnya</c:v>
                </c:pt>
              </c:strCache>
            </c:strRef>
          </c:tx>
          <c:spPr>
            <a:ln w="38100" cap="rnd">
              <a:solidFill>
                <a:schemeClr val="accent3">
                  <a:lumMod val="7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Diagram!$C$48:$U$48</c:f>
              <c:numCache>
                <c:formatCode>_(* #,##0_);_(* \(#,##0\);_(* "-"_);_(@_)</c:formatCode>
                <c:ptCount val="10"/>
                <c:pt idx="0">
                  <c:v>7.5783000000000005</c:v>
                </c:pt>
                <c:pt idx="1">
                  <c:v>382.35352899999998</c:v>
                </c:pt>
                <c:pt idx="2">
                  <c:v>78.99260000000001</c:v>
                </c:pt>
                <c:pt idx="3">
                  <c:v>55.997599999999998</c:v>
                </c:pt>
                <c:pt idx="4">
                  <c:v>44.826599999999999</c:v>
                </c:pt>
                <c:pt idx="5">
                  <c:v>0</c:v>
                </c:pt>
                <c:pt idx="6">
                  <c:v>0</c:v>
                </c:pt>
                <c:pt idx="7">
                  <c:v>0</c:v>
                </c:pt>
                <c:pt idx="8">
                  <c:v>0</c:v>
                </c:pt>
                <c:pt idx="9">
                  <c:v>0</c:v>
                </c:pt>
              </c:numCache>
            </c:numRef>
          </c:val>
          <c:smooth val="0"/>
          <c:extLst>
            <c:ext xmlns:c16="http://schemas.microsoft.com/office/drawing/2014/chart" uri="{C3380CC4-5D6E-409C-BE32-E72D297353CC}">
              <c16:uniqueId val="{0000002C-49D0-4CD1-BA77-70B0E8C9B058}"/>
            </c:ext>
          </c:extLst>
        </c:ser>
        <c:ser>
          <c:idx val="45"/>
          <c:order val="45"/>
          <c:tx>
            <c:strRef>
              <c:f>Diagram!$B$49</c:f>
              <c:strCache>
                <c:ptCount val="1"/>
                <c:pt idx="0">
                  <c:v>Pendapatan (Beban) Lainnya</c:v>
                </c:pt>
              </c:strCache>
            </c:strRef>
          </c:tx>
          <c:spPr>
            <a:ln w="38100" cap="rnd">
              <a:solidFill>
                <a:schemeClr val="accent4">
                  <a:lumMod val="70000"/>
                </a:schemeClr>
              </a:solidFill>
              <a:round/>
            </a:ln>
            <a:effectLst/>
          </c:spPr>
          <c:marker>
            <c:symbol val="circle"/>
            <c:size val="8"/>
            <c:spPr>
              <a:solidFill>
                <a:schemeClr val="accent4">
                  <a:lumMod val="7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Diagram!$C$49:$U$49</c:f>
            </c:numRef>
          </c:val>
          <c:smooth val="0"/>
          <c:extLst>
            <c:ext xmlns:c16="http://schemas.microsoft.com/office/drawing/2014/chart" uri="{C3380CC4-5D6E-409C-BE32-E72D297353CC}">
              <c16:uniqueId val="{0000002D-49D0-4CD1-BA77-70B0E8C9B058}"/>
            </c:ext>
          </c:extLst>
        </c:ser>
        <c:ser>
          <c:idx val="46"/>
          <c:order val="46"/>
          <c:tx>
            <c:strRef>
              <c:f>Diagram!$B$50</c:f>
              <c:strCache>
                <c:ptCount val="1"/>
                <c:pt idx="0">
                  <c:v>Pajak</c:v>
                </c:pt>
              </c:strCache>
            </c:strRef>
          </c:tx>
          <c:spPr>
            <a:ln w="38100" cap="rnd">
              <a:solidFill>
                <a:schemeClr val="accent5">
                  <a:lumMod val="70000"/>
                </a:schemeClr>
              </a:solidFill>
              <a:round/>
            </a:ln>
            <a:effectLst/>
          </c:spPr>
          <c:marker>
            <c:symbol val="circle"/>
            <c:size val="8"/>
            <c:spPr>
              <a:solidFill>
                <a:schemeClr val="accent5">
                  <a:lumMod val="7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Diagram!$C$50:$U$50</c:f>
            </c:numRef>
          </c:val>
          <c:smooth val="0"/>
          <c:extLst>
            <c:ext xmlns:c16="http://schemas.microsoft.com/office/drawing/2014/chart" uri="{C3380CC4-5D6E-409C-BE32-E72D297353CC}">
              <c16:uniqueId val="{0000002E-49D0-4CD1-BA77-70B0E8C9B058}"/>
            </c:ext>
          </c:extLst>
        </c:ser>
        <c:ser>
          <c:idx val="47"/>
          <c:order val="47"/>
          <c:tx>
            <c:strRef>
              <c:f>Diagram!$B$51</c:f>
              <c:strCache>
                <c:ptCount val="1"/>
                <c:pt idx="0">
                  <c:v>Pajak Bumi &amp; Bangunan (PBB)</c:v>
                </c:pt>
              </c:strCache>
            </c:strRef>
          </c:tx>
          <c:spPr>
            <a:ln w="38100" cap="rnd">
              <a:solidFill>
                <a:schemeClr val="accent6">
                  <a:lumMod val="70000"/>
                </a:schemeClr>
              </a:solidFill>
              <a:round/>
            </a:ln>
            <a:effectLst/>
          </c:spPr>
          <c:marker>
            <c:symbol val="circle"/>
            <c:size val="8"/>
            <c:spPr>
              <a:solidFill>
                <a:schemeClr val="accent6">
                  <a:lumMod val="7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Diagram!$C$51:$U$51</c:f>
            </c:numRef>
          </c:val>
          <c:smooth val="0"/>
          <c:extLst>
            <c:ext xmlns:c16="http://schemas.microsoft.com/office/drawing/2014/chart" uri="{C3380CC4-5D6E-409C-BE32-E72D297353CC}">
              <c16:uniqueId val="{0000002F-49D0-4CD1-BA77-70B0E8C9B058}"/>
            </c:ext>
          </c:extLst>
        </c:ser>
        <c:ser>
          <c:idx val="48"/>
          <c:order val="48"/>
          <c:tx>
            <c:strRef>
              <c:f>Diagram!$B$52</c:f>
              <c:strCache>
                <c:ptCount val="1"/>
                <c:pt idx="0">
                  <c:v>BPHTB</c:v>
                </c:pt>
              </c:strCache>
            </c:strRef>
          </c:tx>
          <c:spPr>
            <a:ln w="38100" cap="rnd">
              <a:solidFill>
                <a:schemeClr val="accent1">
                  <a:lumMod val="50000"/>
                  <a:lumOff val="50000"/>
                </a:schemeClr>
              </a:solidFill>
              <a:round/>
            </a:ln>
            <a:effectLst/>
          </c:spPr>
          <c:marker>
            <c:symbol val="circle"/>
            <c:size val="8"/>
            <c:spPr>
              <a:solidFill>
                <a:schemeClr val="accent1">
                  <a:lumMod val="50000"/>
                  <a:lumOff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Diagram!$C$52:$U$52</c:f>
            </c:numRef>
          </c:val>
          <c:smooth val="0"/>
          <c:extLst>
            <c:ext xmlns:c16="http://schemas.microsoft.com/office/drawing/2014/chart" uri="{C3380CC4-5D6E-409C-BE32-E72D297353CC}">
              <c16:uniqueId val="{00000030-49D0-4CD1-BA77-70B0E8C9B058}"/>
            </c:ext>
          </c:extLst>
        </c:ser>
        <c:ser>
          <c:idx val="49"/>
          <c:order val="49"/>
          <c:tx>
            <c:strRef>
              <c:f>Diagram!$B$53</c:f>
              <c:strCache>
                <c:ptCount val="1"/>
                <c:pt idx="0">
                  <c:v>Total Beban Pajak</c:v>
                </c:pt>
              </c:strCache>
            </c:strRef>
          </c:tx>
          <c:spPr>
            <a:ln w="38100" cap="rnd">
              <a:solidFill>
                <a:schemeClr val="accent2">
                  <a:lumMod val="50000"/>
                  <a:lumOff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Diagram!$C$3:$U$3</c:f>
              <c:strCache>
                <c:ptCount val="10"/>
                <c:pt idx="0">
                  <c:v>Jan</c:v>
                </c:pt>
                <c:pt idx="1">
                  <c:v>Feb</c:v>
                </c:pt>
                <c:pt idx="2">
                  <c:v>Mar</c:v>
                </c:pt>
                <c:pt idx="3">
                  <c:v>Apr</c:v>
                </c:pt>
                <c:pt idx="4">
                  <c:v>May</c:v>
                </c:pt>
                <c:pt idx="5">
                  <c:v>Jun</c:v>
                </c:pt>
                <c:pt idx="6">
                  <c:v>Jul</c:v>
                </c:pt>
                <c:pt idx="7">
                  <c:v>Aug</c:v>
                </c:pt>
                <c:pt idx="8">
                  <c:v>Sep</c:v>
                </c:pt>
                <c:pt idx="9">
                  <c:v>Oct</c:v>
                </c:pt>
              </c:strCache>
            </c:strRef>
          </c:cat>
          <c:val>
            <c:numRef>
              <c:f>Diagram!$C$53:$U$53</c:f>
              <c:numCache>
                <c:formatCode>_(* #,##0_);_(* \(#,##0\);_(* "-"_);_(@_)</c:formatCode>
                <c:ptCount val="10"/>
                <c:pt idx="0">
                  <c:v>14.153337000000001</c:v>
                </c:pt>
                <c:pt idx="1">
                  <c:v>22.642531999999999</c:v>
                </c:pt>
                <c:pt idx="2">
                  <c:v>11.19</c:v>
                </c:pt>
                <c:pt idx="3">
                  <c:v>20.76</c:v>
                </c:pt>
                <c:pt idx="4">
                  <c:v>77.50309</c:v>
                </c:pt>
                <c:pt idx="5">
                  <c:v>0</c:v>
                </c:pt>
                <c:pt idx="6">
                  <c:v>0</c:v>
                </c:pt>
                <c:pt idx="7">
                  <c:v>0</c:v>
                </c:pt>
                <c:pt idx="8">
                  <c:v>0</c:v>
                </c:pt>
                <c:pt idx="9">
                  <c:v>0</c:v>
                </c:pt>
              </c:numCache>
            </c:numRef>
          </c:val>
          <c:smooth val="0"/>
          <c:extLst>
            <c:ext xmlns:c16="http://schemas.microsoft.com/office/drawing/2014/chart" uri="{C3380CC4-5D6E-409C-BE32-E72D297353CC}">
              <c16:uniqueId val="{00000031-49D0-4CD1-BA77-70B0E8C9B058}"/>
            </c:ext>
          </c:extLst>
        </c:ser>
        <c:dLbls>
          <c:showLegendKey val="0"/>
          <c:showVal val="1"/>
          <c:showCatName val="0"/>
          <c:showSerName val="0"/>
          <c:showPercent val="0"/>
          <c:showBubbleSize val="0"/>
        </c:dLbls>
        <c:smooth val="0"/>
        <c:axId val="652480896"/>
        <c:axId val="652481376"/>
      </c:lineChart>
      <c:catAx>
        <c:axId val="65248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52481376"/>
        <c:crosses val="autoZero"/>
        <c:auto val="1"/>
        <c:lblAlgn val="ctr"/>
        <c:lblOffset val="100"/>
        <c:noMultiLvlLbl val="1"/>
      </c:catAx>
      <c:valAx>
        <c:axId val="6524813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80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47</xdr:row>
      <xdr:rowOff>0</xdr:rowOff>
    </xdr:from>
    <xdr:to>
      <xdr:col>6</xdr:col>
      <xdr:colOff>304800</xdr:colOff>
      <xdr:row>48</xdr:row>
      <xdr:rowOff>120650</xdr:rowOff>
    </xdr:to>
    <xdr:sp macro="" textlink="">
      <xdr:nvSpPr>
        <xdr:cNvPr id="4132" name="AutoShape 36" descr="Dashboard visualization PNG">
          <a:extLst>
            <a:ext uri="{FF2B5EF4-FFF2-40B4-BE49-F238E27FC236}">
              <a16:creationId xmlns:a16="http://schemas.microsoft.com/office/drawing/2014/main" id="{2AC25BC8-6890-A52E-3914-77F14D898DDE}"/>
            </a:ext>
          </a:extLst>
        </xdr:cNvPr>
        <xdr:cNvSpPr>
          <a:spLocks noChangeAspect="1" noChangeArrowheads="1"/>
        </xdr:cNvSpPr>
      </xdr:nvSpPr>
      <xdr:spPr bwMode="auto">
        <a:xfrm>
          <a:off x="6838950" y="852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1256405</xdr:colOff>
      <xdr:row>58</xdr:row>
      <xdr:rowOff>0</xdr:rowOff>
    </xdr:from>
    <xdr:to>
      <xdr:col>13</xdr:col>
      <xdr:colOff>700015</xdr:colOff>
      <xdr:row>72</xdr:row>
      <xdr:rowOff>151779</xdr:rowOff>
    </xdr:to>
    <xdr:graphicFrame macro="">
      <xdr:nvGraphicFramePr>
        <xdr:cNvPr id="2" name="图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topLeftCell="A8" workbookViewId="0">
      <selection activeCell="B12" sqref="B12"/>
    </sheetView>
  </sheetViews>
  <sheetFormatPr defaultColWidth="10" defaultRowHeight="14.5"/>
  <cols>
    <col min="1" max="1" width="10.54296875" bestFit="1" customWidth="1"/>
    <col min="2" max="2" width="43.81640625" bestFit="1" customWidth="1"/>
    <col min="4" max="4" width="10.54296875" hidden="1" customWidth="1"/>
    <col min="5" max="5" width="43.453125" hidden="1" customWidth="1"/>
    <col min="6" max="6" width="13.90625" hidden="1" customWidth="1"/>
    <col min="7" max="7" width="17.1796875" hidden="1" customWidth="1"/>
    <col min="8" max="8" width="15.81640625" hidden="1" customWidth="1"/>
    <col min="9" max="9" width="14.81640625" hidden="1" customWidth="1"/>
    <col min="10" max="10" width="0" hidden="1" customWidth="1"/>
  </cols>
  <sheetData>
    <row r="1" spans="1:6">
      <c r="A1" s="1" t="s">
        <v>0</v>
      </c>
      <c r="B1" s="2" t="s">
        <v>1</v>
      </c>
      <c r="D1" s="284" t="s">
        <v>0</v>
      </c>
      <c r="E1" s="284" t="s">
        <v>1</v>
      </c>
    </row>
    <row r="2" spans="1:6">
      <c r="A2" s="280" t="s">
        <v>99</v>
      </c>
      <c r="B2" s="280"/>
      <c r="D2" s="284"/>
      <c r="E2" s="284"/>
    </row>
    <row r="3" spans="1:6">
      <c r="A3" s="4" t="s">
        <v>186</v>
      </c>
      <c r="B3" s="5"/>
      <c r="D3" s="281" t="s">
        <v>99</v>
      </c>
      <c r="E3" s="281"/>
    </row>
    <row r="4" spans="1:6">
      <c r="A4" s="6">
        <v>1101</v>
      </c>
      <c r="B4" s="7" t="s">
        <v>251</v>
      </c>
      <c r="D4" s="8">
        <v>1101</v>
      </c>
      <c r="E4" s="9" t="s">
        <v>25</v>
      </c>
    </row>
    <row r="5" spans="1:6">
      <c r="A5" s="6">
        <v>1102</v>
      </c>
      <c r="B5" s="7" t="s">
        <v>153</v>
      </c>
      <c r="D5" s="8">
        <v>1102</v>
      </c>
      <c r="E5" s="9" t="s">
        <v>153</v>
      </c>
    </row>
    <row r="6" spans="1:6">
      <c r="A6" s="6">
        <v>1103</v>
      </c>
      <c r="B6" s="7" t="s">
        <v>154</v>
      </c>
      <c r="D6" s="8">
        <v>1103</v>
      </c>
      <c r="E6" s="9" t="s">
        <v>154</v>
      </c>
      <c r="F6" s="10" t="s">
        <v>158</v>
      </c>
    </row>
    <row r="7" spans="1:6">
      <c r="A7" s="6">
        <v>1104</v>
      </c>
      <c r="B7" s="7" t="s">
        <v>182</v>
      </c>
      <c r="D7" s="8">
        <v>1104</v>
      </c>
      <c r="E7" s="9" t="s">
        <v>155</v>
      </c>
    </row>
    <row r="8" spans="1:6">
      <c r="A8" s="6">
        <v>1105</v>
      </c>
      <c r="B8" s="7" t="s">
        <v>183</v>
      </c>
      <c r="D8" s="8">
        <v>1105</v>
      </c>
      <c r="E8" s="11" t="s">
        <v>156</v>
      </c>
    </row>
    <row r="9" spans="1:6">
      <c r="A9" s="6">
        <v>1106</v>
      </c>
      <c r="B9" s="7" t="s">
        <v>184</v>
      </c>
      <c r="D9" s="8">
        <v>1103</v>
      </c>
      <c r="E9" s="9" t="s">
        <v>26</v>
      </c>
    </row>
    <row r="10" spans="1:6">
      <c r="A10" s="6">
        <v>1107</v>
      </c>
      <c r="B10" s="7" t="s">
        <v>185</v>
      </c>
      <c r="D10" s="8">
        <v>1104</v>
      </c>
      <c r="E10" s="9" t="s">
        <v>27</v>
      </c>
    </row>
    <row r="11" spans="1:6">
      <c r="A11" s="6">
        <v>1108</v>
      </c>
      <c r="B11" s="7" t="s">
        <v>155</v>
      </c>
      <c r="D11" s="8">
        <v>1105</v>
      </c>
      <c r="E11" s="9" t="s">
        <v>140</v>
      </c>
    </row>
    <row r="12" spans="1:6">
      <c r="A12" s="6">
        <v>1109</v>
      </c>
      <c r="B12" s="7" t="s">
        <v>255</v>
      </c>
      <c r="D12" s="8">
        <v>1105</v>
      </c>
      <c r="E12" s="9" t="s">
        <v>140</v>
      </c>
    </row>
    <row r="13" spans="1:6">
      <c r="A13" s="12" t="s">
        <v>187</v>
      </c>
      <c r="B13" s="5"/>
      <c r="D13" s="8">
        <v>1106</v>
      </c>
      <c r="E13" s="9" t="s">
        <v>28</v>
      </c>
    </row>
    <row r="14" spans="1:6">
      <c r="A14" s="6">
        <v>1201</v>
      </c>
      <c r="B14" s="7" t="s">
        <v>26</v>
      </c>
      <c r="D14" s="8">
        <v>1107</v>
      </c>
      <c r="E14" s="9" t="s">
        <v>29</v>
      </c>
    </row>
    <row r="15" spans="1:6">
      <c r="A15" s="6">
        <v>1202</v>
      </c>
      <c r="B15" s="7" t="s">
        <v>27</v>
      </c>
      <c r="D15" s="8">
        <v>1108</v>
      </c>
      <c r="E15" s="9" t="s">
        <v>30</v>
      </c>
    </row>
    <row r="16" spans="1:6">
      <c r="A16" s="6">
        <v>1203</v>
      </c>
      <c r="B16" s="7" t="s">
        <v>140</v>
      </c>
      <c r="D16" s="8">
        <v>1109</v>
      </c>
      <c r="E16" s="13" t="s">
        <v>31</v>
      </c>
    </row>
    <row r="17" spans="1:10">
      <c r="A17" s="6">
        <v>1204</v>
      </c>
      <c r="B17" s="7" t="s">
        <v>28</v>
      </c>
      <c r="D17" s="8">
        <v>1110</v>
      </c>
      <c r="E17" s="9" t="s">
        <v>32</v>
      </c>
    </row>
    <row r="18" spans="1:10">
      <c r="A18" s="6">
        <v>1205</v>
      </c>
      <c r="B18" s="7" t="s">
        <v>29</v>
      </c>
      <c r="D18" s="8">
        <v>1111</v>
      </c>
      <c r="E18" s="11" t="s">
        <v>33</v>
      </c>
    </row>
    <row r="19" spans="1:10">
      <c r="A19" s="6">
        <v>1206</v>
      </c>
      <c r="B19" s="7" t="s">
        <v>193</v>
      </c>
      <c r="D19" s="8">
        <v>1112</v>
      </c>
      <c r="E19" s="9" t="s">
        <v>34</v>
      </c>
    </row>
    <row r="20" spans="1:10">
      <c r="A20" s="6">
        <v>1207</v>
      </c>
      <c r="B20" s="7" t="s">
        <v>33</v>
      </c>
      <c r="D20" s="281" t="s">
        <v>127</v>
      </c>
      <c r="E20" s="281"/>
      <c r="F20" s="14"/>
      <c r="G20" s="14"/>
      <c r="H20" s="14"/>
      <c r="I20" s="14"/>
      <c r="J20" s="14"/>
    </row>
    <row r="21" spans="1:10">
      <c r="A21" s="6">
        <v>1208</v>
      </c>
      <c r="B21" s="7" t="s">
        <v>34</v>
      </c>
      <c r="D21" s="281" t="s">
        <v>100</v>
      </c>
      <c r="E21" s="281"/>
    </row>
    <row r="22" spans="1:10">
      <c r="A22" s="4" t="s">
        <v>188</v>
      </c>
      <c r="B22" s="5"/>
      <c r="D22" s="8">
        <v>1201</v>
      </c>
      <c r="E22" s="9" t="s">
        <v>35</v>
      </c>
    </row>
    <row r="23" spans="1:10">
      <c r="A23" s="6">
        <v>1301</v>
      </c>
      <c r="B23" s="7" t="s">
        <v>30</v>
      </c>
      <c r="D23" s="8">
        <v>1202</v>
      </c>
      <c r="E23" s="9" t="s">
        <v>36</v>
      </c>
    </row>
    <row r="24" spans="1:10">
      <c r="A24" s="6">
        <v>1302</v>
      </c>
      <c r="B24" s="7" t="s">
        <v>31</v>
      </c>
      <c r="D24" s="8">
        <v>1203</v>
      </c>
      <c r="E24" s="9" t="s">
        <v>39</v>
      </c>
    </row>
    <row r="25" spans="1:10">
      <c r="A25" s="6">
        <v>1303</v>
      </c>
      <c r="B25" s="7" t="s">
        <v>32</v>
      </c>
      <c r="D25" s="8">
        <v>1204</v>
      </c>
      <c r="E25" s="9" t="s">
        <v>37</v>
      </c>
      <c r="F25" s="10" t="s">
        <v>157</v>
      </c>
    </row>
    <row r="26" spans="1:10">
      <c r="A26" s="6">
        <v>1304</v>
      </c>
      <c r="B26" s="7" t="s">
        <v>189</v>
      </c>
      <c r="D26" s="8">
        <v>1205</v>
      </c>
      <c r="E26" s="9" t="s">
        <v>40</v>
      </c>
    </row>
    <row r="27" spans="1:10">
      <c r="A27" s="6">
        <v>1305</v>
      </c>
      <c r="B27" s="7" t="s">
        <v>190</v>
      </c>
      <c r="D27" s="8">
        <v>1206</v>
      </c>
      <c r="E27" s="9" t="s">
        <v>38</v>
      </c>
    </row>
    <row r="28" spans="1:10">
      <c r="A28" s="6">
        <v>1306</v>
      </c>
      <c r="B28" s="7" t="s">
        <v>191</v>
      </c>
      <c r="D28" s="8">
        <v>1207</v>
      </c>
      <c r="E28" s="9" t="s">
        <v>41</v>
      </c>
    </row>
    <row r="29" spans="1:10">
      <c r="A29" s="280" t="s">
        <v>100</v>
      </c>
      <c r="B29" s="280"/>
      <c r="D29" s="8">
        <v>1208</v>
      </c>
      <c r="E29" s="9" t="s">
        <v>42</v>
      </c>
    </row>
    <row r="30" spans="1:10">
      <c r="A30" s="6">
        <v>1401</v>
      </c>
      <c r="B30" s="7" t="s">
        <v>35</v>
      </c>
      <c r="D30" s="8">
        <v>1209</v>
      </c>
      <c r="E30" s="9" t="s">
        <v>43</v>
      </c>
    </row>
    <row r="31" spans="1:10">
      <c r="A31" s="6">
        <v>1402</v>
      </c>
      <c r="B31" s="7" t="s">
        <v>36</v>
      </c>
      <c r="D31" s="8">
        <v>1210</v>
      </c>
      <c r="E31" s="9" t="s">
        <v>44</v>
      </c>
    </row>
    <row r="32" spans="1:10">
      <c r="A32" s="6">
        <v>1403</v>
      </c>
      <c r="B32" s="7" t="s">
        <v>39</v>
      </c>
      <c r="D32" s="281" t="s">
        <v>128</v>
      </c>
      <c r="E32" s="281"/>
      <c r="F32" s="14"/>
      <c r="G32" s="14"/>
      <c r="H32" s="15"/>
      <c r="I32" s="15"/>
      <c r="J32" s="15"/>
    </row>
    <row r="33" spans="1:10">
      <c r="A33" s="6">
        <v>1404</v>
      </c>
      <c r="B33" s="7" t="s">
        <v>37</v>
      </c>
      <c r="D33" s="281" t="s">
        <v>101</v>
      </c>
      <c r="E33" s="281"/>
    </row>
    <row r="34" spans="1:10">
      <c r="A34" s="6">
        <v>1405</v>
      </c>
      <c r="B34" s="7" t="s">
        <v>40</v>
      </c>
      <c r="D34" s="8">
        <v>2101</v>
      </c>
      <c r="E34" s="9" t="s">
        <v>45</v>
      </c>
    </row>
    <row r="35" spans="1:10">
      <c r="A35" s="6">
        <v>1406</v>
      </c>
      <c r="B35" s="7" t="s">
        <v>38</v>
      </c>
      <c r="D35" s="8">
        <v>2102</v>
      </c>
      <c r="E35" s="9" t="s">
        <v>46</v>
      </c>
    </row>
    <row r="36" spans="1:10">
      <c r="A36" s="6">
        <v>1407</v>
      </c>
      <c r="B36" s="7" t="s">
        <v>41</v>
      </c>
      <c r="D36" s="8">
        <v>2103</v>
      </c>
      <c r="E36" s="9" t="s">
        <v>159</v>
      </c>
    </row>
    <row r="37" spans="1:10">
      <c r="A37" s="6">
        <v>1408</v>
      </c>
      <c r="B37" s="7" t="s">
        <v>194</v>
      </c>
      <c r="D37" s="8">
        <v>2103</v>
      </c>
      <c r="E37" s="9" t="s">
        <v>47</v>
      </c>
    </row>
    <row r="38" spans="1:10">
      <c r="A38" s="6">
        <v>1409</v>
      </c>
      <c r="B38" s="7" t="s">
        <v>195</v>
      </c>
      <c r="D38" s="8">
        <v>2104</v>
      </c>
      <c r="E38" s="9" t="s">
        <v>48</v>
      </c>
    </row>
    <row r="39" spans="1:10">
      <c r="A39" s="6">
        <v>1410</v>
      </c>
      <c r="B39" s="7" t="s">
        <v>42</v>
      </c>
      <c r="D39" s="8">
        <v>2105</v>
      </c>
      <c r="E39" s="9" t="s">
        <v>49</v>
      </c>
      <c r="F39" s="10" t="s">
        <v>180</v>
      </c>
    </row>
    <row r="40" spans="1:10">
      <c r="A40" s="6">
        <v>1411</v>
      </c>
      <c r="B40" s="7" t="s">
        <v>43</v>
      </c>
      <c r="D40" s="8">
        <v>2106</v>
      </c>
      <c r="E40" s="9" t="s">
        <v>50</v>
      </c>
    </row>
    <row r="41" spans="1:10">
      <c r="A41" s="6">
        <v>1412</v>
      </c>
      <c r="B41" s="7" t="s">
        <v>44</v>
      </c>
      <c r="D41" s="8">
        <v>2107</v>
      </c>
      <c r="E41" s="9" t="s">
        <v>51</v>
      </c>
    </row>
    <row r="42" spans="1:10">
      <c r="A42" s="280" t="s">
        <v>101</v>
      </c>
      <c r="B42" s="280"/>
      <c r="D42" s="281" t="s">
        <v>129</v>
      </c>
      <c r="E42" s="281"/>
      <c r="F42" s="14"/>
      <c r="G42" s="14"/>
      <c r="H42" s="14"/>
      <c r="I42" s="14"/>
      <c r="J42" s="14"/>
    </row>
    <row r="43" spans="1:10">
      <c r="A43" s="6" t="s">
        <v>2</v>
      </c>
      <c r="B43" s="7" t="s">
        <v>45</v>
      </c>
      <c r="D43" s="281" t="s">
        <v>102</v>
      </c>
      <c r="E43" s="281"/>
    </row>
    <row r="44" spans="1:10">
      <c r="A44" s="6" t="s">
        <v>3</v>
      </c>
      <c r="B44" s="7" t="s">
        <v>46</v>
      </c>
      <c r="D44" s="8">
        <v>2201</v>
      </c>
      <c r="E44" s="9" t="s">
        <v>52</v>
      </c>
    </row>
    <row r="45" spans="1:10">
      <c r="A45" s="6" t="s">
        <v>4</v>
      </c>
      <c r="B45" s="7" t="s">
        <v>159</v>
      </c>
      <c r="D45" s="8">
        <v>2202</v>
      </c>
      <c r="E45" s="11" t="s">
        <v>53</v>
      </c>
    </row>
    <row r="46" spans="1:10">
      <c r="A46" s="6" t="s">
        <v>5</v>
      </c>
      <c r="B46" s="7" t="s">
        <v>48</v>
      </c>
      <c r="D46" s="8">
        <v>2203</v>
      </c>
      <c r="E46" s="9" t="s">
        <v>54</v>
      </c>
    </row>
    <row r="47" spans="1:10">
      <c r="A47" s="6" t="s">
        <v>6</v>
      </c>
      <c r="B47" s="7" t="s">
        <v>49</v>
      </c>
      <c r="D47" s="8">
        <v>2204</v>
      </c>
      <c r="E47" s="9" t="s">
        <v>55</v>
      </c>
    </row>
    <row r="48" spans="1:10">
      <c r="A48" s="6" t="s">
        <v>7</v>
      </c>
      <c r="B48" s="7" t="s">
        <v>192</v>
      </c>
      <c r="D48" s="281" t="s">
        <v>130</v>
      </c>
      <c r="E48" s="281"/>
      <c r="F48" s="14"/>
      <c r="G48" s="14"/>
      <c r="H48" s="14"/>
      <c r="I48" s="14"/>
      <c r="J48" s="14"/>
    </row>
    <row r="49" spans="1:10">
      <c r="A49" s="6" t="s">
        <v>8</v>
      </c>
      <c r="B49" s="7" t="s">
        <v>50</v>
      </c>
      <c r="D49" s="281" t="s">
        <v>103</v>
      </c>
      <c r="E49" s="281"/>
    </row>
    <row r="50" spans="1:10">
      <c r="A50" s="6" t="s">
        <v>206</v>
      </c>
      <c r="B50" s="7" t="s">
        <v>51</v>
      </c>
      <c r="D50" s="8">
        <v>3101</v>
      </c>
      <c r="E50" s="9" t="s">
        <v>56</v>
      </c>
    </row>
    <row r="51" spans="1:10">
      <c r="A51" s="280" t="s">
        <v>102</v>
      </c>
      <c r="B51" s="280"/>
      <c r="D51" s="8">
        <v>3102</v>
      </c>
      <c r="E51" s="9" t="s">
        <v>57</v>
      </c>
    </row>
    <row r="52" spans="1:10">
      <c r="A52" s="6" t="s">
        <v>9</v>
      </c>
      <c r="B52" s="7" t="s">
        <v>52</v>
      </c>
      <c r="D52" s="8">
        <v>3103</v>
      </c>
      <c r="E52" s="9" t="s">
        <v>58</v>
      </c>
    </row>
    <row r="53" spans="1:10">
      <c r="A53" s="6" t="s">
        <v>10</v>
      </c>
      <c r="B53" s="7" t="s">
        <v>53</v>
      </c>
      <c r="D53" s="8">
        <v>3104</v>
      </c>
      <c r="E53" s="9" t="s">
        <v>59</v>
      </c>
    </row>
    <row r="54" spans="1:10">
      <c r="A54" s="6" t="s">
        <v>11</v>
      </c>
      <c r="B54" s="7" t="s">
        <v>54</v>
      </c>
      <c r="D54" s="8">
        <v>3105</v>
      </c>
      <c r="E54" s="9" t="s">
        <v>60</v>
      </c>
    </row>
    <row r="55" spans="1:10">
      <c r="A55" s="6" t="s">
        <v>12</v>
      </c>
      <c r="B55" s="7" t="s">
        <v>196</v>
      </c>
      <c r="D55" s="281" t="s">
        <v>131</v>
      </c>
      <c r="E55" s="281"/>
      <c r="F55" s="14"/>
      <c r="G55" s="14"/>
      <c r="H55" s="14"/>
      <c r="I55" s="14"/>
      <c r="J55" s="14"/>
    </row>
    <row r="56" spans="1:10">
      <c r="A56" s="6" t="s">
        <v>207</v>
      </c>
      <c r="B56" s="7" t="s">
        <v>55</v>
      </c>
      <c r="D56" s="281" t="s">
        <v>104</v>
      </c>
      <c r="E56" s="281"/>
    </row>
    <row r="57" spans="1:10">
      <c r="A57" s="280" t="s">
        <v>103</v>
      </c>
      <c r="B57" s="280"/>
      <c r="D57" s="8">
        <v>4101</v>
      </c>
      <c r="E57" s="9" t="s">
        <v>61</v>
      </c>
    </row>
    <row r="58" spans="1:10">
      <c r="A58" s="6" t="s">
        <v>13</v>
      </c>
      <c r="B58" s="7" t="s">
        <v>56</v>
      </c>
      <c r="D58" s="8">
        <v>4102</v>
      </c>
      <c r="E58" s="9" t="s">
        <v>62</v>
      </c>
    </row>
    <row r="59" spans="1:10">
      <c r="A59" s="6" t="s">
        <v>14</v>
      </c>
      <c r="B59" s="7" t="s">
        <v>57</v>
      </c>
      <c r="D59" s="8">
        <v>4103</v>
      </c>
      <c r="E59" s="9" t="s">
        <v>63</v>
      </c>
    </row>
    <row r="60" spans="1:10">
      <c r="A60" s="6" t="s">
        <v>15</v>
      </c>
      <c r="B60" s="7" t="s">
        <v>58</v>
      </c>
      <c r="D60" s="8">
        <v>4104</v>
      </c>
      <c r="E60" s="9" t="s">
        <v>64</v>
      </c>
    </row>
    <row r="61" spans="1:10">
      <c r="A61" s="6" t="s">
        <v>16</v>
      </c>
      <c r="B61" s="7" t="s">
        <v>59</v>
      </c>
      <c r="D61" s="8">
        <v>4105</v>
      </c>
      <c r="E61" s="9" t="s">
        <v>65</v>
      </c>
    </row>
    <row r="62" spans="1:10">
      <c r="A62" s="6" t="s">
        <v>17</v>
      </c>
      <c r="B62" s="7" t="s">
        <v>60</v>
      </c>
      <c r="D62" s="8">
        <v>4106</v>
      </c>
      <c r="E62" s="9" t="s">
        <v>141</v>
      </c>
      <c r="F62" s="10" t="s">
        <v>160</v>
      </c>
      <c r="G62" s="10" t="s">
        <v>161</v>
      </c>
    </row>
    <row r="63" spans="1:10">
      <c r="A63" s="280" t="s">
        <v>104</v>
      </c>
      <c r="B63" s="280"/>
      <c r="D63" s="8">
        <v>4107</v>
      </c>
      <c r="E63" s="9" t="s">
        <v>142</v>
      </c>
    </row>
    <row r="64" spans="1:10">
      <c r="A64" s="6">
        <v>4101</v>
      </c>
      <c r="B64" s="7" t="s">
        <v>61</v>
      </c>
      <c r="D64" s="281" t="s">
        <v>132</v>
      </c>
      <c r="E64" s="281"/>
      <c r="F64" s="14"/>
      <c r="G64" s="14"/>
      <c r="H64" s="14"/>
      <c r="I64" s="14"/>
      <c r="J64" s="14"/>
    </row>
    <row r="65" spans="1:10">
      <c r="A65" s="6">
        <v>4102</v>
      </c>
      <c r="B65" s="7" t="s">
        <v>62</v>
      </c>
      <c r="D65" s="281" t="s">
        <v>111</v>
      </c>
      <c r="E65" s="281"/>
    </row>
    <row r="66" spans="1:10">
      <c r="A66" s="6">
        <v>4103</v>
      </c>
      <c r="B66" s="7" t="s">
        <v>63</v>
      </c>
      <c r="D66" s="8">
        <v>4201</v>
      </c>
      <c r="E66" s="9" t="s">
        <v>66</v>
      </c>
    </row>
    <row r="67" spans="1:10">
      <c r="A67" s="6">
        <v>4104</v>
      </c>
      <c r="B67" s="7" t="s">
        <v>64</v>
      </c>
      <c r="D67" s="8">
        <v>4202</v>
      </c>
      <c r="E67" s="9" t="s">
        <v>67</v>
      </c>
    </row>
    <row r="68" spans="1:10">
      <c r="A68" s="6">
        <v>4105</v>
      </c>
      <c r="B68" s="7" t="s">
        <v>65</v>
      </c>
      <c r="D68" s="8">
        <v>4203</v>
      </c>
      <c r="E68" s="9" t="s">
        <v>68</v>
      </c>
    </row>
    <row r="69" spans="1:10">
      <c r="A69" s="6">
        <v>4106</v>
      </c>
      <c r="B69" s="7" t="s">
        <v>199</v>
      </c>
      <c r="D69" s="8">
        <v>4204</v>
      </c>
      <c r="E69" s="9" t="s">
        <v>69</v>
      </c>
    </row>
    <row r="70" spans="1:10">
      <c r="A70" s="6">
        <v>4107</v>
      </c>
      <c r="B70" s="7" t="s">
        <v>142</v>
      </c>
      <c r="D70" s="8">
        <v>4205</v>
      </c>
      <c r="E70" s="9" t="s">
        <v>88</v>
      </c>
    </row>
    <row r="71" spans="1:10">
      <c r="A71" s="6">
        <v>4108</v>
      </c>
      <c r="B71" s="7" t="s">
        <v>197</v>
      </c>
      <c r="D71" s="8">
        <v>4206</v>
      </c>
      <c r="E71" s="9" t="s">
        <v>91</v>
      </c>
    </row>
    <row r="72" spans="1:10">
      <c r="A72" s="6">
        <v>4109</v>
      </c>
      <c r="B72" s="7" t="s">
        <v>198</v>
      </c>
      <c r="D72" s="281" t="s">
        <v>133</v>
      </c>
      <c r="E72" s="282"/>
      <c r="F72" s="14"/>
      <c r="G72" s="14"/>
      <c r="H72" s="14"/>
      <c r="I72" s="14"/>
      <c r="J72" s="14"/>
    </row>
    <row r="73" spans="1:10">
      <c r="A73" s="6">
        <v>4110</v>
      </c>
      <c r="B73" s="7" t="s">
        <v>200</v>
      </c>
      <c r="D73" s="281" t="s">
        <v>105</v>
      </c>
      <c r="E73" s="281"/>
    </row>
    <row r="74" spans="1:10">
      <c r="A74" s="280" t="s">
        <v>111</v>
      </c>
      <c r="B74" s="280"/>
      <c r="D74" s="8">
        <v>5101</v>
      </c>
      <c r="E74" s="9" t="s">
        <v>70</v>
      </c>
    </row>
    <row r="75" spans="1:10">
      <c r="A75" s="6">
        <v>4201</v>
      </c>
      <c r="B75" s="7" t="s">
        <v>66</v>
      </c>
      <c r="D75" s="8">
        <v>5102</v>
      </c>
      <c r="E75" s="9" t="s">
        <v>143</v>
      </c>
      <c r="F75" s="10" t="s">
        <v>163</v>
      </c>
      <c r="G75" s="10" t="s">
        <v>162</v>
      </c>
    </row>
    <row r="76" spans="1:10">
      <c r="A76" s="6">
        <v>4202</v>
      </c>
      <c r="B76" s="7" t="s">
        <v>67</v>
      </c>
      <c r="D76" s="8">
        <v>5103</v>
      </c>
      <c r="E76" s="9" t="s">
        <v>144</v>
      </c>
    </row>
    <row r="77" spans="1:10">
      <c r="A77" s="6">
        <v>4203</v>
      </c>
      <c r="B77" s="7" t="s">
        <v>68</v>
      </c>
      <c r="D77" s="8">
        <v>5104</v>
      </c>
      <c r="E77" s="9" t="s">
        <v>145</v>
      </c>
    </row>
    <row r="78" spans="1:10">
      <c r="A78" s="6">
        <v>4204</v>
      </c>
      <c r="B78" s="7" t="s">
        <v>69</v>
      </c>
      <c r="D78" s="8">
        <v>5105</v>
      </c>
      <c r="E78" s="9" t="s">
        <v>146</v>
      </c>
      <c r="F78" s="10" t="s">
        <v>164</v>
      </c>
      <c r="H78" s="10" t="s">
        <v>167</v>
      </c>
    </row>
    <row r="79" spans="1:10">
      <c r="A79" s="6">
        <v>4205</v>
      </c>
      <c r="B79" s="7" t="s">
        <v>88</v>
      </c>
      <c r="D79" s="8">
        <v>5106</v>
      </c>
      <c r="E79" s="9" t="s">
        <v>71</v>
      </c>
      <c r="F79" s="10" t="s">
        <v>165</v>
      </c>
      <c r="H79" s="10" t="s">
        <v>168</v>
      </c>
      <c r="I79" s="10" t="s">
        <v>173</v>
      </c>
      <c r="J79" s="10" t="s">
        <v>174</v>
      </c>
    </row>
    <row r="80" spans="1:10">
      <c r="A80" s="6">
        <v>4206</v>
      </c>
      <c r="B80" s="7" t="s">
        <v>91</v>
      </c>
      <c r="D80" s="8">
        <v>5107</v>
      </c>
      <c r="E80" s="9" t="s">
        <v>72</v>
      </c>
      <c r="F80" s="10" t="s">
        <v>166</v>
      </c>
      <c r="H80" s="10" t="s">
        <v>169</v>
      </c>
      <c r="I80" s="10" t="s">
        <v>172</v>
      </c>
      <c r="J80" s="10" t="s">
        <v>175</v>
      </c>
    </row>
    <row r="81" spans="1:10">
      <c r="A81" s="280" t="s">
        <v>105</v>
      </c>
      <c r="B81" s="280"/>
      <c r="D81" s="8">
        <v>5108</v>
      </c>
      <c r="E81" s="9" t="s">
        <v>73</v>
      </c>
      <c r="H81" s="10" t="s">
        <v>170</v>
      </c>
      <c r="I81" s="10" t="s">
        <v>171</v>
      </c>
      <c r="J81" s="10" t="s">
        <v>176</v>
      </c>
    </row>
    <row r="82" spans="1:10">
      <c r="A82" s="6">
        <v>5101</v>
      </c>
      <c r="B82" s="7" t="s">
        <v>70</v>
      </c>
      <c r="D82" s="8">
        <v>5109</v>
      </c>
      <c r="E82" s="9" t="s">
        <v>74</v>
      </c>
    </row>
    <row r="83" spans="1:10">
      <c r="A83" s="6">
        <v>5102</v>
      </c>
      <c r="B83" s="7" t="s">
        <v>201</v>
      </c>
      <c r="D83" s="281" t="s">
        <v>134</v>
      </c>
      <c r="E83" s="281"/>
      <c r="F83" s="14"/>
      <c r="G83" s="14"/>
      <c r="H83" s="14"/>
      <c r="I83" s="14"/>
      <c r="J83" s="14"/>
    </row>
    <row r="84" spans="1:10">
      <c r="A84" s="6">
        <v>5103</v>
      </c>
      <c r="B84" s="7" t="s">
        <v>202</v>
      </c>
      <c r="D84" s="281" t="s">
        <v>106</v>
      </c>
      <c r="E84" s="281"/>
    </row>
    <row r="85" spans="1:10">
      <c r="A85" s="6">
        <v>5104</v>
      </c>
      <c r="B85" s="7" t="s">
        <v>144</v>
      </c>
      <c r="D85" s="8">
        <v>6101</v>
      </c>
      <c r="E85" s="9" t="s">
        <v>75</v>
      </c>
    </row>
    <row r="86" spans="1:10">
      <c r="A86" s="6">
        <v>5105</v>
      </c>
      <c r="B86" s="7" t="s">
        <v>145</v>
      </c>
      <c r="D86" s="8">
        <v>6102</v>
      </c>
      <c r="E86" s="9" t="s">
        <v>76</v>
      </c>
      <c r="F86" s="10" t="s">
        <v>177</v>
      </c>
    </row>
    <row r="87" spans="1:10">
      <c r="A87" s="6">
        <v>5106</v>
      </c>
      <c r="B87" s="7" t="s">
        <v>146</v>
      </c>
      <c r="D87" s="8">
        <v>6103</v>
      </c>
      <c r="E87" s="9" t="s">
        <v>147</v>
      </c>
      <c r="F87" s="10" t="s">
        <v>178</v>
      </c>
    </row>
    <row r="88" spans="1:10">
      <c r="A88" s="6">
        <v>5107</v>
      </c>
      <c r="B88" s="7" t="s">
        <v>71</v>
      </c>
      <c r="D88" s="8">
        <v>6104</v>
      </c>
      <c r="E88" s="9" t="s">
        <v>148</v>
      </c>
    </row>
    <row r="89" spans="1:10">
      <c r="A89" s="6">
        <v>5108</v>
      </c>
      <c r="B89" s="7" t="s">
        <v>72</v>
      </c>
      <c r="D89" s="8">
        <v>6105</v>
      </c>
      <c r="E89" s="9" t="s">
        <v>149</v>
      </c>
      <c r="F89" s="10" t="s">
        <v>179</v>
      </c>
    </row>
    <row r="90" spans="1:10">
      <c r="A90" s="6">
        <v>5109</v>
      </c>
      <c r="B90" s="7" t="s">
        <v>73</v>
      </c>
      <c r="D90" s="8">
        <v>6106</v>
      </c>
      <c r="E90" s="9" t="s">
        <v>77</v>
      </c>
    </row>
    <row r="91" spans="1:10">
      <c r="A91" s="6">
        <v>5110</v>
      </c>
      <c r="B91" s="7" t="s">
        <v>74</v>
      </c>
      <c r="D91" s="8">
        <v>6107</v>
      </c>
      <c r="E91" s="9" t="s">
        <v>78</v>
      </c>
    </row>
    <row r="92" spans="1:10">
      <c r="A92" s="6">
        <v>5111</v>
      </c>
      <c r="B92" s="7" t="s">
        <v>256</v>
      </c>
      <c r="D92" s="8">
        <v>6107</v>
      </c>
      <c r="E92" s="9" t="s">
        <v>78</v>
      </c>
    </row>
    <row r="93" spans="1:10">
      <c r="A93" s="280" t="s">
        <v>106</v>
      </c>
      <c r="B93" s="280"/>
      <c r="D93" s="8">
        <v>6108</v>
      </c>
      <c r="E93" s="9" t="s">
        <v>79</v>
      </c>
    </row>
    <row r="94" spans="1:10">
      <c r="A94" s="6">
        <v>6101</v>
      </c>
      <c r="B94" s="7" t="s">
        <v>75</v>
      </c>
      <c r="D94" s="8">
        <v>6109</v>
      </c>
      <c r="E94" s="9" t="s">
        <v>80</v>
      </c>
    </row>
    <row r="95" spans="1:10">
      <c r="A95" s="6">
        <v>6102</v>
      </c>
      <c r="B95" s="7" t="s">
        <v>204</v>
      </c>
      <c r="D95" s="8">
        <v>6110</v>
      </c>
      <c r="E95" s="9" t="s">
        <v>150</v>
      </c>
    </row>
    <row r="96" spans="1:10">
      <c r="A96" s="6">
        <v>6103</v>
      </c>
      <c r="B96" s="7" t="s">
        <v>203</v>
      </c>
      <c r="D96" s="281" t="s">
        <v>135</v>
      </c>
      <c r="E96" s="281"/>
      <c r="F96" s="14"/>
      <c r="G96" s="14"/>
      <c r="H96" s="14"/>
      <c r="I96" s="14"/>
      <c r="J96" s="14"/>
    </row>
    <row r="97" spans="1:10">
      <c r="A97" s="6">
        <v>6104</v>
      </c>
      <c r="B97" s="7" t="s">
        <v>147</v>
      </c>
      <c r="D97" s="281" t="s">
        <v>107</v>
      </c>
      <c r="E97" s="281"/>
    </row>
    <row r="98" spans="1:10">
      <c r="A98" s="6">
        <v>6105</v>
      </c>
      <c r="B98" s="7" t="s">
        <v>148</v>
      </c>
      <c r="D98" s="8">
        <v>6201</v>
      </c>
      <c r="E98" s="9" t="s">
        <v>81</v>
      </c>
    </row>
    <row r="99" spans="1:10">
      <c r="A99" s="6">
        <v>6106</v>
      </c>
      <c r="B99" s="7" t="s">
        <v>149</v>
      </c>
      <c r="D99" s="8">
        <v>6202</v>
      </c>
      <c r="E99" s="9" t="s">
        <v>82</v>
      </c>
    </row>
    <row r="100" spans="1:10">
      <c r="A100" s="6">
        <v>6107</v>
      </c>
      <c r="B100" s="7" t="s">
        <v>77</v>
      </c>
      <c r="D100" s="8">
        <v>6203</v>
      </c>
      <c r="E100" s="9" t="s">
        <v>83</v>
      </c>
    </row>
    <row r="101" spans="1:10">
      <c r="A101" s="6">
        <v>6108</v>
      </c>
      <c r="B101" s="7" t="s">
        <v>78</v>
      </c>
      <c r="D101" s="8">
        <v>6204</v>
      </c>
      <c r="E101" s="9" t="s">
        <v>84</v>
      </c>
    </row>
    <row r="102" spans="1:10">
      <c r="A102" s="6">
        <v>6109</v>
      </c>
      <c r="B102" s="7" t="s">
        <v>79</v>
      </c>
      <c r="D102" s="281" t="s">
        <v>136</v>
      </c>
      <c r="E102" s="281"/>
      <c r="F102" s="14"/>
      <c r="G102" s="14"/>
      <c r="H102" s="14"/>
      <c r="I102" s="14"/>
      <c r="J102" s="14"/>
    </row>
    <row r="103" spans="1:10">
      <c r="A103" s="6">
        <v>6110</v>
      </c>
      <c r="B103" s="7" t="s">
        <v>80</v>
      </c>
      <c r="D103" s="281" t="s">
        <v>108</v>
      </c>
      <c r="E103" s="281"/>
    </row>
    <row r="104" spans="1:10">
      <c r="A104" s="6">
        <v>6111</v>
      </c>
      <c r="B104" s="7" t="s">
        <v>150</v>
      </c>
      <c r="D104" s="8">
        <v>6301</v>
      </c>
      <c r="E104" s="9" t="s">
        <v>85</v>
      </c>
    </row>
    <row r="105" spans="1:10">
      <c r="A105" s="6">
        <v>6112</v>
      </c>
      <c r="B105" s="7" t="s">
        <v>205</v>
      </c>
      <c r="D105" s="8">
        <v>6302</v>
      </c>
      <c r="E105" s="9" t="s">
        <v>86</v>
      </c>
    </row>
    <row r="106" spans="1:10">
      <c r="A106" s="280" t="s">
        <v>107</v>
      </c>
      <c r="B106" s="280"/>
      <c r="D106" s="8">
        <v>6303</v>
      </c>
      <c r="E106" s="9" t="s">
        <v>87</v>
      </c>
    </row>
    <row r="107" spans="1:10">
      <c r="A107" s="6" t="s">
        <v>18</v>
      </c>
      <c r="B107" s="7" t="s">
        <v>81</v>
      </c>
      <c r="D107" s="281" t="s">
        <v>137</v>
      </c>
      <c r="E107" s="281"/>
      <c r="F107" s="14"/>
      <c r="G107" s="14"/>
      <c r="H107" s="14"/>
      <c r="I107" s="14"/>
      <c r="J107" s="14"/>
    </row>
    <row r="108" spans="1:10">
      <c r="A108" s="6" t="s">
        <v>19</v>
      </c>
      <c r="B108" s="7" t="s">
        <v>82</v>
      </c>
      <c r="C108" s="10"/>
      <c r="D108" s="282" t="s">
        <v>151</v>
      </c>
      <c r="E108" s="283"/>
    </row>
    <row r="109" spans="1:10">
      <c r="A109" s="6" t="s">
        <v>20</v>
      </c>
      <c r="B109" s="7" t="s">
        <v>83</v>
      </c>
      <c r="C109" s="10"/>
      <c r="D109" s="8">
        <v>6401</v>
      </c>
      <c r="E109" s="9" t="s">
        <v>89</v>
      </c>
    </row>
    <row r="110" spans="1:10">
      <c r="A110" s="6" t="s">
        <v>21</v>
      </c>
      <c r="B110" s="7" t="s">
        <v>84</v>
      </c>
      <c r="C110" s="10"/>
      <c r="D110" s="8">
        <v>6402</v>
      </c>
      <c r="E110" s="9" t="s">
        <v>90</v>
      </c>
    </row>
    <row r="111" spans="1:10">
      <c r="A111" s="280" t="s">
        <v>108</v>
      </c>
      <c r="B111" s="280"/>
      <c r="C111" s="10"/>
      <c r="D111" s="8">
        <v>6403</v>
      </c>
      <c r="E111" s="9" t="s">
        <v>92</v>
      </c>
    </row>
    <row r="112" spans="1:10">
      <c r="A112" s="6" t="s">
        <v>22</v>
      </c>
      <c r="B112" s="7" t="s">
        <v>85</v>
      </c>
      <c r="D112" s="282" t="s">
        <v>152</v>
      </c>
      <c r="E112" s="283"/>
      <c r="F112" s="14"/>
      <c r="G112" s="14"/>
      <c r="H112" s="14"/>
      <c r="I112" s="14"/>
      <c r="J112" s="14"/>
    </row>
    <row r="113" spans="1:10">
      <c r="A113" s="6" t="s">
        <v>23</v>
      </c>
      <c r="B113" s="7" t="s">
        <v>86</v>
      </c>
      <c r="D113" s="281" t="s">
        <v>109</v>
      </c>
      <c r="E113" s="281"/>
    </row>
    <row r="114" spans="1:10">
      <c r="A114" s="6" t="s">
        <v>24</v>
      </c>
      <c r="B114" s="7" t="s">
        <v>87</v>
      </c>
      <c r="D114" s="8">
        <v>7101</v>
      </c>
      <c r="E114" s="9" t="s">
        <v>93</v>
      </c>
      <c r="F114" s="10" t="s">
        <v>181</v>
      </c>
    </row>
    <row r="115" spans="1:10">
      <c r="A115" s="282" t="s">
        <v>151</v>
      </c>
      <c r="B115" s="283"/>
      <c r="D115" s="8">
        <v>7102</v>
      </c>
      <c r="E115" s="9" t="s">
        <v>94</v>
      </c>
    </row>
    <row r="116" spans="1:10">
      <c r="A116" s="8">
        <v>6401</v>
      </c>
      <c r="B116" s="9" t="s">
        <v>89</v>
      </c>
      <c r="D116" s="8">
        <v>7103</v>
      </c>
      <c r="E116" s="9" t="s">
        <v>95</v>
      </c>
    </row>
    <row r="117" spans="1:10">
      <c r="A117" s="8">
        <v>6402</v>
      </c>
      <c r="B117" s="9" t="s">
        <v>90</v>
      </c>
      <c r="D117" s="281" t="s">
        <v>138</v>
      </c>
      <c r="E117" s="281"/>
      <c r="F117" s="14"/>
      <c r="G117" s="14"/>
      <c r="H117" s="14"/>
      <c r="I117" s="14"/>
      <c r="J117" s="14"/>
    </row>
    <row r="118" spans="1:10">
      <c r="A118" s="8">
        <v>6403</v>
      </c>
      <c r="B118" s="9" t="s">
        <v>92</v>
      </c>
      <c r="D118" s="281" t="s">
        <v>110</v>
      </c>
      <c r="E118" s="281"/>
    </row>
    <row r="119" spans="1:10">
      <c r="A119" s="280" t="s">
        <v>109</v>
      </c>
      <c r="B119" s="280"/>
      <c r="D119" s="8">
        <v>8101</v>
      </c>
      <c r="E119" s="9" t="s">
        <v>96</v>
      </c>
    </row>
    <row r="120" spans="1:10">
      <c r="A120" s="6">
        <v>7101</v>
      </c>
      <c r="B120" s="7" t="s">
        <v>93</v>
      </c>
      <c r="D120" s="8">
        <v>8102</v>
      </c>
      <c r="E120" s="9" t="s">
        <v>97</v>
      </c>
    </row>
    <row r="121" spans="1:10">
      <c r="A121" s="6">
        <v>7102</v>
      </c>
      <c r="B121" s="7" t="s">
        <v>94</v>
      </c>
      <c r="D121" s="8">
        <v>8103</v>
      </c>
      <c r="E121" s="9" t="s">
        <v>98</v>
      </c>
    </row>
    <row r="122" spans="1:10">
      <c r="A122" s="6">
        <v>7103</v>
      </c>
      <c r="B122" s="7" t="s">
        <v>95</v>
      </c>
      <c r="D122" s="281" t="s">
        <v>139</v>
      </c>
      <c r="E122" s="281"/>
      <c r="F122" s="14"/>
      <c r="G122" s="14"/>
      <c r="H122" s="14"/>
      <c r="I122" s="14"/>
      <c r="J122" s="14"/>
    </row>
    <row r="123" spans="1:10">
      <c r="A123" s="6">
        <v>7104</v>
      </c>
      <c r="B123" s="7" t="s">
        <v>181</v>
      </c>
    </row>
  </sheetData>
  <mergeCells count="43">
    <mergeCell ref="D122:E122"/>
    <mergeCell ref="A57:B57"/>
    <mergeCell ref="D21:E21"/>
    <mergeCell ref="A2:B2"/>
    <mergeCell ref="A115:B115"/>
    <mergeCell ref="D107:E107"/>
    <mergeCell ref="D48:E48"/>
    <mergeCell ref="D97:E97"/>
    <mergeCell ref="D55:E55"/>
    <mergeCell ref="D64:E64"/>
    <mergeCell ref="D65:E65"/>
    <mergeCell ref="D83:E83"/>
    <mergeCell ref="E1:E2"/>
    <mergeCell ref="A63:B63"/>
    <mergeCell ref="D33:E33"/>
    <mergeCell ref="D32:E32"/>
    <mergeCell ref="D96:E96"/>
    <mergeCell ref="D3:E3"/>
    <mergeCell ref="D1:D2"/>
    <mergeCell ref="D49:E49"/>
    <mergeCell ref="D73:E73"/>
    <mergeCell ref="D72:E72"/>
    <mergeCell ref="D56:E56"/>
    <mergeCell ref="D42:E42"/>
    <mergeCell ref="D84:E84"/>
    <mergeCell ref="D20:E20"/>
    <mergeCell ref="D43:E43"/>
    <mergeCell ref="D103:E103"/>
    <mergeCell ref="D108:E108"/>
    <mergeCell ref="D113:E113"/>
    <mergeCell ref="D118:E118"/>
    <mergeCell ref="D102:E102"/>
    <mergeCell ref="D112:E112"/>
    <mergeCell ref="D117:E117"/>
    <mergeCell ref="A119:B119"/>
    <mergeCell ref="A29:B29"/>
    <mergeCell ref="A74:B74"/>
    <mergeCell ref="A111:B111"/>
    <mergeCell ref="A42:B42"/>
    <mergeCell ref="A93:B93"/>
    <mergeCell ref="A106:B106"/>
    <mergeCell ref="A81:B81"/>
    <mergeCell ref="A51:B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53"/>
  <sheetViews>
    <sheetView workbookViewId="0">
      <pane xSplit="2" ySplit="6" topLeftCell="C14" activePane="bottomRight" state="frozen"/>
      <selection pane="topRight"/>
      <selection pane="bottomLeft"/>
      <selection pane="bottomRight" activeCell="B64" sqref="B64"/>
    </sheetView>
  </sheetViews>
  <sheetFormatPr defaultColWidth="10" defaultRowHeight="14.5" outlineLevelCol="1"/>
  <cols>
    <col min="1" max="1" width="10.54296875" bestFit="1" customWidth="1"/>
    <col min="2" max="2" width="43.81640625" bestFit="1" customWidth="1"/>
    <col min="3" max="3" width="17.1796875" customWidth="1"/>
    <col min="4" max="5" width="17.1796875" hidden="1" customWidth="1" outlineLevel="1"/>
    <col min="6" max="6" width="17.1796875" customWidth="1" collapsed="1"/>
    <col min="7" max="8" width="17.1796875" hidden="1" customWidth="1" outlineLevel="1"/>
    <col min="9" max="9" width="17.1796875" customWidth="1" collapsed="1"/>
    <col min="10" max="10" width="14.08984375" hidden="1" customWidth="1" outlineLevel="1"/>
    <col min="11" max="11" width="15" hidden="1" customWidth="1" outlineLevel="1"/>
    <col min="12" max="12" width="17.1796875" customWidth="1" collapsed="1"/>
    <col min="13" max="13" width="14.08984375" hidden="1" customWidth="1" outlineLevel="1"/>
    <col min="14" max="14" width="13.81640625" hidden="1" customWidth="1" outlineLevel="1"/>
    <col min="15" max="15" width="17.1796875" customWidth="1" collapsed="1"/>
    <col min="16" max="17" width="17.1796875" hidden="1" customWidth="1" outlineLevel="1"/>
    <col min="18" max="18" width="17.1796875" customWidth="1" collapsed="1"/>
    <col min="19" max="20" width="17.1796875" hidden="1" customWidth="1" outlineLevel="1"/>
    <col min="21" max="21" width="17.1796875" customWidth="1" collapsed="1"/>
    <col min="22" max="23" width="17.1796875" hidden="1" customWidth="1" outlineLevel="1"/>
    <col min="24" max="24" width="17.1796875" customWidth="1" collapsed="1"/>
    <col min="25" max="26" width="17.1796875" hidden="1" customWidth="1" outlineLevel="1"/>
    <col min="27" max="27" width="17.1796875" customWidth="1" collapsed="1"/>
    <col min="28" max="29" width="17.1796875" hidden="1" customWidth="1" outlineLevel="1"/>
    <col min="30" max="30" width="17.1796875" customWidth="1" collapsed="1"/>
    <col min="31" max="32" width="17.1796875" hidden="1" customWidth="1" outlineLevel="1"/>
    <col min="33" max="33" width="17.1796875" customWidth="1" collapsed="1"/>
    <col min="34" max="35" width="17.1796875" hidden="1" customWidth="1" outlineLevel="1"/>
    <col min="36" max="36" width="17.1796875" customWidth="1" collapsed="1"/>
    <col min="37" max="38" width="17.1796875" hidden="1" customWidth="1" outlineLevel="1"/>
    <col min="39" max="39" width="17.1796875" customWidth="1" collapsed="1"/>
    <col min="40" max="40" width="17.36328125" bestFit="1" customWidth="1"/>
    <col min="41" max="41" width="12.1796875" customWidth="1"/>
    <col min="42" max="42" width="14.81640625" bestFit="1" customWidth="1"/>
  </cols>
  <sheetData>
    <row r="1" spans="1:42">
      <c r="B1" s="237">
        <f>C61/12</f>
        <v>1893000</v>
      </c>
      <c r="O1" s="257">
        <v>46161</v>
      </c>
      <c r="R1" s="216">
        <v>800000000</v>
      </c>
    </row>
    <row r="2" spans="1:42">
      <c r="B2" t="s">
        <v>228</v>
      </c>
      <c r="C2" s="17">
        <f>IF(C52-C78&lt;1,C78,"check again")</f>
        <v>5454178098.1999998</v>
      </c>
      <c r="F2" s="17">
        <f>IF(F52-F78&lt;&gt;0,"check again",F78)</f>
        <v>5915676558.1999998</v>
      </c>
      <c r="I2" s="17">
        <f>IF(I52-I78&lt;&gt;0,"check again",I78)</f>
        <v>7477692405.1999998</v>
      </c>
      <c r="L2" s="17">
        <f>IF(L52-L78&lt;&gt;0,"check again",L78)</f>
        <v>10256229048.200001</v>
      </c>
      <c r="O2" s="17">
        <f>IF(O52-O78&lt;&gt;0,"check again",O78)</f>
        <v>10762976755.200001</v>
      </c>
      <c r="R2" s="17" t="str">
        <f>IF(R52-R78&lt;&gt;0,"check again",R78)</f>
        <v>check again</v>
      </c>
      <c r="U2" s="17" t="str">
        <f>IF(U52-U78&lt;&gt;0,"check again",U78)</f>
        <v>check again</v>
      </c>
      <c r="X2" s="17" t="str">
        <f>IF(X52-X78&lt;&gt;0,"check again",X78)</f>
        <v>check again</v>
      </c>
      <c r="AA2" s="17" t="str">
        <f>IF(AA52-AA78&lt;&gt;0,"check again",AA78)</f>
        <v>check again</v>
      </c>
      <c r="AD2" s="17" t="str">
        <f>IF(AD52-AD78&lt;&gt;0,"check again",AD78)</f>
        <v>check again</v>
      </c>
      <c r="AG2" s="17" t="str">
        <f>IF(AG52-AG78&lt;&gt;0,"check again",AG78)</f>
        <v>check again</v>
      </c>
      <c r="AJ2" s="17" t="str">
        <f>IF(AJ52-AJ78&lt;&gt;0,"check again",AJ78)</f>
        <v>check again</v>
      </c>
      <c r="AM2" s="17" t="str">
        <f>IF(AM52-AM78&lt;&gt;0,"check again",AM78)</f>
        <v>check again</v>
      </c>
    </row>
    <row r="3" spans="1:42">
      <c r="B3" t="s">
        <v>229</v>
      </c>
      <c r="C3" s="17">
        <f>C100-C150</f>
        <v>0</v>
      </c>
      <c r="F3" s="17">
        <f>F100-F150</f>
        <v>-58760634</v>
      </c>
      <c r="I3" s="17">
        <f>I100-I150</f>
        <v>-16202453</v>
      </c>
      <c r="L3" s="17">
        <f>L100-L150</f>
        <v>117664143</v>
      </c>
      <c r="O3" s="17">
        <f>O100-O150</f>
        <v>1194932519</v>
      </c>
      <c r="R3" s="17">
        <f>R100-R150</f>
        <v>1901304172</v>
      </c>
      <c r="U3" s="17">
        <f>U100-U150</f>
        <v>0</v>
      </c>
      <c r="X3" s="17">
        <f>X100-X150</f>
        <v>0</v>
      </c>
      <c r="AA3" s="17">
        <f>AA100-AA150</f>
        <v>0</v>
      </c>
      <c r="AD3" s="17">
        <f>AD100-AD150</f>
        <v>0</v>
      </c>
      <c r="AG3" s="17">
        <f>AG100-AG150</f>
        <v>0</v>
      </c>
      <c r="AJ3" s="17">
        <f>AJ100-AJ150</f>
        <v>0</v>
      </c>
      <c r="AM3" s="17">
        <f>AM100-AM150</f>
        <v>0</v>
      </c>
      <c r="AN3" s="18">
        <f>SUM(D3:AG3)</f>
        <v>3138937747</v>
      </c>
      <c r="AP3" s="17"/>
    </row>
    <row r="4" spans="1:42" ht="5" customHeight="1"/>
    <row r="5" spans="1:42" ht="15" customHeight="1">
      <c r="A5" s="292" t="s">
        <v>0</v>
      </c>
      <c r="B5" s="290" t="s">
        <v>1</v>
      </c>
      <c r="C5" s="289">
        <v>2025</v>
      </c>
      <c r="D5" s="288" t="s">
        <v>126</v>
      </c>
      <c r="E5" s="288"/>
      <c r="F5" s="285">
        <v>46023</v>
      </c>
      <c r="G5" s="288" t="s">
        <v>126</v>
      </c>
      <c r="H5" s="288"/>
      <c r="I5" s="285">
        <v>46054</v>
      </c>
      <c r="J5" s="288" t="s">
        <v>126</v>
      </c>
      <c r="K5" s="288"/>
      <c r="L5" s="285">
        <v>46082</v>
      </c>
      <c r="M5" s="288" t="s">
        <v>126</v>
      </c>
      <c r="N5" s="288"/>
      <c r="O5" s="285">
        <v>46113</v>
      </c>
      <c r="P5" s="288" t="s">
        <v>126</v>
      </c>
      <c r="Q5" s="288"/>
      <c r="R5" s="285">
        <v>46143</v>
      </c>
      <c r="S5" s="288" t="s">
        <v>126</v>
      </c>
      <c r="T5" s="288"/>
      <c r="U5" s="285">
        <v>46174</v>
      </c>
      <c r="V5" s="288" t="s">
        <v>126</v>
      </c>
      <c r="W5" s="288"/>
      <c r="X5" s="285">
        <v>46204</v>
      </c>
      <c r="Y5" s="288" t="s">
        <v>126</v>
      </c>
      <c r="Z5" s="288"/>
      <c r="AA5" s="285">
        <v>46235</v>
      </c>
      <c r="AB5" s="288" t="s">
        <v>126</v>
      </c>
      <c r="AC5" s="288"/>
      <c r="AD5" s="285">
        <v>46266</v>
      </c>
      <c r="AE5" s="288" t="s">
        <v>126</v>
      </c>
      <c r="AF5" s="288"/>
      <c r="AG5" s="285">
        <v>46296</v>
      </c>
      <c r="AH5" s="288" t="s">
        <v>126</v>
      </c>
      <c r="AI5" s="288"/>
      <c r="AJ5" s="285">
        <v>46327</v>
      </c>
      <c r="AK5" s="288" t="s">
        <v>126</v>
      </c>
      <c r="AL5" s="288"/>
      <c r="AM5" s="285">
        <v>46357</v>
      </c>
    </row>
    <row r="6" spans="1:42">
      <c r="A6" s="293"/>
      <c r="B6" s="291"/>
      <c r="C6" s="289"/>
      <c r="D6" s="21" t="s">
        <v>114</v>
      </c>
      <c r="E6" s="21" t="s">
        <v>115</v>
      </c>
      <c r="F6" s="286"/>
      <c r="G6" s="21" t="s">
        <v>114</v>
      </c>
      <c r="H6" s="21" t="s">
        <v>115</v>
      </c>
      <c r="I6" s="286"/>
      <c r="J6" s="21" t="s">
        <v>114</v>
      </c>
      <c r="K6" s="21" t="s">
        <v>115</v>
      </c>
      <c r="L6" s="286"/>
      <c r="M6" s="21" t="s">
        <v>114</v>
      </c>
      <c r="N6" s="21" t="s">
        <v>115</v>
      </c>
      <c r="O6" s="286"/>
      <c r="P6" s="21" t="s">
        <v>114</v>
      </c>
      <c r="Q6" s="21" t="s">
        <v>115</v>
      </c>
      <c r="R6" s="286"/>
      <c r="S6" s="21" t="s">
        <v>114</v>
      </c>
      <c r="T6" s="21" t="s">
        <v>115</v>
      </c>
      <c r="U6" s="286"/>
      <c r="V6" s="21" t="s">
        <v>114</v>
      </c>
      <c r="W6" s="21" t="s">
        <v>115</v>
      </c>
      <c r="X6" s="286"/>
      <c r="Y6" s="21" t="s">
        <v>114</v>
      </c>
      <c r="Z6" s="21" t="s">
        <v>115</v>
      </c>
      <c r="AA6" s="286"/>
      <c r="AB6" s="21" t="s">
        <v>114</v>
      </c>
      <c r="AC6" s="21" t="s">
        <v>115</v>
      </c>
      <c r="AD6" s="286"/>
      <c r="AE6" s="21" t="s">
        <v>114</v>
      </c>
      <c r="AF6" s="21" t="s">
        <v>115</v>
      </c>
      <c r="AG6" s="286"/>
      <c r="AH6" s="21" t="s">
        <v>114</v>
      </c>
      <c r="AI6" s="21" t="s">
        <v>115</v>
      </c>
      <c r="AJ6" s="286"/>
      <c r="AK6" s="21" t="s">
        <v>114</v>
      </c>
      <c r="AL6" s="21" t="s">
        <v>115</v>
      </c>
      <c r="AM6" s="286"/>
    </row>
    <row r="7" spans="1:42">
      <c r="A7" s="280" t="s">
        <v>99</v>
      </c>
      <c r="B7" s="280"/>
      <c r="C7" s="23"/>
      <c r="D7" s="24"/>
      <c r="E7" s="24"/>
      <c r="F7" s="25"/>
      <c r="G7" s="24"/>
      <c r="H7" s="24"/>
      <c r="I7" s="25"/>
      <c r="J7" s="24"/>
      <c r="K7" s="24"/>
      <c r="L7" s="25"/>
      <c r="M7" s="24"/>
      <c r="N7" s="24"/>
      <c r="O7" s="25"/>
      <c r="P7" s="24"/>
      <c r="Q7" s="24"/>
      <c r="R7" s="25"/>
      <c r="S7" s="24"/>
      <c r="T7" s="24"/>
      <c r="U7" s="25"/>
      <c r="V7" s="24"/>
      <c r="W7" s="24"/>
      <c r="X7" s="25"/>
      <c r="Y7" s="24"/>
      <c r="Z7" s="24"/>
      <c r="AA7" s="25"/>
      <c r="AB7" s="24"/>
      <c r="AC7" s="24"/>
      <c r="AD7" s="25"/>
      <c r="AE7" s="24"/>
      <c r="AF7" s="24"/>
      <c r="AG7" s="25"/>
      <c r="AH7" s="24"/>
      <c r="AI7" s="24"/>
      <c r="AJ7" s="25"/>
      <c r="AK7" s="24"/>
      <c r="AL7" s="24"/>
      <c r="AM7" s="25"/>
    </row>
    <row r="8" spans="1:42">
      <c r="A8" s="4" t="s">
        <v>186</v>
      </c>
      <c r="B8" s="26"/>
      <c r="C8" s="27"/>
      <c r="D8" s="28"/>
      <c r="E8" s="29"/>
      <c r="F8" s="30"/>
      <c r="G8" s="28"/>
      <c r="H8" s="29"/>
      <c r="I8" s="30"/>
      <c r="J8" s="28"/>
      <c r="K8" s="29"/>
      <c r="L8" s="30"/>
      <c r="M8" s="28"/>
      <c r="N8" s="29"/>
      <c r="O8" s="30"/>
      <c r="P8" s="28"/>
      <c r="Q8" s="29"/>
      <c r="R8" s="30"/>
      <c r="S8" s="28"/>
      <c r="T8" s="29"/>
      <c r="U8" s="30"/>
      <c r="V8" s="28"/>
      <c r="W8" s="29"/>
      <c r="X8" s="30"/>
      <c r="Y8" s="28"/>
      <c r="Z8" s="29"/>
      <c r="AA8" s="30"/>
      <c r="AB8" s="28"/>
      <c r="AC8" s="29"/>
      <c r="AD8" s="30"/>
      <c r="AE8" s="28"/>
      <c r="AF8" s="29"/>
      <c r="AG8" s="30"/>
      <c r="AH8" s="28"/>
      <c r="AI8" s="29"/>
      <c r="AJ8" s="30"/>
      <c r="AK8" s="28"/>
      <c r="AL8" s="29"/>
      <c r="AM8" s="30"/>
    </row>
    <row r="9" spans="1:42">
      <c r="A9" s="6">
        <v>1101</v>
      </c>
      <c r="B9" s="31" t="s">
        <v>251</v>
      </c>
      <c r="C9" s="32">
        <v>0</v>
      </c>
      <c r="D9" s="28">
        <f>SUMIFS(JU!$H$5:$H$178,JU!$F$5:$F$178,WS!$A9)</f>
        <v>0</v>
      </c>
      <c r="E9" s="29">
        <f>SUMIFS(JU!$K$5:$K$178,JU!$I$5:$I$178,WS!$A9)</f>
        <v>0</v>
      </c>
      <c r="F9" s="30">
        <f>C9+D9-E9</f>
        <v>0</v>
      </c>
      <c r="G9" s="28">
        <f>SUMIFS(JU!$H$180:$H$440,JU!$F$180:$F$440,WS!$A9)</f>
        <v>0</v>
      </c>
      <c r="H9" s="29">
        <f>SUMIFS(JU!$K$180:$K$440,JU!$I$180:$I$440,WS!$A9)</f>
        <v>0</v>
      </c>
      <c r="I9" s="30">
        <f>F9+G9-H9</f>
        <v>0</v>
      </c>
      <c r="J9" s="28">
        <f>SUMIFS(JU!$H$441:$H$695,JU!$F$441:$F$695,WS!$A9)</f>
        <v>0</v>
      </c>
      <c r="K9" s="29">
        <f>SUMIFS(JU!$K$441:$K$695,JU!$I$441:$I$695,WS!$A9)</f>
        <v>0</v>
      </c>
      <c r="L9" s="30">
        <f t="shared" ref="L9:L17" si="0">I9+J9-K9</f>
        <v>0</v>
      </c>
      <c r="M9" s="28">
        <f>SUMIFS(JU!$H$696:$H$1062,JU!$F$696:$F$1062,$A9)</f>
        <v>0</v>
      </c>
      <c r="N9" s="29">
        <f>SUMIFS(JU!$K$696:$K$1062,JU!$I$696:$I$1062,WS!$A9)</f>
        <v>0</v>
      </c>
      <c r="O9" s="30">
        <f t="shared" ref="O9:O17" si="1">L9+M9-N9</f>
        <v>0</v>
      </c>
      <c r="P9" s="28">
        <f>SUMIFS(JU!$H$1063:$H$5007,JU!$F$1063:$F$5007,WS!$A9)</f>
        <v>0</v>
      </c>
      <c r="Q9" s="29">
        <f>SUMIFS(JU!$K$1063:$K$5007,JU!$I$1063:$I$5007,WS!$A9)</f>
        <v>0</v>
      </c>
      <c r="R9" s="30">
        <f>O9+P9-Q9</f>
        <v>0</v>
      </c>
      <c r="S9" s="28">
        <f>SUMIFS(JU!$H$5107:$H$5107,JU!$F$5107:$F$5107,WS!$A9)</f>
        <v>0</v>
      </c>
      <c r="T9" s="29">
        <f>SUMIFS(JU!$K$5107:$K$5107,JU!$I$5107:$I$5107,WS!$A9)</f>
        <v>0</v>
      </c>
      <c r="U9" s="30">
        <f>R9+S9-T9</f>
        <v>0</v>
      </c>
      <c r="V9" s="28">
        <f>SUMIFS(JU!$H$5107:$H$5107,JU!$F$5107:$F$5107,WS!$A9)</f>
        <v>0</v>
      </c>
      <c r="W9" s="29">
        <f>SUMIFS(JU!$K$5107:$K$5107,JU!$I$5107:$I$5107,WS!$A9)</f>
        <v>0</v>
      </c>
      <c r="X9" s="30">
        <f>U9+V9-W9</f>
        <v>0</v>
      </c>
      <c r="Y9" s="28">
        <f>SUMIFS(JU!$H$5107:$H$5107,JU!$F$5107:$F$5107,WS!$A9)</f>
        <v>0</v>
      </c>
      <c r="Z9" s="29">
        <f>SUMIFS(JU!$K$5107:$K$5107,JU!$I$5107:$I$5107,WS!$A9)</f>
        <v>0</v>
      </c>
      <c r="AA9" s="30">
        <f>X9+Y9-Z9</f>
        <v>0</v>
      </c>
      <c r="AB9" s="28">
        <f>SUMIFS(JU!$H$5107:$H$5107,JU!$F$5107:$F$5107,WS!$A9)</f>
        <v>0</v>
      </c>
      <c r="AC9" s="29">
        <f>SUMIFS(JU!$K$5107:$K$5107,JU!$I$5107:$I$5107,WS!$A9)</f>
        <v>0</v>
      </c>
      <c r="AD9" s="30">
        <f>AA9+AB9-AC9</f>
        <v>0</v>
      </c>
      <c r="AE9" s="28">
        <f>SUMIFS(JU!$H$5107:$H$5107,JU!$F$5107:$F$5107,WS!$A9)</f>
        <v>0</v>
      </c>
      <c r="AF9" s="29">
        <f>SUMIFS(JU!$K$5107:$K$5107,JU!$I$5107:$I$5107,WS!$A9)</f>
        <v>0</v>
      </c>
      <c r="AG9" s="30">
        <f>AD9+AE9-AF9</f>
        <v>0</v>
      </c>
      <c r="AH9" s="28">
        <f>SUMIFS(JU!$H$5107:$H$5107,JU!$F$5107:$F$5107,WS!$A9)</f>
        <v>0</v>
      </c>
      <c r="AI9" s="29">
        <f>SUMIFS(JU!$K$5107:$K$5107,JU!$I$5107:$I$5107,WS!$A9)</f>
        <v>0</v>
      </c>
      <c r="AJ9" s="30">
        <f>AG9+AH9-AI9</f>
        <v>0</v>
      </c>
      <c r="AK9" s="28">
        <f>SUMIFS(JU!$H$5107:$H$5107,JU!$F$5107:$F$5107,WS!$A9)</f>
        <v>0</v>
      </c>
      <c r="AL9" s="29">
        <f>SUMIFS(JU!$K$5107:$K$5107,JU!$I$5107:$I$5107,WS!$A9)</f>
        <v>0</v>
      </c>
      <c r="AM9" s="30">
        <f>AJ9+AK9-AL9</f>
        <v>0</v>
      </c>
      <c r="AN9">
        <v>446751</v>
      </c>
      <c r="AO9" s="33">
        <f>AG9-AN9</f>
        <v>-446751</v>
      </c>
    </row>
    <row r="10" spans="1:42">
      <c r="A10" s="6">
        <v>1102</v>
      </c>
      <c r="B10" s="31" t="s">
        <v>153</v>
      </c>
      <c r="C10" s="32">
        <v>0</v>
      </c>
      <c r="D10" s="28">
        <f>SUMIFS(JU!$H$5:$H$178,JU!$F$5:$F$178,WS!$A10)</f>
        <v>0</v>
      </c>
      <c r="E10" s="29">
        <f>SUMIFS(JU!$K$5:$K$178,JU!$I$5:$I$178,WS!$A10)</f>
        <v>0</v>
      </c>
      <c r="F10" s="30">
        <f t="shared" ref="F10:F17" si="2">C10+D10-E10</f>
        <v>0</v>
      </c>
      <c r="G10" s="28">
        <f>SUMIFS(JU!$H$180:$H$440,JU!$F$180:$F$440,WS!$A10)</f>
        <v>0</v>
      </c>
      <c r="H10" s="29">
        <f>SUMIFS(JU!$K$180:$K$440,JU!$I$180:$I$440,WS!$A10)</f>
        <v>0</v>
      </c>
      <c r="I10" s="30">
        <f t="shared" ref="I10" si="3">F10+G10-H10</f>
        <v>0</v>
      </c>
      <c r="J10" s="28">
        <f>SUMIFS(JU!$H$441:$H$695,JU!$F$441:$F$695,WS!$A10)</f>
        <v>0</v>
      </c>
      <c r="K10" s="29">
        <f>SUMIFS(JU!$K$441:$K$695,JU!$I$441:$I$695,WS!$A10)</f>
        <v>0</v>
      </c>
      <c r="L10" s="30">
        <f t="shared" si="0"/>
        <v>0</v>
      </c>
      <c r="M10" s="28">
        <f>SUMIFS(JU!$H$696:$H$1062,JU!$F$696:$F$1062,$A10)</f>
        <v>0</v>
      </c>
      <c r="N10" s="29">
        <f>SUMIFS(JU!$K$696:$K$1062,JU!$I$696:$I$1062,WS!$A10)</f>
        <v>0</v>
      </c>
      <c r="O10" s="30">
        <f t="shared" si="1"/>
        <v>0</v>
      </c>
      <c r="P10" s="28">
        <f>SUMIFS(JU!$H$1063:$H$5007,JU!$F$1063:$F$5007,WS!$A10)</f>
        <v>0</v>
      </c>
      <c r="Q10" s="29">
        <f>SUMIFS(JU!$K$1063:$K$5007,JU!$I$1063:$I$5007,WS!$A10)</f>
        <v>0</v>
      </c>
      <c r="R10" s="30">
        <f t="shared" ref="R10" si="4">O10+P10-Q10</f>
        <v>0</v>
      </c>
      <c r="S10" s="28">
        <f>SUMIFS(JU!$H$5107:$H$5107,JU!$F$5107:$F$5107,WS!$A10)</f>
        <v>0</v>
      </c>
      <c r="T10" s="29">
        <f>SUMIFS(JU!$K$5107:$K$5107,JU!$I$5107:$I$5107,WS!$A10)</f>
        <v>0</v>
      </c>
      <c r="U10" s="30">
        <f t="shared" ref="U10" si="5">R10+S10-T10</f>
        <v>0</v>
      </c>
      <c r="V10" s="28">
        <f>SUMIFS(JU!$H$5107:$H$5107,JU!$F$5107:$F$5107,WS!$A10)</f>
        <v>0</v>
      </c>
      <c r="W10" s="29">
        <f>SUMIFS(JU!$K$5107:$K$5107,JU!$I$5107:$I$5107,WS!$A10)</f>
        <v>0</v>
      </c>
      <c r="X10" s="30">
        <f t="shared" ref="X10" si="6">U10+V10-W10</f>
        <v>0</v>
      </c>
      <c r="Y10" s="28">
        <f>SUMIFS(JU!$H$5107:$H$5107,JU!$F$5107:$F$5107,WS!$A10)</f>
        <v>0</v>
      </c>
      <c r="Z10" s="29">
        <f>SUMIFS(JU!$K$5107:$K$5107,JU!$I$5107:$I$5107,WS!$A10)</f>
        <v>0</v>
      </c>
      <c r="AA10" s="30">
        <f t="shared" ref="AA10" si="7">X10+Y10-Z10</f>
        <v>0</v>
      </c>
      <c r="AB10" s="28">
        <f>SUMIFS(JU!$H$5107:$H$5107,JU!$F$5107:$F$5107,WS!$A10)</f>
        <v>0</v>
      </c>
      <c r="AC10" s="29">
        <f>SUMIFS(JU!$K$5107:$K$5107,JU!$I$5107:$I$5107,WS!$A10)</f>
        <v>0</v>
      </c>
      <c r="AD10" s="30">
        <f t="shared" ref="AD10" si="8">AA10+AB10-AC10</f>
        <v>0</v>
      </c>
      <c r="AE10" s="28">
        <f>SUMIFS(JU!$H$5107:$H$5107,JU!$F$5107:$F$5107,WS!$A10)</f>
        <v>0</v>
      </c>
      <c r="AF10" s="29">
        <f>SUMIFS(JU!$K$5107:$K$5107,JU!$I$5107:$I$5107,WS!$A10)</f>
        <v>0</v>
      </c>
      <c r="AG10" s="30">
        <f t="shared" ref="AG10" si="9">AD10+AE10-AF10</f>
        <v>0</v>
      </c>
      <c r="AH10" s="28">
        <f>SUMIFS(JU!$H$5107:$H$5107,JU!$F$5107:$F$5107,WS!$A10)</f>
        <v>0</v>
      </c>
      <c r="AI10" s="29">
        <f>SUMIFS(JU!$K$5107:$K$5107,JU!$I$5107:$I$5107,WS!$A10)</f>
        <v>0</v>
      </c>
      <c r="AJ10" s="30">
        <f t="shared" ref="AJ10" si="10">AG10+AH10-AI10</f>
        <v>0</v>
      </c>
      <c r="AK10" s="28">
        <f>SUMIFS(JU!$H$5107:$H$5107,JU!$F$5107:$F$5107,WS!$A10)</f>
        <v>0</v>
      </c>
      <c r="AL10" s="29">
        <f>SUMIFS(JU!$K$5107:$K$5107,JU!$I$5107:$I$5107,WS!$A10)</f>
        <v>0</v>
      </c>
      <c r="AM10" s="30">
        <f t="shared" ref="AM10" si="11">AJ10+AK10-AL10</f>
        <v>0</v>
      </c>
      <c r="AN10" t="s">
        <v>253</v>
      </c>
      <c r="AO10" t="s">
        <v>254</v>
      </c>
    </row>
    <row r="11" spans="1:42">
      <c r="A11" s="6">
        <v>1103</v>
      </c>
      <c r="B11" s="31" t="s">
        <v>154</v>
      </c>
      <c r="C11" s="32">
        <v>14931577.200000048</v>
      </c>
      <c r="D11" s="28">
        <f>SUMIFS(JU!$H$5:$H$178,JU!$F$5:$F$178,WS!$A11)</f>
        <v>1897877594</v>
      </c>
      <c r="E11" s="29">
        <f>SUMIFS(JU!$K$5:$K$178,JU!$I$5:$I$178,WS!$A11)</f>
        <v>1909356910</v>
      </c>
      <c r="F11" s="30">
        <f t="shared" si="2"/>
        <v>3452261.2000000477</v>
      </c>
      <c r="G11" s="28">
        <f>SUMIFS(JU!$H$180:$H$440,JU!$F$180:$F$440,WS!$A11)</f>
        <v>5508497990</v>
      </c>
      <c r="H11" s="29">
        <f>SUMIFS(JU!$K$180:$K$440,JU!$I$180:$I$440,WS!$A11)</f>
        <v>5467947247</v>
      </c>
      <c r="I11" s="30">
        <f>F11+G11-H11</f>
        <v>44003004.199999809</v>
      </c>
      <c r="J11" s="28">
        <f>SUMIFS(JU!$H$441:$H$695,JU!$F$441:$F$695,WS!$A11)</f>
        <v>3718534853</v>
      </c>
      <c r="K11" s="29">
        <f>SUMIFS(JU!$K$441:$K$695,JU!$I$441:$I$695,WS!$A11)</f>
        <v>3745432928</v>
      </c>
      <c r="L11" s="30">
        <f t="shared" si="0"/>
        <v>17104929.199999809</v>
      </c>
      <c r="M11" s="28">
        <f>SUMIFS(JU!$H$696:$H$1062,JU!$F$696:$F$1062,$A11)</f>
        <v>5526256754</v>
      </c>
      <c r="N11" s="29">
        <f>SUMIFS(JU!$K$696:$K$1062,JU!$I$696:$I$1062,WS!$A11)</f>
        <v>5539476187</v>
      </c>
      <c r="O11" s="30">
        <f t="shared" si="1"/>
        <v>3885496.1999998093</v>
      </c>
      <c r="P11" s="28">
        <f>SUMIFS(JU!$H$1063:$H$5007,JU!$F$1063:$F$5007,WS!$A11)</f>
        <v>4770567500</v>
      </c>
      <c r="Q11" s="29">
        <f>SUMIFS(JU!$K$1063:$K$5007,JU!$I$1063:$I$5007,WS!$A11)</f>
        <v>4717910456</v>
      </c>
      <c r="R11" s="30">
        <f>O11+P11-Q11</f>
        <v>56542540.199999809</v>
      </c>
      <c r="S11" s="28">
        <f>SUMIFS(JU!$H$5107:$H$5107,JU!$F$5107:$F$5107,WS!$A11)</f>
        <v>0</v>
      </c>
      <c r="T11" s="29">
        <f>SUMIFS(JU!$K$5107:$K$5107,JU!$I$5107:$I$5107,WS!$A11)</f>
        <v>0</v>
      </c>
      <c r="U11" s="30">
        <f>R11+S11-T11</f>
        <v>56542540.199999809</v>
      </c>
      <c r="V11" s="28">
        <f>SUMIFS(JU!$H$5107:$H$5107,JU!$F$5107:$F$5107,WS!$A11)</f>
        <v>0</v>
      </c>
      <c r="W11" s="29">
        <f>SUMIFS(JU!$K$5107:$K$5107,JU!$I$5107:$I$5107,WS!$A11)</f>
        <v>0</v>
      </c>
      <c r="X11" s="30">
        <f>U11+V11-W11</f>
        <v>56542540.199999809</v>
      </c>
      <c r="Y11" s="28">
        <f>SUMIFS(JU!$H$5107:$H$5107,JU!$F$5107:$F$5107,WS!$A11)</f>
        <v>0</v>
      </c>
      <c r="Z11" s="29">
        <f>SUMIFS(JU!$K$5107:$K$5107,JU!$I$5107:$I$5107,WS!$A11)</f>
        <v>0</v>
      </c>
      <c r="AA11" s="30">
        <f>X11+Y11-Z11</f>
        <v>56542540.199999809</v>
      </c>
      <c r="AB11" s="28">
        <f>SUMIFS(JU!$H$5107:$H$5107,JU!$F$5107:$F$5107,WS!$A11)</f>
        <v>0</v>
      </c>
      <c r="AC11" s="29">
        <f>SUMIFS(JU!$K$5107:$K$5107,JU!$I$5107:$I$5107,WS!$A11)</f>
        <v>0</v>
      </c>
      <c r="AD11" s="30">
        <f>AA11+AB11-AC11</f>
        <v>56542540.199999809</v>
      </c>
      <c r="AE11" s="28">
        <f>SUMIFS(JU!$H$5107:$H$5107,JU!$F$5107:$F$5107,WS!$A11)</f>
        <v>0</v>
      </c>
      <c r="AF11" s="29">
        <f>SUMIFS(JU!$K$5107:$K$5107,JU!$I$5107:$I$5107,WS!$A11)</f>
        <v>0</v>
      </c>
      <c r="AG11" s="30">
        <f>AD11+AE11-AF11</f>
        <v>56542540.199999809</v>
      </c>
      <c r="AH11" s="28">
        <f>SUMIFS(JU!$H$5107:$H$5107,JU!$F$5107:$F$5107,WS!$A11)</f>
        <v>0</v>
      </c>
      <c r="AI11" s="29">
        <f>SUMIFS(JU!$K$5107:$K$5107,JU!$I$5107:$I$5107,WS!$A11)</f>
        <v>0</v>
      </c>
      <c r="AJ11" s="30">
        <f>AG11+AH11-AI11</f>
        <v>56542540.199999809</v>
      </c>
      <c r="AK11" s="28">
        <f>SUMIFS(JU!$H$5107:$H$5107,JU!$F$5107:$F$5107,WS!$A11)</f>
        <v>0</v>
      </c>
      <c r="AL11" s="29">
        <f>SUMIFS(JU!$K$5107:$K$5107,JU!$I$5107:$I$5107,WS!$A11)</f>
        <v>0</v>
      </c>
      <c r="AM11" s="30">
        <f>AJ11+AK11-AL11</f>
        <v>56542540.199999809</v>
      </c>
      <c r="AN11" s="34">
        <v>311777388</v>
      </c>
      <c r="AO11" s="33">
        <f>AG11-AN11</f>
        <v>-255234847.80000019</v>
      </c>
      <c r="AP11" s="33"/>
    </row>
    <row r="12" spans="1:42">
      <c r="A12" s="6">
        <v>1104</v>
      </c>
      <c r="B12" s="235" t="s">
        <v>182</v>
      </c>
      <c r="C12" s="236">
        <v>26000000</v>
      </c>
      <c r="D12" s="28">
        <f>SUMIFS(JU!$H$5:$H$178,JU!$F$5:$F$178,WS!$A12)</f>
        <v>0</v>
      </c>
      <c r="E12" s="29">
        <f>SUMIFS(JU!$K$5:$K$178,JU!$I$5:$I$178,WS!$A12)</f>
        <v>0</v>
      </c>
      <c r="F12" s="30">
        <f t="shared" si="2"/>
        <v>26000000</v>
      </c>
      <c r="G12" s="28">
        <f>SUMIFS(JU!$H$180:$H$440,JU!$F$180:$F$440,WS!$A12)</f>
        <v>0</v>
      </c>
      <c r="H12" s="29">
        <f>SUMIFS(JU!$K$180:$K$440,JU!$I$180:$I$440,WS!$A12)</f>
        <v>0</v>
      </c>
      <c r="I12" s="30">
        <f t="shared" ref="I12:I16" si="12">F12+G12-H12</f>
        <v>26000000</v>
      </c>
      <c r="J12" s="28">
        <f>SUMIFS(JU!$H$441:$H$695,JU!$F$441:$F$695,WS!$A12)</f>
        <v>0</v>
      </c>
      <c r="K12" s="29">
        <f>SUMIFS(JU!$K$441:$K$695,JU!$I$441:$I$695,WS!$A12)</f>
        <v>0</v>
      </c>
      <c r="L12" s="30">
        <f t="shared" si="0"/>
        <v>26000000</v>
      </c>
      <c r="M12" s="28">
        <f>SUMIFS(JU!$H$696:$H$1062,JU!$F$696:$F$1062,$A12)</f>
        <v>0</v>
      </c>
      <c r="N12" s="29">
        <f>SUMIFS(JU!$K$696:$K$1062,JU!$I$696:$I$1062,WS!$A12)</f>
        <v>0</v>
      </c>
      <c r="O12" s="30">
        <f t="shared" si="1"/>
        <v>26000000</v>
      </c>
      <c r="P12" s="28">
        <f>SUMIFS(JU!$H$1063:$H$5007,JU!$F$1063:$F$5007,WS!$A12)</f>
        <v>0</v>
      </c>
      <c r="Q12" s="29">
        <f>SUMIFS(JU!$K$1063:$K$5007,JU!$I$1063:$I$5007,WS!$A12)</f>
        <v>0</v>
      </c>
      <c r="R12" s="30">
        <f t="shared" ref="R12:R16" si="13">O12+P12-Q12</f>
        <v>26000000</v>
      </c>
      <c r="S12" s="28">
        <f>SUMIFS(JU!$H$5107:$H$5107,JU!$F$5107:$F$5107,WS!$A12)</f>
        <v>0</v>
      </c>
      <c r="T12" s="29">
        <f>SUMIFS(JU!$K$5107:$K$5107,JU!$I$5107:$I$5107,WS!$A12)</f>
        <v>0</v>
      </c>
      <c r="U12" s="30">
        <f t="shared" ref="U12:U16" si="14">R12+S12-T12</f>
        <v>26000000</v>
      </c>
      <c r="V12" s="28">
        <f>SUMIFS(JU!$H$5107:$H$5107,JU!$F$5107:$F$5107,WS!$A12)</f>
        <v>0</v>
      </c>
      <c r="W12" s="29">
        <f>SUMIFS(JU!$K$5107:$K$5107,JU!$I$5107:$I$5107,WS!$A12)</f>
        <v>0</v>
      </c>
      <c r="X12" s="30">
        <f t="shared" ref="X12:X16" si="15">U12+V12-W12</f>
        <v>26000000</v>
      </c>
      <c r="Y12" s="28">
        <f>SUMIFS(JU!$H$5107:$H$5107,JU!$F$5107:$F$5107,WS!$A12)</f>
        <v>0</v>
      </c>
      <c r="Z12" s="29">
        <f>SUMIFS(JU!$K$5107:$K$5107,JU!$I$5107:$I$5107,WS!$A12)</f>
        <v>0</v>
      </c>
      <c r="AA12" s="30">
        <f t="shared" ref="AA12:AA16" si="16">X12+Y12-Z12</f>
        <v>26000000</v>
      </c>
      <c r="AB12" s="28">
        <f>SUMIFS(JU!$H$5107:$H$5107,JU!$F$5107:$F$5107,WS!$A12)</f>
        <v>0</v>
      </c>
      <c r="AC12" s="29">
        <f>SUMIFS(JU!$K$5107:$K$5107,JU!$I$5107:$I$5107,WS!$A12)</f>
        <v>0</v>
      </c>
      <c r="AD12" s="30">
        <f t="shared" ref="AD12:AD16" si="17">AA12+AB12-AC12</f>
        <v>26000000</v>
      </c>
      <c r="AE12" s="28">
        <f>SUMIFS(JU!$H$5107:$H$5107,JU!$F$5107:$F$5107,WS!$A12)</f>
        <v>0</v>
      </c>
      <c r="AF12" s="29">
        <f>SUMIFS(JU!$K$5107:$K$5107,JU!$I$5107:$I$5107,WS!$A12)</f>
        <v>0</v>
      </c>
      <c r="AG12" s="30">
        <f t="shared" ref="AG12:AG16" si="18">AD12+AE12-AF12</f>
        <v>26000000</v>
      </c>
      <c r="AH12" s="28">
        <f>SUMIFS(JU!$H$5107:$H$5107,JU!$F$5107:$F$5107,WS!$A12)</f>
        <v>0</v>
      </c>
      <c r="AI12" s="29">
        <f>SUMIFS(JU!$K$5107:$K$5107,JU!$I$5107:$I$5107,WS!$A12)</f>
        <v>0</v>
      </c>
      <c r="AJ12" s="30">
        <f t="shared" ref="AJ12:AJ17" si="19">AG12+AH12-AI12</f>
        <v>26000000</v>
      </c>
      <c r="AK12" s="28">
        <f>SUMIFS(JU!$H$5107:$H$5107,JU!$F$5107:$F$5107,WS!$A12)</f>
        <v>0</v>
      </c>
      <c r="AL12" s="29">
        <f>SUMIFS(JU!$K$5107:$K$5107,JU!$I$5107:$I$5107,WS!$A12)</f>
        <v>0</v>
      </c>
      <c r="AM12" s="30">
        <f t="shared" ref="AM12:AM17" si="20">AJ12+AK12-AL12</f>
        <v>26000000</v>
      </c>
    </row>
    <row r="13" spans="1:42">
      <c r="A13" s="6">
        <v>1105</v>
      </c>
      <c r="B13" s="235" t="s">
        <v>183</v>
      </c>
      <c r="C13" s="32">
        <v>0</v>
      </c>
      <c r="D13" s="28">
        <f>SUMIFS(JU!$H$5:$H$178,JU!$F$5:$F$178,WS!$A13)</f>
        <v>0</v>
      </c>
      <c r="E13" s="29">
        <f>SUMIFS(JU!$K$5:$K$178,JU!$I$5:$I$178,WS!$A13)</f>
        <v>0</v>
      </c>
      <c r="F13" s="30">
        <f t="shared" si="2"/>
        <v>0</v>
      </c>
      <c r="G13" s="28">
        <f>SUMIFS(JU!$H$180:$H$440,JU!$F$180:$F$440,WS!$A13)</f>
        <v>0</v>
      </c>
      <c r="H13" s="29">
        <f>SUMIFS(JU!$K$180:$K$440,JU!$I$180:$I$440,WS!$A13)</f>
        <v>0</v>
      </c>
      <c r="I13" s="30">
        <f t="shared" si="12"/>
        <v>0</v>
      </c>
      <c r="J13" s="28">
        <f>SUMIFS(JU!$H$441:$H$695,JU!$F$441:$F$695,WS!$A13)</f>
        <v>0</v>
      </c>
      <c r="K13" s="29">
        <f>SUMIFS(JU!$K$441:$K$695,JU!$I$441:$I$695,WS!$A13)</f>
        <v>0</v>
      </c>
      <c r="L13" s="30">
        <f t="shared" si="0"/>
        <v>0</v>
      </c>
      <c r="M13" s="28">
        <f>SUMIFS(JU!$H$696:$H$1062,JU!$F$696:$F$1062,$A13)</f>
        <v>0</v>
      </c>
      <c r="N13" s="29">
        <f>SUMIFS(JU!$K$696:$K$1062,JU!$I$696:$I$1062,WS!$A13)</f>
        <v>0</v>
      </c>
      <c r="O13" s="30">
        <f t="shared" si="1"/>
        <v>0</v>
      </c>
      <c r="P13" s="28">
        <f>SUMIFS(JU!$H$1063:$H$5007,JU!$F$1063:$F$5007,WS!$A13)</f>
        <v>0</v>
      </c>
      <c r="Q13" s="29">
        <f>SUMIFS(JU!$K$1063:$K$5007,JU!$I$1063:$I$5007,WS!$A13)</f>
        <v>0</v>
      </c>
      <c r="R13" s="30">
        <f t="shared" si="13"/>
        <v>0</v>
      </c>
      <c r="S13" s="28">
        <f>SUMIFS(JU!$H$5107:$H$5107,JU!$F$5107:$F$5107,WS!$A13)</f>
        <v>0</v>
      </c>
      <c r="T13" s="29">
        <f>SUMIFS(JU!$K$5107:$K$5107,JU!$I$5107:$I$5107,WS!$A13)</f>
        <v>0</v>
      </c>
      <c r="U13" s="30">
        <f t="shared" si="14"/>
        <v>0</v>
      </c>
      <c r="V13" s="28">
        <f>SUMIFS(JU!$H$5107:$H$5107,JU!$F$5107:$F$5107,WS!$A13)</f>
        <v>0</v>
      </c>
      <c r="W13" s="29">
        <f>SUMIFS(JU!$K$5107:$K$5107,JU!$I$5107:$I$5107,WS!$A13)</f>
        <v>0</v>
      </c>
      <c r="X13" s="30">
        <f t="shared" si="15"/>
        <v>0</v>
      </c>
      <c r="Y13" s="28">
        <f>SUMIFS(JU!$H$5107:$H$5107,JU!$F$5107:$F$5107,WS!$A13)</f>
        <v>0</v>
      </c>
      <c r="Z13" s="29">
        <f>SUMIFS(JU!$K$5107:$K$5107,JU!$I$5107:$I$5107,WS!$A13)</f>
        <v>0</v>
      </c>
      <c r="AA13" s="30">
        <f t="shared" si="16"/>
        <v>0</v>
      </c>
      <c r="AB13" s="28">
        <f>SUMIFS(JU!$H$5107:$H$5107,JU!$F$5107:$F$5107,WS!$A13)</f>
        <v>0</v>
      </c>
      <c r="AC13" s="29">
        <f>SUMIFS(JU!$K$5107:$K$5107,JU!$I$5107:$I$5107,WS!$A13)</f>
        <v>0</v>
      </c>
      <c r="AD13" s="30">
        <f t="shared" si="17"/>
        <v>0</v>
      </c>
      <c r="AE13" s="28">
        <f>SUMIFS(JU!$H$5107:$H$5107,JU!$F$5107:$F$5107,WS!$A13)</f>
        <v>0</v>
      </c>
      <c r="AF13" s="29">
        <f>SUMIFS(JU!$K$5107:$K$5107,JU!$I$5107:$I$5107,WS!$A13)</f>
        <v>0</v>
      </c>
      <c r="AG13" s="30">
        <f t="shared" si="18"/>
        <v>0</v>
      </c>
      <c r="AH13" s="28">
        <f>SUMIFS(JU!$H$5107:$H$5107,JU!$F$5107:$F$5107,WS!$A13)</f>
        <v>0</v>
      </c>
      <c r="AI13" s="29">
        <f>SUMIFS(JU!$K$5107:$K$5107,JU!$I$5107:$I$5107,WS!$A13)</f>
        <v>0</v>
      </c>
      <c r="AJ13" s="30">
        <f t="shared" si="19"/>
        <v>0</v>
      </c>
      <c r="AK13" s="28">
        <f>SUMIFS(JU!$H$5107:$H$5107,JU!$F$5107:$F$5107,WS!$A13)</f>
        <v>0</v>
      </c>
      <c r="AL13" s="29">
        <f>SUMIFS(JU!$K$5107:$K$5107,JU!$I$5107:$I$5107,WS!$A13)</f>
        <v>0</v>
      </c>
      <c r="AM13" s="30">
        <f t="shared" si="20"/>
        <v>0</v>
      </c>
    </row>
    <row r="14" spans="1:42">
      <c r="A14" s="6">
        <v>1106</v>
      </c>
      <c r="B14" s="31" t="s">
        <v>184</v>
      </c>
      <c r="C14" s="32">
        <v>0</v>
      </c>
      <c r="D14" s="28">
        <f>SUMIFS(JU!$H$5:$H$178,JU!$F$5:$F$178,WS!$A14)</f>
        <v>0</v>
      </c>
      <c r="E14" s="29">
        <f>SUMIFS(JU!$K$5:$K$178,JU!$I$5:$I$178,WS!$A14)</f>
        <v>0</v>
      </c>
      <c r="F14" s="30">
        <f t="shared" si="2"/>
        <v>0</v>
      </c>
      <c r="G14" s="28">
        <f>SUMIFS(JU!$H$180:$H$440,JU!$F$180:$F$440,WS!$A14)</f>
        <v>0</v>
      </c>
      <c r="H14" s="29">
        <f>SUMIFS(JU!$K$180:$K$440,JU!$I$180:$I$440,WS!$A14)</f>
        <v>0</v>
      </c>
      <c r="I14" s="30">
        <f t="shared" si="12"/>
        <v>0</v>
      </c>
      <c r="J14" s="28">
        <f>SUMIFS(JU!$H$441:$H$695,JU!$F$441:$F$695,WS!$A14)</f>
        <v>0</v>
      </c>
      <c r="K14" s="29">
        <f>SUMIFS(JU!$K$441:$K$695,JU!$I$441:$I$695,WS!$A14)</f>
        <v>0</v>
      </c>
      <c r="L14" s="30">
        <f t="shared" si="0"/>
        <v>0</v>
      </c>
      <c r="M14" s="28">
        <f>SUMIFS(JU!$H$696:$H$1062,JU!$F$696:$F$1062,$A14)</f>
        <v>0</v>
      </c>
      <c r="N14" s="29">
        <f>SUMIFS(JU!$K$696:$K$1062,JU!$I$696:$I$1062,WS!$A14)</f>
        <v>0</v>
      </c>
      <c r="O14" s="30">
        <f t="shared" si="1"/>
        <v>0</v>
      </c>
      <c r="P14" s="28">
        <f>SUMIFS(JU!$H$1063:$H$5007,JU!$F$1063:$F$5007,WS!$A14)</f>
        <v>0</v>
      </c>
      <c r="Q14" s="29">
        <f>SUMIFS(JU!$K$1063:$K$5007,JU!$I$1063:$I$5007,WS!$A14)</f>
        <v>0</v>
      </c>
      <c r="R14" s="30">
        <f t="shared" si="13"/>
        <v>0</v>
      </c>
      <c r="S14" s="28">
        <f>SUMIFS(JU!$H$5107:$H$5107,JU!$F$5107:$F$5107,WS!$A14)</f>
        <v>0</v>
      </c>
      <c r="T14" s="29">
        <f>SUMIFS(JU!$K$5107:$K$5107,JU!$I$5107:$I$5107,WS!$A14)</f>
        <v>0</v>
      </c>
      <c r="U14" s="30">
        <f t="shared" si="14"/>
        <v>0</v>
      </c>
      <c r="V14" s="28">
        <f>SUMIFS(JU!$H$5107:$H$5107,JU!$F$5107:$F$5107,WS!$A14)</f>
        <v>0</v>
      </c>
      <c r="W14" s="29">
        <f>SUMIFS(JU!$K$5107:$K$5107,JU!$I$5107:$I$5107,WS!$A14)</f>
        <v>0</v>
      </c>
      <c r="X14" s="30">
        <f t="shared" si="15"/>
        <v>0</v>
      </c>
      <c r="Y14" s="28">
        <f>SUMIFS(JU!$H$5107:$H$5107,JU!$F$5107:$F$5107,WS!$A14)</f>
        <v>0</v>
      </c>
      <c r="Z14" s="29">
        <f>SUMIFS(JU!$K$5107:$K$5107,JU!$I$5107:$I$5107,WS!$A14)</f>
        <v>0</v>
      </c>
      <c r="AA14" s="30">
        <f t="shared" si="16"/>
        <v>0</v>
      </c>
      <c r="AB14" s="28">
        <f>SUMIFS(JU!$H$5107:$H$5107,JU!$F$5107:$F$5107,WS!$A14)</f>
        <v>0</v>
      </c>
      <c r="AC14" s="29">
        <f>SUMIFS(JU!$K$5107:$K$5107,JU!$I$5107:$I$5107,WS!$A14)</f>
        <v>0</v>
      </c>
      <c r="AD14" s="30">
        <f t="shared" si="17"/>
        <v>0</v>
      </c>
      <c r="AE14" s="28">
        <f>SUMIFS(JU!$H$5107:$H$5107,JU!$F$5107:$F$5107,WS!$A14)</f>
        <v>0</v>
      </c>
      <c r="AF14" s="29">
        <f>SUMIFS(JU!$K$5107:$K$5107,JU!$I$5107:$I$5107,WS!$A14)</f>
        <v>0</v>
      </c>
      <c r="AG14" s="30">
        <f t="shared" si="18"/>
        <v>0</v>
      </c>
      <c r="AH14" s="28">
        <f>SUMIFS(JU!$H$5107:$H$5107,JU!$F$5107:$F$5107,WS!$A14)</f>
        <v>0</v>
      </c>
      <c r="AI14" s="29">
        <f>SUMIFS(JU!$K$5107:$K$5107,JU!$I$5107:$I$5107,WS!$A14)</f>
        <v>0</v>
      </c>
      <c r="AJ14" s="30">
        <f t="shared" si="19"/>
        <v>0</v>
      </c>
      <c r="AK14" s="28">
        <f>SUMIFS(JU!$H$5107:$H$5107,JU!$F$5107:$F$5107,WS!$A14)</f>
        <v>0</v>
      </c>
      <c r="AL14" s="29">
        <f>SUMIFS(JU!$K$5107:$K$5107,JU!$I$5107:$I$5107,WS!$A14)</f>
        <v>0</v>
      </c>
      <c r="AM14" s="30">
        <f t="shared" si="20"/>
        <v>0</v>
      </c>
    </row>
    <row r="15" spans="1:42">
      <c r="A15" s="6">
        <v>1107</v>
      </c>
      <c r="B15" s="31" t="s">
        <v>185</v>
      </c>
      <c r="C15" s="32">
        <v>0</v>
      </c>
      <c r="D15" s="28">
        <f>SUMIFS(JU!$H$5:$H$178,JU!$F$5:$F$178,WS!$A15)</f>
        <v>0</v>
      </c>
      <c r="E15" s="29">
        <f>SUMIFS(JU!$K$5:$K$178,JU!$I$5:$I$178,WS!$A15)</f>
        <v>0</v>
      </c>
      <c r="F15" s="30">
        <f t="shared" si="2"/>
        <v>0</v>
      </c>
      <c r="G15" s="28">
        <f>SUMIFS(JU!$H$180:$H$440,JU!$F$180:$F$440,WS!$A15)</f>
        <v>0</v>
      </c>
      <c r="H15" s="29">
        <f>SUMIFS(JU!$K$180:$K$440,JU!$I$180:$I$440,WS!$A15)</f>
        <v>0</v>
      </c>
      <c r="I15" s="30">
        <f t="shared" si="12"/>
        <v>0</v>
      </c>
      <c r="J15" s="28">
        <f>SUMIFS(JU!$H$441:$H$695,JU!$F$441:$F$695,WS!$A15)</f>
        <v>0</v>
      </c>
      <c r="K15" s="29">
        <f>SUMIFS(JU!$K$441:$K$695,JU!$I$441:$I$695,WS!$A15)</f>
        <v>0</v>
      </c>
      <c r="L15" s="30">
        <f t="shared" si="0"/>
        <v>0</v>
      </c>
      <c r="M15" s="28">
        <f>SUMIFS(JU!$H$696:$H$1062,JU!$F$696:$F$1062,$A15)</f>
        <v>0</v>
      </c>
      <c r="N15" s="29">
        <f>SUMIFS(JU!$K$696:$K$1062,JU!$I$696:$I$1062,WS!$A15)</f>
        <v>0</v>
      </c>
      <c r="O15" s="30">
        <f t="shared" si="1"/>
        <v>0</v>
      </c>
      <c r="P15" s="28">
        <f>SUMIFS(JU!$H$1063:$H$5007,JU!$F$1063:$F$5007,WS!$A15)</f>
        <v>0</v>
      </c>
      <c r="Q15" s="29">
        <f>SUMIFS(JU!$K$1063:$K$5007,JU!$I$1063:$I$5007,WS!$A15)</f>
        <v>0</v>
      </c>
      <c r="R15" s="30">
        <f t="shared" si="13"/>
        <v>0</v>
      </c>
      <c r="S15" s="28">
        <f>SUMIFS(JU!$H$5107:$H$5107,JU!$F$5107:$F$5107,WS!$A15)</f>
        <v>0</v>
      </c>
      <c r="T15" s="29">
        <f>SUMIFS(JU!$K$5107:$K$5107,JU!$I$5107:$I$5107,WS!$A15)</f>
        <v>0</v>
      </c>
      <c r="U15" s="30">
        <f t="shared" si="14"/>
        <v>0</v>
      </c>
      <c r="V15" s="28">
        <f>SUMIFS(JU!$H$5107:$H$5107,JU!$F$5107:$F$5107,WS!$A15)</f>
        <v>0</v>
      </c>
      <c r="W15" s="29">
        <f>SUMIFS(JU!$K$5107:$K$5107,JU!$I$5107:$I$5107,WS!$A15)</f>
        <v>0</v>
      </c>
      <c r="X15" s="30">
        <f t="shared" si="15"/>
        <v>0</v>
      </c>
      <c r="Y15" s="28">
        <f>SUMIFS(JU!$H$5107:$H$5107,JU!$F$5107:$F$5107,WS!$A15)</f>
        <v>0</v>
      </c>
      <c r="Z15" s="29">
        <f>SUMIFS(JU!$K$5107:$K$5107,JU!$I$5107:$I$5107,WS!$A15)</f>
        <v>0</v>
      </c>
      <c r="AA15" s="30">
        <f t="shared" si="16"/>
        <v>0</v>
      </c>
      <c r="AB15" s="28">
        <f>SUMIFS(JU!$H$5107:$H$5107,JU!$F$5107:$F$5107,WS!$A15)</f>
        <v>0</v>
      </c>
      <c r="AC15" s="29">
        <f>SUMIFS(JU!$K$5107:$K$5107,JU!$I$5107:$I$5107,WS!$A15)</f>
        <v>0</v>
      </c>
      <c r="AD15" s="30">
        <f t="shared" si="17"/>
        <v>0</v>
      </c>
      <c r="AE15" s="28">
        <f>SUMIFS(JU!$H$5107:$H$5107,JU!$F$5107:$F$5107,WS!$A15)</f>
        <v>0</v>
      </c>
      <c r="AF15" s="29">
        <f>SUMIFS(JU!$K$5107:$K$5107,JU!$I$5107:$I$5107,WS!$A15)</f>
        <v>0</v>
      </c>
      <c r="AG15" s="30">
        <f t="shared" si="18"/>
        <v>0</v>
      </c>
      <c r="AH15" s="28">
        <f>SUMIFS(JU!$H$5107:$H$5107,JU!$F$5107:$F$5107,WS!$A15)</f>
        <v>0</v>
      </c>
      <c r="AI15" s="29">
        <f>SUMIFS(JU!$K$5107:$K$5107,JU!$I$5107:$I$5107,WS!$A15)</f>
        <v>0</v>
      </c>
      <c r="AJ15" s="30">
        <f t="shared" si="19"/>
        <v>0</v>
      </c>
      <c r="AK15" s="28">
        <f>SUMIFS(JU!$H$5107:$H$5107,JU!$F$5107:$F$5107,WS!$A15)</f>
        <v>0</v>
      </c>
      <c r="AL15" s="29">
        <f>SUMIFS(JU!$K$5107:$K$5107,JU!$I$5107:$I$5107,WS!$A15)</f>
        <v>0</v>
      </c>
      <c r="AM15" s="30">
        <f t="shared" si="20"/>
        <v>0</v>
      </c>
    </row>
    <row r="16" spans="1:42">
      <c r="A16" s="6">
        <v>1108</v>
      </c>
      <c r="B16" s="31" t="s">
        <v>155</v>
      </c>
      <c r="C16" s="32">
        <v>144518</v>
      </c>
      <c r="D16" s="28">
        <f>SUMIFS(JU!$H$5:$H$178,JU!$F$5:$F$178,WS!$A16)</f>
        <v>0</v>
      </c>
      <c r="E16" s="29">
        <f>SUMIFS(JU!$K$5:$K$178,JU!$I$5:$I$178,WS!$A16)</f>
        <v>0</v>
      </c>
      <c r="F16" s="30">
        <f t="shared" si="2"/>
        <v>144518</v>
      </c>
      <c r="G16" s="28">
        <f>SUMIFS(JU!$H$180:$H$440,JU!$F$180:$F$440,WS!$A16)</f>
        <v>200000000</v>
      </c>
      <c r="H16" s="29">
        <f>SUMIFS(JU!$K$180:$K$440,JU!$I$180:$I$440,WS!$A16)</f>
        <v>0</v>
      </c>
      <c r="I16" s="30">
        <f t="shared" si="12"/>
        <v>200144518</v>
      </c>
      <c r="J16" s="28">
        <f>SUMIFS(JU!$H$441:$H$695,JU!$F$441:$F$695,WS!$A16)</f>
        <v>1200000000</v>
      </c>
      <c r="K16" s="29">
        <f>SUMIFS(JU!$K$441:$K$695,JU!$I$441:$I$695,WS!$A16)</f>
        <v>200000000</v>
      </c>
      <c r="L16" s="30">
        <f t="shared" si="0"/>
        <v>1200144518</v>
      </c>
      <c r="M16" s="28">
        <f>SUMIFS(JU!$H$696:$H$1062,JU!$F$696:$F$1062,$A16)</f>
        <v>420000000</v>
      </c>
      <c r="N16" s="29">
        <f>SUMIFS(JU!$K$696:$K$1062,JU!$I$696:$I$1062,WS!$A16)</f>
        <v>1184000000</v>
      </c>
      <c r="O16" s="30">
        <f t="shared" si="1"/>
        <v>436144518</v>
      </c>
      <c r="P16" s="28">
        <f>SUMIFS(JU!$H$1063:$H$5007,JU!$F$1063:$F$5007,WS!$A16)</f>
        <v>1190000000</v>
      </c>
      <c r="Q16" s="29">
        <f>SUMIFS(JU!$K$1063:$K$5007,JU!$I$1063:$I$5007,WS!$A16)</f>
        <v>835000000</v>
      </c>
      <c r="R16" s="30">
        <f t="shared" si="13"/>
        <v>791144518</v>
      </c>
      <c r="S16" s="28">
        <f>SUMIFS(JU!$H$5107:$H$5107,JU!$F$5107:$F$5107,WS!$A16)</f>
        <v>0</v>
      </c>
      <c r="T16" s="29">
        <f>SUMIFS(JU!$K$5107:$K$5107,JU!$I$5107:$I$5107,WS!$A16)</f>
        <v>0</v>
      </c>
      <c r="U16" s="30">
        <f t="shared" si="14"/>
        <v>791144518</v>
      </c>
      <c r="V16" s="28">
        <f>SUMIFS(JU!$H$5107:$H$5107,JU!$F$5107:$F$5107,WS!$A16)</f>
        <v>0</v>
      </c>
      <c r="W16" s="29">
        <f>SUMIFS(JU!$K$5107:$K$5107,JU!$I$5107:$I$5107,WS!$A16)</f>
        <v>0</v>
      </c>
      <c r="X16" s="30">
        <f t="shared" si="15"/>
        <v>791144518</v>
      </c>
      <c r="Y16" s="28">
        <f>SUMIFS(JU!$H$5107:$H$5107,JU!$F$5107:$F$5107,WS!$A16)</f>
        <v>0</v>
      </c>
      <c r="Z16" s="29">
        <f>SUMIFS(JU!$K$5107:$K$5107,JU!$I$5107:$I$5107,WS!$A16)</f>
        <v>0</v>
      </c>
      <c r="AA16" s="30">
        <f t="shared" si="16"/>
        <v>791144518</v>
      </c>
      <c r="AB16" s="28">
        <f>SUMIFS(JU!$H$5107:$H$5107,JU!$F$5107:$F$5107,WS!$A16)</f>
        <v>0</v>
      </c>
      <c r="AC16" s="29">
        <f>SUMIFS(JU!$K$5107:$K$5107,JU!$I$5107:$I$5107,WS!$A16)</f>
        <v>0</v>
      </c>
      <c r="AD16" s="30">
        <f t="shared" si="17"/>
        <v>791144518</v>
      </c>
      <c r="AE16" s="28">
        <f>SUMIFS(JU!$H$5107:$H$5107,JU!$F$5107:$F$5107,WS!$A16)</f>
        <v>0</v>
      </c>
      <c r="AF16" s="29">
        <f>SUMIFS(JU!$K$5107:$K$5107,JU!$I$5107:$I$5107,WS!$A16)</f>
        <v>0</v>
      </c>
      <c r="AG16" s="30">
        <f t="shared" si="18"/>
        <v>791144518</v>
      </c>
      <c r="AH16" s="28">
        <f>SUMIFS(JU!$H$5107:$H$5107,JU!$F$5107:$F$5107,WS!$A16)</f>
        <v>0</v>
      </c>
      <c r="AI16" s="29">
        <f>SUMIFS(JU!$K$5107:$K$5107,JU!$I$5107:$I$5107,WS!$A16)</f>
        <v>0</v>
      </c>
      <c r="AJ16" s="30">
        <f t="shared" si="19"/>
        <v>791144518</v>
      </c>
      <c r="AK16" s="28">
        <f>SUMIFS(JU!$H$5107:$H$5107,JU!$F$5107:$F$5107,WS!$A16)</f>
        <v>0</v>
      </c>
      <c r="AL16" s="29">
        <f>SUMIFS(JU!$K$5107:$K$5107,JU!$I$5107:$I$5107,WS!$A16)</f>
        <v>0</v>
      </c>
      <c r="AM16" s="30">
        <f t="shared" si="20"/>
        <v>791144518</v>
      </c>
    </row>
    <row r="17" spans="1:41">
      <c r="A17" s="6">
        <v>1109</v>
      </c>
      <c r="B17" s="31" t="s">
        <v>255</v>
      </c>
      <c r="C17" s="32">
        <v>0</v>
      </c>
      <c r="D17" s="28">
        <f>SUMIFS(JU!$H$5:$H$178,JU!$F$5:$F$178,WS!$A17)</f>
        <v>0</v>
      </c>
      <c r="E17" s="29">
        <f>SUMIFS(JU!$K$5:$K$178,JU!$I$5:$I$178,WS!$A17)</f>
        <v>0</v>
      </c>
      <c r="F17" s="30">
        <f t="shared" si="2"/>
        <v>0</v>
      </c>
      <c r="G17" s="28">
        <f>SUMIFS(JU!$H$180:$H$440,JU!$F$180:$F$440,WS!$A17)</f>
        <v>0</v>
      </c>
      <c r="H17" s="29">
        <f>SUMIFS(JU!$K$180:$K$440,JU!$I$180:$I$440,WS!$A17)</f>
        <v>0</v>
      </c>
      <c r="I17" s="30">
        <f t="shared" ref="I17" si="21">F17+G17-H17</f>
        <v>0</v>
      </c>
      <c r="J17" s="28">
        <f>SUMIFS(JU!$H$441:$H$695,JU!$F$441:$F$695,WS!$A17)</f>
        <v>0</v>
      </c>
      <c r="K17" s="29">
        <f>SUMIFS(JU!$K$441:$K$695,JU!$I$441:$I$695,WS!$A17)</f>
        <v>0</v>
      </c>
      <c r="L17" s="30">
        <f t="shared" si="0"/>
        <v>0</v>
      </c>
      <c r="M17" s="28">
        <f>SUMIFS(JU!$H$696:$H$1062,JU!$F$696:$F$1062,$A17)</f>
        <v>0</v>
      </c>
      <c r="N17" s="29">
        <f>SUMIFS(JU!$K$696:$K$1062,JU!$I$696:$I$1062,WS!$A17)</f>
        <v>0</v>
      </c>
      <c r="O17" s="30">
        <f t="shared" si="1"/>
        <v>0</v>
      </c>
      <c r="P17" s="28">
        <f>SUMIFS(JU!$H$1063:$H$5007,JU!$F$1063:$F$5007,WS!$A17)</f>
        <v>0</v>
      </c>
      <c r="Q17" s="29">
        <f>SUMIFS(JU!$K$1063:$K$5007,JU!$I$1063:$I$5007,WS!$A17)</f>
        <v>0</v>
      </c>
      <c r="R17" s="30">
        <f t="shared" ref="R17" si="22">O17+P17-Q17</f>
        <v>0</v>
      </c>
      <c r="S17" s="28">
        <f>SUMIFS(JU!$H$5107:$H$5107,JU!$F$5107:$F$5107,WS!$A17)</f>
        <v>0</v>
      </c>
      <c r="T17" s="29">
        <f>SUMIFS(JU!$K$5107:$K$5107,JU!$I$5107:$I$5107,WS!$A17)</f>
        <v>0</v>
      </c>
      <c r="U17" s="30">
        <f t="shared" ref="U17" si="23">R17+S17-T17</f>
        <v>0</v>
      </c>
      <c r="V17" s="28">
        <f>SUMIFS(JU!$H$5107:$H$5107,JU!$F$5107:$F$5107,WS!$A17)</f>
        <v>0</v>
      </c>
      <c r="W17" s="29">
        <f>SUMIFS(JU!$K$5107:$K$5107,JU!$I$5107:$I$5107,WS!$A17)</f>
        <v>0</v>
      </c>
      <c r="X17" s="30">
        <f t="shared" ref="X17" si="24">U17+V17-W17</f>
        <v>0</v>
      </c>
      <c r="Y17" s="28">
        <f>SUMIFS(JU!$H$5107:$H$5107,JU!$F$5107:$F$5107,WS!$A17)</f>
        <v>0</v>
      </c>
      <c r="Z17" s="29">
        <f>SUMIFS(JU!$K$5107:$K$5107,JU!$I$5107:$I$5107,WS!$A17)</f>
        <v>0</v>
      </c>
      <c r="AA17" s="30">
        <f t="shared" ref="AA17" si="25">X17+Y17-Z17</f>
        <v>0</v>
      </c>
      <c r="AB17" s="28">
        <f>SUMIFS(JU!$H$5107:$H$5107,JU!$F$5107:$F$5107,WS!$A17)</f>
        <v>0</v>
      </c>
      <c r="AC17" s="29">
        <f>SUMIFS(JU!$K$5107:$K$5107,JU!$I$5107:$I$5107,WS!$A17)</f>
        <v>0</v>
      </c>
      <c r="AD17" s="30">
        <f t="shared" ref="AD17" si="26">AA17+AB17-AC17</f>
        <v>0</v>
      </c>
      <c r="AE17" s="28">
        <f>SUMIFS(JU!$H$5107:$H$5107,JU!$F$5107:$F$5107,WS!$A17)</f>
        <v>0</v>
      </c>
      <c r="AF17" s="29">
        <f>SUMIFS(JU!$K$5107:$K$5107,JU!$I$5107:$I$5107,WS!$A17)</f>
        <v>0</v>
      </c>
      <c r="AG17" s="30">
        <f t="shared" ref="AG17" si="27">AD17+AE17-AF17</f>
        <v>0</v>
      </c>
      <c r="AH17" s="28">
        <f>SUMIFS(JU!$H$5107:$H$5107,JU!$F$5107:$F$5107,WS!$A17)</f>
        <v>0</v>
      </c>
      <c r="AI17" s="29">
        <f>SUMIFS(JU!$K$5107:$K$5107,JU!$I$5107:$I$5107,WS!$A17)</f>
        <v>0</v>
      </c>
      <c r="AJ17" s="30">
        <f t="shared" si="19"/>
        <v>0</v>
      </c>
      <c r="AK17" s="28">
        <f>SUMIFS(JU!$H$5107:$H$5107,JU!$F$5107:$F$5107,WS!$A17)</f>
        <v>0</v>
      </c>
      <c r="AL17" s="29">
        <f>SUMIFS(JU!$K$5107:$K$5107,JU!$I$5107:$I$5107,WS!$A17)</f>
        <v>0</v>
      </c>
      <c r="AM17" s="30">
        <f t="shared" si="20"/>
        <v>0</v>
      </c>
      <c r="AN17">
        <v>58428285</v>
      </c>
      <c r="AO17" s="33">
        <f>AG17-AN17</f>
        <v>-58428285</v>
      </c>
    </row>
    <row r="18" spans="1:41">
      <c r="A18" s="287" t="s">
        <v>208</v>
      </c>
      <c r="B18" s="287"/>
      <c r="C18" s="36">
        <f>SUM(C9:C17)</f>
        <v>41076095.200000048</v>
      </c>
      <c r="D18" s="28">
        <f>SUMIFS(JU!$H$5:$H$178,JU!$F$5:$F$178,WS!$A18)</f>
        <v>0</v>
      </c>
      <c r="E18" s="29">
        <f>SUMIFS(JU!$K$5:$K$178,JU!$I$5:$I$178,WS!$A18)</f>
        <v>0</v>
      </c>
      <c r="F18" s="36">
        <f>SUM(F9:F17)</f>
        <v>29596779.200000048</v>
      </c>
      <c r="G18" s="28">
        <f>SUMIFS(JU!$H$180:$H$440,JU!$F$180:$F$440,WS!$A18)</f>
        <v>0</v>
      </c>
      <c r="H18" s="29">
        <f>SUMIFS(JU!$K$180:$K$440,JU!$I$180:$I$440,WS!$A18)</f>
        <v>0</v>
      </c>
      <c r="I18" s="36">
        <f>SUM(I9:I17)</f>
        <v>270147522.19999981</v>
      </c>
      <c r="J18" s="28">
        <f>SUMIFS(JU!$H$441:$H$695,JU!$F$441:$F$695,WS!$A18)</f>
        <v>0</v>
      </c>
      <c r="K18" s="29">
        <f>SUMIFS(JU!$K$441:$K$695,JU!$I$441:$I$695,WS!$A18)</f>
        <v>0</v>
      </c>
      <c r="L18" s="36">
        <f>SUM(L9:L17)</f>
        <v>1243249447.1999998</v>
      </c>
      <c r="M18" s="28">
        <f>SUMIFS(JU!$H$696:$H$1062,JU!$F$696:$F$1062,$A18)</f>
        <v>0</v>
      </c>
      <c r="N18" s="29">
        <f>SUMIFS(JU!$K$696:$K$1062,JU!$I$696:$I$1062,WS!$A18)</f>
        <v>0</v>
      </c>
      <c r="O18" s="36">
        <f>SUM(O9:O17)</f>
        <v>466030014.19999981</v>
      </c>
      <c r="P18" s="28">
        <f>SUMIFS(JU!$H$1063:$H$5007,JU!$F$1063:$F$5007,WS!$A18)</f>
        <v>0</v>
      </c>
      <c r="Q18" s="29">
        <f>SUMIFS(JU!$K$1063:$K$5007,JU!$I$1063:$I$5007,WS!$A18)</f>
        <v>0</v>
      </c>
      <c r="R18" s="36">
        <f>SUM(R9:R17)</f>
        <v>873687058.19999981</v>
      </c>
      <c r="S18" s="28">
        <f>SUMIFS(JU!$H$5107:$H$5107,JU!$F$5107:$F$5107,WS!$A18)</f>
        <v>0</v>
      </c>
      <c r="T18" s="29">
        <f>SUMIFS(JU!$K$5107:$K$5107,JU!$I$5107:$I$5107,WS!$A18)</f>
        <v>0</v>
      </c>
      <c r="U18" s="36">
        <f>SUM(U9:U17)</f>
        <v>873687058.19999981</v>
      </c>
      <c r="V18" s="28">
        <f>SUMIFS(JU!$H$5107:$H$5107,JU!$F$5107:$F$5107,WS!$A18)</f>
        <v>0</v>
      </c>
      <c r="W18" s="29">
        <f>SUMIFS(JU!$K$5107:$K$5107,JU!$I$5107:$I$5107,WS!$A18)</f>
        <v>0</v>
      </c>
      <c r="X18" s="36">
        <f>SUM(X9:X17)</f>
        <v>873687058.19999981</v>
      </c>
      <c r="Y18" s="28">
        <f>SUMIFS(JU!$H$5107:$H$5107,JU!$F$5107:$F$5107,WS!$A18)</f>
        <v>0</v>
      </c>
      <c r="Z18" s="29">
        <f>SUMIFS(JU!$K$5107:$K$5107,JU!$I$5107:$I$5107,WS!$A18)</f>
        <v>0</v>
      </c>
      <c r="AA18" s="36">
        <f>SUM(AA9:AA17)</f>
        <v>873687058.19999981</v>
      </c>
      <c r="AB18" s="28">
        <f>SUMIFS(JU!$H$5107:$H$5107,JU!$F$5107:$F$5107,WS!$A18)</f>
        <v>0</v>
      </c>
      <c r="AC18" s="29">
        <f>SUMIFS(JU!$K$5107:$K$5107,JU!$I$5107:$I$5107,WS!$A18)</f>
        <v>0</v>
      </c>
      <c r="AD18" s="36">
        <f>SUM(AD9:AD17)</f>
        <v>873687058.19999981</v>
      </c>
      <c r="AE18" s="28">
        <f>SUMIFS(JU!$H$5107:$H$5107,JU!$F$5107:$F$5107,WS!$A18)</f>
        <v>0</v>
      </c>
      <c r="AF18" s="29">
        <f>SUMIFS(JU!$K$5107:$K$5107,JU!$I$5107:$I$5107,WS!$A18)</f>
        <v>0</v>
      </c>
      <c r="AG18" s="36">
        <f>SUM(AG9:AG17)</f>
        <v>873687058.19999981</v>
      </c>
      <c r="AH18" s="28">
        <f>SUMIFS(JU!$H$5107:$H$5107,JU!$F$5107:$F$5107,WS!$A18)</f>
        <v>0</v>
      </c>
      <c r="AI18" s="29">
        <f>SUMIFS(JU!$K$5107:$K$5107,JU!$I$5107:$I$5107,WS!$A18)</f>
        <v>0</v>
      </c>
      <c r="AJ18" s="36">
        <f t="shared" ref="AJ18" si="28">SUM(AJ9:AJ17)</f>
        <v>873687058.19999981</v>
      </c>
      <c r="AK18" s="28">
        <f>SUMIFS(JU!$H$5107:$H$5107,JU!$F$5107:$F$5107,WS!$A18)</f>
        <v>0</v>
      </c>
      <c r="AL18" s="29">
        <f>SUMIFS(JU!$K$5107:$K$5107,JU!$I$5107:$I$5107,WS!$A18)</f>
        <v>0</v>
      </c>
      <c r="AM18" s="36">
        <f t="shared" ref="AM18" si="29">SUM(AM9:AM17)</f>
        <v>873687058.19999981</v>
      </c>
    </row>
    <row r="19" spans="1:41">
      <c r="A19" s="12" t="s">
        <v>187</v>
      </c>
      <c r="B19" s="26"/>
      <c r="C19" s="32"/>
      <c r="D19" s="28">
        <f>SUMIFS(JU!$H$5:$H$178,JU!$F$5:$F$178,WS!$A19)</f>
        <v>0</v>
      </c>
      <c r="E19" s="29">
        <f>SUMIFS(JU!$K$5:$K$178,JU!$I$5:$I$178,WS!$A19)</f>
        <v>0</v>
      </c>
      <c r="F19" s="30"/>
      <c r="G19" s="28">
        <f>SUMIFS(JU!$H$180:$H$440,JU!$F$180:$F$440,WS!$A19)</f>
        <v>0</v>
      </c>
      <c r="H19" s="29">
        <f>SUMIFS(JU!$K$180:$K$440,JU!$I$180:$I$440,WS!$A19)</f>
        <v>0</v>
      </c>
      <c r="I19" s="30"/>
      <c r="J19" s="28">
        <f>SUMIFS(JU!$H$441:$H$695,JU!$F$441:$F$695,WS!$A19)</f>
        <v>0</v>
      </c>
      <c r="K19" s="29">
        <f>SUMIFS(JU!$K$441:$K$695,JU!$I$441:$I$695,WS!$A19)</f>
        <v>0</v>
      </c>
      <c r="L19" s="30"/>
      <c r="M19" s="28">
        <f>SUMIFS(JU!$H$696:$H$1062,JU!$F$696:$F$1062,$A19)</f>
        <v>0</v>
      </c>
      <c r="N19" s="29">
        <f>SUMIFS(JU!$K$696:$K$1062,JU!$I$696:$I$1062,WS!$A19)</f>
        <v>0</v>
      </c>
      <c r="O19" s="30"/>
      <c r="P19" s="28">
        <f>SUMIFS(JU!$H$1063:$H$5007,JU!$F$1063:$F$5007,WS!$A19)</f>
        <v>0</v>
      </c>
      <c r="Q19" s="29">
        <f>SUMIFS(JU!$K$1063:$K$5007,JU!$I$1063:$I$5007,WS!$A19)</f>
        <v>0</v>
      </c>
      <c r="R19" s="30"/>
      <c r="S19" s="28">
        <f>SUMIFS(JU!$H$5107:$H$5107,JU!$F$5107:$F$5107,WS!$A19)</f>
        <v>0</v>
      </c>
      <c r="T19" s="29">
        <f>SUMIFS(JU!$K$5107:$K$5107,JU!$I$5107:$I$5107,WS!$A19)</f>
        <v>0</v>
      </c>
      <c r="U19" s="30"/>
      <c r="V19" s="28">
        <f>SUMIFS(JU!$H$5107:$H$5107,JU!$F$5107:$F$5107,WS!$A19)</f>
        <v>0</v>
      </c>
      <c r="W19" s="29">
        <f>SUMIFS(JU!$K$5107:$K$5107,JU!$I$5107:$I$5107,WS!$A19)</f>
        <v>0</v>
      </c>
      <c r="X19" s="30"/>
      <c r="Y19" s="28">
        <f>SUMIFS(JU!$H$5107:$H$5107,JU!$F$5107:$F$5107,WS!$A19)</f>
        <v>0</v>
      </c>
      <c r="Z19" s="29">
        <f>SUMIFS(JU!$K$5107:$K$5107,JU!$I$5107:$I$5107,WS!$A19)</f>
        <v>0</v>
      </c>
      <c r="AA19" s="30"/>
      <c r="AB19" s="28">
        <f>SUMIFS(JU!$H$5107:$H$5107,JU!$F$5107:$F$5107,WS!$A19)</f>
        <v>0</v>
      </c>
      <c r="AC19" s="29">
        <f>SUMIFS(JU!$K$5107:$K$5107,JU!$I$5107:$I$5107,WS!$A19)</f>
        <v>0</v>
      </c>
      <c r="AD19" s="30"/>
      <c r="AE19" s="28">
        <f>SUMIFS(JU!$H$5107:$H$5107,JU!$F$5107:$F$5107,WS!$A19)</f>
        <v>0</v>
      </c>
      <c r="AF19" s="29">
        <f>SUMIFS(JU!$K$5107:$K$5107,JU!$I$5107:$I$5107,WS!$A19)</f>
        <v>0</v>
      </c>
      <c r="AG19" s="30"/>
      <c r="AH19" s="28">
        <f>SUMIFS(JU!$H$5107:$H$5107,JU!$F$5107:$F$5107,WS!$A19)</f>
        <v>0</v>
      </c>
      <c r="AI19" s="29">
        <f>SUMIFS(JU!$K$5107:$K$5107,JU!$I$5107:$I$5107,WS!$A19)</f>
        <v>0</v>
      </c>
      <c r="AJ19" s="30"/>
      <c r="AK19" s="28">
        <f>SUMIFS(JU!$H$5107:$H$5107,JU!$F$5107:$F$5107,WS!$A19)</f>
        <v>0</v>
      </c>
      <c r="AL19" s="29">
        <f>SUMIFS(JU!$K$5107:$K$5107,JU!$I$5107:$I$5107,WS!$A19)</f>
        <v>0</v>
      </c>
      <c r="AM19" s="30"/>
    </row>
    <row r="20" spans="1:41">
      <c r="A20" s="6">
        <v>1201</v>
      </c>
      <c r="B20" s="31" t="s">
        <v>26</v>
      </c>
      <c r="C20" s="32">
        <v>0</v>
      </c>
      <c r="D20" s="28">
        <f>SUMIFS(JU!$H$5:$H$178,JU!$F$5:$F$178,WS!$A20)</f>
        <v>0</v>
      </c>
      <c r="E20" s="29">
        <f>SUMIFS(JU!$K$5:$K$178,JU!$I$5:$I$178,WS!$A20)</f>
        <v>0</v>
      </c>
      <c r="F20" s="30">
        <f t="shared" ref="F20:F27" si="30">C20+D20-E20</f>
        <v>0</v>
      </c>
      <c r="G20" s="28">
        <f>SUMIFS(JU!$H$180:$H$440,JU!$F$180:$F$440,WS!$A20)</f>
        <v>0</v>
      </c>
      <c r="H20" s="29">
        <f>SUMIFS(JU!$K$180:$K$440,JU!$I$180:$I$440,WS!$A20)</f>
        <v>0</v>
      </c>
      <c r="I20" s="30">
        <f t="shared" ref="I20:I27" si="31">F20+G20-H20</f>
        <v>0</v>
      </c>
      <c r="J20" s="28">
        <f>SUMIFS(JU!$H$441:$H$695,JU!$F$441:$F$695,WS!$A20)</f>
        <v>0</v>
      </c>
      <c r="K20" s="29">
        <f>SUMIFS(JU!$K$441:$K$695,JU!$I$441:$I$695,WS!$A20)</f>
        <v>0</v>
      </c>
      <c r="L20" s="30">
        <f t="shared" ref="L20:L27" si="32">I20+J20-K20</f>
        <v>0</v>
      </c>
      <c r="M20" s="28">
        <f>SUMIFS(JU!$H$696:$H$1062,JU!$F$696:$F$1062,$A20)</f>
        <v>0</v>
      </c>
      <c r="N20" s="29">
        <f>SUMIFS(JU!$K$696:$K$1062,JU!$I$696:$I$1062,WS!$A20)</f>
        <v>0</v>
      </c>
      <c r="O20" s="30">
        <f t="shared" ref="O20:O27" si="33">L20+M20-N20</f>
        <v>0</v>
      </c>
      <c r="P20" s="28">
        <f>SUMIFS(JU!$H$1063:$H$5007,JU!$F$1063:$F$5007,WS!$A20)</f>
        <v>0</v>
      </c>
      <c r="Q20" s="29">
        <f>SUMIFS(JU!$K$1063:$K$5007,JU!$I$1063:$I$5007,WS!$A20)</f>
        <v>0</v>
      </c>
      <c r="R20" s="30">
        <f t="shared" ref="R20:R27" si="34">O20+P20-Q20</f>
        <v>0</v>
      </c>
      <c r="S20" s="28">
        <f>SUMIFS(JU!$H$5107:$H$5107,JU!$F$5107:$F$5107,WS!$A20)</f>
        <v>0</v>
      </c>
      <c r="T20" s="29">
        <f>SUMIFS(JU!$K$5107:$K$5107,JU!$I$5107:$I$5107,WS!$A20)</f>
        <v>0</v>
      </c>
      <c r="U20" s="30">
        <f t="shared" ref="U20:U27" si="35">R20+S20-T20</f>
        <v>0</v>
      </c>
      <c r="V20" s="28">
        <f>SUMIFS(JU!$H$5107:$H$5107,JU!$F$5107:$F$5107,WS!$A20)</f>
        <v>0</v>
      </c>
      <c r="W20" s="29">
        <f>SUMIFS(JU!$K$5107:$K$5107,JU!$I$5107:$I$5107,WS!$A20)</f>
        <v>0</v>
      </c>
      <c r="X20" s="30">
        <f t="shared" ref="X20:X27" si="36">U20+V20-W20</f>
        <v>0</v>
      </c>
      <c r="Y20" s="28">
        <f>SUMIFS(JU!$H$5107:$H$5107,JU!$F$5107:$F$5107,WS!$A20)</f>
        <v>0</v>
      </c>
      <c r="Z20" s="29">
        <f>SUMIFS(JU!$K$5107:$K$5107,JU!$I$5107:$I$5107,WS!$A20)</f>
        <v>0</v>
      </c>
      <c r="AA20" s="30">
        <f t="shared" ref="AA20:AA27" si="37">X20+Y20-Z20</f>
        <v>0</v>
      </c>
      <c r="AB20" s="28">
        <f>SUMIFS(JU!$H$5107:$H$5107,JU!$F$5107:$F$5107,WS!$A20)</f>
        <v>0</v>
      </c>
      <c r="AC20" s="29">
        <f>SUMIFS(JU!$K$5107:$K$5107,JU!$I$5107:$I$5107,WS!$A20)</f>
        <v>0</v>
      </c>
      <c r="AD20" s="30">
        <f t="shared" ref="AD20:AD27" si="38">AA20+AB20-AC20</f>
        <v>0</v>
      </c>
      <c r="AE20" s="28">
        <f>SUMIFS(JU!$H$5107:$H$5107,JU!$F$5107:$F$5107,WS!$A20)</f>
        <v>0</v>
      </c>
      <c r="AF20" s="29">
        <f>SUMIFS(JU!$K$5107:$K$5107,JU!$I$5107:$I$5107,WS!$A20)</f>
        <v>0</v>
      </c>
      <c r="AG20" s="30">
        <f t="shared" ref="AG20:AG27" si="39">AD20+AE20-AF20</f>
        <v>0</v>
      </c>
      <c r="AH20" s="28">
        <f>SUMIFS(JU!$H$5107:$H$5107,JU!$F$5107:$F$5107,WS!$A20)</f>
        <v>0</v>
      </c>
      <c r="AI20" s="29">
        <f>SUMIFS(JU!$K$5107:$K$5107,JU!$I$5107:$I$5107,WS!$A20)</f>
        <v>0</v>
      </c>
      <c r="AJ20" s="30">
        <f t="shared" ref="AJ20:AJ27" si="40">AG20+AH20-AI20</f>
        <v>0</v>
      </c>
      <c r="AK20" s="28">
        <f>SUMIFS(JU!$H$5107:$H$5107,JU!$F$5107:$F$5107,WS!$A20)</f>
        <v>0</v>
      </c>
      <c r="AL20" s="29">
        <f>SUMIFS(JU!$K$5107:$K$5107,JU!$I$5107:$I$5107,WS!$A20)</f>
        <v>0</v>
      </c>
      <c r="AM20" s="30">
        <f t="shared" ref="AM20:AM27" si="41">AJ20+AK20-AL20</f>
        <v>0</v>
      </c>
    </row>
    <row r="21" spans="1:41">
      <c r="A21" s="6">
        <v>1202</v>
      </c>
      <c r="B21" s="31" t="s">
        <v>27</v>
      </c>
      <c r="C21" s="32">
        <v>1410490000</v>
      </c>
      <c r="D21" s="28">
        <f>SUMIFS(JU!$H$5:$H$178,JU!$F$5:$F$178,WS!$A21)</f>
        <v>138000000</v>
      </c>
      <c r="E21" s="29">
        <f>SUMIFS(JU!$K$5:$K$178,JU!$I$5:$I$178,WS!$A21)</f>
        <v>507350000</v>
      </c>
      <c r="F21" s="30">
        <f t="shared" si="30"/>
        <v>1041140000</v>
      </c>
      <c r="G21" s="28">
        <f>SUMIFS(JU!$H$180:$H$440,JU!$F$180:$F$440,WS!$A21)</f>
        <v>507000000</v>
      </c>
      <c r="H21" s="29">
        <f>SUMIFS(JU!$K$180:$K$440,JU!$I$180:$I$440,WS!$A21)</f>
        <v>734679346</v>
      </c>
      <c r="I21" s="30">
        <f t="shared" si="31"/>
        <v>813460654</v>
      </c>
      <c r="J21" s="28">
        <f>SUMIFS(JU!$H$441:$H$695,JU!$F$441:$F$695,WS!$A21)</f>
        <v>522000000</v>
      </c>
      <c r="K21" s="29">
        <f>SUMIFS(JU!$K$441:$K$695,JU!$I$441:$I$695,WS!$A21)</f>
        <v>624000000</v>
      </c>
      <c r="L21" s="30">
        <f t="shared" si="32"/>
        <v>711460654</v>
      </c>
      <c r="M21" s="28">
        <f>SUMIFS(JU!$H$696:$H$1062,JU!$F$696:$F$1062,$A21)</f>
        <v>2030610000</v>
      </c>
      <c r="N21" s="29">
        <f>SUMIFS(JU!$K$696:$K$1062,JU!$I$696:$I$1062,WS!$A21)</f>
        <v>1359500000</v>
      </c>
      <c r="O21" s="30">
        <f t="shared" si="33"/>
        <v>1382570654</v>
      </c>
      <c r="P21" s="28">
        <f>SUMIFS(JU!$H$1063:$H$5007,JU!$F$1063:$F$5007,WS!$A21)</f>
        <v>2102744000</v>
      </c>
      <c r="Q21" s="29">
        <f>SUMIFS(JU!$K$1063:$K$5007,JU!$I$1063:$I$5007,WS!$A21)</f>
        <v>1180990000</v>
      </c>
      <c r="R21" s="30">
        <f t="shared" si="34"/>
        <v>2304324654</v>
      </c>
      <c r="S21" s="28">
        <f>SUMIFS(JU!$H$5107:$H$5107,JU!$F$5107:$F$5107,WS!$A21)</f>
        <v>0</v>
      </c>
      <c r="T21" s="29">
        <f>SUMIFS(JU!$K$5107:$K$5107,JU!$I$5107:$I$5107,WS!$A21)</f>
        <v>0</v>
      </c>
      <c r="U21" s="30">
        <f t="shared" si="35"/>
        <v>2304324654</v>
      </c>
      <c r="V21" s="28">
        <f>SUMIFS(JU!$H$5107:$H$5107,JU!$F$5107:$F$5107,WS!$A21)</f>
        <v>0</v>
      </c>
      <c r="W21" s="29">
        <f>SUMIFS(JU!$K$5107:$K$5107,JU!$I$5107:$I$5107,WS!$A21)</f>
        <v>0</v>
      </c>
      <c r="X21" s="30">
        <f t="shared" si="36"/>
        <v>2304324654</v>
      </c>
      <c r="Y21" s="28">
        <f>SUMIFS(JU!$H$5107:$H$5107,JU!$F$5107:$F$5107,WS!$A21)</f>
        <v>0</v>
      </c>
      <c r="Z21" s="29">
        <f>SUMIFS(JU!$K$5107:$K$5107,JU!$I$5107:$I$5107,WS!$A21)</f>
        <v>0</v>
      </c>
      <c r="AA21" s="30">
        <f t="shared" si="37"/>
        <v>2304324654</v>
      </c>
      <c r="AB21" s="28">
        <f>SUMIFS(JU!$H$5107:$H$5107,JU!$F$5107:$F$5107,WS!$A21)</f>
        <v>0</v>
      </c>
      <c r="AC21" s="29">
        <f>SUMIFS(JU!$K$5107:$K$5107,JU!$I$5107:$I$5107,WS!$A21)</f>
        <v>0</v>
      </c>
      <c r="AD21" s="30">
        <f t="shared" si="38"/>
        <v>2304324654</v>
      </c>
      <c r="AE21" s="28">
        <f>SUMIFS(JU!$H$5107:$H$5107,JU!$F$5107:$F$5107,WS!$A21)</f>
        <v>0</v>
      </c>
      <c r="AF21" s="29">
        <f>SUMIFS(JU!$K$5107:$K$5107,JU!$I$5107:$I$5107,WS!$A21)</f>
        <v>0</v>
      </c>
      <c r="AG21" s="30">
        <f t="shared" si="39"/>
        <v>2304324654</v>
      </c>
      <c r="AH21" s="28">
        <f>SUMIFS(JU!$H$5107:$H$5107,JU!$F$5107:$F$5107,WS!$A21)</f>
        <v>0</v>
      </c>
      <c r="AI21" s="29">
        <f>SUMIFS(JU!$K$5107:$K$5107,JU!$I$5107:$I$5107,WS!$A21)</f>
        <v>0</v>
      </c>
      <c r="AJ21" s="30">
        <f t="shared" si="40"/>
        <v>2304324654</v>
      </c>
      <c r="AK21" s="28">
        <f>SUMIFS(JU!$H$5107:$H$5107,JU!$F$5107:$F$5107,WS!$A21)</f>
        <v>0</v>
      </c>
      <c r="AL21" s="29">
        <f>SUMIFS(JU!$K$5107:$K$5107,JU!$I$5107:$I$5107,WS!$A21)</f>
        <v>0</v>
      </c>
      <c r="AM21" s="30">
        <f t="shared" si="41"/>
        <v>2304324654</v>
      </c>
    </row>
    <row r="22" spans="1:41">
      <c r="A22" s="6">
        <v>1203</v>
      </c>
      <c r="B22" s="31" t="s">
        <v>140</v>
      </c>
      <c r="C22" s="32">
        <v>352700000</v>
      </c>
      <c r="D22" s="28">
        <f>SUMIFS(JU!$H$5:$H$178,JU!$F$5:$F$178,WS!$A22)</f>
        <v>159987500</v>
      </c>
      <c r="E22" s="29">
        <f>SUMIFS(JU!$K$5:$K$178,JU!$I$5:$I$178,WS!$A22)</f>
        <v>177487500</v>
      </c>
      <c r="F22" s="30">
        <f t="shared" si="30"/>
        <v>335200000</v>
      </c>
      <c r="G22" s="28">
        <f>SUMIFS(JU!$H$180:$H$440,JU!$F$180:$F$440,WS!$A22)</f>
        <v>201800000</v>
      </c>
      <c r="H22" s="29">
        <f>SUMIFS(JU!$K$180:$K$440,JU!$I$180:$I$440,WS!$A22)</f>
        <v>26800000</v>
      </c>
      <c r="I22" s="30">
        <f t="shared" si="31"/>
        <v>510200000</v>
      </c>
      <c r="J22" s="28">
        <f>SUMIFS(JU!$H$441:$H$695,JU!$F$441:$F$695,WS!$A22)</f>
        <v>170250000</v>
      </c>
      <c r="K22" s="29">
        <f>SUMIFS(JU!$K$441:$K$695,JU!$I$441:$I$695,WS!$A22)</f>
        <v>77000000</v>
      </c>
      <c r="L22" s="30">
        <f t="shared" si="32"/>
        <v>603450000</v>
      </c>
      <c r="M22" s="28">
        <f>SUMIFS(JU!$H$696:$H$1062,JU!$F$696:$F$1062,$A22)</f>
        <v>405865000</v>
      </c>
      <c r="N22" s="29">
        <f>SUMIFS(JU!$K$696:$K$1062,JU!$I$696:$I$1062,WS!$A22)</f>
        <v>299500000</v>
      </c>
      <c r="O22" s="30">
        <f t="shared" si="33"/>
        <v>709815000</v>
      </c>
      <c r="P22" s="28">
        <f>SUMIFS(JU!$H$1063:$H$5007,JU!$F$1063:$F$5007,WS!$A22)</f>
        <v>810942000</v>
      </c>
      <c r="Q22" s="29">
        <f>SUMIFS(JU!$K$1063:$K$5007,JU!$I$1063:$I$5007,WS!$A22)</f>
        <v>66000000</v>
      </c>
      <c r="R22" s="30">
        <f t="shared" si="34"/>
        <v>1454757000</v>
      </c>
      <c r="S22" s="28">
        <f>SUMIFS(JU!$H$5107:$H$5107,JU!$F$5107:$F$5107,WS!$A22)</f>
        <v>0</v>
      </c>
      <c r="T22" s="29">
        <f>SUMIFS(JU!$K$5107:$K$5107,JU!$I$5107:$I$5107,WS!$A22)</f>
        <v>0</v>
      </c>
      <c r="U22" s="30">
        <f t="shared" si="35"/>
        <v>1454757000</v>
      </c>
      <c r="V22" s="28">
        <f>SUMIFS(JU!$H$5107:$H$5107,JU!$F$5107:$F$5107,WS!$A22)</f>
        <v>0</v>
      </c>
      <c r="W22" s="29">
        <f>SUMIFS(JU!$K$5107:$K$5107,JU!$I$5107:$I$5107,WS!$A22)</f>
        <v>0</v>
      </c>
      <c r="X22" s="30">
        <f t="shared" si="36"/>
        <v>1454757000</v>
      </c>
      <c r="Y22" s="28">
        <f>SUMIFS(JU!$H$5107:$H$5107,JU!$F$5107:$F$5107,WS!$A22)</f>
        <v>0</v>
      </c>
      <c r="Z22" s="29">
        <f>SUMIFS(JU!$K$5107:$K$5107,JU!$I$5107:$I$5107,WS!$A22)</f>
        <v>0</v>
      </c>
      <c r="AA22" s="30">
        <f t="shared" si="37"/>
        <v>1454757000</v>
      </c>
      <c r="AB22" s="28">
        <f>SUMIFS(JU!$H$5107:$H$5107,JU!$F$5107:$F$5107,WS!$A22)</f>
        <v>0</v>
      </c>
      <c r="AC22" s="29">
        <f>SUMIFS(JU!$K$5107:$K$5107,JU!$I$5107:$I$5107,WS!$A22)</f>
        <v>0</v>
      </c>
      <c r="AD22" s="30">
        <f t="shared" si="38"/>
        <v>1454757000</v>
      </c>
      <c r="AE22" s="28">
        <f>SUMIFS(JU!$H$5107:$H$5107,JU!$F$5107:$F$5107,WS!$A22)</f>
        <v>0</v>
      </c>
      <c r="AF22" s="29">
        <f>SUMIFS(JU!$K$5107:$K$5107,JU!$I$5107:$I$5107,WS!$A22)</f>
        <v>0</v>
      </c>
      <c r="AG22" s="30">
        <f t="shared" si="39"/>
        <v>1454757000</v>
      </c>
      <c r="AH22" s="28">
        <f>SUMIFS(JU!$H$5107:$H$5107,JU!$F$5107:$F$5107,WS!$A22)</f>
        <v>0</v>
      </c>
      <c r="AI22" s="29">
        <f>SUMIFS(JU!$K$5107:$K$5107,JU!$I$5107:$I$5107,WS!$A22)</f>
        <v>0</v>
      </c>
      <c r="AJ22" s="30">
        <f t="shared" si="40"/>
        <v>1454757000</v>
      </c>
      <c r="AK22" s="28">
        <f>SUMIFS(JU!$H$5107:$H$5107,JU!$F$5107:$F$5107,WS!$A22)</f>
        <v>0</v>
      </c>
      <c r="AL22" s="29">
        <f>SUMIFS(JU!$K$5107:$K$5107,JU!$I$5107:$I$5107,WS!$A22)</f>
        <v>0</v>
      </c>
      <c r="AM22" s="30">
        <f t="shared" si="41"/>
        <v>1454757000</v>
      </c>
    </row>
    <row r="23" spans="1:41">
      <c r="A23" s="6">
        <v>1204</v>
      </c>
      <c r="B23" s="31" t="s">
        <v>28</v>
      </c>
      <c r="C23" s="32">
        <v>99500000</v>
      </c>
      <c r="D23" s="28">
        <f>SUMIFS(JU!$H$5:$H$178,JU!$F$5:$F$178,WS!$A23)</f>
        <v>25000000</v>
      </c>
      <c r="E23" s="29">
        <f>SUMIFS(JU!$K$5:$K$178,JU!$I$5:$I$178,WS!$A23)</f>
        <v>52500000</v>
      </c>
      <c r="F23" s="30">
        <f t="shared" si="30"/>
        <v>72000000</v>
      </c>
      <c r="G23" s="28">
        <f>SUMIFS(JU!$H$180:$H$440,JU!$F$180:$F$440,WS!$A23)</f>
        <v>10000000</v>
      </c>
      <c r="H23" s="29">
        <f>SUMIFS(JU!$K$180:$K$440,JU!$I$180:$I$440,WS!$A23)</f>
        <v>0</v>
      </c>
      <c r="I23" s="30">
        <f t="shared" si="31"/>
        <v>82000000</v>
      </c>
      <c r="J23" s="28">
        <f>SUMIFS(JU!$H$441:$H$695,JU!$F$441:$F$695,WS!$A23)</f>
        <v>15000000</v>
      </c>
      <c r="K23" s="29">
        <f>SUMIFS(JU!$K$441:$K$695,JU!$I$441:$I$695,WS!$A23)</f>
        <v>15000000</v>
      </c>
      <c r="L23" s="30">
        <f t="shared" si="32"/>
        <v>82000000</v>
      </c>
      <c r="M23" s="28">
        <f>SUMIFS(JU!$H$696:$H$1062,JU!$F$696:$F$1062,$A23)</f>
        <v>3040000</v>
      </c>
      <c r="N23" s="29">
        <f>SUMIFS(JU!$K$696:$K$1062,JU!$I$696:$I$1062,WS!$A23)</f>
        <v>10000000</v>
      </c>
      <c r="O23" s="30">
        <f t="shared" si="33"/>
        <v>75040000</v>
      </c>
      <c r="P23" s="28">
        <f>SUMIFS(JU!$H$1063:$H$5007,JU!$F$1063:$F$5007,WS!$A23)</f>
        <v>0</v>
      </c>
      <c r="Q23" s="29">
        <f>SUMIFS(JU!$K$1063:$K$5007,JU!$I$1063:$I$5007,WS!$A23)</f>
        <v>0</v>
      </c>
      <c r="R23" s="30">
        <f t="shared" si="34"/>
        <v>75040000</v>
      </c>
      <c r="S23" s="28">
        <f>SUMIFS(JU!$H$5107:$H$5107,JU!$F$5107:$F$5107,WS!$A23)</f>
        <v>0</v>
      </c>
      <c r="T23" s="29">
        <f>SUMIFS(JU!$K$5107:$K$5107,JU!$I$5107:$I$5107,WS!$A23)</f>
        <v>0</v>
      </c>
      <c r="U23" s="30">
        <f t="shared" si="35"/>
        <v>75040000</v>
      </c>
      <c r="V23" s="28">
        <f>SUMIFS(JU!$H$5107:$H$5107,JU!$F$5107:$F$5107,WS!$A23)</f>
        <v>0</v>
      </c>
      <c r="W23" s="29">
        <f>SUMIFS(JU!$K$5107:$K$5107,JU!$I$5107:$I$5107,WS!$A23)</f>
        <v>0</v>
      </c>
      <c r="X23" s="30">
        <f t="shared" si="36"/>
        <v>75040000</v>
      </c>
      <c r="Y23" s="28">
        <f>SUMIFS(JU!$H$5107:$H$5107,JU!$F$5107:$F$5107,WS!$A23)</f>
        <v>0</v>
      </c>
      <c r="Z23" s="29">
        <f>SUMIFS(JU!$K$5107:$K$5107,JU!$I$5107:$I$5107,WS!$A23)</f>
        <v>0</v>
      </c>
      <c r="AA23" s="30">
        <f t="shared" si="37"/>
        <v>75040000</v>
      </c>
      <c r="AB23" s="28">
        <f>SUMIFS(JU!$H$5107:$H$5107,JU!$F$5107:$F$5107,WS!$A23)</f>
        <v>0</v>
      </c>
      <c r="AC23" s="29">
        <f>SUMIFS(JU!$K$5107:$K$5107,JU!$I$5107:$I$5107,WS!$A23)</f>
        <v>0</v>
      </c>
      <c r="AD23" s="30">
        <f t="shared" si="38"/>
        <v>75040000</v>
      </c>
      <c r="AE23" s="28">
        <f>SUMIFS(JU!$H$5107:$H$5107,JU!$F$5107:$F$5107,WS!$A23)</f>
        <v>0</v>
      </c>
      <c r="AF23" s="29">
        <f>SUMIFS(JU!$K$5107:$K$5107,JU!$I$5107:$I$5107,WS!$A23)</f>
        <v>0</v>
      </c>
      <c r="AG23" s="30">
        <f t="shared" si="39"/>
        <v>75040000</v>
      </c>
      <c r="AH23" s="28">
        <f>SUMIFS(JU!$H$5107:$H$5107,JU!$F$5107:$F$5107,WS!$A23)</f>
        <v>0</v>
      </c>
      <c r="AI23" s="29">
        <f>SUMIFS(JU!$K$5107:$K$5107,JU!$I$5107:$I$5107,WS!$A23)</f>
        <v>0</v>
      </c>
      <c r="AJ23" s="30">
        <f t="shared" si="40"/>
        <v>75040000</v>
      </c>
      <c r="AK23" s="28">
        <f>SUMIFS(JU!$H$5107:$H$5107,JU!$F$5107:$F$5107,WS!$A23)</f>
        <v>0</v>
      </c>
      <c r="AL23" s="29">
        <f>SUMIFS(JU!$K$5107:$K$5107,JU!$I$5107:$I$5107,WS!$A23)</f>
        <v>0</v>
      </c>
      <c r="AM23" s="30">
        <f t="shared" si="41"/>
        <v>75040000</v>
      </c>
    </row>
    <row r="24" spans="1:41">
      <c r="A24" s="6">
        <v>1205</v>
      </c>
      <c r="B24" s="31" t="s">
        <v>29</v>
      </c>
      <c r="C24" s="32">
        <v>0</v>
      </c>
      <c r="D24" s="28">
        <f>SUMIFS(JU!$H$5:$H$178,JU!$F$5:$F$178,WS!$A24)</f>
        <v>0</v>
      </c>
      <c r="E24" s="29">
        <f>SUMIFS(JU!$K$5:$K$178,JU!$I$5:$I$178,WS!$A24)</f>
        <v>0</v>
      </c>
      <c r="F24" s="30">
        <f t="shared" si="30"/>
        <v>0</v>
      </c>
      <c r="G24" s="28">
        <f>SUMIFS(JU!$H$180:$H$440,JU!$F$180:$F$440,WS!$A24)</f>
        <v>0</v>
      </c>
      <c r="H24" s="29">
        <f>SUMIFS(JU!$K$180:$K$440,JU!$I$180:$I$440,WS!$A24)</f>
        <v>0</v>
      </c>
      <c r="I24" s="30">
        <f t="shared" si="31"/>
        <v>0</v>
      </c>
      <c r="J24" s="28">
        <f>SUMIFS(JU!$H$441:$H$695,JU!$F$441:$F$695,WS!$A24)</f>
        <v>0</v>
      </c>
      <c r="K24" s="29">
        <f>SUMIFS(JU!$K$441:$K$695,JU!$I$441:$I$695,WS!$A24)</f>
        <v>0</v>
      </c>
      <c r="L24" s="30">
        <f t="shared" si="32"/>
        <v>0</v>
      </c>
      <c r="M24" s="28">
        <f>SUMIFS(JU!$H$696:$H$1062,JU!$F$696:$F$1062,$A24)</f>
        <v>0</v>
      </c>
      <c r="N24" s="29">
        <f>SUMIFS(JU!$K$696:$K$1062,JU!$I$696:$I$1062,WS!$A24)</f>
        <v>0</v>
      </c>
      <c r="O24" s="30">
        <f t="shared" si="33"/>
        <v>0</v>
      </c>
      <c r="P24" s="28">
        <f>SUMIFS(JU!$H$1063:$H$5007,JU!$F$1063:$F$5007,WS!$A24)</f>
        <v>0</v>
      </c>
      <c r="Q24" s="29">
        <f>SUMIFS(JU!$K$1063:$K$5007,JU!$I$1063:$I$5007,WS!$A24)</f>
        <v>0</v>
      </c>
      <c r="R24" s="30">
        <f t="shared" si="34"/>
        <v>0</v>
      </c>
      <c r="S24" s="28">
        <f>SUMIFS(JU!$H$5107:$H$5107,JU!$F$5107:$F$5107,WS!$A24)</f>
        <v>0</v>
      </c>
      <c r="T24" s="29">
        <f>SUMIFS(JU!$K$5107:$K$5107,JU!$I$5107:$I$5107,WS!$A24)</f>
        <v>0</v>
      </c>
      <c r="U24" s="30">
        <f t="shared" si="35"/>
        <v>0</v>
      </c>
      <c r="V24" s="28">
        <f>SUMIFS(JU!$H$5107:$H$5107,JU!$F$5107:$F$5107,WS!$A24)</f>
        <v>0</v>
      </c>
      <c r="W24" s="29">
        <f>SUMIFS(JU!$K$5107:$K$5107,JU!$I$5107:$I$5107,WS!$A24)</f>
        <v>0</v>
      </c>
      <c r="X24" s="30">
        <f t="shared" si="36"/>
        <v>0</v>
      </c>
      <c r="Y24" s="28">
        <f>SUMIFS(JU!$H$5107:$H$5107,JU!$F$5107:$F$5107,WS!$A24)</f>
        <v>0</v>
      </c>
      <c r="Z24" s="29">
        <f>SUMIFS(JU!$K$5107:$K$5107,JU!$I$5107:$I$5107,WS!$A24)</f>
        <v>0</v>
      </c>
      <c r="AA24" s="30">
        <f t="shared" si="37"/>
        <v>0</v>
      </c>
      <c r="AB24" s="28">
        <f>SUMIFS(JU!$H$5107:$H$5107,JU!$F$5107:$F$5107,WS!$A24)</f>
        <v>0</v>
      </c>
      <c r="AC24" s="29">
        <f>SUMIFS(JU!$K$5107:$K$5107,JU!$I$5107:$I$5107,WS!$A24)</f>
        <v>0</v>
      </c>
      <c r="AD24" s="30">
        <f t="shared" si="38"/>
        <v>0</v>
      </c>
      <c r="AE24" s="28">
        <f>SUMIFS(JU!$H$5107:$H$5107,JU!$F$5107:$F$5107,WS!$A24)</f>
        <v>0</v>
      </c>
      <c r="AF24" s="29">
        <f>SUMIFS(JU!$K$5107:$K$5107,JU!$I$5107:$I$5107,WS!$A24)</f>
        <v>0</v>
      </c>
      <c r="AG24" s="30">
        <f t="shared" si="39"/>
        <v>0</v>
      </c>
      <c r="AH24" s="28">
        <f>SUMIFS(JU!$H$5107:$H$5107,JU!$F$5107:$F$5107,WS!$A24)</f>
        <v>0</v>
      </c>
      <c r="AI24" s="29">
        <f>SUMIFS(JU!$K$5107:$K$5107,JU!$I$5107:$I$5107,WS!$A24)</f>
        <v>0</v>
      </c>
      <c r="AJ24" s="30">
        <f t="shared" si="40"/>
        <v>0</v>
      </c>
      <c r="AK24" s="28">
        <f>SUMIFS(JU!$H$5107:$H$5107,JU!$F$5107:$F$5107,WS!$A24)</f>
        <v>0</v>
      </c>
      <c r="AL24" s="29">
        <f>SUMIFS(JU!$K$5107:$K$5107,JU!$I$5107:$I$5107,WS!$A24)</f>
        <v>0</v>
      </c>
      <c r="AM24" s="30">
        <f t="shared" si="41"/>
        <v>0</v>
      </c>
    </row>
    <row r="25" spans="1:41" s="37" customFormat="1">
      <c r="A25" s="6">
        <v>1206</v>
      </c>
      <c r="B25" s="31" t="s">
        <v>193</v>
      </c>
      <c r="C25" s="32">
        <v>0</v>
      </c>
      <c r="D25" s="28">
        <f>SUMIFS(JU!$H$5:$H$178,JU!$F$5:$F$178,WS!$A25)</f>
        <v>0</v>
      </c>
      <c r="E25" s="29">
        <f>SUMIFS(JU!$K$5:$K$178,JU!$I$5:$I$178,WS!$A25)</f>
        <v>0</v>
      </c>
      <c r="F25" s="30">
        <f t="shared" si="30"/>
        <v>0</v>
      </c>
      <c r="G25" s="28">
        <f>SUMIFS(JU!$H$180:$H$440,JU!$F$180:$F$440,WS!$A25)</f>
        <v>0</v>
      </c>
      <c r="H25" s="29">
        <f>SUMIFS(JU!$K$180:$K$440,JU!$I$180:$I$440,WS!$A25)</f>
        <v>0</v>
      </c>
      <c r="I25" s="30">
        <f t="shared" si="31"/>
        <v>0</v>
      </c>
      <c r="J25" s="28">
        <f>SUMIFS(JU!$H$441:$H$695,JU!$F$441:$F$695,WS!$A25)</f>
        <v>0</v>
      </c>
      <c r="K25" s="29">
        <f>SUMIFS(JU!$K$441:$K$695,JU!$I$441:$I$695,WS!$A25)</f>
        <v>0</v>
      </c>
      <c r="L25" s="30">
        <f t="shared" si="32"/>
        <v>0</v>
      </c>
      <c r="M25" s="28">
        <f>SUMIFS(JU!$H$696:$H$1062,JU!$F$696:$F$1062,$A25)</f>
        <v>0</v>
      </c>
      <c r="N25" s="29">
        <f>SUMIFS(JU!$K$696:$K$1062,JU!$I$696:$I$1062,WS!$A25)</f>
        <v>0</v>
      </c>
      <c r="O25" s="30">
        <f t="shared" si="33"/>
        <v>0</v>
      </c>
      <c r="P25" s="28">
        <f>SUMIFS(JU!$H$1063:$H$5007,JU!$F$1063:$F$5007,WS!$A25)</f>
        <v>0</v>
      </c>
      <c r="Q25" s="29">
        <f>SUMIFS(JU!$K$1063:$K$5007,JU!$I$1063:$I$5007,WS!$A25)</f>
        <v>0</v>
      </c>
      <c r="R25" s="30">
        <f t="shared" si="34"/>
        <v>0</v>
      </c>
      <c r="S25" s="28">
        <f>SUMIFS(JU!$H$5107:$H$5107,JU!$F$5107:$F$5107,WS!$A25)</f>
        <v>0</v>
      </c>
      <c r="T25" s="29">
        <f>SUMIFS(JU!$K$5107:$K$5107,JU!$I$5107:$I$5107,WS!$A25)</f>
        <v>0</v>
      </c>
      <c r="U25" s="30">
        <f t="shared" si="35"/>
        <v>0</v>
      </c>
      <c r="V25" s="28">
        <f>SUMIFS(JU!$H$5107:$H$5107,JU!$F$5107:$F$5107,WS!$A25)</f>
        <v>0</v>
      </c>
      <c r="W25" s="29">
        <f>SUMIFS(JU!$K$5107:$K$5107,JU!$I$5107:$I$5107,WS!$A25)</f>
        <v>0</v>
      </c>
      <c r="X25" s="30">
        <f t="shared" si="36"/>
        <v>0</v>
      </c>
      <c r="Y25" s="28">
        <f>SUMIFS(JU!$H$5107:$H$5107,JU!$F$5107:$F$5107,WS!$A25)</f>
        <v>0</v>
      </c>
      <c r="Z25" s="29">
        <f>SUMIFS(JU!$K$5107:$K$5107,JU!$I$5107:$I$5107,WS!$A25)</f>
        <v>0</v>
      </c>
      <c r="AA25" s="30">
        <f t="shared" si="37"/>
        <v>0</v>
      </c>
      <c r="AB25" s="28">
        <f>SUMIFS(JU!$H$5107:$H$5107,JU!$F$5107:$F$5107,WS!$A25)</f>
        <v>0</v>
      </c>
      <c r="AC25" s="29">
        <f>SUMIFS(JU!$K$5107:$K$5107,JU!$I$5107:$I$5107,WS!$A25)</f>
        <v>0</v>
      </c>
      <c r="AD25" s="30">
        <f t="shared" si="38"/>
        <v>0</v>
      </c>
      <c r="AE25" s="28">
        <f>SUMIFS(JU!$H$5107:$H$5107,JU!$F$5107:$F$5107,WS!$A25)</f>
        <v>0</v>
      </c>
      <c r="AF25" s="29">
        <f>SUMIFS(JU!$K$5107:$K$5107,JU!$I$5107:$I$5107,WS!$A25)</f>
        <v>0</v>
      </c>
      <c r="AG25" s="30">
        <f t="shared" si="39"/>
        <v>0</v>
      </c>
      <c r="AH25" s="28">
        <f>SUMIFS(JU!$H$5107:$H$5107,JU!$F$5107:$F$5107,WS!$A25)</f>
        <v>0</v>
      </c>
      <c r="AI25" s="29">
        <f>SUMIFS(JU!$K$5107:$K$5107,JU!$I$5107:$I$5107,WS!$A25)</f>
        <v>0</v>
      </c>
      <c r="AJ25" s="30">
        <f t="shared" si="40"/>
        <v>0</v>
      </c>
      <c r="AK25" s="28">
        <f>SUMIFS(JU!$H$5107:$H$5107,JU!$F$5107:$F$5107,WS!$A25)</f>
        <v>0</v>
      </c>
      <c r="AL25" s="29">
        <f>SUMIFS(JU!$K$5107:$K$5107,JU!$I$5107:$I$5107,WS!$A25)</f>
        <v>0</v>
      </c>
      <c r="AM25" s="30">
        <f t="shared" si="41"/>
        <v>0</v>
      </c>
    </row>
    <row r="26" spans="1:41">
      <c r="A26" s="6">
        <v>1207</v>
      </c>
      <c r="B26" s="31" t="s">
        <v>33</v>
      </c>
      <c r="C26" s="32">
        <v>0</v>
      </c>
      <c r="D26" s="28">
        <f>SUMIFS(JU!$H$5:$H$178,JU!$F$5:$F$178,WS!$A26)</f>
        <v>0</v>
      </c>
      <c r="E26" s="29">
        <f>SUMIFS(JU!$K$5:$K$178,JU!$I$5:$I$178,WS!$A26)</f>
        <v>0</v>
      </c>
      <c r="F26" s="30">
        <f t="shared" si="30"/>
        <v>0</v>
      </c>
      <c r="G26" s="28">
        <f>SUMIFS(JU!$H$180:$H$440,JU!$F$180:$F$440,WS!$A26)</f>
        <v>0</v>
      </c>
      <c r="H26" s="29">
        <f>SUMIFS(JU!$K$180:$K$440,JU!$I$180:$I$440,WS!$A26)</f>
        <v>0</v>
      </c>
      <c r="I26" s="30">
        <f t="shared" si="31"/>
        <v>0</v>
      </c>
      <c r="J26" s="28">
        <f>SUMIFS(JU!$H$441:$H$695,JU!$F$441:$F$695,WS!$A26)</f>
        <v>0</v>
      </c>
      <c r="K26" s="29">
        <f>SUMIFS(JU!$K$441:$K$695,JU!$I$441:$I$695,WS!$A26)</f>
        <v>0</v>
      </c>
      <c r="L26" s="30">
        <f t="shared" si="32"/>
        <v>0</v>
      </c>
      <c r="M26" s="28">
        <f>SUMIFS(JU!$H$696:$H$1062,JU!$F$696:$F$1062,$A26)</f>
        <v>0</v>
      </c>
      <c r="N26" s="29">
        <f>SUMIFS(JU!$K$696:$K$1062,JU!$I$696:$I$1062,WS!$A26)</f>
        <v>0</v>
      </c>
      <c r="O26" s="30">
        <f t="shared" si="33"/>
        <v>0</v>
      </c>
      <c r="P26" s="28">
        <f>SUMIFS(JU!$H$1063:$H$5007,JU!$F$1063:$F$5007,WS!$A26)</f>
        <v>0</v>
      </c>
      <c r="Q26" s="29">
        <f>SUMIFS(JU!$K$1063:$K$5007,JU!$I$1063:$I$5007,WS!$A26)</f>
        <v>0</v>
      </c>
      <c r="R26" s="30">
        <f t="shared" si="34"/>
        <v>0</v>
      </c>
      <c r="S26" s="28">
        <f>SUMIFS(JU!$H$5107:$H$5107,JU!$F$5107:$F$5107,WS!$A26)</f>
        <v>0</v>
      </c>
      <c r="T26" s="29">
        <f>SUMIFS(JU!$K$5107:$K$5107,JU!$I$5107:$I$5107,WS!$A26)</f>
        <v>0</v>
      </c>
      <c r="U26" s="30">
        <f t="shared" si="35"/>
        <v>0</v>
      </c>
      <c r="V26" s="28">
        <f>SUMIFS(JU!$H$5107:$H$5107,JU!$F$5107:$F$5107,WS!$A26)</f>
        <v>0</v>
      </c>
      <c r="W26" s="29">
        <f>SUMIFS(JU!$K$5107:$K$5107,JU!$I$5107:$I$5107,WS!$A26)</f>
        <v>0</v>
      </c>
      <c r="X26" s="30">
        <f t="shared" si="36"/>
        <v>0</v>
      </c>
      <c r="Y26" s="28">
        <f>SUMIFS(JU!$H$5107:$H$5107,JU!$F$5107:$F$5107,WS!$A26)</f>
        <v>0</v>
      </c>
      <c r="Z26" s="29">
        <f>SUMIFS(JU!$K$5107:$K$5107,JU!$I$5107:$I$5107,WS!$A26)</f>
        <v>0</v>
      </c>
      <c r="AA26" s="30">
        <f t="shared" si="37"/>
        <v>0</v>
      </c>
      <c r="AB26" s="28">
        <f>SUMIFS(JU!$H$5107:$H$5107,JU!$F$5107:$F$5107,WS!$A26)</f>
        <v>0</v>
      </c>
      <c r="AC26" s="29">
        <f>SUMIFS(JU!$K$5107:$K$5107,JU!$I$5107:$I$5107,WS!$A26)</f>
        <v>0</v>
      </c>
      <c r="AD26" s="30">
        <f t="shared" si="38"/>
        <v>0</v>
      </c>
      <c r="AE26" s="28">
        <f>SUMIFS(JU!$H$5107:$H$5107,JU!$F$5107:$F$5107,WS!$A26)</f>
        <v>0</v>
      </c>
      <c r="AF26" s="29">
        <f>SUMIFS(JU!$K$5107:$K$5107,JU!$I$5107:$I$5107,WS!$A26)</f>
        <v>0</v>
      </c>
      <c r="AG26" s="30">
        <f t="shared" si="39"/>
        <v>0</v>
      </c>
      <c r="AH26" s="28">
        <f>SUMIFS(JU!$H$5107:$H$5107,JU!$F$5107:$F$5107,WS!$A26)</f>
        <v>0</v>
      </c>
      <c r="AI26" s="29">
        <f>SUMIFS(JU!$K$5107:$K$5107,JU!$I$5107:$I$5107,WS!$A26)</f>
        <v>0</v>
      </c>
      <c r="AJ26" s="30">
        <f t="shared" si="40"/>
        <v>0</v>
      </c>
      <c r="AK26" s="28">
        <f>SUMIFS(JU!$H$5107:$H$5107,JU!$F$5107:$F$5107,WS!$A26)</f>
        <v>0</v>
      </c>
      <c r="AL26" s="29">
        <f>SUMIFS(JU!$K$5107:$K$5107,JU!$I$5107:$I$5107,WS!$A26)</f>
        <v>0</v>
      </c>
      <c r="AM26" s="30">
        <f t="shared" si="41"/>
        <v>0</v>
      </c>
    </row>
    <row r="27" spans="1:41">
      <c r="A27" s="6">
        <v>1208</v>
      </c>
      <c r="B27" s="31" t="s">
        <v>34</v>
      </c>
      <c r="C27" s="32">
        <v>0</v>
      </c>
      <c r="D27" s="28">
        <f>SUMIFS(JU!$H$5:$H$178,JU!$F$5:$F$178,WS!$A27)</f>
        <v>0</v>
      </c>
      <c r="E27" s="29">
        <f>SUMIFS(JU!$K$5:$K$178,JU!$I$5:$I$178,WS!$A27)</f>
        <v>0</v>
      </c>
      <c r="F27" s="30">
        <f t="shared" si="30"/>
        <v>0</v>
      </c>
      <c r="G27" s="28">
        <f>SUMIFS(JU!$H$180:$H$440,JU!$F$180:$F$440,WS!$A27)</f>
        <v>0</v>
      </c>
      <c r="H27" s="29">
        <f>SUMIFS(JU!$K$180:$K$440,JU!$I$180:$I$440,WS!$A27)</f>
        <v>0</v>
      </c>
      <c r="I27" s="30">
        <f t="shared" si="31"/>
        <v>0</v>
      </c>
      <c r="J27" s="28">
        <f>SUMIFS(JU!$H$441:$H$695,JU!$F$441:$F$695,WS!$A27)</f>
        <v>0</v>
      </c>
      <c r="K27" s="29">
        <f>SUMIFS(JU!$K$441:$K$695,JU!$I$441:$I$695,WS!$A27)</f>
        <v>0</v>
      </c>
      <c r="L27" s="30">
        <f t="shared" si="32"/>
        <v>0</v>
      </c>
      <c r="M27" s="28">
        <f>SUMIFS(JU!$H$696:$H$1062,JU!$F$696:$F$1062,$A27)</f>
        <v>62500000</v>
      </c>
      <c r="N27" s="29">
        <f>SUMIFS(JU!$K$696:$K$1062,JU!$I$696:$I$1062,WS!$A27)</f>
        <v>0</v>
      </c>
      <c r="O27" s="30">
        <f t="shared" si="33"/>
        <v>62500000</v>
      </c>
      <c r="P27" s="28">
        <f>SUMIFS(JU!$H$1063:$H$5007,JU!$F$1063:$F$5007,WS!$A27)</f>
        <v>0</v>
      </c>
      <c r="Q27" s="29">
        <f>SUMIFS(JU!$K$1063:$K$5007,JU!$I$1063:$I$5007,WS!$A27)</f>
        <v>0</v>
      </c>
      <c r="R27" s="30">
        <f t="shared" si="34"/>
        <v>62500000</v>
      </c>
      <c r="S27" s="28">
        <f>SUMIFS(JU!$H$5107:$H$5107,JU!$F$5107:$F$5107,WS!$A27)</f>
        <v>0</v>
      </c>
      <c r="T27" s="29">
        <f>SUMIFS(JU!$K$5107:$K$5107,JU!$I$5107:$I$5107,WS!$A27)</f>
        <v>0</v>
      </c>
      <c r="U27" s="30">
        <f t="shared" si="35"/>
        <v>62500000</v>
      </c>
      <c r="V27" s="28">
        <f>SUMIFS(JU!$H$5107:$H$5107,JU!$F$5107:$F$5107,WS!$A27)</f>
        <v>0</v>
      </c>
      <c r="W27" s="29">
        <f>SUMIFS(JU!$K$5107:$K$5107,JU!$I$5107:$I$5107,WS!$A27)</f>
        <v>0</v>
      </c>
      <c r="X27" s="30">
        <f t="shared" si="36"/>
        <v>62500000</v>
      </c>
      <c r="Y27" s="28">
        <f>SUMIFS(JU!$H$5107:$H$5107,JU!$F$5107:$F$5107,WS!$A27)</f>
        <v>0</v>
      </c>
      <c r="Z27" s="29">
        <f>SUMIFS(JU!$K$5107:$K$5107,JU!$I$5107:$I$5107,WS!$A27)</f>
        <v>0</v>
      </c>
      <c r="AA27" s="30">
        <f t="shared" si="37"/>
        <v>62500000</v>
      </c>
      <c r="AB27" s="28">
        <f>SUMIFS(JU!$H$5107:$H$5107,JU!$F$5107:$F$5107,WS!$A27)</f>
        <v>0</v>
      </c>
      <c r="AC27" s="29">
        <f>SUMIFS(JU!$K$5107:$K$5107,JU!$I$5107:$I$5107,WS!$A27)</f>
        <v>0</v>
      </c>
      <c r="AD27" s="30">
        <f t="shared" si="38"/>
        <v>62500000</v>
      </c>
      <c r="AE27" s="28">
        <f>SUMIFS(JU!$H$5107:$H$5107,JU!$F$5107:$F$5107,WS!$A27)</f>
        <v>0</v>
      </c>
      <c r="AF27" s="29">
        <f>SUMIFS(JU!$K$5107:$K$5107,JU!$I$5107:$I$5107,WS!$A27)</f>
        <v>0</v>
      </c>
      <c r="AG27" s="30">
        <f t="shared" si="39"/>
        <v>62500000</v>
      </c>
      <c r="AH27" s="28">
        <f>SUMIFS(JU!$H$5107:$H$5107,JU!$F$5107:$F$5107,WS!$A27)</f>
        <v>0</v>
      </c>
      <c r="AI27" s="29">
        <f>SUMIFS(JU!$K$5107:$K$5107,JU!$I$5107:$I$5107,WS!$A27)</f>
        <v>0</v>
      </c>
      <c r="AJ27" s="30">
        <f t="shared" si="40"/>
        <v>62500000</v>
      </c>
      <c r="AK27" s="28">
        <f>SUMIFS(JU!$H$5107:$H$5107,JU!$F$5107:$F$5107,WS!$A27)</f>
        <v>0</v>
      </c>
      <c r="AL27" s="29">
        <f>SUMIFS(JU!$K$5107:$K$5107,JU!$I$5107:$I$5107,WS!$A27)</f>
        <v>0</v>
      </c>
      <c r="AM27" s="30">
        <f t="shared" si="41"/>
        <v>62500000</v>
      </c>
    </row>
    <row r="28" spans="1:41">
      <c r="A28" s="287" t="s">
        <v>209</v>
      </c>
      <c r="B28" s="287"/>
      <c r="C28" s="36">
        <v>1862690000</v>
      </c>
      <c r="D28" s="28">
        <f>SUMIFS(JU!$H$5:$H$178,JU!$F$5:$F$178,WS!$A28)</f>
        <v>0</v>
      </c>
      <c r="E28" s="29">
        <f>SUMIFS(JU!$K$5:$K$178,JU!$I$5:$I$178,WS!$A28)</f>
        <v>0</v>
      </c>
      <c r="F28" s="36">
        <f>SUM(F20:F27)</f>
        <v>1448340000</v>
      </c>
      <c r="G28" s="28">
        <f>SUMIFS(JU!$H$180:$H$440,JU!$F$180:$F$440,WS!$A28)</f>
        <v>0</v>
      </c>
      <c r="H28" s="29">
        <f>SUMIFS(JU!$K$180:$K$440,JU!$I$180:$I$440,WS!$A28)</f>
        <v>0</v>
      </c>
      <c r="I28" s="36">
        <f>SUM(I20:I27)</f>
        <v>1405660654</v>
      </c>
      <c r="J28" s="28">
        <f>SUMIFS(JU!$H$441:$H$695,JU!$F$441:$F$695,WS!$A28)</f>
        <v>0</v>
      </c>
      <c r="K28" s="29">
        <f>SUMIFS(JU!$K$441:$K$695,JU!$I$441:$I$695,WS!$A28)</f>
        <v>0</v>
      </c>
      <c r="L28" s="36">
        <f>SUM(L20:L27)</f>
        <v>1396910654</v>
      </c>
      <c r="M28" s="28">
        <f>SUMIFS(JU!$H$696:$H$1062,JU!$F$696:$F$1062,$A28)</f>
        <v>0</v>
      </c>
      <c r="N28" s="29">
        <f>SUMIFS(JU!$K$696:$K$1062,JU!$I$696:$I$1062,WS!$A28)</f>
        <v>0</v>
      </c>
      <c r="O28" s="36">
        <f>SUM(O20:O27)</f>
        <v>2229925654</v>
      </c>
      <c r="P28" s="28">
        <f>SUMIFS(JU!$H$1063:$H$5007,JU!$F$1063:$F$5007,WS!$A28)</f>
        <v>0</v>
      </c>
      <c r="Q28" s="29">
        <f>SUMIFS(JU!$K$1063:$K$5007,JU!$I$1063:$I$5007,WS!$A28)</f>
        <v>0</v>
      </c>
      <c r="R28" s="36">
        <f>SUM(R20:R27)</f>
        <v>3896621654</v>
      </c>
      <c r="S28" s="28">
        <f>SUMIFS(JU!$H$5107:$H$5107,JU!$F$5107:$F$5107,WS!$A28)</f>
        <v>0</v>
      </c>
      <c r="T28" s="29">
        <f>SUMIFS(JU!$K$5107:$K$5107,JU!$I$5107:$I$5107,WS!$A28)</f>
        <v>0</v>
      </c>
      <c r="U28" s="36">
        <f>SUM(U20:U27)</f>
        <v>3896621654</v>
      </c>
      <c r="V28" s="28">
        <f>SUMIFS(JU!$H$5107:$H$5107,JU!$F$5107:$F$5107,WS!$A28)</f>
        <v>0</v>
      </c>
      <c r="W28" s="29">
        <f>SUMIFS(JU!$K$5107:$K$5107,JU!$I$5107:$I$5107,WS!$A28)</f>
        <v>0</v>
      </c>
      <c r="X28" s="36">
        <f>SUM(X20:X27)</f>
        <v>3896621654</v>
      </c>
      <c r="Y28" s="28">
        <f>SUMIFS(JU!$H$5107:$H$5107,JU!$F$5107:$F$5107,WS!$A28)</f>
        <v>0</v>
      </c>
      <c r="Z28" s="29">
        <f>SUMIFS(JU!$K$5107:$K$5107,JU!$I$5107:$I$5107,WS!$A28)</f>
        <v>0</v>
      </c>
      <c r="AA28" s="36">
        <f>SUM(AA20:AA27)</f>
        <v>3896621654</v>
      </c>
      <c r="AB28" s="28">
        <f>SUMIFS(JU!$H$5107:$H$5107,JU!$F$5107:$F$5107,WS!$A28)</f>
        <v>0</v>
      </c>
      <c r="AC28" s="29">
        <f>SUMIFS(JU!$K$5107:$K$5107,JU!$I$5107:$I$5107,WS!$A28)</f>
        <v>0</v>
      </c>
      <c r="AD28" s="36">
        <f>SUM(AD20:AD27)</f>
        <v>3896621654</v>
      </c>
      <c r="AE28" s="28">
        <f>SUMIFS(JU!$H$5107:$H$5107,JU!$F$5107:$F$5107,WS!$A28)</f>
        <v>0</v>
      </c>
      <c r="AF28" s="29">
        <f>SUMIFS(JU!$K$5107:$K$5107,JU!$I$5107:$I$5107,WS!$A28)</f>
        <v>0</v>
      </c>
      <c r="AG28" s="36">
        <f>SUM(AG20:AG27)</f>
        <v>3896621654</v>
      </c>
      <c r="AH28" s="28">
        <f>SUMIFS(JU!$H$5107:$H$5107,JU!$F$5107:$F$5107,WS!$A28)</f>
        <v>0</v>
      </c>
      <c r="AI28" s="29">
        <f>SUMIFS(JU!$K$5107:$K$5107,JU!$I$5107:$I$5107,WS!$A28)</f>
        <v>0</v>
      </c>
      <c r="AJ28" s="36">
        <f t="shared" ref="AJ28" si="42">SUM(AJ20:AJ27)</f>
        <v>3896621654</v>
      </c>
      <c r="AK28" s="28">
        <f>SUMIFS(JU!$H$5107:$H$5107,JU!$F$5107:$F$5107,WS!$A28)</f>
        <v>0</v>
      </c>
      <c r="AL28" s="29">
        <f>SUMIFS(JU!$K$5107:$K$5107,JU!$I$5107:$I$5107,WS!$A28)</f>
        <v>0</v>
      </c>
      <c r="AM28" s="36">
        <f t="shared" ref="AM28" si="43">SUM(AM20:AM27)</f>
        <v>3896621654</v>
      </c>
    </row>
    <row r="29" spans="1:41">
      <c r="A29" s="4" t="s">
        <v>188</v>
      </c>
      <c r="B29" s="26"/>
      <c r="C29" s="32"/>
      <c r="D29" s="28">
        <f>SUMIFS(JU!$H$5:$H$178,JU!$F$5:$F$178,WS!$A29)</f>
        <v>0</v>
      </c>
      <c r="E29" s="29">
        <f>SUMIFS(JU!$K$5:$K$178,JU!$I$5:$I$178,WS!$A29)</f>
        <v>0</v>
      </c>
      <c r="F29" s="30"/>
      <c r="G29" s="28">
        <f>SUMIFS(JU!$H$180:$H$440,JU!$F$180:$F$440,WS!$A29)</f>
        <v>0</v>
      </c>
      <c r="H29" s="29">
        <f>SUMIFS(JU!$K$180:$K$440,JU!$I$180:$I$440,WS!$A29)</f>
        <v>0</v>
      </c>
      <c r="I29" s="30"/>
      <c r="J29" s="28">
        <f>SUMIFS(JU!$H$441:$H$695,JU!$F$441:$F$695,WS!$A29)</f>
        <v>0</v>
      </c>
      <c r="K29" s="29">
        <f>SUMIFS(JU!$K$441:$K$695,JU!$I$441:$I$695,WS!$A29)</f>
        <v>0</v>
      </c>
      <c r="L29" s="30"/>
      <c r="M29" s="28">
        <f>SUMIFS(JU!$H$696:$H$1062,JU!$F$696:$F$1062,$A29)</f>
        <v>0</v>
      </c>
      <c r="N29" s="29">
        <f>SUMIFS(JU!$K$696:$K$1062,JU!$I$696:$I$1062,WS!$A29)</f>
        <v>0</v>
      </c>
      <c r="O29" s="30"/>
      <c r="P29" s="28">
        <f>SUMIFS(JU!$H$1063:$H$5007,JU!$F$1063:$F$5007,WS!$A29)</f>
        <v>0</v>
      </c>
      <c r="Q29" s="29">
        <f>SUMIFS(JU!$K$1063:$K$5007,JU!$I$1063:$I$5007,WS!$A29)</f>
        <v>0</v>
      </c>
      <c r="R29" s="30"/>
      <c r="S29" s="28">
        <f>SUMIFS(JU!$H$5107:$H$5107,JU!$F$5107:$F$5107,WS!$A29)</f>
        <v>0</v>
      </c>
      <c r="T29" s="29">
        <f>SUMIFS(JU!$K$5107:$K$5107,JU!$I$5107:$I$5107,WS!$A29)</f>
        <v>0</v>
      </c>
      <c r="U29" s="30"/>
      <c r="V29" s="28">
        <f>SUMIFS(JU!$H$5107:$H$5107,JU!$F$5107:$F$5107,WS!$A29)</f>
        <v>0</v>
      </c>
      <c r="W29" s="29">
        <f>SUMIFS(JU!$K$5107:$K$5107,JU!$I$5107:$I$5107,WS!$A29)</f>
        <v>0</v>
      </c>
      <c r="X29" s="30"/>
      <c r="Y29" s="28">
        <f>SUMIFS(JU!$H$5107:$H$5107,JU!$F$5107:$F$5107,WS!$A29)</f>
        <v>0</v>
      </c>
      <c r="Z29" s="29">
        <f>SUMIFS(JU!$K$5107:$K$5107,JU!$I$5107:$I$5107,WS!$A29)</f>
        <v>0</v>
      </c>
      <c r="AA29" s="30"/>
      <c r="AB29" s="28">
        <f>SUMIFS(JU!$H$5107:$H$5107,JU!$F$5107:$F$5107,WS!$A29)</f>
        <v>0</v>
      </c>
      <c r="AC29" s="29">
        <f>SUMIFS(JU!$K$5107:$K$5107,JU!$I$5107:$I$5107,WS!$A29)</f>
        <v>0</v>
      </c>
      <c r="AD29" s="30"/>
      <c r="AE29" s="28">
        <f>SUMIFS(JU!$H$5107:$H$5107,JU!$F$5107:$F$5107,WS!$A29)</f>
        <v>0</v>
      </c>
      <c r="AF29" s="29">
        <f>SUMIFS(JU!$K$5107:$K$5107,JU!$I$5107:$I$5107,WS!$A29)</f>
        <v>0</v>
      </c>
      <c r="AG29" s="30"/>
      <c r="AH29" s="28">
        <f>SUMIFS(JU!$H$5107:$H$5107,JU!$F$5107:$F$5107,WS!$A29)</f>
        <v>0</v>
      </c>
      <c r="AI29" s="29">
        <f>SUMIFS(JU!$K$5107:$K$5107,JU!$I$5107:$I$5107,WS!$A29)</f>
        <v>0</v>
      </c>
      <c r="AJ29" s="30"/>
      <c r="AK29" s="28">
        <f>SUMIFS(JU!$H$5107:$H$5107,JU!$F$5107:$F$5107,WS!$A29)</f>
        <v>0</v>
      </c>
      <c r="AL29" s="29">
        <f>SUMIFS(JU!$K$5107:$K$5107,JU!$I$5107:$I$5107,WS!$A29)</f>
        <v>0</v>
      </c>
      <c r="AM29" s="30"/>
    </row>
    <row r="30" spans="1:41">
      <c r="A30" s="6">
        <v>1301</v>
      </c>
      <c r="B30" s="31" t="s">
        <v>30</v>
      </c>
      <c r="C30" s="32">
        <v>1500000000</v>
      </c>
      <c r="D30" s="28">
        <f>SUMIFS(JU!$H$5:$H$178,JU!$F$5:$F$178,WS!$A30)</f>
        <v>96523717</v>
      </c>
      <c r="E30" s="29">
        <f>SUMIFS(JU!$K$5:$K$178,JU!$I$5:$I$178,WS!$A30)</f>
        <v>0</v>
      </c>
      <c r="F30" s="30">
        <f t="shared" ref="F30:F35" si="44">C30+D30-E30</f>
        <v>1596523717</v>
      </c>
      <c r="G30" s="28">
        <f>SUMIFS(JU!$H$180:$H$440,JU!$F$180:$F$440,WS!$A30)</f>
        <v>1074680000</v>
      </c>
      <c r="H30" s="29">
        <f>SUMIFS(JU!$K$180:$K$440,JU!$I$180:$I$440,WS!$A30)</f>
        <v>0</v>
      </c>
      <c r="I30" s="30">
        <f t="shared" ref="I30:I35" si="45">F30+G30-H30</f>
        <v>2671203717</v>
      </c>
      <c r="J30" s="28">
        <f>SUMIFS(JU!$H$441:$H$695,JU!$F$441:$F$695,WS!$A30)</f>
        <v>1260750000</v>
      </c>
      <c r="K30" s="29">
        <f>SUMIFS(JU!$K$441:$K$695,JU!$I$441:$I$695,WS!$A30)</f>
        <v>0</v>
      </c>
      <c r="L30" s="30">
        <f t="shared" ref="L30:L35" si="46">I30+J30-K30</f>
        <v>3931953717</v>
      </c>
      <c r="M30" s="28">
        <f>SUMIFS(JU!$H$696:$H$1062,JU!$F$696:$F$1062,$A30)</f>
        <v>75400000</v>
      </c>
      <c r="N30" s="29">
        <f>SUMIFS(JU!$K$696:$K$1062,JU!$I$696:$I$1062,WS!$A30)</f>
        <v>0</v>
      </c>
      <c r="O30" s="30">
        <f t="shared" ref="O30:O35" si="47">L30+M30-N30</f>
        <v>4007353717</v>
      </c>
      <c r="P30" s="28">
        <f>SUMIFS(JU!$H$1063:$H$5007,JU!$F$1063:$F$5007,WS!$A30)</f>
        <v>601750000</v>
      </c>
      <c r="Q30" s="29">
        <f>SUMIFS(JU!$K$1063:$K$5007,JU!$I$1063:$I$5007,WS!$A30)</f>
        <v>128000000</v>
      </c>
      <c r="R30" s="30">
        <f t="shared" ref="R30:R35" si="48">O30+P30-Q30</f>
        <v>4481103717</v>
      </c>
      <c r="S30" s="28">
        <f>SUMIFS(JU!$H$5107:$H$5107,JU!$F$5107:$F$5107,WS!$A30)</f>
        <v>0</v>
      </c>
      <c r="T30" s="29">
        <f>SUMIFS(JU!$K$5107:$K$5107,JU!$I$5107:$I$5107,WS!$A30)</f>
        <v>0</v>
      </c>
      <c r="U30" s="30">
        <f t="shared" ref="U30:U35" si="49">R30+S30-T30</f>
        <v>4481103717</v>
      </c>
      <c r="V30" s="28">
        <f>SUMIFS(JU!$H$5107:$H$5107,JU!$F$5107:$F$5107,WS!$A30)</f>
        <v>0</v>
      </c>
      <c r="W30" s="29">
        <f>SUMIFS(JU!$K$5107:$K$5107,JU!$I$5107:$I$5107,WS!$A30)</f>
        <v>0</v>
      </c>
      <c r="X30" s="30">
        <f t="shared" ref="X30:X35" si="50">U30+V30-W30</f>
        <v>4481103717</v>
      </c>
      <c r="Y30" s="28">
        <f>SUMIFS(JU!$H$5107:$H$5107,JU!$F$5107:$F$5107,WS!$A30)</f>
        <v>0</v>
      </c>
      <c r="Z30" s="29">
        <f>SUMIFS(JU!$K$5107:$K$5107,JU!$I$5107:$I$5107,WS!$A30)</f>
        <v>0</v>
      </c>
      <c r="AA30" s="30">
        <f t="shared" ref="AA30:AA35" si="51">X30+Y30-Z30</f>
        <v>4481103717</v>
      </c>
      <c r="AB30" s="28">
        <f>SUMIFS(JU!$H$5107:$H$5107,JU!$F$5107:$F$5107,WS!$A30)</f>
        <v>0</v>
      </c>
      <c r="AC30" s="29">
        <f>SUMIFS(JU!$K$5107:$K$5107,JU!$I$5107:$I$5107,WS!$A30)</f>
        <v>0</v>
      </c>
      <c r="AD30" s="30">
        <f t="shared" ref="AD30:AD35" si="52">AA30+AB30-AC30</f>
        <v>4481103717</v>
      </c>
      <c r="AE30" s="28">
        <f>SUMIFS(JU!$H$5107:$H$5107,JU!$F$5107:$F$5107,WS!$A30)</f>
        <v>0</v>
      </c>
      <c r="AF30" s="29">
        <f>SUMIFS(JU!$K$5107:$K$5107,JU!$I$5107:$I$5107,WS!$A30)</f>
        <v>0</v>
      </c>
      <c r="AG30" s="30">
        <f t="shared" ref="AG30:AG35" si="53">AD30+AE30-AF30</f>
        <v>4481103717</v>
      </c>
      <c r="AH30" s="28">
        <f>SUMIFS(JU!$H$5107:$H$5107,JU!$F$5107:$F$5107,WS!$A30)</f>
        <v>0</v>
      </c>
      <c r="AI30" s="29">
        <f>SUMIFS(JU!$K$5107:$K$5107,JU!$I$5107:$I$5107,WS!$A30)</f>
        <v>0</v>
      </c>
      <c r="AJ30" s="30">
        <f t="shared" ref="AJ30:AJ35" si="54">AG30+AH30-AI30</f>
        <v>4481103717</v>
      </c>
      <c r="AK30" s="28">
        <f>SUMIFS(JU!$H$5107:$H$5107,JU!$F$5107:$F$5107,WS!$A30)</f>
        <v>0</v>
      </c>
      <c r="AL30" s="29">
        <f>SUMIFS(JU!$K$5107:$K$5107,JU!$I$5107:$I$5107,WS!$A30)</f>
        <v>0</v>
      </c>
      <c r="AM30" s="30">
        <f t="shared" ref="AM30:AM35" si="55">AJ30+AK30-AL30</f>
        <v>4481103717</v>
      </c>
    </row>
    <row r="31" spans="1:41">
      <c r="A31" s="6">
        <v>1302</v>
      </c>
      <c r="B31" s="241" t="s">
        <v>31</v>
      </c>
      <c r="C31" s="32">
        <v>0</v>
      </c>
      <c r="D31" s="28">
        <f>SUMIFS(JU!$H$5:$H$178,JU!$F$5:$F$178,WS!$A31)</f>
        <v>213804059</v>
      </c>
      <c r="E31" s="29">
        <f>SUMIFS(JU!$K$5:$K$178,JU!$I$5:$I$178,WS!$A31)</f>
        <v>0</v>
      </c>
      <c r="F31" s="30">
        <f t="shared" si="44"/>
        <v>213804059</v>
      </c>
      <c r="G31" s="28">
        <f>SUMIFS(JU!$H$180:$H$440,JU!$F$180:$F$440,WS!$A31)</f>
        <v>484664450</v>
      </c>
      <c r="H31" s="29">
        <f>SUMIFS(JU!$K$180:$K$440,JU!$I$180:$I$440,WS!$A31)</f>
        <v>195200000</v>
      </c>
      <c r="I31" s="30">
        <f t="shared" si="45"/>
        <v>503268509</v>
      </c>
      <c r="J31" s="28">
        <f>SUMIFS(JU!$H$441:$H$695,JU!$F$441:$F$695,WS!$A31)</f>
        <v>731465000</v>
      </c>
      <c r="K31" s="29">
        <f>SUMIFS(JU!$K$441:$K$695,JU!$I$441:$I$695,WS!$A31)</f>
        <v>195000000</v>
      </c>
      <c r="L31" s="30">
        <f t="shared" si="46"/>
        <v>1039733509</v>
      </c>
      <c r="M31" s="28">
        <f>SUMIFS(JU!$H$696:$H$1062,JU!$F$696:$F$1062,$A31)</f>
        <v>618415100</v>
      </c>
      <c r="N31" s="29">
        <f>SUMIFS(JU!$K$696:$K$1062,JU!$I$696:$I$1062,WS!$A31)</f>
        <v>780000000</v>
      </c>
      <c r="O31" s="30">
        <f t="shared" si="47"/>
        <v>878148609</v>
      </c>
      <c r="P31" s="28">
        <f>SUMIFS(JU!$H$1063:$H$5007,JU!$F$1063:$F$5007,WS!$A31)</f>
        <v>889295500</v>
      </c>
      <c r="Q31" s="29">
        <f>SUMIFS(JU!$K$1063:$K$5007,JU!$I$1063:$I$5007,WS!$A31)</f>
        <v>863600000</v>
      </c>
      <c r="R31" s="30">
        <f t="shared" si="48"/>
        <v>903844109</v>
      </c>
      <c r="S31" s="28">
        <f>SUMIFS(JU!$H$5107:$H$5107,JU!$F$5107:$F$5107,WS!$A31)</f>
        <v>0</v>
      </c>
      <c r="T31" s="29">
        <f>SUMIFS(JU!$K$5107:$K$5107,JU!$I$5107:$I$5107,WS!$A31)</f>
        <v>0</v>
      </c>
      <c r="U31" s="30">
        <f t="shared" si="49"/>
        <v>903844109</v>
      </c>
      <c r="V31" s="28">
        <f>SUMIFS(JU!$H$5107:$H$5107,JU!$F$5107:$F$5107,WS!$A31)</f>
        <v>0</v>
      </c>
      <c r="W31" s="29">
        <f>SUMIFS(JU!$K$5107:$K$5107,JU!$I$5107:$I$5107,WS!$A31)</f>
        <v>0</v>
      </c>
      <c r="X31" s="30">
        <f t="shared" si="50"/>
        <v>903844109</v>
      </c>
      <c r="Y31" s="28">
        <f>SUMIFS(JU!$H$5107:$H$5107,JU!$F$5107:$F$5107,WS!$A31)</f>
        <v>0</v>
      </c>
      <c r="Z31" s="29">
        <f>SUMIFS(JU!$K$5107:$K$5107,JU!$I$5107:$I$5107,WS!$A31)</f>
        <v>0</v>
      </c>
      <c r="AA31" s="30">
        <f t="shared" si="51"/>
        <v>903844109</v>
      </c>
      <c r="AB31" s="28">
        <f>SUMIFS(JU!$H$5107:$H$5107,JU!$F$5107:$F$5107,WS!$A31)</f>
        <v>0</v>
      </c>
      <c r="AC31" s="29">
        <f>SUMIFS(JU!$K$5107:$K$5107,JU!$I$5107:$I$5107,WS!$A31)</f>
        <v>0</v>
      </c>
      <c r="AD31" s="30">
        <f t="shared" si="52"/>
        <v>903844109</v>
      </c>
      <c r="AE31" s="28">
        <f>SUMIFS(JU!$H$5107:$H$5107,JU!$F$5107:$F$5107,WS!$A31)</f>
        <v>0</v>
      </c>
      <c r="AF31" s="29">
        <f>SUMIFS(JU!$K$5107:$K$5107,JU!$I$5107:$I$5107,WS!$A31)</f>
        <v>0</v>
      </c>
      <c r="AG31" s="30">
        <f t="shared" si="53"/>
        <v>903844109</v>
      </c>
      <c r="AH31" s="28">
        <f>SUMIFS(JU!$H$5107:$H$5107,JU!$F$5107:$F$5107,WS!$A31)</f>
        <v>0</v>
      </c>
      <c r="AI31" s="29">
        <f>SUMIFS(JU!$K$5107:$K$5107,JU!$I$5107:$I$5107,WS!$A31)</f>
        <v>0</v>
      </c>
      <c r="AJ31" s="30">
        <f t="shared" si="54"/>
        <v>903844109</v>
      </c>
      <c r="AK31" s="28">
        <f>SUMIFS(JU!$H$5107:$H$5107,JU!$F$5107:$F$5107,WS!$A31)</f>
        <v>0</v>
      </c>
      <c r="AL31" s="29">
        <f>SUMIFS(JU!$K$5107:$K$5107,JU!$I$5107:$I$5107,WS!$A31)</f>
        <v>0</v>
      </c>
      <c r="AM31" s="30">
        <f t="shared" si="55"/>
        <v>903844109</v>
      </c>
    </row>
    <row r="32" spans="1:41">
      <c r="A32" s="6">
        <v>1303</v>
      </c>
      <c r="B32" s="31" t="s">
        <v>32</v>
      </c>
      <c r="C32" s="32">
        <v>1025000003</v>
      </c>
      <c r="D32" s="28">
        <f>SUMIFS(JU!$H$5:$H$178,JU!$F$5:$F$178,WS!$A32)</f>
        <v>0</v>
      </c>
      <c r="E32" s="29">
        <f>SUMIFS(JU!$K$5:$K$178,JU!$I$5:$I$178,WS!$A32)</f>
        <v>0</v>
      </c>
      <c r="F32" s="30">
        <f t="shared" si="44"/>
        <v>1025000003</v>
      </c>
      <c r="G32" s="28">
        <f>SUMIFS(JU!$H$180:$H$440,JU!$F$180:$F$440,WS!$A32)</f>
        <v>0</v>
      </c>
      <c r="H32" s="29">
        <f>SUMIFS(JU!$K$180:$K$440,JU!$I$180:$I$440,WS!$A32)</f>
        <v>0</v>
      </c>
      <c r="I32" s="30">
        <f t="shared" si="45"/>
        <v>1025000003</v>
      </c>
      <c r="J32" s="28">
        <f>SUMIFS(JU!$H$441:$H$695,JU!$F$441:$F$695,WS!$A32)</f>
        <v>0</v>
      </c>
      <c r="K32" s="29">
        <f>SUMIFS(JU!$K$441:$K$695,JU!$I$441:$I$695,WS!$A32)</f>
        <v>0</v>
      </c>
      <c r="L32" s="30">
        <f t="shared" si="46"/>
        <v>1025000003</v>
      </c>
      <c r="M32" s="28">
        <f>SUMIFS(JU!$H$696:$H$1062,JU!$F$696:$F$1062,$A32)</f>
        <v>0</v>
      </c>
      <c r="N32" s="29">
        <f>SUMIFS(JU!$K$696:$K$1062,JU!$I$696:$I$1062,WS!$A32)</f>
        <v>0</v>
      </c>
      <c r="O32" s="30">
        <f t="shared" si="47"/>
        <v>1025000003</v>
      </c>
      <c r="P32" s="28">
        <f>SUMIFS(JU!$H$1063:$H$5007,JU!$F$1063:$F$5007,WS!$A32)</f>
        <v>0</v>
      </c>
      <c r="Q32" s="29">
        <f>SUMIFS(JU!$K$1063:$K$5007,JU!$I$1063:$I$5007,WS!$A32)</f>
        <v>0</v>
      </c>
      <c r="R32" s="30">
        <f t="shared" si="48"/>
        <v>1025000003</v>
      </c>
      <c r="S32" s="28">
        <f>SUMIFS(JU!$H$5107:$H$5107,JU!$F$5107:$F$5107,WS!$A32)</f>
        <v>0</v>
      </c>
      <c r="T32" s="29">
        <f>SUMIFS(JU!$K$5107:$K$5107,JU!$I$5107:$I$5107,WS!$A32)</f>
        <v>0</v>
      </c>
      <c r="U32" s="30">
        <f t="shared" si="49"/>
        <v>1025000003</v>
      </c>
      <c r="V32" s="28">
        <f>SUMIFS(JU!$H$5107:$H$5107,JU!$F$5107:$F$5107,WS!$A32)</f>
        <v>0</v>
      </c>
      <c r="W32" s="29">
        <f>SUMIFS(JU!$K$5107:$K$5107,JU!$I$5107:$I$5107,WS!$A32)</f>
        <v>0</v>
      </c>
      <c r="X32" s="30">
        <f t="shared" si="50"/>
        <v>1025000003</v>
      </c>
      <c r="Y32" s="28">
        <f>SUMIFS(JU!$H$5107:$H$5107,JU!$F$5107:$F$5107,WS!$A32)</f>
        <v>0</v>
      </c>
      <c r="Z32" s="29">
        <f>SUMIFS(JU!$K$5107:$K$5107,JU!$I$5107:$I$5107,WS!$A32)</f>
        <v>0</v>
      </c>
      <c r="AA32" s="30">
        <f t="shared" si="51"/>
        <v>1025000003</v>
      </c>
      <c r="AB32" s="28">
        <f>SUMIFS(JU!$H$5107:$H$5107,JU!$F$5107:$F$5107,WS!$A32)</f>
        <v>0</v>
      </c>
      <c r="AC32" s="29">
        <f>SUMIFS(JU!$K$5107:$K$5107,JU!$I$5107:$I$5107,WS!$A32)</f>
        <v>0</v>
      </c>
      <c r="AD32" s="30">
        <f t="shared" si="52"/>
        <v>1025000003</v>
      </c>
      <c r="AE32" s="28">
        <f>SUMIFS(JU!$H$5107:$H$5107,JU!$F$5107:$F$5107,WS!$A32)</f>
        <v>0</v>
      </c>
      <c r="AF32" s="29">
        <f>SUMIFS(JU!$K$5107:$K$5107,JU!$I$5107:$I$5107,WS!$A32)</f>
        <v>0</v>
      </c>
      <c r="AG32" s="30">
        <f t="shared" si="53"/>
        <v>1025000003</v>
      </c>
      <c r="AH32" s="28">
        <f>SUMIFS(JU!$H$5107:$H$5107,JU!$F$5107:$F$5107,WS!$A32)</f>
        <v>0</v>
      </c>
      <c r="AI32" s="29">
        <f>SUMIFS(JU!$K$5107:$K$5107,JU!$I$5107:$I$5107,WS!$A32)</f>
        <v>0</v>
      </c>
      <c r="AJ32" s="30">
        <f t="shared" si="54"/>
        <v>1025000003</v>
      </c>
      <c r="AK32" s="28">
        <f>SUMIFS(JU!$H$5107:$H$5107,JU!$F$5107:$F$5107,WS!$A32)</f>
        <v>0</v>
      </c>
      <c r="AL32" s="29">
        <f>SUMIFS(JU!$K$5107:$K$5107,JU!$I$5107:$I$5107,WS!$A32)</f>
        <v>0</v>
      </c>
      <c r="AM32" s="30">
        <f t="shared" si="55"/>
        <v>1025000003</v>
      </c>
    </row>
    <row r="33" spans="1:39">
      <c r="A33" s="6">
        <v>1304</v>
      </c>
      <c r="B33" s="31" t="s">
        <v>189</v>
      </c>
      <c r="C33" s="32">
        <v>0</v>
      </c>
      <c r="D33" s="28">
        <f>SUMIFS(JU!$H$5:$H$178,JU!$F$5:$F$178,WS!$A33)</f>
        <v>0</v>
      </c>
      <c r="E33" s="29">
        <f>SUMIFS(JU!$K$5:$K$178,JU!$I$5:$I$178,WS!$A33)</f>
        <v>0</v>
      </c>
      <c r="F33" s="30">
        <f t="shared" si="44"/>
        <v>0</v>
      </c>
      <c r="G33" s="28">
        <f>SUMIFS(JU!$H$180:$H$440,JU!$F$180:$F$440,WS!$A33)</f>
        <v>0</v>
      </c>
      <c r="H33" s="29">
        <f>SUMIFS(JU!$K$180:$K$440,JU!$I$180:$I$440,WS!$A33)</f>
        <v>0</v>
      </c>
      <c r="I33" s="30">
        <f t="shared" si="45"/>
        <v>0</v>
      </c>
      <c r="J33" s="28">
        <f>SUMIFS(JU!$H$441:$H$695,JU!$F$441:$F$695,WS!$A33)</f>
        <v>0</v>
      </c>
      <c r="K33" s="29">
        <f>SUMIFS(JU!$K$441:$K$695,JU!$I$441:$I$695,WS!$A33)</f>
        <v>0</v>
      </c>
      <c r="L33" s="30">
        <f t="shared" si="46"/>
        <v>0</v>
      </c>
      <c r="M33" s="28">
        <f>SUMIFS(JU!$H$696:$H$1062,JU!$F$696:$F$1062,$A33)</f>
        <v>0</v>
      </c>
      <c r="N33" s="29">
        <f>SUMIFS(JU!$K$696:$K$1062,JU!$I$696:$I$1062,WS!$A33)</f>
        <v>0</v>
      </c>
      <c r="O33" s="30">
        <f t="shared" si="47"/>
        <v>0</v>
      </c>
      <c r="P33" s="28">
        <f>SUMIFS(JU!$H$1063:$H$5007,JU!$F$1063:$F$5007,WS!$A33)</f>
        <v>0</v>
      </c>
      <c r="Q33" s="29">
        <f>SUMIFS(JU!$K$1063:$K$5007,JU!$I$1063:$I$5007,WS!$A33)</f>
        <v>0</v>
      </c>
      <c r="R33" s="30">
        <f t="shared" si="48"/>
        <v>0</v>
      </c>
      <c r="S33" s="28">
        <f>SUMIFS(JU!$H$5107:$H$5107,JU!$F$5107:$F$5107,WS!$A33)</f>
        <v>0</v>
      </c>
      <c r="T33" s="29">
        <f>SUMIFS(JU!$K$5107:$K$5107,JU!$I$5107:$I$5107,WS!$A33)</f>
        <v>0</v>
      </c>
      <c r="U33" s="30">
        <f t="shared" si="49"/>
        <v>0</v>
      </c>
      <c r="V33" s="28">
        <f>SUMIFS(JU!$H$5107:$H$5107,JU!$F$5107:$F$5107,WS!$A33)</f>
        <v>0</v>
      </c>
      <c r="W33" s="29">
        <f>SUMIFS(JU!$K$5107:$K$5107,JU!$I$5107:$I$5107,WS!$A33)</f>
        <v>0</v>
      </c>
      <c r="X33" s="30">
        <f t="shared" si="50"/>
        <v>0</v>
      </c>
      <c r="Y33" s="28">
        <f>SUMIFS(JU!$H$5107:$H$5107,JU!$F$5107:$F$5107,WS!$A33)</f>
        <v>0</v>
      </c>
      <c r="Z33" s="29">
        <f>SUMIFS(JU!$K$5107:$K$5107,JU!$I$5107:$I$5107,WS!$A33)</f>
        <v>0</v>
      </c>
      <c r="AA33" s="30">
        <f t="shared" si="51"/>
        <v>0</v>
      </c>
      <c r="AB33" s="28">
        <f>SUMIFS(JU!$H$5107:$H$5107,JU!$F$5107:$F$5107,WS!$A33)</f>
        <v>0</v>
      </c>
      <c r="AC33" s="29">
        <f>SUMIFS(JU!$K$5107:$K$5107,JU!$I$5107:$I$5107,WS!$A33)</f>
        <v>0</v>
      </c>
      <c r="AD33" s="30">
        <f t="shared" si="52"/>
        <v>0</v>
      </c>
      <c r="AE33" s="28">
        <f>SUMIFS(JU!$H$5107:$H$5107,JU!$F$5107:$F$5107,WS!$A33)</f>
        <v>0</v>
      </c>
      <c r="AF33" s="29">
        <f>SUMIFS(JU!$K$5107:$K$5107,JU!$I$5107:$I$5107,WS!$A33)</f>
        <v>0</v>
      </c>
      <c r="AG33" s="30">
        <f t="shared" si="53"/>
        <v>0</v>
      </c>
      <c r="AH33" s="28">
        <f>SUMIFS(JU!$H$5107:$H$5107,JU!$F$5107:$F$5107,WS!$A33)</f>
        <v>0</v>
      </c>
      <c r="AI33" s="29">
        <f>SUMIFS(JU!$K$5107:$K$5107,JU!$I$5107:$I$5107,WS!$A33)</f>
        <v>0</v>
      </c>
      <c r="AJ33" s="30">
        <f t="shared" si="54"/>
        <v>0</v>
      </c>
      <c r="AK33" s="28">
        <f>SUMIFS(JU!$H$5107:$H$5107,JU!$F$5107:$F$5107,WS!$A33)</f>
        <v>0</v>
      </c>
      <c r="AL33" s="29">
        <f>SUMIFS(JU!$K$5107:$K$5107,JU!$I$5107:$I$5107,WS!$A33)</f>
        <v>0</v>
      </c>
      <c r="AM33" s="30">
        <f t="shared" si="55"/>
        <v>0</v>
      </c>
    </row>
    <row r="34" spans="1:39">
      <c r="A34" s="6">
        <v>1305</v>
      </c>
      <c r="B34" s="31" t="s">
        <v>190</v>
      </c>
      <c r="C34" s="32">
        <v>0</v>
      </c>
      <c r="D34" s="28">
        <f>SUMIFS(JU!$H$5:$H$178,JU!$F$5:$F$178,WS!$A34)</f>
        <v>0</v>
      </c>
      <c r="E34" s="29">
        <f>SUMIFS(JU!$K$5:$K$178,JU!$I$5:$I$178,WS!$A34)</f>
        <v>0</v>
      </c>
      <c r="F34" s="30">
        <f t="shared" si="44"/>
        <v>0</v>
      </c>
      <c r="G34" s="28">
        <f>SUMIFS(JU!$H$180:$H$440,JU!$F$180:$F$440,WS!$A34)</f>
        <v>0</v>
      </c>
      <c r="H34" s="29">
        <f>SUMIFS(JU!$K$180:$K$440,JU!$I$180:$I$440,WS!$A34)</f>
        <v>0</v>
      </c>
      <c r="I34" s="30">
        <f t="shared" si="45"/>
        <v>0</v>
      </c>
      <c r="J34" s="28">
        <f>SUMIFS(JU!$H$441:$H$695,JU!$F$441:$F$695,WS!$A34)</f>
        <v>0</v>
      </c>
      <c r="K34" s="29">
        <f>SUMIFS(JU!$K$441:$K$695,JU!$I$441:$I$695,WS!$A34)</f>
        <v>0</v>
      </c>
      <c r="L34" s="30">
        <f t="shared" si="46"/>
        <v>0</v>
      </c>
      <c r="M34" s="28">
        <f>SUMIFS(JU!$H$696:$H$1062,JU!$F$696:$F$1062,$A34)</f>
        <v>0</v>
      </c>
      <c r="N34" s="29">
        <f>SUMIFS(JU!$K$696:$K$1062,JU!$I$696:$I$1062,WS!$A34)</f>
        <v>0</v>
      </c>
      <c r="O34" s="30">
        <f t="shared" si="47"/>
        <v>0</v>
      </c>
      <c r="P34" s="28">
        <f>SUMIFS(JU!$H$1063:$H$5007,JU!$F$1063:$F$5007,WS!$A34)</f>
        <v>0</v>
      </c>
      <c r="Q34" s="29">
        <f>SUMIFS(JU!$K$1063:$K$5007,JU!$I$1063:$I$5007,WS!$A34)</f>
        <v>0</v>
      </c>
      <c r="R34" s="30">
        <f t="shared" si="48"/>
        <v>0</v>
      </c>
      <c r="S34" s="28">
        <f>SUMIFS(JU!$H$5107:$H$5107,JU!$F$5107:$F$5107,WS!$A34)</f>
        <v>0</v>
      </c>
      <c r="T34" s="29">
        <f>SUMIFS(JU!$K$5107:$K$5107,JU!$I$5107:$I$5107,WS!$A34)</f>
        <v>0</v>
      </c>
      <c r="U34" s="30">
        <f t="shared" si="49"/>
        <v>0</v>
      </c>
      <c r="V34" s="28">
        <f>SUMIFS(JU!$H$5107:$H$5107,JU!$F$5107:$F$5107,WS!$A34)</f>
        <v>0</v>
      </c>
      <c r="W34" s="29">
        <f>SUMIFS(JU!$K$5107:$K$5107,JU!$I$5107:$I$5107,WS!$A34)</f>
        <v>0</v>
      </c>
      <c r="X34" s="30">
        <f t="shared" si="50"/>
        <v>0</v>
      </c>
      <c r="Y34" s="28">
        <f>SUMIFS(JU!$H$5107:$H$5107,JU!$F$5107:$F$5107,WS!$A34)</f>
        <v>0</v>
      </c>
      <c r="Z34" s="29">
        <f>SUMIFS(JU!$K$5107:$K$5107,JU!$I$5107:$I$5107,WS!$A34)</f>
        <v>0</v>
      </c>
      <c r="AA34" s="30">
        <f t="shared" si="51"/>
        <v>0</v>
      </c>
      <c r="AB34" s="28">
        <f>SUMIFS(JU!$H$5107:$H$5107,JU!$F$5107:$F$5107,WS!$A34)</f>
        <v>0</v>
      </c>
      <c r="AC34" s="29">
        <f>SUMIFS(JU!$K$5107:$K$5107,JU!$I$5107:$I$5107,WS!$A34)</f>
        <v>0</v>
      </c>
      <c r="AD34" s="30">
        <f t="shared" si="52"/>
        <v>0</v>
      </c>
      <c r="AE34" s="28">
        <f>SUMIFS(JU!$H$5107:$H$5107,JU!$F$5107:$F$5107,WS!$A34)</f>
        <v>0</v>
      </c>
      <c r="AF34" s="29">
        <f>SUMIFS(JU!$K$5107:$K$5107,JU!$I$5107:$I$5107,WS!$A34)</f>
        <v>0</v>
      </c>
      <c r="AG34" s="30">
        <f t="shared" si="53"/>
        <v>0</v>
      </c>
      <c r="AH34" s="28">
        <f>SUMIFS(JU!$H$5107:$H$5107,JU!$F$5107:$F$5107,WS!$A34)</f>
        <v>0</v>
      </c>
      <c r="AI34" s="29">
        <f>SUMIFS(JU!$K$5107:$K$5107,JU!$I$5107:$I$5107,WS!$A34)</f>
        <v>0</v>
      </c>
      <c r="AJ34" s="30">
        <f t="shared" si="54"/>
        <v>0</v>
      </c>
      <c r="AK34" s="28">
        <f>SUMIFS(JU!$H$5107:$H$5107,JU!$F$5107:$F$5107,WS!$A34)</f>
        <v>0</v>
      </c>
      <c r="AL34" s="29">
        <f>SUMIFS(JU!$K$5107:$K$5107,JU!$I$5107:$I$5107,WS!$A34)</f>
        <v>0</v>
      </c>
      <c r="AM34" s="30">
        <f t="shared" si="55"/>
        <v>0</v>
      </c>
    </row>
    <row r="35" spans="1:39">
      <c r="A35" s="6">
        <v>1306</v>
      </c>
      <c r="B35" s="31" t="s">
        <v>191</v>
      </c>
      <c r="C35" s="32">
        <v>0</v>
      </c>
      <c r="D35" s="28">
        <f>SUMIFS(JU!$H$5:$H$178,JU!$F$5:$F$178,WS!$A35)</f>
        <v>0</v>
      </c>
      <c r="E35" s="29">
        <f>SUMIFS(JU!$K$5:$K$178,JU!$I$5:$I$178,WS!$A35)</f>
        <v>0</v>
      </c>
      <c r="F35" s="30">
        <f t="shared" si="44"/>
        <v>0</v>
      </c>
      <c r="G35" s="28">
        <f>SUMIFS(JU!$H$180:$H$440,JU!$F$180:$F$440,WS!$A35)</f>
        <v>0</v>
      </c>
      <c r="H35" s="29">
        <f>SUMIFS(JU!$K$180:$K$440,JU!$I$180:$I$440,WS!$A35)</f>
        <v>0</v>
      </c>
      <c r="I35" s="30">
        <f t="shared" si="45"/>
        <v>0</v>
      </c>
      <c r="J35" s="28">
        <f>SUMIFS(JU!$H$441:$H$695,JU!$F$441:$F$695,WS!$A35)</f>
        <v>0</v>
      </c>
      <c r="K35" s="29">
        <f>SUMIFS(JU!$K$441:$K$695,JU!$I$441:$I$695,WS!$A35)</f>
        <v>0</v>
      </c>
      <c r="L35" s="30">
        <f t="shared" si="46"/>
        <v>0</v>
      </c>
      <c r="M35" s="28">
        <f>SUMIFS(JU!$H$696:$H$1062,JU!$F$696:$F$1062,$A35)</f>
        <v>0</v>
      </c>
      <c r="N35" s="29">
        <f>SUMIFS(JU!$K$696:$K$1062,JU!$I$696:$I$1062,WS!$A35)</f>
        <v>0</v>
      </c>
      <c r="O35" s="30">
        <f t="shared" si="47"/>
        <v>0</v>
      </c>
      <c r="P35" s="28">
        <f>SUMIFS(JU!$H$1063:$H$5007,JU!$F$1063:$F$5007,WS!$A35)</f>
        <v>0</v>
      </c>
      <c r="Q35" s="29">
        <f>SUMIFS(JU!$K$1063:$K$5007,JU!$I$1063:$I$5007,WS!$A35)</f>
        <v>0</v>
      </c>
      <c r="R35" s="30">
        <f t="shared" si="48"/>
        <v>0</v>
      </c>
      <c r="S35" s="28">
        <f>SUMIFS(JU!$H$5107:$H$5107,JU!$F$5107:$F$5107,WS!$A35)</f>
        <v>0</v>
      </c>
      <c r="T35" s="29">
        <f>SUMIFS(JU!$K$5107:$K$5107,JU!$I$5107:$I$5107,WS!$A35)</f>
        <v>0</v>
      </c>
      <c r="U35" s="30">
        <f t="shared" si="49"/>
        <v>0</v>
      </c>
      <c r="V35" s="28">
        <f>SUMIFS(JU!$H$5107:$H$5107,JU!$F$5107:$F$5107,WS!$A35)</f>
        <v>0</v>
      </c>
      <c r="W35" s="29">
        <f>SUMIFS(JU!$K$5107:$K$5107,JU!$I$5107:$I$5107,WS!$A35)</f>
        <v>0</v>
      </c>
      <c r="X35" s="30">
        <f t="shared" si="50"/>
        <v>0</v>
      </c>
      <c r="Y35" s="28">
        <f>SUMIFS(JU!$H$5107:$H$5107,JU!$F$5107:$F$5107,WS!$A35)</f>
        <v>0</v>
      </c>
      <c r="Z35" s="29">
        <f>SUMIFS(JU!$K$5107:$K$5107,JU!$I$5107:$I$5107,WS!$A35)</f>
        <v>0</v>
      </c>
      <c r="AA35" s="30">
        <f t="shared" si="51"/>
        <v>0</v>
      </c>
      <c r="AB35" s="28">
        <f>SUMIFS(JU!$H$5107:$H$5107,JU!$F$5107:$F$5107,WS!$A35)</f>
        <v>0</v>
      </c>
      <c r="AC35" s="29">
        <f>SUMIFS(JU!$K$5107:$K$5107,JU!$I$5107:$I$5107,WS!$A35)</f>
        <v>0</v>
      </c>
      <c r="AD35" s="30">
        <f t="shared" si="52"/>
        <v>0</v>
      </c>
      <c r="AE35" s="28">
        <f>SUMIFS(JU!$H$5107:$H$5107,JU!$F$5107:$F$5107,WS!$A35)</f>
        <v>0</v>
      </c>
      <c r="AF35" s="29">
        <f>SUMIFS(JU!$K$5107:$K$5107,JU!$I$5107:$I$5107,WS!$A35)</f>
        <v>0</v>
      </c>
      <c r="AG35" s="30">
        <f t="shared" si="53"/>
        <v>0</v>
      </c>
      <c r="AH35" s="28">
        <f>SUMIFS(JU!$H$5107:$H$5107,JU!$F$5107:$F$5107,WS!$A35)</f>
        <v>0</v>
      </c>
      <c r="AI35" s="29">
        <f>SUMIFS(JU!$K$5107:$K$5107,JU!$I$5107:$I$5107,WS!$A35)</f>
        <v>0</v>
      </c>
      <c r="AJ35" s="30">
        <f t="shared" si="54"/>
        <v>0</v>
      </c>
      <c r="AK35" s="28">
        <f>SUMIFS(JU!$H$5107:$H$5107,JU!$F$5107:$F$5107,WS!$A35)</f>
        <v>0</v>
      </c>
      <c r="AL35" s="29">
        <f>SUMIFS(JU!$K$5107:$K$5107,JU!$I$5107:$I$5107,WS!$A35)</f>
        <v>0</v>
      </c>
      <c r="AM35" s="30">
        <f t="shared" si="55"/>
        <v>0</v>
      </c>
    </row>
    <row r="36" spans="1:39">
      <c r="A36" s="287" t="s">
        <v>210</v>
      </c>
      <c r="B36" s="287"/>
      <c r="C36" s="36">
        <v>2525000003</v>
      </c>
      <c r="D36" s="28">
        <f>SUMIFS(JU!$H$5:$H$178,JU!$F$5:$F$178,WS!$A36)</f>
        <v>0</v>
      </c>
      <c r="E36" s="29">
        <f>SUMIFS(JU!$K$5:$K$178,JU!$I$5:$I$178,WS!$A36)</f>
        <v>0</v>
      </c>
      <c r="F36" s="36">
        <f>SUM(F30:F35)</f>
        <v>2835327779</v>
      </c>
      <c r="G36" s="28">
        <f>SUMIFS(JU!$H$180:$H$440,JU!$F$180:$F$440,WS!$A36)</f>
        <v>0</v>
      </c>
      <c r="H36" s="29">
        <f>SUMIFS(JU!$K$180:$K$440,JU!$I$180:$I$440,WS!$A36)</f>
        <v>0</v>
      </c>
      <c r="I36" s="36">
        <f>SUM(I30:I35)</f>
        <v>4199472229</v>
      </c>
      <c r="J36" s="28">
        <f>SUMIFS(JU!$H$441:$H$695,JU!$F$441:$F$695,WS!$A36)</f>
        <v>0</v>
      </c>
      <c r="K36" s="29">
        <f>SUMIFS(JU!$K$441:$K$695,JU!$I$441:$I$695,WS!$A36)</f>
        <v>0</v>
      </c>
      <c r="L36" s="36">
        <f>SUM(L30:L35)</f>
        <v>5996687229</v>
      </c>
      <c r="M36" s="28">
        <f>SUMIFS(JU!$H$696:$H$1062,JU!$F$696:$F$1062,$A36)</f>
        <v>0</v>
      </c>
      <c r="N36" s="29">
        <f>SUMIFS(JU!$K$696:$K$1062,JU!$I$696:$I$1062,WS!$A36)</f>
        <v>0</v>
      </c>
      <c r="O36" s="36">
        <f>SUM(O30:O35)</f>
        <v>5910502329</v>
      </c>
      <c r="P36" s="28">
        <f>SUMIFS(JU!$H$1063:$H$5007,JU!$F$1063:$F$5007,WS!$A36)</f>
        <v>0</v>
      </c>
      <c r="Q36" s="29">
        <f>SUMIFS(JU!$K$1063:$K$5007,JU!$I$1063:$I$5007,WS!$A36)</f>
        <v>0</v>
      </c>
      <c r="R36" s="36">
        <f>SUM(R30:R35)</f>
        <v>6409947829</v>
      </c>
      <c r="S36" s="28">
        <f>SUMIFS(JU!$H$5107:$H$5107,JU!$F$5107:$F$5107,WS!$A36)</f>
        <v>0</v>
      </c>
      <c r="T36" s="29">
        <f>SUMIFS(JU!$K$5107:$K$5107,JU!$I$5107:$I$5107,WS!$A36)</f>
        <v>0</v>
      </c>
      <c r="U36" s="36">
        <f>SUM(U30:U35)</f>
        <v>6409947829</v>
      </c>
      <c r="V36" s="28">
        <f>SUMIFS(JU!$H$5107:$H$5107,JU!$F$5107:$F$5107,WS!$A36)</f>
        <v>0</v>
      </c>
      <c r="W36" s="29">
        <f>SUMIFS(JU!$K$5107:$K$5107,JU!$I$5107:$I$5107,WS!$A36)</f>
        <v>0</v>
      </c>
      <c r="X36" s="36">
        <f>SUM(X30:X35)</f>
        <v>6409947829</v>
      </c>
      <c r="Y36" s="28">
        <f>SUMIFS(JU!$H$5107:$H$5107,JU!$F$5107:$F$5107,WS!$A36)</f>
        <v>0</v>
      </c>
      <c r="Z36" s="29">
        <f>SUMIFS(JU!$K$5107:$K$5107,JU!$I$5107:$I$5107,WS!$A36)</f>
        <v>0</v>
      </c>
      <c r="AA36" s="36">
        <f>SUM(AA30:AA35)</f>
        <v>6409947829</v>
      </c>
      <c r="AB36" s="28">
        <f>SUMIFS(JU!$H$5107:$H$5107,JU!$F$5107:$F$5107,WS!$A36)</f>
        <v>0</v>
      </c>
      <c r="AC36" s="29">
        <f>SUMIFS(JU!$K$5107:$K$5107,JU!$I$5107:$I$5107,WS!$A36)</f>
        <v>0</v>
      </c>
      <c r="AD36" s="36">
        <f>SUM(AD30:AD35)</f>
        <v>6409947829</v>
      </c>
      <c r="AE36" s="28">
        <f>SUMIFS(JU!$H$5107:$H$5107,JU!$F$5107:$F$5107,WS!$A36)</f>
        <v>0</v>
      </c>
      <c r="AF36" s="29">
        <f>SUMIFS(JU!$K$5107:$K$5107,JU!$I$5107:$I$5107,WS!$A36)</f>
        <v>0</v>
      </c>
      <c r="AG36" s="36">
        <f>SUM(AG30:AG35)</f>
        <v>6409947829</v>
      </c>
      <c r="AH36" s="28">
        <f>SUMIFS(JU!$H$5107:$H$5107,JU!$F$5107:$F$5107,WS!$A36)</f>
        <v>0</v>
      </c>
      <c r="AI36" s="29">
        <f>SUMIFS(JU!$K$5107:$K$5107,JU!$I$5107:$I$5107,WS!$A36)</f>
        <v>0</v>
      </c>
      <c r="AJ36" s="36">
        <f t="shared" ref="AJ36" si="56">SUM(AJ30:AJ35)</f>
        <v>6409947829</v>
      </c>
      <c r="AK36" s="28">
        <f>SUMIFS(JU!$H$5107:$H$5107,JU!$F$5107:$F$5107,WS!$A36)</f>
        <v>0</v>
      </c>
      <c r="AL36" s="29">
        <f>SUMIFS(JU!$K$5107:$K$5107,JU!$I$5107:$I$5107,WS!$A36)</f>
        <v>0</v>
      </c>
      <c r="AM36" s="36">
        <f t="shared" ref="AM36" si="57">SUM(AM30:AM35)</f>
        <v>6409947829</v>
      </c>
    </row>
    <row r="37" spans="1:39">
      <c r="A37" s="287" t="s">
        <v>212</v>
      </c>
      <c r="B37" s="287"/>
      <c r="C37" s="36">
        <v>4428766098.1999998</v>
      </c>
      <c r="D37" s="28">
        <f>SUMIFS(JU!$H$5:$H$178,JU!$F$5:$F$178,WS!$A37)</f>
        <v>0</v>
      </c>
      <c r="E37" s="29">
        <f>SUMIFS(JU!$K$5:$K$178,JU!$I$5:$I$178,WS!$A37)</f>
        <v>0</v>
      </c>
      <c r="F37" s="36">
        <f>F18+F28+F36</f>
        <v>4313264558.1999998</v>
      </c>
      <c r="G37" s="28">
        <f>SUMIFS(JU!$H$180:$H$440,JU!$F$180:$F$440,WS!$A37)</f>
        <v>0</v>
      </c>
      <c r="H37" s="29">
        <f>SUMIFS(JU!$K$180:$K$440,JU!$I$180:$I$440,WS!$A37)</f>
        <v>0</v>
      </c>
      <c r="I37" s="36">
        <f>I18+I28+I36</f>
        <v>5875280405.1999998</v>
      </c>
      <c r="J37" s="28">
        <f>SUMIFS(JU!$H$441:$H$695,JU!$F$441:$F$695,WS!$A37)</f>
        <v>0</v>
      </c>
      <c r="K37" s="29">
        <f>SUMIFS(JU!$K$441:$K$695,JU!$I$441:$I$695,WS!$A37)</f>
        <v>0</v>
      </c>
      <c r="L37" s="36">
        <f>L18+L28+L36</f>
        <v>8636847330.2000008</v>
      </c>
      <c r="M37" s="28">
        <f>SUMIFS(JU!$H$696:$H$1062,JU!$F$696:$F$1062,$A37)</f>
        <v>0</v>
      </c>
      <c r="N37" s="29">
        <f>SUMIFS(JU!$K$696:$K$1062,JU!$I$696:$I$1062,WS!$A37)</f>
        <v>0</v>
      </c>
      <c r="O37" s="36">
        <f>O18+O28+O36</f>
        <v>8606457997.2000008</v>
      </c>
      <c r="P37" s="28">
        <f>SUMIFS(JU!$H$1063:$H$5007,JU!$F$1063:$F$5007,WS!$A37)</f>
        <v>0</v>
      </c>
      <c r="Q37" s="29">
        <f>SUMIFS(JU!$K$1063:$K$5007,JU!$I$1063:$I$5007,WS!$A37)</f>
        <v>0</v>
      </c>
      <c r="R37" s="36">
        <f>R18+R28+R36</f>
        <v>11180256541.200001</v>
      </c>
      <c r="S37" s="28">
        <f>SUMIFS(JU!$H$5107:$H$5107,JU!$F$5107:$F$5107,WS!$A37)</f>
        <v>0</v>
      </c>
      <c r="T37" s="29">
        <f>SUMIFS(JU!$K$5107:$K$5107,JU!$I$5107:$I$5107,WS!$A37)</f>
        <v>0</v>
      </c>
      <c r="U37" s="36">
        <f>U18+U28+U36</f>
        <v>11180256541.200001</v>
      </c>
      <c r="V37" s="28">
        <f>SUMIFS(JU!$H$5107:$H$5107,JU!$F$5107:$F$5107,WS!$A37)</f>
        <v>0</v>
      </c>
      <c r="W37" s="29">
        <f>SUMIFS(JU!$K$5107:$K$5107,JU!$I$5107:$I$5107,WS!$A37)</f>
        <v>0</v>
      </c>
      <c r="X37" s="36">
        <f>X18+X28+X36</f>
        <v>11180256541.200001</v>
      </c>
      <c r="Y37" s="28">
        <f>SUMIFS(JU!$H$5107:$H$5107,JU!$F$5107:$F$5107,WS!$A37)</f>
        <v>0</v>
      </c>
      <c r="Z37" s="29">
        <f>SUMIFS(JU!$K$5107:$K$5107,JU!$I$5107:$I$5107,WS!$A37)</f>
        <v>0</v>
      </c>
      <c r="AA37" s="36">
        <f>AA18+AA28+AA36</f>
        <v>11180256541.200001</v>
      </c>
      <c r="AB37" s="28">
        <f>SUMIFS(JU!$H$5107:$H$5107,JU!$F$5107:$F$5107,WS!$A37)</f>
        <v>0</v>
      </c>
      <c r="AC37" s="29">
        <f>SUMIFS(JU!$K$5107:$K$5107,JU!$I$5107:$I$5107,WS!$A37)</f>
        <v>0</v>
      </c>
      <c r="AD37" s="36">
        <f>AD18+AD28+AD36</f>
        <v>11180256541.200001</v>
      </c>
      <c r="AE37" s="28">
        <f>SUMIFS(JU!$H$5107:$H$5107,JU!$F$5107:$F$5107,WS!$A37)</f>
        <v>0</v>
      </c>
      <c r="AF37" s="29">
        <f>SUMIFS(JU!$K$5107:$K$5107,JU!$I$5107:$I$5107,WS!$A37)</f>
        <v>0</v>
      </c>
      <c r="AG37" s="36">
        <f>AG18+AG28+AG36</f>
        <v>11180256541.200001</v>
      </c>
      <c r="AH37" s="28">
        <f>SUMIFS(JU!$H$5107:$H$5107,JU!$F$5107:$F$5107,WS!$A37)</f>
        <v>0</v>
      </c>
      <c r="AI37" s="29">
        <f>SUMIFS(JU!$K$5107:$K$5107,JU!$I$5107:$I$5107,WS!$A37)</f>
        <v>0</v>
      </c>
      <c r="AJ37" s="36">
        <f t="shared" ref="AJ37" si="58">AJ18+AJ28+AJ36</f>
        <v>11180256541.200001</v>
      </c>
      <c r="AK37" s="28">
        <f>SUMIFS(JU!$H$5107:$H$5107,JU!$F$5107:$F$5107,WS!$A37)</f>
        <v>0</v>
      </c>
      <c r="AL37" s="29">
        <f>SUMIFS(JU!$K$5107:$K$5107,JU!$I$5107:$I$5107,WS!$A37)</f>
        <v>0</v>
      </c>
      <c r="AM37" s="36">
        <f t="shared" ref="AM37" si="59">AM18+AM28+AM36</f>
        <v>11180256541.200001</v>
      </c>
    </row>
    <row r="38" spans="1:39">
      <c r="A38" s="280" t="s">
        <v>100</v>
      </c>
      <c r="B38" s="280"/>
      <c r="C38" s="32"/>
      <c r="D38" s="28">
        <f>SUMIFS(JU!$H$5:$H$178,JU!$F$5:$F$178,WS!$A38)</f>
        <v>0</v>
      </c>
      <c r="E38" s="29">
        <f>SUMIFS(JU!$K$5:$K$178,JU!$I$5:$I$178,WS!$A38)</f>
        <v>0</v>
      </c>
      <c r="F38" s="30"/>
      <c r="G38" s="28">
        <f>SUMIFS(JU!$H$180:$H$440,JU!$F$180:$F$440,WS!$A38)</f>
        <v>0</v>
      </c>
      <c r="H38" s="29">
        <f>SUMIFS(JU!$K$180:$K$440,JU!$I$180:$I$440,WS!$A38)</f>
        <v>0</v>
      </c>
      <c r="I38" s="30"/>
      <c r="J38" s="28">
        <f>SUMIFS(JU!$H$441:$H$695,JU!$F$441:$F$695,WS!$A38)</f>
        <v>0</v>
      </c>
      <c r="K38" s="29">
        <f>SUMIFS(JU!$K$441:$K$695,JU!$I$441:$I$695,WS!$A38)</f>
        <v>0</v>
      </c>
      <c r="L38" s="30"/>
      <c r="M38" s="28">
        <f>SUMIFS(JU!$H$696:$H$1062,JU!$F$696:$F$1062,$A38)</f>
        <v>0</v>
      </c>
      <c r="N38" s="29">
        <f>SUMIFS(JU!$K$696:$K$1062,JU!$I$696:$I$1062,WS!$A38)</f>
        <v>0</v>
      </c>
      <c r="O38" s="30"/>
      <c r="P38" s="28">
        <f>SUMIFS(JU!$H$1063:$H$5007,JU!$F$1063:$F$5007,WS!$A38)</f>
        <v>0</v>
      </c>
      <c r="Q38" s="29">
        <f>SUMIFS(JU!$K$1063:$K$5007,JU!$I$1063:$I$5007,WS!$A38)</f>
        <v>0</v>
      </c>
      <c r="R38" s="30"/>
      <c r="S38" s="28">
        <f>SUMIFS(JU!$H$5107:$H$5107,JU!$F$5107:$F$5107,WS!$A38)</f>
        <v>0</v>
      </c>
      <c r="T38" s="29">
        <f>SUMIFS(JU!$K$5107:$K$5107,JU!$I$5107:$I$5107,WS!$A38)</f>
        <v>0</v>
      </c>
      <c r="U38" s="30"/>
      <c r="V38" s="28">
        <f>SUMIFS(JU!$H$5107:$H$5107,JU!$F$5107:$F$5107,WS!$A38)</f>
        <v>0</v>
      </c>
      <c r="W38" s="29">
        <f>SUMIFS(JU!$K$5107:$K$5107,JU!$I$5107:$I$5107,WS!$A38)</f>
        <v>0</v>
      </c>
      <c r="X38" s="30"/>
      <c r="Y38" s="28">
        <f>SUMIFS(JU!$H$5107:$H$5107,JU!$F$5107:$F$5107,WS!$A38)</f>
        <v>0</v>
      </c>
      <c r="Z38" s="29">
        <f>SUMIFS(JU!$K$5107:$K$5107,JU!$I$5107:$I$5107,WS!$A38)</f>
        <v>0</v>
      </c>
      <c r="AA38" s="30"/>
      <c r="AB38" s="28">
        <f>SUMIFS(JU!$H$5107:$H$5107,JU!$F$5107:$F$5107,WS!$A38)</f>
        <v>0</v>
      </c>
      <c r="AC38" s="29">
        <f>SUMIFS(JU!$K$5107:$K$5107,JU!$I$5107:$I$5107,WS!$A38)</f>
        <v>0</v>
      </c>
      <c r="AD38" s="30"/>
      <c r="AE38" s="28">
        <f>SUMIFS(JU!$H$5107:$H$5107,JU!$F$5107:$F$5107,WS!$A38)</f>
        <v>0</v>
      </c>
      <c r="AF38" s="29">
        <f>SUMIFS(JU!$K$5107:$K$5107,JU!$I$5107:$I$5107,WS!$A38)</f>
        <v>0</v>
      </c>
      <c r="AG38" s="30"/>
      <c r="AH38" s="28">
        <f>SUMIFS(JU!$H$5107:$H$5107,JU!$F$5107:$F$5107,WS!$A38)</f>
        <v>0</v>
      </c>
      <c r="AI38" s="29">
        <f>SUMIFS(JU!$K$5107:$K$5107,JU!$I$5107:$I$5107,WS!$A38)</f>
        <v>0</v>
      </c>
      <c r="AJ38" s="30"/>
      <c r="AK38" s="28">
        <f>SUMIFS(JU!$H$5107:$H$5107,JU!$F$5107:$F$5107,WS!$A38)</f>
        <v>0</v>
      </c>
      <c r="AL38" s="29">
        <f>SUMIFS(JU!$K$5107:$K$5107,JU!$I$5107:$I$5107,WS!$A38)</f>
        <v>0</v>
      </c>
      <c r="AM38" s="30"/>
    </row>
    <row r="39" spans="1:39">
      <c r="A39" s="6">
        <v>1401</v>
      </c>
      <c r="B39" s="31" t="s">
        <v>35</v>
      </c>
      <c r="C39" s="32">
        <v>990000000</v>
      </c>
      <c r="D39" s="28">
        <f>SUMIFS(JU!$H$5:$H$178,JU!$F$5:$F$178,WS!$A39)</f>
        <v>577000000</v>
      </c>
      <c r="E39" s="29">
        <f>SUMIFS(JU!$K$5:$K$178,JU!$I$5:$I$178,WS!$A39)</f>
        <v>0</v>
      </c>
      <c r="F39" s="30">
        <f t="shared" ref="F39:F50" si="60">C39+D39-E39</f>
        <v>1567000000</v>
      </c>
      <c r="G39" s="28">
        <f>SUMIFS(JU!$H$180:$H$440,JU!$F$180:$F$440,WS!$A39)</f>
        <v>0</v>
      </c>
      <c r="H39" s="29">
        <f>SUMIFS(JU!$K$180:$K$440,JU!$I$180:$I$440,WS!$A39)</f>
        <v>0</v>
      </c>
      <c r="I39" s="30">
        <f t="shared" ref="I39:I50" si="61">F39+G39-H39</f>
        <v>1567000000</v>
      </c>
      <c r="J39" s="28">
        <f>SUMIFS(JU!$H$441:$H$695,JU!$F$441:$F$695,WS!$A39)</f>
        <v>16969718</v>
      </c>
      <c r="K39" s="29">
        <f>SUMIFS(JU!$K$441:$K$695,JU!$I$441:$I$695,WS!$A39)</f>
        <v>0</v>
      </c>
      <c r="L39" s="30">
        <f t="shared" ref="L39:L50" si="62">I39+J39-K39</f>
        <v>1583969718</v>
      </c>
      <c r="M39" s="28">
        <f>SUMIFS(JU!$H$696:$H$1062,JU!$F$696:$F$1062,$A39)</f>
        <v>87217040</v>
      </c>
      <c r="N39" s="29">
        <f>SUMIFS(JU!$K$696:$K$1062,JU!$I$696:$I$1062,WS!$A39)</f>
        <v>0</v>
      </c>
      <c r="O39" s="30">
        <f t="shared" ref="O39:O50" si="63">L39+M39-N39</f>
        <v>1671186758</v>
      </c>
      <c r="P39" s="28">
        <f>SUMIFS(JU!$H$1063:$H$5007,JU!$F$1063:$F$5007,WS!$A39)</f>
        <v>0</v>
      </c>
      <c r="Q39" s="29">
        <f>SUMIFS(JU!$K$1063:$K$5007,JU!$I$1063:$I$5007,WS!$A39)</f>
        <v>0</v>
      </c>
      <c r="R39" s="30">
        <f t="shared" ref="R39:R50" si="64">O39+P39-Q39</f>
        <v>1671186758</v>
      </c>
      <c r="S39" s="28">
        <f>SUMIFS(JU!$H$5107:$H$5107,JU!$F$5107:$F$5107,WS!$A39)</f>
        <v>0</v>
      </c>
      <c r="T39" s="29">
        <f>SUMIFS(JU!$K$5107:$K$5107,JU!$I$5107:$I$5107,WS!$A39)</f>
        <v>0</v>
      </c>
      <c r="U39" s="30">
        <f t="shared" ref="U39:U50" si="65">R39+S39-T39</f>
        <v>1671186758</v>
      </c>
      <c r="V39" s="28">
        <f>SUMIFS(JU!$H$5107:$H$5107,JU!$F$5107:$F$5107,WS!$A39)</f>
        <v>0</v>
      </c>
      <c r="W39" s="29">
        <f>SUMIFS(JU!$K$5107:$K$5107,JU!$I$5107:$I$5107,WS!$A39)</f>
        <v>0</v>
      </c>
      <c r="X39" s="30">
        <f t="shared" ref="X39:X50" si="66">U39+V39-W39</f>
        <v>1671186758</v>
      </c>
      <c r="Y39" s="28">
        <f>SUMIFS(JU!$H$5107:$H$5107,JU!$F$5107:$F$5107,WS!$A39)</f>
        <v>0</v>
      </c>
      <c r="Z39" s="29">
        <f>SUMIFS(JU!$K$5107:$K$5107,JU!$I$5107:$I$5107,WS!$A39)</f>
        <v>0</v>
      </c>
      <c r="AA39" s="30">
        <f t="shared" ref="AA39:AA50" si="67">X39+Y39-Z39</f>
        <v>1671186758</v>
      </c>
      <c r="AB39" s="28">
        <f>SUMIFS(JU!$H$5107:$H$5107,JU!$F$5107:$F$5107,WS!$A39)</f>
        <v>0</v>
      </c>
      <c r="AC39" s="29">
        <f>SUMIFS(JU!$K$5107:$K$5107,JU!$I$5107:$I$5107,WS!$A39)</f>
        <v>0</v>
      </c>
      <c r="AD39" s="30">
        <f t="shared" ref="AD39:AD50" si="68">AA39+AB39-AC39</f>
        <v>1671186758</v>
      </c>
      <c r="AE39" s="28">
        <f>SUMIFS(JU!$H$5107:$H$5107,JU!$F$5107:$F$5107,WS!$A39)</f>
        <v>0</v>
      </c>
      <c r="AF39" s="29">
        <f>SUMIFS(JU!$K$5107:$K$5107,JU!$I$5107:$I$5107,WS!$A39)</f>
        <v>0</v>
      </c>
      <c r="AG39" s="30">
        <f t="shared" ref="AG39:AG50" si="69">AD39+AE39-AF39</f>
        <v>1671186758</v>
      </c>
      <c r="AH39" s="28">
        <f>SUMIFS(JU!$H$5107:$H$5107,JU!$F$5107:$F$5107,WS!$A39)</f>
        <v>0</v>
      </c>
      <c r="AI39" s="29">
        <f>SUMIFS(JU!$K$5107:$K$5107,JU!$I$5107:$I$5107,WS!$A39)</f>
        <v>0</v>
      </c>
      <c r="AJ39" s="30">
        <f t="shared" ref="AJ39:AJ50" si="70">AG39+AH39-AI39</f>
        <v>1671186758</v>
      </c>
      <c r="AK39" s="28">
        <f>SUMIFS(JU!$H$5107:$H$5107,JU!$F$5107:$F$5107,WS!$A39)</f>
        <v>0</v>
      </c>
      <c r="AL39" s="29">
        <f>SUMIFS(JU!$K$5107:$K$5107,JU!$I$5107:$I$5107,WS!$A39)</f>
        <v>0</v>
      </c>
      <c r="AM39" s="30">
        <f t="shared" ref="AM39:AM50" si="71">AJ39+AK39-AL39</f>
        <v>1671186758</v>
      </c>
    </row>
    <row r="40" spans="1:39" s="37" customFormat="1">
      <c r="A40" s="6">
        <v>1402</v>
      </c>
      <c r="B40" s="31" t="s">
        <v>36</v>
      </c>
      <c r="C40" s="32">
        <v>0</v>
      </c>
      <c r="D40" s="28">
        <f>SUMIFS(JU!$H$5:$H$178,JU!$F$5:$F$178,WS!$A40)</f>
        <v>0</v>
      </c>
      <c r="E40" s="29">
        <f>SUMIFS(JU!$K$5:$K$178,JU!$I$5:$I$178,WS!$A40)</f>
        <v>0</v>
      </c>
      <c r="F40" s="30">
        <f t="shared" si="60"/>
        <v>0</v>
      </c>
      <c r="G40" s="28">
        <f>SUMIFS(JU!$H$180:$H$440,JU!$F$180:$F$440,WS!$A40)</f>
        <v>0</v>
      </c>
      <c r="H40" s="29">
        <f>SUMIFS(JU!$K$180:$K$440,JU!$I$180:$I$440,WS!$A40)</f>
        <v>0</v>
      </c>
      <c r="I40" s="30">
        <f t="shared" si="61"/>
        <v>0</v>
      </c>
      <c r="J40" s="28">
        <f>SUMIFS(JU!$H$441:$H$695,JU!$F$441:$F$695,WS!$A40)</f>
        <v>0</v>
      </c>
      <c r="K40" s="29">
        <f>SUMIFS(JU!$K$441:$K$695,JU!$I$441:$I$695,WS!$A40)</f>
        <v>0</v>
      </c>
      <c r="L40" s="30">
        <f t="shared" si="62"/>
        <v>0</v>
      </c>
      <c r="M40" s="28">
        <f>SUMIFS(JU!$H$696:$H$1062,JU!$F$696:$F$1062,$A40)</f>
        <v>0</v>
      </c>
      <c r="N40" s="29">
        <f>SUMIFS(JU!$K$696:$K$1062,JU!$I$696:$I$1062,WS!$A40)</f>
        <v>0</v>
      </c>
      <c r="O40" s="30">
        <f t="shared" si="63"/>
        <v>0</v>
      </c>
      <c r="P40" s="28">
        <f>SUMIFS(JU!$H$1063:$H$5007,JU!$F$1063:$F$5007,WS!$A40)</f>
        <v>0</v>
      </c>
      <c r="Q40" s="29">
        <f>SUMIFS(JU!$K$1063:$K$5007,JU!$I$1063:$I$5007,WS!$A40)</f>
        <v>0</v>
      </c>
      <c r="R40" s="30">
        <f t="shared" si="64"/>
        <v>0</v>
      </c>
      <c r="S40" s="28">
        <f>SUMIFS(JU!$H$5107:$H$5107,JU!$F$5107:$F$5107,WS!$A40)</f>
        <v>0</v>
      </c>
      <c r="T40" s="29">
        <f>SUMIFS(JU!$K$5107:$K$5107,JU!$I$5107:$I$5107,WS!$A40)</f>
        <v>0</v>
      </c>
      <c r="U40" s="30">
        <f t="shared" si="65"/>
        <v>0</v>
      </c>
      <c r="V40" s="28">
        <f>SUMIFS(JU!$H$5107:$H$5107,JU!$F$5107:$F$5107,WS!$A40)</f>
        <v>0</v>
      </c>
      <c r="W40" s="29">
        <f>SUMIFS(JU!$K$5107:$K$5107,JU!$I$5107:$I$5107,WS!$A40)</f>
        <v>0</v>
      </c>
      <c r="X40" s="30">
        <f t="shared" si="66"/>
        <v>0</v>
      </c>
      <c r="Y40" s="28">
        <f>SUMIFS(JU!$H$5107:$H$5107,JU!$F$5107:$F$5107,WS!$A40)</f>
        <v>0</v>
      </c>
      <c r="Z40" s="29">
        <f>SUMIFS(JU!$K$5107:$K$5107,JU!$I$5107:$I$5107,WS!$A40)</f>
        <v>0</v>
      </c>
      <c r="AA40" s="30">
        <f t="shared" si="67"/>
        <v>0</v>
      </c>
      <c r="AB40" s="28">
        <f>SUMIFS(JU!$H$5107:$H$5107,JU!$F$5107:$F$5107,WS!$A40)</f>
        <v>0</v>
      </c>
      <c r="AC40" s="29">
        <f>SUMIFS(JU!$K$5107:$K$5107,JU!$I$5107:$I$5107,WS!$A40)</f>
        <v>0</v>
      </c>
      <c r="AD40" s="30">
        <f t="shared" si="68"/>
        <v>0</v>
      </c>
      <c r="AE40" s="28">
        <f>SUMIFS(JU!$H$5107:$H$5107,JU!$F$5107:$F$5107,WS!$A40)</f>
        <v>0</v>
      </c>
      <c r="AF40" s="29">
        <f>SUMIFS(JU!$K$5107:$K$5107,JU!$I$5107:$I$5107,WS!$A40)</f>
        <v>0</v>
      </c>
      <c r="AG40" s="30">
        <f t="shared" si="69"/>
        <v>0</v>
      </c>
      <c r="AH40" s="28">
        <f>SUMIFS(JU!$H$5107:$H$5107,JU!$F$5107:$F$5107,WS!$A40)</f>
        <v>0</v>
      </c>
      <c r="AI40" s="29">
        <f>SUMIFS(JU!$K$5107:$K$5107,JU!$I$5107:$I$5107,WS!$A40)</f>
        <v>0</v>
      </c>
      <c r="AJ40" s="30">
        <f t="shared" si="70"/>
        <v>0</v>
      </c>
      <c r="AK40" s="28">
        <f>SUMIFS(JU!$H$5107:$H$5107,JU!$F$5107:$F$5107,WS!$A40)</f>
        <v>0</v>
      </c>
      <c r="AL40" s="29">
        <f>SUMIFS(JU!$K$5107:$K$5107,JU!$I$5107:$I$5107,WS!$A40)</f>
        <v>0</v>
      </c>
      <c r="AM40" s="30">
        <f t="shared" si="71"/>
        <v>0</v>
      </c>
    </row>
    <row r="41" spans="1:39">
      <c r="A41" s="6">
        <v>1403</v>
      </c>
      <c r="B41" s="31" t="s">
        <v>39</v>
      </c>
      <c r="C41" s="32">
        <v>0</v>
      </c>
      <c r="D41" s="28">
        <f>SUMIFS(JU!$H$5:$H$178,JU!$F$5:$F$178,WS!$A41)</f>
        <v>0</v>
      </c>
      <c r="E41" s="29">
        <f>SUMIFS(JU!$K$5:$K$178,JU!$I$5:$I$178,WS!$A41)</f>
        <v>0</v>
      </c>
      <c r="F41" s="30">
        <f t="shared" si="60"/>
        <v>0</v>
      </c>
      <c r="G41" s="28">
        <f>SUMIFS(JU!$H$180:$H$440,JU!$F$180:$F$440,WS!$A41)</f>
        <v>0</v>
      </c>
      <c r="H41" s="29">
        <f>SUMIFS(JU!$K$180:$K$440,JU!$I$180:$I$440,WS!$A41)</f>
        <v>0</v>
      </c>
      <c r="I41" s="30">
        <f t="shared" si="61"/>
        <v>0</v>
      </c>
      <c r="J41" s="28">
        <f>SUMIFS(JU!$H$441:$H$695,JU!$F$441:$F$695,WS!$A41)</f>
        <v>0</v>
      </c>
      <c r="K41" s="29">
        <f>SUMIFS(JU!$K$441:$K$695,JU!$I$441:$I$695,WS!$A41)</f>
        <v>0</v>
      </c>
      <c r="L41" s="30">
        <f t="shared" si="62"/>
        <v>0</v>
      </c>
      <c r="M41" s="28">
        <f>SUMIFS(JU!$H$696:$H$1062,JU!$F$696:$F$1062,$A41)</f>
        <v>0</v>
      </c>
      <c r="N41" s="29">
        <f>SUMIFS(JU!$K$696:$K$1062,JU!$I$696:$I$1062,WS!$A41)</f>
        <v>0</v>
      </c>
      <c r="O41" s="30">
        <f t="shared" si="63"/>
        <v>0</v>
      </c>
      <c r="P41" s="28">
        <f>SUMIFS(JU!$H$1063:$H$5007,JU!$F$1063:$F$5007,WS!$A41)</f>
        <v>0</v>
      </c>
      <c r="Q41" s="29">
        <f>SUMIFS(JU!$K$1063:$K$5007,JU!$I$1063:$I$5007,WS!$A41)</f>
        <v>0</v>
      </c>
      <c r="R41" s="30">
        <f t="shared" si="64"/>
        <v>0</v>
      </c>
      <c r="S41" s="28">
        <f>SUMIFS(JU!$H$5107:$H$5107,JU!$F$5107:$F$5107,WS!$A41)</f>
        <v>0</v>
      </c>
      <c r="T41" s="29">
        <f>SUMIFS(JU!$K$5107:$K$5107,JU!$I$5107:$I$5107,WS!$A41)</f>
        <v>0</v>
      </c>
      <c r="U41" s="30">
        <f t="shared" si="65"/>
        <v>0</v>
      </c>
      <c r="V41" s="28">
        <f>SUMIFS(JU!$H$5107:$H$5107,JU!$F$5107:$F$5107,WS!$A41)</f>
        <v>0</v>
      </c>
      <c r="W41" s="29">
        <f>SUMIFS(JU!$K$5107:$K$5107,JU!$I$5107:$I$5107,WS!$A41)</f>
        <v>0</v>
      </c>
      <c r="X41" s="30">
        <f t="shared" si="66"/>
        <v>0</v>
      </c>
      <c r="Y41" s="28">
        <f>SUMIFS(JU!$H$5107:$H$5107,JU!$F$5107:$F$5107,WS!$A41)</f>
        <v>0</v>
      </c>
      <c r="Z41" s="29">
        <f>SUMIFS(JU!$K$5107:$K$5107,JU!$I$5107:$I$5107,WS!$A41)</f>
        <v>0</v>
      </c>
      <c r="AA41" s="30">
        <f t="shared" si="67"/>
        <v>0</v>
      </c>
      <c r="AB41" s="28">
        <f>SUMIFS(JU!$H$5107:$H$5107,JU!$F$5107:$F$5107,WS!$A41)</f>
        <v>0</v>
      </c>
      <c r="AC41" s="29">
        <f>SUMIFS(JU!$K$5107:$K$5107,JU!$I$5107:$I$5107,WS!$A41)</f>
        <v>0</v>
      </c>
      <c r="AD41" s="30">
        <f t="shared" si="68"/>
        <v>0</v>
      </c>
      <c r="AE41" s="28">
        <f>SUMIFS(JU!$H$5107:$H$5107,JU!$F$5107:$F$5107,WS!$A41)</f>
        <v>0</v>
      </c>
      <c r="AF41" s="29">
        <f>SUMIFS(JU!$K$5107:$K$5107,JU!$I$5107:$I$5107,WS!$A41)</f>
        <v>0</v>
      </c>
      <c r="AG41" s="30">
        <f t="shared" si="69"/>
        <v>0</v>
      </c>
      <c r="AH41" s="28">
        <f>SUMIFS(JU!$H$5107:$H$5107,JU!$F$5107:$F$5107,WS!$A41)</f>
        <v>0</v>
      </c>
      <c r="AI41" s="29">
        <f>SUMIFS(JU!$K$5107:$K$5107,JU!$I$5107:$I$5107,WS!$A41)</f>
        <v>0</v>
      </c>
      <c r="AJ41" s="30">
        <f t="shared" si="70"/>
        <v>0</v>
      </c>
      <c r="AK41" s="28">
        <f>SUMIFS(JU!$H$5107:$H$5107,JU!$F$5107:$F$5107,WS!$A41)</f>
        <v>0</v>
      </c>
      <c r="AL41" s="29">
        <f>SUMIFS(JU!$K$5107:$K$5107,JU!$I$5107:$I$5107,WS!$A41)</f>
        <v>0</v>
      </c>
      <c r="AM41" s="30">
        <f t="shared" si="71"/>
        <v>0</v>
      </c>
    </row>
    <row r="42" spans="1:39">
      <c r="A42" s="6">
        <v>1404</v>
      </c>
      <c r="B42" s="31" t="s">
        <v>37</v>
      </c>
      <c r="C42" s="32">
        <v>0</v>
      </c>
      <c r="D42" s="28">
        <f>SUMIFS(JU!$H$5:$H$178,JU!$F$5:$F$178,WS!$A42)</f>
        <v>0</v>
      </c>
      <c r="E42" s="29">
        <f>SUMIFS(JU!$K$5:$K$178,JU!$I$5:$I$178,WS!$A42)</f>
        <v>0</v>
      </c>
      <c r="F42" s="30">
        <f t="shared" si="60"/>
        <v>0</v>
      </c>
      <c r="G42" s="28">
        <f>SUMIFS(JU!$H$180:$H$440,JU!$F$180:$F$440,WS!$A42)</f>
        <v>0</v>
      </c>
      <c r="H42" s="29">
        <f>SUMIFS(JU!$K$180:$K$440,JU!$I$180:$I$440,WS!$A42)</f>
        <v>0</v>
      </c>
      <c r="I42" s="30">
        <f t="shared" si="61"/>
        <v>0</v>
      </c>
      <c r="J42" s="28">
        <f>SUMIFS(JU!$H$441:$H$695,JU!$F$441:$F$695,WS!$A42)</f>
        <v>0</v>
      </c>
      <c r="K42" s="29">
        <f>SUMIFS(JU!$K$441:$K$695,JU!$I$441:$I$695,WS!$A42)</f>
        <v>0</v>
      </c>
      <c r="L42" s="30">
        <f t="shared" si="62"/>
        <v>0</v>
      </c>
      <c r="M42" s="28">
        <f>SUMIFS(JU!$H$696:$H$1062,JU!$F$696:$F$1062,$A42)</f>
        <v>0</v>
      </c>
      <c r="N42" s="29">
        <f>SUMIFS(JU!$K$696:$K$1062,JU!$I$696:$I$1062,WS!$A42)</f>
        <v>0</v>
      </c>
      <c r="O42" s="30">
        <f t="shared" si="63"/>
        <v>0</v>
      </c>
      <c r="P42" s="28">
        <f>SUMIFS(JU!$H$1063:$H$5007,JU!$F$1063:$F$5007,WS!$A42)</f>
        <v>0</v>
      </c>
      <c r="Q42" s="29">
        <f>SUMIFS(JU!$K$1063:$K$5007,JU!$I$1063:$I$5007,WS!$A42)</f>
        <v>0</v>
      </c>
      <c r="R42" s="30">
        <f t="shared" si="64"/>
        <v>0</v>
      </c>
      <c r="S42" s="28">
        <f>SUMIFS(JU!$H$5107:$H$5107,JU!$F$5107:$F$5107,WS!$A42)</f>
        <v>0</v>
      </c>
      <c r="T42" s="29">
        <f>SUMIFS(JU!$K$5107:$K$5107,JU!$I$5107:$I$5107,WS!$A42)</f>
        <v>0</v>
      </c>
      <c r="U42" s="30">
        <f t="shared" si="65"/>
        <v>0</v>
      </c>
      <c r="V42" s="28">
        <f>SUMIFS(JU!$H$5107:$H$5107,JU!$F$5107:$F$5107,WS!$A42)</f>
        <v>0</v>
      </c>
      <c r="W42" s="29">
        <f>SUMIFS(JU!$K$5107:$K$5107,JU!$I$5107:$I$5107,WS!$A42)</f>
        <v>0</v>
      </c>
      <c r="X42" s="30">
        <f t="shared" si="66"/>
        <v>0</v>
      </c>
      <c r="Y42" s="28">
        <f>SUMIFS(JU!$H$5107:$H$5107,JU!$F$5107:$F$5107,WS!$A42)</f>
        <v>0</v>
      </c>
      <c r="Z42" s="29">
        <f>SUMIFS(JU!$K$5107:$K$5107,JU!$I$5107:$I$5107,WS!$A42)</f>
        <v>0</v>
      </c>
      <c r="AA42" s="30">
        <f t="shared" si="67"/>
        <v>0</v>
      </c>
      <c r="AB42" s="28">
        <f>SUMIFS(JU!$H$5107:$H$5107,JU!$F$5107:$F$5107,WS!$A42)</f>
        <v>0</v>
      </c>
      <c r="AC42" s="29">
        <f>SUMIFS(JU!$K$5107:$K$5107,JU!$I$5107:$I$5107,WS!$A42)</f>
        <v>0</v>
      </c>
      <c r="AD42" s="30">
        <f t="shared" si="68"/>
        <v>0</v>
      </c>
      <c r="AE42" s="28">
        <f>SUMIFS(JU!$H$5107:$H$5107,JU!$F$5107:$F$5107,WS!$A42)</f>
        <v>0</v>
      </c>
      <c r="AF42" s="29">
        <f>SUMIFS(JU!$K$5107:$K$5107,JU!$I$5107:$I$5107,WS!$A42)</f>
        <v>0</v>
      </c>
      <c r="AG42" s="30">
        <f t="shared" si="69"/>
        <v>0</v>
      </c>
      <c r="AH42" s="28">
        <f>SUMIFS(JU!$H$5107:$H$5107,JU!$F$5107:$F$5107,WS!$A42)</f>
        <v>0</v>
      </c>
      <c r="AI42" s="29">
        <f>SUMIFS(JU!$K$5107:$K$5107,JU!$I$5107:$I$5107,WS!$A42)</f>
        <v>0</v>
      </c>
      <c r="AJ42" s="30">
        <f t="shared" si="70"/>
        <v>0</v>
      </c>
      <c r="AK42" s="28">
        <f>SUMIFS(JU!$H$5107:$H$5107,JU!$F$5107:$F$5107,WS!$A42)</f>
        <v>0</v>
      </c>
      <c r="AL42" s="29">
        <f>SUMIFS(JU!$K$5107:$K$5107,JU!$I$5107:$I$5107,WS!$A42)</f>
        <v>0</v>
      </c>
      <c r="AM42" s="30">
        <f t="shared" si="71"/>
        <v>0</v>
      </c>
    </row>
    <row r="43" spans="1:39">
      <c r="A43" s="6">
        <v>1405</v>
      </c>
      <c r="B43" s="31" t="s">
        <v>40</v>
      </c>
      <c r="C43" s="32">
        <v>0</v>
      </c>
      <c r="D43" s="28">
        <f>SUMIFS(JU!$H$5:$H$178,JU!$F$5:$F$178,WS!$A43)</f>
        <v>0</v>
      </c>
      <c r="E43" s="29">
        <f>SUMIFS(JU!$K$5:$K$178,JU!$I$5:$I$178,WS!$A43)</f>
        <v>0</v>
      </c>
      <c r="F43" s="30">
        <f t="shared" si="60"/>
        <v>0</v>
      </c>
      <c r="G43" s="28">
        <f>SUMIFS(JU!$H$180:$H$440,JU!$F$180:$F$440,WS!$A43)</f>
        <v>0</v>
      </c>
      <c r="H43" s="29">
        <f>SUMIFS(JU!$K$180:$K$440,JU!$I$180:$I$440,WS!$A43)</f>
        <v>0</v>
      </c>
      <c r="I43" s="30">
        <f t="shared" si="61"/>
        <v>0</v>
      </c>
      <c r="J43" s="28">
        <f>SUMIFS(JU!$H$441:$H$695,JU!$F$441:$F$695,WS!$A43)</f>
        <v>0</v>
      </c>
      <c r="K43" s="29">
        <f>SUMIFS(JU!$K$441:$K$695,JU!$I$441:$I$695,WS!$A43)</f>
        <v>0</v>
      </c>
      <c r="L43" s="30">
        <f t="shared" si="62"/>
        <v>0</v>
      </c>
      <c r="M43" s="28">
        <f>SUMIFS(JU!$H$696:$H$1062,JU!$F$696:$F$1062,$A43)</f>
        <v>0</v>
      </c>
      <c r="N43" s="29">
        <f>SUMIFS(JU!$K$696:$K$1062,JU!$I$696:$I$1062,WS!$A43)</f>
        <v>0</v>
      </c>
      <c r="O43" s="30">
        <f t="shared" si="63"/>
        <v>0</v>
      </c>
      <c r="P43" s="28">
        <f>SUMIFS(JU!$H$1063:$H$5007,JU!$F$1063:$F$5007,WS!$A43)</f>
        <v>0</v>
      </c>
      <c r="Q43" s="29">
        <f>SUMIFS(JU!$K$1063:$K$5007,JU!$I$1063:$I$5007,WS!$A43)</f>
        <v>0</v>
      </c>
      <c r="R43" s="30">
        <f t="shared" si="64"/>
        <v>0</v>
      </c>
      <c r="S43" s="28">
        <f>SUMIFS(JU!$H$5107:$H$5107,JU!$F$5107:$F$5107,WS!$A43)</f>
        <v>0</v>
      </c>
      <c r="T43" s="29">
        <f>SUMIFS(JU!$K$5107:$K$5107,JU!$I$5107:$I$5107,WS!$A43)</f>
        <v>0</v>
      </c>
      <c r="U43" s="30">
        <f t="shared" si="65"/>
        <v>0</v>
      </c>
      <c r="V43" s="28">
        <f>SUMIFS(JU!$H$5107:$H$5107,JU!$F$5107:$F$5107,WS!$A43)</f>
        <v>0</v>
      </c>
      <c r="W43" s="29">
        <f>SUMIFS(JU!$K$5107:$K$5107,JU!$I$5107:$I$5107,WS!$A43)</f>
        <v>0</v>
      </c>
      <c r="X43" s="30">
        <f t="shared" si="66"/>
        <v>0</v>
      </c>
      <c r="Y43" s="28">
        <f>SUMIFS(JU!$H$5107:$H$5107,JU!$F$5107:$F$5107,WS!$A43)</f>
        <v>0</v>
      </c>
      <c r="Z43" s="29">
        <f>SUMIFS(JU!$K$5107:$K$5107,JU!$I$5107:$I$5107,WS!$A43)</f>
        <v>0</v>
      </c>
      <c r="AA43" s="30">
        <f t="shared" si="67"/>
        <v>0</v>
      </c>
      <c r="AB43" s="28">
        <f>SUMIFS(JU!$H$5107:$H$5107,JU!$F$5107:$F$5107,WS!$A43)</f>
        <v>0</v>
      </c>
      <c r="AC43" s="29">
        <f>SUMIFS(JU!$K$5107:$K$5107,JU!$I$5107:$I$5107,WS!$A43)</f>
        <v>0</v>
      </c>
      <c r="AD43" s="30">
        <f t="shared" si="68"/>
        <v>0</v>
      </c>
      <c r="AE43" s="28">
        <f>SUMIFS(JU!$H$5107:$H$5107,JU!$F$5107:$F$5107,WS!$A43)</f>
        <v>0</v>
      </c>
      <c r="AF43" s="29">
        <f>SUMIFS(JU!$K$5107:$K$5107,JU!$I$5107:$I$5107,WS!$A43)</f>
        <v>0</v>
      </c>
      <c r="AG43" s="30">
        <f t="shared" si="69"/>
        <v>0</v>
      </c>
      <c r="AH43" s="28">
        <f>SUMIFS(JU!$H$5107:$H$5107,JU!$F$5107:$F$5107,WS!$A43)</f>
        <v>0</v>
      </c>
      <c r="AI43" s="29">
        <f>SUMIFS(JU!$K$5107:$K$5107,JU!$I$5107:$I$5107,WS!$A43)</f>
        <v>0</v>
      </c>
      <c r="AJ43" s="30">
        <f t="shared" si="70"/>
        <v>0</v>
      </c>
      <c r="AK43" s="28">
        <f>SUMIFS(JU!$H$5107:$H$5107,JU!$F$5107:$F$5107,WS!$A43)</f>
        <v>0</v>
      </c>
      <c r="AL43" s="29">
        <f>SUMIFS(JU!$K$5107:$K$5107,JU!$I$5107:$I$5107,WS!$A43)</f>
        <v>0</v>
      </c>
      <c r="AM43" s="30">
        <f t="shared" si="71"/>
        <v>0</v>
      </c>
    </row>
    <row r="44" spans="1:39">
      <c r="A44" s="6">
        <v>1406</v>
      </c>
      <c r="B44" s="31" t="s">
        <v>38</v>
      </c>
      <c r="C44" s="32">
        <v>0</v>
      </c>
      <c r="D44" s="28">
        <f>SUMIFS(JU!$H$5:$H$178,JU!$F$5:$F$178,WS!$A44)</f>
        <v>0</v>
      </c>
      <c r="E44" s="29">
        <f>SUMIFS(JU!$K$5:$K$178,JU!$I$5:$I$178,WS!$A44)</f>
        <v>0</v>
      </c>
      <c r="F44" s="30">
        <f t="shared" si="60"/>
        <v>0</v>
      </c>
      <c r="G44" s="28">
        <f>SUMIFS(JU!$H$180:$H$440,JU!$F$180:$F$440,WS!$A44)</f>
        <v>0</v>
      </c>
      <c r="H44" s="29">
        <f>SUMIFS(JU!$K$180:$K$440,JU!$I$180:$I$440,WS!$A44)</f>
        <v>0</v>
      </c>
      <c r="I44" s="30">
        <f t="shared" si="61"/>
        <v>0</v>
      </c>
      <c r="J44" s="28">
        <f>SUMIFS(JU!$H$441:$H$695,JU!$F$441:$F$695,WS!$A44)</f>
        <v>0</v>
      </c>
      <c r="K44" s="29">
        <f>SUMIFS(JU!$K$441:$K$695,JU!$I$441:$I$695,WS!$A44)</f>
        <v>0</v>
      </c>
      <c r="L44" s="30">
        <f t="shared" si="62"/>
        <v>0</v>
      </c>
      <c r="M44" s="28">
        <f>SUMIFS(JU!$H$696:$H$1062,JU!$F$696:$F$1062,$A44)</f>
        <v>0</v>
      </c>
      <c r="N44" s="29">
        <f>SUMIFS(JU!$K$696:$K$1062,JU!$I$696:$I$1062,WS!$A44)</f>
        <v>0</v>
      </c>
      <c r="O44" s="30">
        <f t="shared" si="63"/>
        <v>0</v>
      </c>
      <c r="P44" s="28">
        <f>SUMIFS(JU!$H$1063:$H$5007,JU!$F$1063:$F$5007,WS!$A44)</f>
        <v>36000000</v>
      </c>
      <c r="Q44" s="29">
        <f>SUMIFS(JU!$K$1063:$K$5007,JU!$I$1063:$I$5007,WS!$A44)</f>
        <v>0</v>
      </c>
      <c r="R44" s="30">
        <f t="shared" si="64"/>
        <v>36000000</v>
      </c>
      <c r="S44" s="28">
        <f>SUMIFS(JU!$H$5107:$H$5107,JU!$F$5107:$F$5107,WS!$A44)</f>
        <v>0</v>
      </c>
      <c r="T44" s="29">
        <f>SUMIFS(JU!$K$5107:$K$5107,JU!$I$5107:$I$5107,WS!$A44)</f>
        <v>0</v>
      </c>
      <c r="U44" s="30">
        <f t="shared" si="65"/>
        <v>36000000</v>
      </c>
      <c r="V44" s="28">
        <f>SUMIFS(JU!$H$5107:$H$5107,JU!$F$5107:$F$5107,WS!$A44)</f>
        <v>0</v>
      </c>
      <c r="W44" s="29">
        <f>SUMIFS(JU!$K$5107:$K$5107,JU!$I$5107:$I$5107,WS!$A44)</f>
        <v>0</v>
      </c>
      <c r="X44" s="30">
        <f t="shared" si="66"/>
        <v>36000000</v>
      </c>
      <c r="Y44" s="28">
        <f>SUMIFS(JU!$H$5107:$H$5107,JU!$F$5107:$F$5107,WS!$A44)</f>
        <v>0</v>
      </c>
      <c r="Z44" s="29">
        <f>SUMIFS(JU!$K$5107:$K$5107,JU!$I$5107:$I$5107,WS!$A44)</f>
        <v>0</v>
      </c>
      <c r="AA44" s="30">
        <f t="shared" si="67"/>
        <v>36000000</v>
      </c>
      <c r="AB44" s="28">
        <f>SUMIFS(JU!$H$5107:$H$5107,JU!$F$5107:$F$5107,WS!$A44)</f>
        <v>0</v>
      </c>
      <c r="AC44" s="29">
        <f>SUMIFS(JU!$K$5107:$K$5107,JU!$I$5107:$I$5107,WS!$A44)</f>
        <v>0</v>
      </c>
      <c r="AD44" s="30">
        <f t="shared" si="68"/>
        <v>36000000</v>
      </c>
      <c r="AE44" s="28">
        <f>SUMIFS(JU!$H$5107:$H$5107,JU!$F$5107:$F$5107,WS!$A44)</f>
        <v>0</v>
      </c>
      <c r="AF44" s="29">
        <f>SUMIFS(JU!$K$5107:$K$5107,JU!$I$5107:$I$5107,WS!$A44)</f>
        <v>0</v>
      </c>
      <c r="AG44" s="30">
        <f t="shared" si="69"/>
        <v>36000000</v>
      </c>
      <c r="AH44" s="28">
        <f>SUMIFS(JU!$H$5107:$H$5107,JU!$F$5107:$F$5107,WS!$A44)</f>
        <v>0</v>
      </c>
      <c r="AI44" s="29">
        <f>SUMIFS(JU!$K$5107:$K$5107,JU!$I$5107:$I$5107,WS!$A44)</f>
        <v>0</v>
      </c>
      <c r="AJ44" s="30">
        <f t="shared" si="70"/>
        <v>36000000</v>
      </c>
      <c r="AK44" s="28">
        <f>SUMIFS(JU!$H$5107:$H$5107,JU!$F$5107:$F$5107,WS!$A44)</f>
        <v>0</v>
      </c>
      <c r="AL44" s="29">
        <f>SUMIFS(JU!$K$5107:$K$5107,JU!$I$5107:$I$5107,WS!$A44)</f>
        <v>0</v>
      </c>
      <c r="AM44" s="30">
        <f t="shared" si="71"/>
        <v>36000000</v>
      </c>
    </row>
    <row r="45" spans="1:39">
      <c r="A45" s="6">
        <v>1407</v>
      </c>
      <c r="B45" s="31" t="s">
        <v>41</v>
      </c>
      <c r="C45" s="32">
        <v>0</v>
      </c>
      <c r="D45" s="28">
        <f>SUMIFS(JU!$H$5:$H$178,JU!$F$5:$F$178,WS!$A45)</f>
        <v>0</v>
      </c>
      <c r="E45" s="29">
        <f>SUMIFS(JU!$K$5:$K$178,JU!$I$5:$I$178,WS!$A45)</f>
        <v>0</v>
      </c>
      <c r="F45" s="30">
        <f t="shared" si="60"/>
        <v>0</v>
      </c>
      <c r="G45" s="28">
        <f>SUMIFS(JU!$H$180:$H$440,JU!$F$180:$F$440,WS!$A45)</f>
        <v>0</v>
      </c>
      <c r="H45" s="29">
        <f>SUMIFS(JU!$K$180:$K$440,JU!$I$180:$I$440,WS!$A45)</f>
        <v>0</v>
      </c>
      <c r="I45" s="30">
        <f t="shared" si="61"/>
        <v>0</v>
      </c>
      <c r="J45" s="28">
        <f>SUMIFS(JU!$H$441:$H$695,JU!$F$441:$F$695,WS!$A45)</f>
        <v>0</v>
      </c>
      <c r="K45" s="29">
        <f>SUMIFS(JU!$K$441:$K$695,JU!$I$441:$I$695,WS!$A45)</f>
        <v>0</v>
      </c>
      <c r="L45" s="30">
        <f t="shared" si="62"/>
        <v>0</v>
      </c>
      <c r="M45" s="28">
        <f>SUMIFS(JU!$H$696:$H$1062,JU!$F$696:$F$1062,$A45)</f>
        <v>0</v>
      </c>
      <c r="N45" s="29">
        <f>SUMIFS(JU!$K$696:$K$1062,JU!$I$696:$I$1062,WS!$A45)</f>
        <v>0</v>
      </c>
      <c r="O45" s="30">
        <f t="shared" si="63"/>
        <v>0</v>
      </c>
      <c r="P45" s="28">
        <f>SUMIFS(JU!$H$1063:$H$5007,JU!$F$1063:$F$5007,WS!$A45)</f>
        <v>0</v>
      </c>
      <c r="Q45" s="29">
        <f>SUMIFS(JU!$K$1063:$K$5007,JU!$I$1063:$I$5007,WS!$A45)</f>
        <v>0</v>
      </c>
      <c r="R45" s="30">
        <f t="shared" si="64"/>
        <v>0</v>
      </c>
      <c r="S45" s="28">
        <f>SUMIFS(JU!$H$5107:$H$5107,JU!$F$5107:$F$5107,WS!$A45)</f>
        <v>0</v>
      </c>
      <c r="T45" s="29">
        <f>SUMIFS(JU!$K$5107:$K$5107,JU!$I$5107:$I$5107,WS!$A45)</f>
        <v>0</v>
      </c>
      <c r="U45" s="30">
        <f t="shared" si="65"/>
        <v>0</v>
      </c>
      <c r="V45" s="28">
        <f>SUMIFS(JU!$H$5107:$H$5107,JU!$F$5107:$F$5107,WS!$A45)</f>
        <v>0</v>
      </c>
      <c r="W45" s="29">
        <f>SUMIFS(JU!$K$5107:$K$5107,JU!$I$5107:$I$5107,WS!$A45)</f>
        <v>0</v>
      </c>
      <c r="X45" s="30">
        <f t="shared" si="66"/>
        <v>0</v>
      </c>
      <c r="Y45" s="28">
        <f>SUMIFS(JU!$H$5107:$H$5107,JU!$F$5107:$F$5107,WS!$A45)</f>
        <v>0</v>
      </c>
      <c r="Z45" s="29">
        <f>SUMIFS(JU!$K$5107:$K$5107,JU!$I$5107:$I$5107,WS!$A45)</f>
        <v>0</v>
      </c>
      <c r="AA45" s="30">
        <f t="shared" si="67"/>
        <v>0</v>
      </c>
      <c r="AB45" s="28">
        <f>SUMIFS(JU!$H$5107:$H$5107,JU!$F$5107:$F$5107,WS!$A45)</f>
        <v>0</v>
      </c>
      <c r="AC45" s="29">
        <f>SUMIFS(JU!$K$5107:$K$5107,JU!$I$5107:$I$5107,WS!$A45)</f>
        <v>0</v>
      </c>
      <c r="AD45" s="30">
        <f t="shared" si="68"/>
        <v>0</v>
      </c>
      <c r="AE45" s="28">
        <f>SUMIFS(JU!$H$5107:$H$5107,JU!$F$5107:$F$5107,WS!$A45)</f>
        <v>0</v>
      </c>
      <c r="AF45" s="29">
        <f>SUMIFS(JU!$K$5107:$K$5107,JU!$I$5107:$I$5107,WS!$A45)</f>
        <v>0</v>
      </c>
      <c r="AG45" s="30">
        <f t="shared" si="69"/>
        <v>0</v>
      </c>
      <c r="AH45" s="28">
        <f>SUMIFS(JU!$H$5107:$H$5107,JU!$F$5107:$F$5107,WS!$A45)</f>
        <v>0</v>
      </c>
      <c r="AI45" s="29">
        <f>SUMIFS(JU!$K$5107:$K$5107,JU!$I$5107:$I$5107,WS!$A45)</f>
        <v>0</v>
      </c>
      <c r="AJ45" s="30">
        <f t="shared" si="70"/>
        <v>0</v>
      </c>
      <c r="AK45" s="28">
        <f>SUMIFS(JU!$H$5107:$H$5107,JU!$F$5107:$F$5107,WS!$A45)</f>
        <v>0</v>
      </c>
      <c r="AL45" s="29">
        <f>SUMIFS(JU!$K$5107:$K$5107,JU!$I$5107:$I$5107,WS!$A45)</f>
        <v>0</v>
      </c>
      <c r="AM45" s="30">
        <f t="shared" si="71"/>
        <v>0</v>
      </c>
    </row>
    <row r="46" spans="1:39">
      <c r="A46" s="6">
        <v>1408</v>
      </c>
      <c r="B46" s="31" t="s">
        <v>194</v>
      </c>
      <c r="C46" s="32">
        <v>6500000</v>
      </c>
      <c r="D46" s="28">
        <f>SUMIFS(JU!$H$5:$H$178,JU!$F$5:$F$178,WS!$A46)</f>
        <v>0</v>
      </c>
      <c r="E46" s="29">
        <f>SUMIFS(JU!$K$5:$K$178,JU!$I$5:$I$178,WS!$A46)</f>
        <v>0</v>
      </c>
      <c r="F46" s="30">
        <f t="shared" si="60"/>
        <v>6500000</v>
      </c>
      <c r="G46" s="28">
        <f>SUMIFS(JU!$H$180:$H$440,JU!$F$180:$F$440,WS!$A46)</f>
        <v>0</v>
      </c>
      <c r="H46" s="29">
        <f>SUMIFS(JU!$K$180:$K$440,JU!$I$180:$I$440,WS!$A46)</f>
        <v>0</v>
      </c>
      <c r="I46" s="30">
        <f t="shared" si="61"/>
        <v>6500000</v>
      </c>
      <c r="J46" s="28">
        <f>SUMIFS(JU!$H$441:$H$695,JU!$F$441:$F$695,WS!$A46)</f>
        <v>0</v>
      </c>
      <c r="K46" s="29">
        <f>SUMIFS(JU!$K$441:$K$695,JU!$I$441:$I$695,WS!$A46)</f>
        <v>0</v>
      </c>
      <c r="L46" s="30">
        <f t="shared" si="62"/>
        <v>6500000</v>
      </c>
      <c r="M46" s="28">
        <f>SUMIFS(JU!$H$696:$H$1062,JU!$F$696:$F$1062,$A46)</f>
        <v>0</v>
      </c>
      <c r="N46" s="29">
        <f>SUMIFS(JU!$K$696:$K$1062,JU!$I$696:$I$1062,WS!$A46)</f>
        <v>0</v>
      </c>
      <c r="O46" s="30">
        <f t="shared" si="63"/>
        <v>6500000</v>
      </c>
      <c r="P46" s="28">
        <f>SUMIFS(JU!$H$1063:$H$5007,JU!$F$1063:$F$5007,WS!$A46)</f>
        <v>6700000</v>
      </c>
      <c r="Q46" s="29">
        <f>SUMIFS(JU!$K$1063:$K$5007,JU!$I$1063:$I$5007,WS!$A46)</f>
        <v>0</v>
      </c>
      <c r="R46" s="30">
        <f t="shared" si="64"/>
        <v>13200000</v>
      </c>
      <c r="S46" s="28">
        <f>SUMIFS(JU!$H$5107:$H$5107,JU!$F$5107:$F$5107,WS!$A46)</f>
        <v>0</v>
      </c>
      <c r="T46" s="29">
        <f>SUMIFS(JU!$K$5107:$K$5107,JU!$I$5107:$I$5107,WS!$A46)</f>
        <v>0</v>
      </c>
      <c r="U46" s="30">
        <f t="shared" si="65"/>
        <v>13200000</v>
      </c>
      <c r="V46" s="28">
        <f>SUMIFS(JU!$H$5107:$H$5107,JU!$F$5107:$F$5107,WS!$A46)</f>
        <v>0</v>
      </c>
      <c r="W46" s="29">
        <f>SUMIFS(JU!$K$5107:$K$5107,JU!$I$5107:$I$5107,WS!$A46)</f>
        <v>0</v>
      </c>
      <c r="X46" s="30">
        <f t="shared" si="66"/>
        <v>13200000</v>
      </c>
      <c r="Y46" s="28">
        <f>SUMIFS(JU!$H$5107:$H$5107,JU!$F$5107:$F$5107,WS!$A46)</f>
        <v>0</v>
      </c>
      <c r="Z46" s="29">
        <f>SUMIFS(JU!$K$5107:$K$5107,JU!$I$5107:$I$5107,WS!$A46)</f>
        <v>0</v>
      </c>
      <c r="AA46" s="30">
        <f t="shared" si="67"/>
        <v>13200000</v>
      </c>
      <c r="AB46" s="28">
        <f>SUMIFS(JU!$H$5107:$H$5107,JU!$F$5107:$F$5107,WS!$A46)</f>
        <v>0</v>
      </c>
      <c r="AC46" s="29">
        <f>SUMIFS(JU!$K$5107:$K$5107,JU!$I$5107:$I$5107,WS!$A46)</f>
        <v>0</v>
      </c>
      <c r="AD46" s="30">
        <f t="shared" si="68"/>
        <v>13200000</v>
      </c>
      <c r="AE46" s="28">
        <f>SUMIFS(JU!$H$5107:$H$5107,JU!$F$5107:$F$5107,WS!$A46)</f>
        <v>0</v>
      </c>
      <c r="AF46" s="29">
        <f>SUMIFS(JU!$K$5107:$K$5107,JU!$I$5107:$I$5107,WS!$A46)</f>
        <v>0</v>
      </c>
      <c r="AG46" s="30">
        <f t="shared" si="69"/>
        <v>13200000</v>
      </c>
      <c r="AH46" s="28">
        <f>SUMIFS(JU!$H$5107:$H$5107,JU!$F$5107:$F$5107,WS!$A46)</f>
        <v>0</v>
      </c>
      <c r="AI46" s="29">
        <f>SUMIFS(JU!$K$5107:$K$5107,JU!$I$5107:$I$5107,WS!$A46)</f>
        <v>0</v>
      </c>
      <c r="AJ46" s="30">
        <f t="shared" si="70"/>
        <v>13200000</v>
      </c>
      <c r="AK46" s="28">
        <f>SUMIFS(JU!$H$5107:$H$5107,JU!$F$5107:$F$5107,WS!$A46)</f>
        <v>0</v>
      </c>
      <c r="AL46" s="29">
        <f>SUMIFS(JU!$K$5107:$K$5107,JU!$I$5107:$I$5107,WS!$A46)</f>
        <v>0</v>
      </c>
      <c r="AM46" s="30">
        <f t="shared" si="71"/>
        <v>13200000</v>
      </c>
    </row>
    <row r="47" spans="1:39">
      <c r="A47" s="6">
        <v>1409</v>
      </c>
      <c r="B47" s="31" t="s">
        <v>195</v>
      </c>
      <c r="C47" s="32">
        <v>0</v>
      </c>
      <c r="D47" s="28">
        <f>SUMIFS(JU!$H$5:$H$178,JU!$F$5:$F$178,WS!$A47)</f>
        <v>0</v>
      </c>
      <c r="E47" s="29">
        <f>SUMIFS(JU!$K$5:$K$178,JU!$I$5:$I$178,WS!$A47)</f>
        <v>0</v>
      </c>
      <c r="F47" s="30">
        <f t="shared" si="60"/>
        <v>0</v>
      </c>
      <c r="G47" s="28">
        <f>SUMIFS(JU!$H$180:$H$440,JU!$F$180:$F$440,WS!$A47)</f>
        <v>0</v>
      </c>
      <c r="H47" s="29">
        <f>SUMIFS(JU!$K$180:$K$440,JU!$I$180:$I$440,WS!$A47)</f>
        <v>0</v>
      </c>
      <c r="I47" s="30">
        <f t="shared" si="61"/>
        <v>0</v>
      </c>
      <c r="J47" s="28">
        <f>SUMIFS(JU!$H$441:$H$695,JU!$F$441:$F$695,WS!$A47)</f>
        <v>0</v>
      </c>
      <c r="K47" s="29">
        <f>SUMIFS(JU!$K$441:$K$695,JU!$I$441:$I$695,WS!$A47)</f>
        <v>0</v>
      </c>
      <c r="L47" s="30">
        <f t="shared" si="62"/>
        <v>0</v>
      </c>
      <c r="M47" s="28">
        <f>SUMIFS(JU!$H$696:$H$1062,JU!$F$696:$F$1062,$A47)</f>
        <v>0</v>
      </c>
      <c r="N47" s="29">
        <f>SUMIFS(JU!$K$696:$K$1062,JU!$I$696:$I$1062,WS!$A47)</f>
        <v>0</v>
      </c>
      <c r="O47" s="30">
        <f t="shared" si="63"/>
        <v>0</v>
      </c>
      <c r="P47" s="28">
        <f>SUMIFS(JU!$H$1063:$H$5007,JU!$F$1063:$F$5007,WS!$A47)</f>
        <v>0</v>
      </c>
      <c r="Q47" s="29">
        <f>SUMIFS(JU!$K$1063:$K$5007,JU!$I$1063:$I$5007,WS!$A47)</f>
        <v>0</v>
      </c>
      <c r="R47" s="30">
        <f t="shared" si="64"/>
        <v>0</v>
      </c>
      <c r="S47" s="28">
        <f>SUMIFS(JU!$H$5107:$H$5107,JU!$F$5107:$F$5107,WS!$A47)</f>
        <v>0</v>
      </c>
      <c r="T47" s="29">
        <f>SUMIFS(JU!$K$5107:$K$5107,JU!$I$5107:$I$5107,WS!$A47)</f>
        <v>0</v>
      </c>
      <c r="U47" s="30">
        <f t="shared" si="65"/>
        <v>0</v>
      </c>
      <c r="V47" s="28">
        <f>SUMIFS(JU!$H$5107:$H$5107,JU!$F$5107:$F$5107,WS!$A47)</f>
        <v>0</v>
      </c>
      <c r="W47" s="29">
        <f>SUMIFS(JU!$K$5107:$K$5107,JU!$I$5107:$I$5107,WS!$A47)</f>
        <v>0</v>
      </c>
      <c r="X47" s="30">
        <f t="shared" si="66"/>
        <v>0</v>
      </c>
      <c r="Y47" s="28">
        <f>SUMIFS(JU!$H$5107:$H$5107,JU!$F$5107:$F$5107,WS!$A47)</f>
        <v>0</v>
      </c>
      <c r="Z47" s="29">
        <f>SUMIFS(JU!$K$5107:$K$5107,JU!$I$5107:$I$5107,WS!$A47)</f>
        <v>0</v>
      </c>
      <c r="AA47" s="30">
        <f t="shared" si="67"/>
        <v>0</v>
      </c>
      <c r="AB47" s="28">
        <f>SUMIFS(JU!$H$5107:$H$5107,JU!$F$5107:$F$5107,WS!$A47)</f>
        <v>0</v>
      </c>
      <c r="AC47" s="29">
        <f>SUMIFS(JU!$K$5107:$K$5107,JU!$I$5107:$I$5107,WS!$A47)</f>
        <v>0</v>
      </c>
      <c r="AD47" s="30">
        <f t="shared" si="68"/>
        <v>0</v>
      </c>
      <c r="AE47" s="28">
        <f>SUMIFS(JU!$H$5107:$H$5107,JU!$F$5107:$F$5107,WS!$A47)</f>
        <v>0</v>
      </c>
      <c r="AF47" s="29">
        <f>SUMIFS(JU!$K$5107:$K$5107,JU!$I$5107:$I$5107,WS!$A47)</f>
        <v>0</v>
      </c>
      <c r="AG47" s="30">
        <f t="shared" si="69"/>
        <v>0</v>
      </c>
      <c r="AH47" s="28">
        <f>SUMIFS(JU!$H$5107:$H$5107,JU!$F$5107:$F$5107,WS!$A47)</f>
        <v>0</v>
      </c>
      <c r="AI47" s="29">
        <f>SUMIFS(JU!$K$5107:$K$5107,JU!$I$5107:$I$5107,WS!$A47)</f>
        <v>0</v>
      </c>
      <c r="AJ47" s="30">
        <f t="shared" si="70"/>
        <v>0</v>
      </c>
      <c r="AK47" s="28">
        <f>SUMIFS(JU!$H$5107:$H$5107,JU!$F$5107:$F$5107,WS!$A47)</f>
        <v>0</v>
      </c>
      <c r="AL47" s="29">
        <f>SUMIFS(JU!$K$5107:$K$5107,JU!$I$5107:$I$5107,WS!$A47)</f>
        <v>0</v>
      </c>
      <c r="AM47" s="30">
        <f t="shared" si="71"/>
        <v>0</v>
      </c>
    </row>
    <row r="48" spans="1:39">
      <c r="A48" s="6">
        <v>1410</v>
      </c>
      <c r="B48" s="31" t="s">
        <v>42</v>
      </c>
      <c r="C48" s="32">
        <v>0</v>
      </c>
      <c r="D48" s="28">
        <f>SUMIFS(JU!$H$5:$H$178,JU!$F$5:$F$178,WS!$A48)</f>
        <v>0</v>
      </c>
      <c r="E48" s="29">
        <f>SUMIFS(JU!$K$5:$K$178,JU!$I$5:$I$178,WS!$A48)</f>
        <v>0</v>
      </c>
      <c r="F48" s="30">
        <f t="shared" si="60"/>
        <v>0</v>
      </c>
      <c r="G48" s="28">
        <f>SUMIFS(JU!$H$180:$H$440,JU!$F$180:$F$440,WS!$A48)</f>
        <v>0</v>
      </c>
      <c r="H48" s="29">
        <f>SUMIFS(JU!$K$180:$K$440,JU!$I$180:$I$440,WS!$A48)</f>
        <v>0</v>
      </c>
      <c r="I48" s="30">
        <f t="shared" si="61"/>
        <v>0</v>
      </c>
      <c r="J48" s="28">
        <f>SUMIFS(JU!$H$441:$H$695,JU!$F$441:$F$695,WS!$A48)</f>
        <v>0</v>
      </c>
      <c r="K48" s="29">
        <f>SUMIFS(JU!$K$441:$K$695,JU!$I$441:$I$695,WS!$A48)</f>
        <v>0</v>
      </c>
      <c r="L48" s="30">
        <f t="shared" si="62"/>
        <v>0</v>
      </c>
      <c r="M48" s="28">
        <f>SUMIFS(JU!$H$696:$H$1062,JU!$F$696:$F$1062,$A48)</f>
        <v>0</v>
      </c>
      <c r="N48" s="29">
        <f>SUMIFS(JU!$K$696:$K$1062,JU!$I$696:$I$1062,WS!$A48)</f>
        <v>0</v>
      </c>
      <c r="O48" s="30">
        <f t="shared" si="63"/>
        <v>0</v>
      </c>
      <c r="P48" s="28">
        <f>SUMIFS(JU!$H$1063:$H$5007,JU!$F$1063:$F$5007,WS!$A48)</f>
        <v>0</v>
      </c>
      <c r="Q48" s="29">
        <f>SUMIFS(JU!$K$1063:$K$5007,JU!$I$1063:$I$5007,WS!$A48)</f>
        <v>0</v>
      </c>
      <c r="R48" s="30">
        <f t="shared" si="64"/>
        <v>0</v>
      </c>
      <c r="S48" s="28">
        <f>SUMIFS(JU!$H$5107:$H$5107,JU!$F$5107:$F$5107,WS!$A48)</f>
        <v>0</v>
      </c>
      <c r="T48" s="29">
        <f>SUMIFS(JU!$K$5107:$K$5107,JU!$I$5107:$I$5107,WS!$A48)</f>
        <v>0</v>
      </c>
      <c r="U48" s="30">
        <f t="shared" si="65"/>
        <v>0</v>
      </c>
      <c r="V48" s="28">
        <f>SUMIFS(JU!$H$5107:$H$5107,JU!$F$5107:$F$5107,WS!$A48)</f>
        <v>0</v>
      </c>
      <c r="W48" s="29">
        <f>SUMIFS(JU!$K$5107:$K$5107,JU!$I$5107:$I$5107,WS!$A48)</f>
        <v>0</v>
      </c>
      <c r="X48" s="30">
        <f t="shared" si="66"/>
        <v>0</v>
      </c>
      <c r="Y48" s="28">
        <f>SUMIFS(JU!$H$5107:$H$5107,JU!$F$5107:$F$5107,WS!$A48)</f>
        <v>0</v>
      </c>
      <c r="Z48" s="29">
        <f>SUMIFS(JU!$K$5107:$K$5107,JU!$I$5107:$I$5107,WS!$A48)</f>
        <v>0</v>
      </c>
      <c r="AA48" s="30">
        <f t="shared" si="67"/>
        <v>0</v>
      </c>
      <c r="AB48" s="28">
        <f>SUMIFS(JU!$H$5107:$H$5107,JU!$F$5107:$F$5107,WS!$A48)</f>
        <v>0</v>
      </c>
      <c r="AC48" s="29">
        <f>SUMIFS(JU!$K$5107:$K$5107,JU!$I$5107:$I$5107,WS!$A48)</f>
        <v>0</v>
      </c>
      <c r="AD48" s="30">
        <f t="shared" si="68"/>
        <v>0</v>
      </c>
      <c r="AE48" s="28">
        <f>SUMIFS(JU!$H$5107:$H$5107,JU!$F$5107:$F$5107,WS!$A48)</f>
        <v>0</v>
      </c>
      <c r="AF48" s="29">
        <f>SUMIFS(JU!$K$5107:$K$5107,JU!$I$5107:$I$5107,WS!$A48)</f>
        <v>0</v>
      </c>
      <c r="AG48" s="30">
        <f t="shared" si="69"/>
        <v>0</v>
      </c>
      <c r="AH48" s="28">
        <f>SUMIFS(JU!$H$5107:$H$5107,JU!$F$5107:$F$5107,WS!$A48)</f>
        <v>0</v>
      </c>
      <c r="AI48" s="29">
        <f>SUMIFS(JU!$K$5107:$K$5107,JU!$I$5107:$I$5107,WS!$A48)</f>
        <v>0</v>
      </c>
      <c r="AJ48" s="30">
        <f t="shared" si="70"/>
        <v>0</v>
      </c>
      <c r="AK48" s="28">
        <f>SUMIFS(JU!$H$5107:$H$5107,JU!$F$5107:$F$5107,WS!$A48)</f>
        <v>0</v>
      </c>
      <c r="AL48" s="29">
        <f>SUMIFS(JU!$K$5107:$K$5107,JU!$I$5107:$I$5107,WS!$A48)</f>
        <v>0</v>
      </c>
      <c r="AM48" s="30">
        <f t="shared" si="71"/>
        <v>0</v>
      </c>
    </row>
    <row r="49" spans="1:39">
      <c r="A49" s="6">
        <v>1411</v>
      </c>
      <c r="B49" s="31" t="s">
        <v>43</v>
      </c>
      <c r="C49" s="32">
        <v>28912000</v>
      </c>
      <c r="D49" s="28">
        <f>SUMIFS(JU!$H$5:$H$178,JU!$F$5:$F$178,WS!$A49)</f>
        <v>0</v>
      </c>
      <c r="E49" s="29">
        <f>SUMIFS(JU!$K$5:$K$178,JU!$I$5:$I$178,WS!$A49)</f>
        <v>0</v>
      </c>
      <c r="F49" s="30">
        <f t="shared" si="60"/>
        <v>28912000</v>
      </c>
      <c r="G49" s="28">
        <f>SUMIFS(JU!$H$180:$H$440,JU!$F$180:$F$440,WS!$A49)</f>
        <v>0</v>
      </c>
      <c r="H49" s="29">
        <f>SUMIFS(JU!$K$180:$K$440,JU!$I$180:$I$440,WS!$A49)</f>
        <v>0</v>
      </c>
      <c r="I49" s="30">
        <f t="shared" si="61"/>
        <v>28912000</v>
      </c>
      <c r="J49" s="28">
        <f>SUMIFS(JU!$H$441:$H$695,JU!$F$441:$F$695,WS!$A49)</f>
        <v>0</v>
      </c>
      <c r="K49" s="29">
        <f>SUMIFS(JU!$K$441:$K$695,JU!$I$441:$I$695,WS!$A49)</f>
        <v>0</v>
      </c>
      <c r="L49" s="30">
        <f t="shared" si="62"/>
        <v>28912000</v>
      </c>
      <c r="M49" s="28">
        <f>SUMIFS(JU!$H$696:$H$1062,JU!$F$696:$F$1062,$A49)</f>
        <v>449920000</v>
      </c>
      <c r="N49" s="29">
        <f>SUMIFS(JU!$K$696:$K$1062,JU!$I$696:$I$1062,WS!$A49)</f>
        <v>0</v>
      </c>
      <c r="O49" s="30">
        <f t="shared" si="63"/>
        <v>478832000</v>
      </c>
      <c r="P49" s="28">
        <f>SUMIFS(JU!$H$1063:$H$5007,JU!$F$1063:$F$5007,WS!$A49)</f>
        <v>375768756.07999998</v>
      </c>
      <c r="Q49" s="29">
        <f>SUMIFS(JU!$K$1063:$K$5007,JU!$I$1063:$I$5007,WS!$A49)</f>
        <v>0</v>
      </c>
      <c r="R49" s="30">
        <f t="shared" si="64"/>
        <v>854600756.07999992</v>
      </c>
      <c r="S49" s="28">
        <f>SUMIFS(JU!$H$5107:$H$5107,JU!$F$5107:$F$5107,WS!$A49)</f>
        <v>0</v>
      </c>
      <c r="T49" s="29">
        <f>SUMIFS(JU!$K$5107:$K$5107,JU!$I$5107:$I$5107,WS!$A49)</f>
        <v>0</v>
      </c>
      <c r="U49" s="30">
        <f t="shared" si="65"/>
        <v>854600756.07999992</v>
      </c>
      <c r="V49" s="28">
        <f>SUMIFS(JU!$H$5107:$H$5107,JU!$F$5107:$F$5107,WS!$A49)</f>
        <v>0</v>
      </c>
      <c r="W49" s="29">
        <f>SUMIFS(JU!$K$5107:$K$5107,JU!$I$5107:$I$5107,WS!$A49)</f>
        <v>0</v>
      </c>
      <c r="X49" s="30">
        <f t="shared" si="66"/>
        <v>854600756.07999992</v>
      </c>
      <c r="Y49" s="28">
        <f>SUMIFS(JU!$H$5107:$H$5107,JU!$F$5107:$F$5107,WS!$A49)</f>
        <v>0</v>
      </c>
      <c r="Z49" s="29">
        <f>SUMIFS(JU!$K$5107:$K$5107,JU!$I$5107:$I$5107,WS!$A49)</f>
        <v>0</v>
      </c>
      <c r="AA49" s="30">
        <f t="shared" si="67"/>
        <v>854600756.07999992</v>
      </c>
      <c r="AB49" s="28">
        <f>SUMIFS(JU!$H$5107:$H$5107,JU!$F$5107:$F$5107,WS!$A49)</f>
        <v>0</v>
      </c>
      <c r="AC49" s="29">
        <f>SUMIFS(JU!$K$5107:$K$5107,JU!$I$5107:$I$5107,WS!$A49)</f>
        <v>0</v>
      </c>
      <c r="AD49" s="30">
        <f t="shared" si="68"/>
        <v>854600756.07999992</v>
      </c>
      <c r="AE49" s="28">
        <f>SUMIFS(JU!$H$5107:$H$5107,JU!$F$5107:$F$5107,WS!$A49)</f>
        <v>0</v>
      </c>
      <c r="AF49" s="29">
        <f>SUMIFS(JU!$K$5107:$K$5107,JU!$I$5107:$I$5107,WS!$A49)</f>
        <v>0</v>
      </c>
      <c r="AG49" s="30">
        <f t="shared" si="69"/>
        <v>854600756.07999992</v>
      </c>
      <c r="AH49" s="28">
        <f>SUMIFS(JU!$H$5107:$H$5107,JU!$F$5107:$F$5107,WS!$A49)</f>
        <v>0</v>
      </c>
      <c r="AI49" s="29">
        <f>SUMIFS(JU!$K$5107:$K$5107,JU!$I$5107:$I$5107,WS!$A49)</f>
        <v>0</v>
      </c>
      <c r="AJ49" s="30">
        <f t="shared" si="70"/>
        <v>854600756.07999992</v>
      </c>
      <c r="AK49" s="28">
        <f>SUMIFS(JU!$H$5107:$H$5107,JU!$F$5107:$F$5107,WS!$A49)</f>
        <v>0</v>
      </c>
      <c r="AL49" s="29">
        <f>SUMIFS(JU!$K$5107:$K$5107,JU!$I$5107:$I$5107,WS!$A49)</f>
        <v>0</v>
      </c>
      <c r="AM49" s="30">
        <f t="shared" si="71"/>
        <v>854600756.07999992</v>
      </c>
    </row>
    <row r="50" spans="1:39" s="37" customFormat="1">
      <c r="A50" s="6">
        <v>1412</v>
      </c>
      <c r="B50" s="31" t="s">
        <v>44</v>
      </c>
      <c r="C50" s="32">
        <v>0</v>
      </c>
      <c r="D50" s="28">
        <f>SUMIFS(JU!$H$5:$H$178,JU!$F$5:$F$178,WS!$A50)</f>
        <v>0</v>
      </c>
      <c r="E50" s="29">
        <f>SUMIFS(JU!$K$5:$K$178,JU!$I$5:$I$178,WS!$A50)</f>
        <v>0</v>
      </c>
      <c r="F50" s="30">
        <f t="shared" si="60"/>
        <v>0</v>
      </c>
      <c r="G50" s="28">
        <f>SUMIFS(JU!$H$180:$H$440,JU!$F$180:$F$440,WS!$A50)</f>
        <v>0</v>
      </c>
      <c r="H50" s="29">
        <f>SUMIFS(JU!$K$180:$K$440,JU!$I$180:$I$440,WS!$A50)</f>
        <v>0</v>
      </c>
      <c r="I50" s="30">
        <f t="shared" si="61"/>
        <v>0</v>
      </c>
      <c r="J50" s="28">
        <f>SUMIFS(JU!$H$441:$H$695,JU!$F$441:$F$695,WS!$A50)</f>
        <v>0</v>
      </c>
      <c r="K50" s="29">
        <f>SUMIFS(JU!$K$441:$K$695,JU!$I$441:$I$695,WS!$A50)</f>
        <v>0</v>
      </c>
      <c r="L50" s="30">
        <f t="shared" si="62"/>
        <v>0</v>
      </c>
      <c r="M50" s="28">
        <f>SUMIFS(JU!$H$696:$H$1062,JU!$F$696:$F$1062,$A50)</f>
        <v>0</v>
      </c>
      <c r="N50" s="29">
        <f>SUMIFS(JU!$K$696:$K$1062,JU!$I$696:$I$1062,WS!$A50)</f>
        <v>0</v>
      </c>
      <c r="O50" s="30">
        <f t="shared" si="63"/>
        <v>0</v>
      </c>
      <c r="P50" s="28">
        <f>SUMIFS(JU!$H$1063:$H$5007,JU!$F$1063:$F$5007,WS!$A50)</f>
        <v>0</v>
      </c>
      <c r="Q50" s="29">
        <f>SUMIFS(JU!$K$1063:$K$5007,JU!$I$1063:$I$5007,WS!$A50)</f>
        <v>0</v>
      </c>
      <c r="R50" s="30">
        <f t="shared" si="64"/>
        <v>0</v>
      </c>
      <c r="S50" s="28">
        <f>SUMIFS(JU!$H$5107:$H$5107,JU!$F$5107:$F$5107,WS!$A50)</f>
        <v>0</v>
      </c>
      <c r="T50" s="29">
        <f>SUMIFS(JU!$K$5107:$K$5107,JU!$I$5107:$I$5107,WS!$A50)</f>
        <v>0</v>
      </c>
      <c r="U50" s="30">
        <f t="shared" si="65"/>
        <v>0</v>
      </c>
      <c r="V50" s="28">
        <f>SUMIFS(JU!$H$5107:$H$5107,JU!$F$5107:$F$5107,WS!$A50)</f>
        <v>0</v>
      </c>
      <c r="W50" s="29">
        <f>SUMIFS(JU!$K$5107:$K$5107,JU!$I$5107:$I$5107,WS!$A50)</f>
        <v>0</v>
      </c>
      <c r="X50" s="30">
        <f t="shared" si="66"/>
        <v>0</v>
      </c>
      <c r="Y50" s="28">
        <f>SUMIFS(JU!$H$5107:$H$5107,JU!$F$5107:$F$5107,WS!$A50)</f>
        <v>0</v>
      </c>
      <c r="Z50" s="29">
        <f>SUMIFS(JU!$K$5107:$K$5107,JU!$I$5107:$I$5107,WS!$A50)</f>
        <v>0</v>
      </c>
      <c r="AA50" s="30">
        <f t="shared" si="67"/>
        <v>0</v>
      </c>
      <c r="AB50" s="28">
        <f>SUMIFS(JU!$H$5107:$H$5107,JU!$F$5107:$F$5107,WS!$A50)</f>
        <v>0</v>
      </c>
      <c r="AC50" s="29">
        <f>SUMIFS(JU!$K$5107:$K$5107,JU!$I$5107:$I$5107,WS!$A50)</f>
        <v>0</v>
      </c>
      <c r="AD50" s="30">
        <f t="shared" si="68"/>
        <v>0</v>
      </c>
      <c r="AE50" s="28">
        <f>SUMIFS(JU!$H$5107:$H$5107,JU!$F$5107:$F$5107,WS!$A50)</f>
        <v>0</v>
      </c>
      <c r="AF50" s="29">
        <f>SUMIFS(JU!$K$5107:$K$5107,JU!$I$5107:$I$5107,WS!$A50)</f>
        <v>0</v>
      </c>
      <c r="AG50" s="30">
        <f t="shared" si="69"/>
        <v>0</v>
      </c>
      <c r="AH50" s="28">
        <f>SUMIFS(JU!$H$5107:$H$5107,JU!$F$5107:$F$5107,WS!$A50)</f>
        <v>0</v>
      </c>
      <c r="AI50" s="29">
        <f>SUMIFS(JU!$K$5107:$K$5107,JU!$I$5107:$I$5107,WS!$A50)</f>
        <v>0</v>
      </c>
      <c r="AJ50" s="30">
        <f t="shared" si="70"/>
        <v>0</v>
      </c>
      <c r="AK50" s="28">
        <f>SUMIFS(JU!$H$5107:$H$5107,JU!$F$5107:$F$5107,WS!$A50)</f>
        <v>0</v>
      </c>
      <c r="AL50" s="29">
        <f>SUMIFS(JU!$K$5107:$K$5107,JU!$I$5107:$I$5107,WS!$A50)</f>
        <v>0</v>
      </c>
      <c r="AM50" s="30">
        <f t="shared" si="71"/>
        <v>0</v>
      </c>
    </row>
    <row r="51" spans="1:39">
      <c r="A51" s="287" t="s">
        <v>211</v>
      </c>
      <c r="B51" s="287"/>
      <c r="C51" s="38">
        <v>1025412000</v>
      </c>
      <c r="D51" s="28">
        <f>SUMIFS(JU!$H$5:$H$178,JU!$F$5:$F$178,WS!$A51)</f>
        <v>0</v>
      </c>
      <c r="E51" s="29">
        <f>SUMIFS(JU!$K$5:$K$178,JU!$I$5:$I$178,WS!$A51)</f>
        <v>0</v>
      </c>
      <c r="F51" s="38">
        <f>SUM(F39:F50)</f>
        <v>1602412000</v>
      </c>
      <c r="G51" s="28">
        <f>SUMIFS(JU!$H$180:$H$440,JU!$F$180:$F$440,WS!$A51)</f>
        <v>0</v>
      </c>
      <c r="H51" s="29">
        <f>SUMIFS(JU!$K$180:$K$440,JU!$I$180:$I$440,WS!$A51)</f>
        <v>0</v>
      </c>
      <c r="I51" s="38">
        <f>SUM(I39:I50)</f>
        <v>1602412000</v>
      </c>
      <c r="J51" s="28">
        <f>SUMIFS(JU!$H$441:$H$695,JU!$F$441:$F$695,WS!$A51)</f>
        <v>0</v>
      </c>
      <c r="K51" s="29">
        <f>SUMIFS(JU!$K$441:$K$695,JU!$I$441:$I$695,WS!$A51)</f>
        <v>0</v>
      </c>
      <c r="L51" s="38">
        <f>SUM(L39:L50)</f>
        <v>1619381718</v>
      </c>
      <c r="M51" s="28">
        <f>SUMIFS(JU!$H$696:$H$1062,JU!$F$696:$F$1062,$A51)</f>
        <v>0</v>
      </c>
      <c r="N51" s="29">
        <f>SUMIFS(JU!$K$696:$K$1062,JU!$I$696:$I$1062,WS!$A51)</f>
        <v>0</v>
      </c>
      <c r="O51" s="38">
        <f>SUM(O39:O50)</f>
        <v>2156518758</v>
      </c>
      <c r="P51" s="28">
        <f>SUMIFS(JU!$H$1063:$H$5007,JU!$F$1063:$F$5007,WS!$A51)</f>
        <v>0</v>
      </c>
      <c r="Q51" s="29">
        <f>SUMIFS(JU!$K$1063:$K$5007,JU!$I$1063:$I$5007,WS!$A51)</f>
        <v>0</v>
      </c>
      <c r="R51" s="38">
        <f>SUM(R39:R50)</f>
        <v>2574987514.0799999</v>
      </c>
      <c r="S51" s="28">
        <f>SUMIFS(JU!$H$5107:$H$5107,JU!$F$5107:$F$5107,WS!$A51)</f>
        <v>0</v>
      </c>
      <c r="T51" s="29">
        <f>SUMIFS(JU!$K$5107:$K$5107,JU!$I$5107:$I$5107,WS!$A51)</f>
        <v>0</v>
      </c>
      <c r="U51" s="38">
        <f>SUM(U39:U50)</f>
        <v>2574987514.0799999</v>
      </c>
      <c r="V51" s="28">
        <f>SUMIFS(JU!$H$5107:$H$5107,JU!$F$5107:$F$5107,WS!$A51)</f>
        <v>0</v>
      </c>
      <c r="W51" s="29">
        <f>SUMIFS(JU!$K$5107:$K$5107,JU!$I$5107:$I$5107,WS!$A51)</f>
        <v>0</v>
      </c>
      <c r="X51" s="38">
        <f>SUM(X39:X50)</f>
        <v>2574987514.0799999</v>
      </c>
      <c r="Y51" s="28">
        <f>SUMIFS(JU!$H$5107:$H$5107,JU!$F$5107:$F$5107,WS!$A51)</f>
        <v>0</v>
      </c>
      <c r="Z51" s="29">
        <f>SUMIFS(JU!$K$5107:$K$5107,JU!$I$5107:$I$5107,WS!$A51)</f>
        <v>0</v>
      </c>
      <c r="AA51" s="38">
        <f>SUM(AA39:AA50)</f>
        <v>2574987514.0799999</v>
      </c>
      <c r="AB51" s="28">
        <f>SUMIFS(JU!$H$5107:$H$5107,JU!$F$5107:$F$5107,WS!$A51)</f>
        <v>0</v>
      </c>
      <c r="AC51" s="29">
        <f>SUMIFS(JU!$K$5107:$K$5107,JU!$I$5107:$I$5107,WS!$A51)</f>
        <v>0</v>
      </c>
      <c r="AD51" s="38">
        <f>SUM(AD39:AD50)</f>
        <v>2574987514.0799999</v>
      </c>
      <c r="AE51" s="28">
        <f>SUMIFS(JU!$H$5107:$H$5107,JU!$F$5107:$F$5107,WS!$A51)</f>
        <v>0</v>
      </c>
      <c r="AF51" s="29">
        <f>SUMIFS(JU!$K$5107:$K$5107,JU!$I$5107:$I$5107,WS!$A51)</f>
        <v>0</v>
      </c>
      <c r="AG51" s="38">
        <f>SUM(AG39:AG50)</f>
        <v>2574987514.0799999</v>
      </c>
      <c r="AH51" s="28">
        <f>SUMIFS(JU!$H$5107:$H$5107,JU!$F$5107:$F$5107,WS!$A51)</f>
        <v>0</v>
      </c>
      <c r="AI51" s="29">
        <f>SUMIFS(JU!$K$5107:$K$5107,JU!$I$5107:$I$5107,WS!$A51)</f>
        <v>0</v>
      </c>
      <c r="AJ51" s="38">
        <f t="shared" ref="AJ51" si="72">SUM(AJ39:AJ50)</f>
        <v>2574987514.0799999</v>
      </c>
      <c r="AK51" s="28">
        <f>SUMIFS(JU!$H$5107:$H$5107,JU!$F$5107:$F$5107,WS!$A51)</f>
        <v>0</v>
      </c>
      <c r="AL51" s="29">
        <f>SUMIFS(JU!$K$5107:$K$5107,JU!$I$5107:$I$5107,WS!$A51)</f>
        <v>0</v>
      </c>
      <c r="AM51" s="38">
        <f t="shared" ref="AM51" si="73">SUM(AM39:AM50)</f>
        <v>2574987514.0799999</v>
      </c>
    </row>
    <row r="52" spans="1:39">
      <c r="A52" s="287" t="s">
        <v>213</v>
      </c>
      <c r="B52" s="287"/>
      <c r="C52" s="38">
        <v>5454178098.1999998</v>
      </c>
      <c r="D52" s="28">
        <f>SUMIFS(JU!$H$5:$H$178,JU!$F$5:$F$178,WS!$A52)</f>
        <v>0</v>
      </c>
      <c r="E52" s="29">
        <f>SUMIFS(JU!$K$5:$K$178,JU!$I$5:$I$178,WS!$A52)</f>
        <v>0</v>
      </c>
      <c r="F52" s="36">
        <f>F51+F37</f>
        <v>5915676558.1999998</v>
      </c>
      <c r="G52" s="28">
        <f>SUMIFS(JU!$H$180:$H$440,JU!$F$180:$F$440,WS!$A52)</f>
        <v>0</v>
      </c>
      <c r="H52" s="29">
        <f>SUMIFS(JU!$K$180:$K$440,JU!$I$180:$I$440,WS!$A52)</f>
        <v>0</v>
      </c>
      <c r="I52" s="36">
        <f>I51+I37</f>
        <v>7477692405.1999998</v>
      </c>
      <c r="J52" s="28">
        <f>SUMIFS(JU!$H$441:$H$695,JU!$F$441:$F$695,WS!$A52)</f>
        <v>0</v>
      </c>
      <c r="K52" s="29">
        <f>SUMIFS(JU!$K$441:$K$695,JU!$I$441:$I$695,WS!$A52)</f>
        <v>0</v>
      </c>
      <c r="L52" s="36">
        <f>L51+L37</f>
        <v>10256229048.200001</v>
      </c>
      <c r="M52" s="28">
        <f>SUMIFS(JU!$H$696:$H$1062,JU!$F$696:$F$1062,$A52)</f>
        <v>0</v>
      </c>
      <c r="N52" s="29">
        <f>SUMIFS(JU!$K$696:$K$1062,JU!$I$696:$I$1062,WS!$A52)</f>
        <v>0</v>
      </c>
      <c r="O52" s="36">
        <f>O51+O37</f>
        <v>10762976755.200001</v>
      </c>
      <c r="P52" s="28">
        <f>SUMIFS(JU!$H$1063:$H$5007,JU!$F$1063:$F$5007,WS!$A52)</f>
        <v>0</v>
      </c>
      <c r="Q52" s="29">
        <f>SUMIFS(JU!$K$1063:$K$5007,JU!$I$1063:$I$5007,WS!$A52)</f>
        <v>0</v>
      </c>
      <c r="R52" s="36">
        <f>R51+R37</f>
        <v>13755244055.280001</v>
      </c>
      <c r="S52" s="28">
        <f>SUMIFS(JU!$H$5107:$H$5107,JU!$F$5107:$F$5107,WS!$A52)</f>
        <v>0</v>
      </c>
      <c r="T52" s="29">
        <f>SUMIFS(JU!$K$5107:$K$5107,JU!$I$5107:$I$5107,WS!$A52)</f>
        <v>0</v>
      </c>
      <c r="U52" s="36">
        <f>U51+U37</f>
        <v>13755244055.280001</v>
      </c>
      <c r="V52" s="28">
        <f>SUMIFS(JU!$H$5107:$H$5107,JU!$F$5107:$F$5107,WS!$A52)</f>
        <v>0</v>
      </c>
      <c r="W52" s="29">
        <f>SUMIFS(JU!$K$5107:$K$5107,JU!$I$5107:$I$5107,WS!$A52)</f>
        <v>0</v>
      </c>
      <c r="X52" s="36">
        <f>X51+X37</f>
        <v>13755244055.280001</v>
      </c>
      <c r="Y52" s="28">
        <f>SUMIFS(JU!$H$5107:$H$5107,JU!$F$5107:$F$5107,WS!$A52)</f>
        <v>0</v>
      </c>
      <c r="Z52" s="29">
        <f>SUMIFS(JU!$K$5107:$K$5107,JU!$I$5107:$I$5107,WS!$A52)</f>
        <v>0</v>
      </c>
      <c r="AA52" s="36">
        <f>AA51+AA37</f>
        <v>13755244055.280001</v>
      </c>
      <c r="AB52" s="28">
        <f>SUMIFS(JU!$H$5107:$H$5107,JU!$F$5107:$F$5107,WS!$A52)</f>
        <v>0</v>
      </c>
      <c r="AC52" s="29">
        <f>SUMIFS(JU!$K$5107:$K$5107,JU!$I$5107:$I$5107,WS!$A52)</f>
        <v>0</v>
      </c>
      <c r="AD52" s="36">
        <f>AD51+AD37</f>
        <v>13755244055.280001</v>
      </c>
      <c r="AE52" s="28">
        <f>SUMIFS(JU!$H$5107:$H$5107,JU!$F$5107:$F$5107,WS!$A52)</f>
        <v>0</v>
      </c>
      <c r="AF52" s="29">
        <f>SUMIFS(JU!$K$5107:$K$5107,JU!$I$5107:$I$5107,WS!$A52)</f>
        <v>0</v>
      </c>
      <c r="AG52" s="36">
        <f>AG51+AG37</f>
        <v>13755244055.280001</v>
      </c>
      <c r="AH52" s="28">
        <f>SUMIFS(JU!$H$5107:$H$5107,JU!$F$5107:$F$5107,WS!$A52)</f>
        <v>0</v>
      </c>
      <c r="AI52" s="29">
        <f>SUMIFS(JU!$K$5107:$K$5107,JU!$I$5107:$I$5107,WS!$A52)</f>
        <v>0</v>
      </c>
      <c r="AJ52" s="36">
        <f t="shared" ref="AJ52" si="74">AJ51+AJ37</f>
        <v>13755244055.280001</v>
      </c>
      <c r="AK52" s="28">
        <f>SUMIFS(JU!$H$5107:$H$5107,JU!$F$5107:$F$5107,WS!$A52)</f>
        <v>0</v>
      </c>
      <c r="AL52" s="29">
        <f>SUMIFS(JU!$K$5107:$K$5107,JU!$I$5107:$I$5107,WS!$A52)</f>
        <v>0</v>
      </c>
      <c r="AM52" s="36">
        <f t="shared" ref="AM52" si="75">AM51+AM37</f>
        <v>13755244055.280001</v>
      </c>
    </row>
    <row r="53" spans="1:39">
      <c r="A53" s="280" t="s">
        <v>101</v>
      </c>
      <c r="B53" s="280"/>
      <c r="C53" s="32"/>
      <c r="D53" s="28">
        <f>SUMIFS(JU!$H$5:$H$178,JU!$F$5:$F$178,WS!$A53)</f>
        <v>0</v>
      </c>
      <c r="E53" s="29">
        <f>SUMIFS(JU!$K$5:$K$178,JU!$I$5:$I$178,WS!$A53)</f>
        <v>0</v>
      </c>
      <c r="F53" s="30"/>
      <c r="G53" s="28">
        <f>SUMIFS(JU!$H$180:$H$440,JU!$F$180:$F$440,WS!$A53)</f>
        <v>0</v>
      </c>
      <c r="H53" s="29">
        <f>SUMIFS(JU!$K$180:$K$440,JU!$I$180:$I$440,WS!$A53)</f>
        <v>0</v>
      </c>
      <c r="I53" s="30"/>
      <c r="J53" s="28">
        <f>SUMIFS(JU!$H$441:$H$695,JU!$F$441:$F$695,WS!$A53)</f>
        <v>0</v>
      </c>
      <c r="K53" s="29">
        <f>SUMIFS(JU!$K$441:$K$695,JU!$I$441:$I$695,WS!$A53)</f>
        <v>0</v>
      </c>
      <c r="L53" s="30"/>
      <c r="M53" s="28">
        <f>SUMIFS(JU!$H$696:$H$1062,JU!$F$696:$F$1062,$A53)</f>
        <v>0</v>
      </c>
      <c r="N53" s="29">
        <f>SUMIFS(JU!$K$696:$K$1062,JU!$I$696:$I$1062,WS!$A53)</f>
        <v>0</v>
      </c>
      <c r="O53" s="30"/>
      <c r="P53" s="28">
        <f>SUMIFS(JU!$H$1063:$H$5007,JU!$F$1063:$F$5007,WS!$A53)</f>
        <v>0</v>
      </c>
      <c r="Q53" s="29">
        <f>SUMIFS(JU!$K$1063:$K$5007,JU!$I$1063:$I$5007,WS!$A53)</f>
        <v>0</v>
      </c>
      <c r="R53" s="30"/>
      <c r="S53" s="28">
        <f>SUMIFS(JU!$H$5107:$H$5107,JU!$F$5107:$F$5107,WS!$A53)</f>
        <v>0</v>
      </c>
      <c r="T53" s="29">
        <f>SUMIFS(JU!$K$5107:$K$5107,JU!$I$5107:$I$5107,WS!$A53)</f>
        <v>0</v>
      </c>
      <c r="U53" s="30"/>
      <c r="V53" s="28">
        <f>SUMIFS(JU!$H$5107:$H$5107,JU!$F$5107:$F$5107,WS!$A53)</f>
        <v>0</v>
      </c>
      <c r="W53" s="29">
        <f>SUMIFS(JU!$K$5107:$K$5107,JU!$I$5107:$I$5107,WS!$A53)</f>
        <v>0</v>
      </c>
      <c r="X53" s="30"/>
      <c r="Y53" s="28">
        <f>SUMIFS(JU!$H$5107:$H$5107,JU!$F$5107:$F$5107,WS!$A53)</f>
        <v>0</v>
      </c>
      <c r="Z53" s="29">
        <f>SUMIFS(JU!$K$5107:$K$5107,JU!$I$5107:$I$5107,WS!$A53)</f>
        <v>0</v>
      </c>
      <c r="AA53" s="30"/>
      <c r="AB53" s="28">
        <f>SUMIFS(JU!$H$5107:$H$5107,JU!$F$5107:$F$5107,WS!$A53)</f>
        <v>0</v>
      </c>
      <c r="AC53" s="29">
        <f>SUMIFS(JU!$K$5107:$K$5107,JU!$I$5107:$I$5107,WS!$A53)</f>
        <v>0</v>
      </c>
      <c r="AD53" s="30"/>
      <c r="AE53" s="28">
        <f>SUMIFS(JU!$H$5107:$H$5107,JU!$F$5107:$F$5107,WS!$A53)</f>
        <v>0</v>
      </c>
      <c r="AF53" s="29">
        <f>SUMIFS(JU!$K$5107:$K$5107,JU!$I$5107:$I$5107,WS!$A53)</f>
        <v>0</v>
      </c>
      <c r="AG53" s="30"/>
      <c r="AH53" s="28">
        <f>SUMIFS(JU!$H$5107:$H$5107,JU!$F$5107:$F$5107,WS!$A53)</f>
        <v>0</v>
      </c>
      <c r="AI53" s="29">
        <f>SUMIFS(JU!$K$5107:$K$5107,JU!$I$5107:$I$5107,WS!$A53)</f>
        <v>0</v>
      </c>
      <c r="AJ53" s="30"/>
      <c r="AK53" s="28">
        <f>SUMIFS(JU!$H$5107:$H$5107,JU!$F$5107:$F$5107,WS!$A53)</f>
        <v>0</v>
      </c>
      <c r="AL53" s="29">
        <f>SUMIFS(JU!$K$5107:$K$5107,JU!$I$5107:$I$5107,WS!$A53)</f>
        <v>0</v>
      </c>
      <c r="AM53" s="30"/>
    </row>
    <row r="54" spans="1:39">
      <c r="A54" s="6" t="s">
        <v>2</v>
      </c>
      <c r="B54" s="31" t="s">
        <v>45</v>
      </c>
      <c r="C54" s="32">
        <v>1500000000</v>
      </c>
      <c r="D54" s="28">
        <f>SUMIFS(JU!$H$5:$H$178,JU!$F$5:$F$178,WS!$A54)</f>
        <v>10000000</v>
      </c>
      <c r="E54" s="29">
        <f>SUMIFS(JU!$K$5:$K$178,JU!$I$5:$I$178,WS!$A54)</f>
        <v>95259094</v>
      </c>
      <c r="F54" s="30">
        <f t="shared" ref="F54:F61" si="76">C54+E54-D54</f>
        <v>1585259094</v>
      </c>
      <c r="G54" s="28">
        <f>SUMIFS(JU!$H$180:$H$440,JU!$F$180:$F$440,WS!$A54)</f>
        <v>1282240200</v>
      </c>
      <c r="H54" s="29">
        <f>SUMIFS(JU!$K$180:$K$440,JU!$I$180:$I$440,WS!$A54)</f>
        <v>2669000000</v>
      </c>
      <c r="I54" s="30">
        <f>F54+H54-G54</f>
        <v>2972018894</v>
      </c>
      <c r="J54" s="28">
        <f>SUMIFS(JU!$H$441:$H$695,JU!$F$441:$F$695,WS!$A54)</f>
        <v>375000000</v>
      </c>
      <c r="K54" s="29">
        <f>SUMIFS(JU!$K$441:$K$695,JU!$I$441:$I$695,WS!$A54)</f>
        <v>3404872500</v>
      </c>
      <c r="L54" s="30">
        <f t="shared" ref="L54:L61" si="77">I54+K54-J54</f>
        <v>6001891394</v>
      </c>
      <c r="M54" s="28">
        <f>SUMIFS(JU!$H$696:$H$1062,JU!$F$696:$F$1062,$A54)</f>
        <v>1771000000</v>
      </c>
      <c r="N54" s="29">
        <f>SUMIFS(JU!$K$696:$K$1062,JU!$I$696:$I$1062,WS!$A54)</f>
        <v>300000000</v>
      </c>
      <c r="O54" s="30">
        <f t="shared" ref="O54:O61" si="78">L54+N54-M54</f>
        <v>4530891394</v>
      </c>
      <c r="P54" s="28">
        <f>SUMIFS(JU!$H$1063:$H$5007,JU!$F$1063:$F$5007,WS!$A54)</f>
        <v>1621000000</v>
      </c>
      <c r="Q54" s="29">
        <f>SUMIFS(JU!$K$1063:$K$5007,JU!$I$1063:$I$5007,WS!$A54)</f>
        <v>2396000000</v>
      </c>
      <c r="R54" s="30">
        <f>O54+Q54-P54</f>
        <v>5305891394</v>
      </c>
      <c r="S54" s="28">
        <f>SUMIFS(JU!$H$5107:$H$5107,JU!$F$5107:$F$5107,WS!$A54)</f>
        <v>0</v>
      </c>
      <c r="T54" s="29">
        <f>SUMIFS(JU!$K$5107:$K$5107,JU!$I$5107:$I$5107,WS!$A54)</f>
        <v>0</v>
      </c>
      <c r="U54" s="30">
        <f>R54+T54-S54</f>
        <v>5305891394</v>
      </c>
      <c r="V54" s="28">
        <f>SUMIFS(JU!$H$5107:$H$5107,JU!$F$5107:$F$5107,WS!$A54)</f>
        <v>0</v>
      </c>
      <c r="W54" s="29">
        <f>SUMIFS(JU!$K$5107:$K$5107,JU!$I$5107:$I$5107,WS!$A54)</f>
        <v>0</v>
      </c>
      <c r="X54" s="30">
        <f>U54+W54-V54</f>
        <v>5305891394</v>
      </c>
      <c r="Y54" s="28">
        <f>SUMIFS(JU!$H$5107:$H$5107,JU!$F$5107:$F$5107,WS!$A54)</f>
        <v>0</v>
      </c>
      <c r="Z54" s="29">
        <f>SUMIFS(JU!$K$5107:$K$5107,JU!$I$5107:$I$5107,WS!$A54)</f>
        <v>0</v>
      </c>
      <c r="AA54" s="30">
        <f>X54+Z54-Y54</f>
        <v>5305891394</v>
      </c>
      <c r="AB54" s="28">
        <f>SUMIFS(JU!$H$5107:$H$5107,JU!$F$5107:$F$5107,WS!$A54)</f>
        <v>0</v>
      </c>
      <c r="AC54" s="29">
        <f>SUMIFS(JU!$K$5107:$K$5107,JU!$I$5107:$I$5107,WS!$A54)</f>
        <v>0</v>
      </c>
      <c r="AD54" s="30">
        <f>AA54+AC54-AB54</f>
        <v>5305891394</v>
      </c>
      <c r="AE54" s="28">
        <f>SUMIFS(JU!$H$5107:$H$5107,JU!$F$5107:$F$5107,WS!$A54)</f>
        <v>0</v>
      </c>
      <c r="AF54" s="29">
        <f>SUMIFS(JU!$K$5107:$K$5107,JU!$I$5107:$I$5107,WS!$A54)</f>
        <v>0</v>
      </c>
      <c r="AG54" s="30">
        <f>AD54+AF54-AE54</f>
        <v>5305891394</v>
      </c>
      <c r="AH54" s="28">
        <f>SUMIFS(JU!$H$5107:$H$5107,JU!$F$5107:$F$5107,WS!$A54)</f>
        <v>0</v>
      </c>
      <c r="AI54" s="29">
        <f>SUMIFS(JU!$K$5107:$K$5107,JU!$I$5107:$I$5107,WS!$A54)</f>
        <v>0</v>
      </c>
      <c r="AJ54" s="30">
        <f>AG54+AI54-AH54</f>
        <v>5305891394</v>
      </c>
      <c r="AK54" s="28">
        <f>SUMIFS(JU!$H$5107:$H$5107,JU!$F$5107:$F$5107,WS!$A54)</f>
        <v>0</v>
      </c>
      <c r="AL54" s="29">
        <f>SUMIFS(JU!$K$5107:$K$5107,JU!$I$5107:$I$5107,WS!$A54)</f>
        <v>0</v>
      </c>
      <c r="AM54" s="30">
        <f>AJ54+AL54-AK54</f>
        <v>5305891394</v>
      </c>
    </row>
    <row r="55" spans="1:39">
      <c r="A55" s="6" t="s">
        <v>3</v>
      </c>
      <c r="B55" s="31" t="s">
        <v>46</v>
      </c>
      <c r="C55" s="32">
        <v>0</v>
      </c>
      <c r="D55" s="28">
        <f>SUMIFS(JU!$H$5:$H$178,JU!$F$5:$F$178,WS!$A55)</f>
        <v>0</v>
      </c>
      <c r="E55" s="29">
        <f>SUMIFS(JU!$K$5:$K$178,JU!$I$5:$I$178,WS!$A55)</f>
        <v>0</v>
      </c>
      <c r="F55" s="30">
        <f t="shared" si="76"/>
        <v>0</v>
      </c>
      <c r="G55" s="28">
        <f>SUMIFS(JU!$H$180:$H$440,JU!$F$180:$F$440,WS!$A55)</f>
        <v>0</v>
      </c>
      <c r="H55" s="29">
        <f>SUMIFS(JU!$K$180:$K$440,JU!$I$180:$I$440,WS!$A55)</f>
        <v>0</v>
      </c>
      <c r="I55" s="30">
        <f t="shared" ref="I55:I61" si="79">F55+H55-G55</f>
        <v>0</v>
      </c>
      <c r="J55" s="28">
        <f>SUMIFS(JU!$H$441:$H$695,JU!$F$441:$F$695,WS!$A55)</f>
        <v>0</v>
      </c>
      <c r="K55" s="29">
        <f>SUMIFS(JU!$K$441:$K$695,JU!$I$441:$I$695,WS!$A55)</f>
        <v>0</v>
      </c>
      <c r="L55" s="30">
        <f t="shared" si="77"/>
        <v>0</v>
      </c>
      <c r="M55" s="28">
        <f>SUMIFS(JU!$H$696:$H$1062,JU!$F$696:$F$1062,$A55)</f>
        <v>0</v>
      </c>
      <c r="N55" s="29">
        <f>SUMIFS(JU!$K$696:$K$1062,JU!$I$696:$I$1062,WS!$A55)</f>
        <v>0</v>
      </c>
      <c r="O55" s="30">
        <f t="shared" si="78"/>
        <v>0</v>
      </c>
      <c r="P55" s="28">
        <f>SUMIFS(JU!$H$1063:$H$5007,JU!$F$1063:$F$5007,WS!$A55)</f>
        <v>0</v>
      </c>
      <c r="Q55" s="29">
        <f>SUMIFS(JU!$K$1063:$K$5007,JU!$I$1063:$I$5007,WS!$A55)</f>
        <v>0</v>
      </c>
      <c r="R55" s="30">
        <f t="shared" ref="R55:R61" si="80">O55+Q55-P55</f>
        <v>0</v>
      </c>
      <c r="S55" s="28">
        <f>SUMIFS(JU!$H$5107:$H$5107,JU!$F$5107:$F$5107,WS!$A55)</f>
        <v>0</v>
      </c>
      <c r="T55" s="29">
        <f>SUMIFS(JU!$K$5107:$K$5107,JU!$I$5107:$I$5107,WS!$A55)</f>
        <v>0</v>
      </c>
      <c r="U55" s="30">
        <f t="shared" ref="U55:U61" si="81">R55+T55-S55</f>
        <v>0</v>
      </c>
      <c r="V55" s="28">
        <f>SUMIFS(JU!$H$5107:$H$5107,JU!$F$5107:$F$5107,WS!$A55)</f>
        <v>0</v>
      </c>
      <c r="W55" s="29">
        <f>SUMIFS(JU!$K$5107:$K$5107,JU!$I$5107:$I$5107,WS!$A55)</f>
        <v>0</v>
      </c>
      <c r="X55" s="30">
        <f t="shared" ref="X55:X61" si="82">U55+W55-V55</f>
        <v>0</v>
      </c>
      <c r="Y55" s="28">
        <f>SUMIFS(JU!$H$5107:$H$5107,JU!$F$5107:$F$5107,WS!$A55)</f>
        <v>0</v>
      </c>
      <c r="Z55" s="29">
        <f>SUMIFS(JU!$K$5107:$K$5107,JU!$I$5107:$I$5107,WS!$A55)</f>
        <v>0</v>
      </c>
      <c r="AA55" s="30">
        <f t="shared" ref="AA55:AA61" si="83">X55+Z55-Y55</f>
        <v>0</v>
      </c>
      <c r="AB55" s="28">
        <f>SUMIFS(JU!$H$5107:$H$5107,JU!$F$5107:$F$5107,WS!$A55)</f>
        <v>0</v>
      </c>
      <c r="AC55" s="29">
        <f>SUMIFS(JU!$K$5107:$K$5107,JU!$I$5107:$I$5107,WS!$A55)</f>
        <v>0</v>
      </c>
      <c r="AD55" s="30">
        <f t="shared" ref="AD55:AD61" si="84">AA55+AC55-AB55</f>
        <v>0</v>
      </c>
      <c r="AE55" s="28">
        <f>SUMIFS(JU!$H$5107:$H$5107,JU!$F$5107:$F$5107,WS!$A55)</f>
        <v>0</v>
      </c>
      <c r="AF55" s="29">
        <f>SUMIFS(JU!$K$5107:$K$5107,JU!$I$5107:$I$5107,WS!$A55)</f>
        <v>0</v>
      </c>
      <c r="AG55" s="30">
        <f t="shared" ref="AG55:AG61" si="85">AD55+AF55-AE55</f>
        <v>0</v>
      </c>
      <c r="AH55" s="28">
        <f>SUMIFS(JU!$H$5107:$H$5107,JU!$F$5107:$F$5107,WS!$A55)</f>
        <v>0</v>
      </c>
      <c r="AI55" s="29">
        <f>SUMIFS(JU!$K$5107:$K$5107,JU!$I$5107:$I$5107,WS!$A55)</f>
        <v>0</v>
      </c>
      <c r="AJ55" s="30">
        <f t="shared" ref="AJ55:AJ61" si="86">AG55+AI55-AH55</f>
        <v>0</v>
      </c>
      <c r="AK55" s="28">
        <f>SUMIFS(JU!$H$5107:$H$5107,JU!$F$5107:$F$5107,WS!$A55)</f>
        <v>0</v>
      </c>
      <c r="AL55" s="29">
        <f>SUMIFS(JU!$K$5107:$K$5107,JU!$I$5107:$I$5107,WS!$A55)</f>
        <v>0</v>
      </c>
      <c r="AM55" s="30">
        <f t="shared" ref="AM55:AM61" si="87">AJ55+AL55-AK55</f>
        <v>0</v>
      </c>
    </row>
    <row r="56" spans="1:39">
      <c r="A56" s="6" t="s">
        <v>4</v>
      </c>
      <c r="B56" s="31" t="s">
        <v>159</v>
      </c>
      <c r="C56" s="32">
        <v>0</v>
      </c>
      <c r="D56" s="28">
        <f>SUMIFS(JU!$H$5:$H$178,JU!$F$5:$F$178,WS!$A56)</f>
        <v>0</v>
      </c>
      <c r="E56" s="29">
        <f>SUMIFS(JU!$K$5:$K$178,JU!$I$5:$I$178,WS!$A56)</f>
        <v>0</v>
      </c>
      <c r="F56" s="30">
        <f t="shared" si="76"/>
        <v>0</v>
      </c>
      <c r="G56" s="28">
        <f>SUMIFS(JU!$H$180:$H$440,JU!$F$180:$F$440,WS!$A56)</f>
        <v>0</v>
      </c>
      <c r="H56" s="29">
        <f>SUMIFS(JU!$K$180:$K$440,JU!$I$180:$I$440,WS!$A56)</f>
        <v>0</v>
      </c>
      <c r="I56" s="30">
        <f t="shared" si="79"/>
        <v>0</v>
      </c>
      <c r="J56" s="28">
        <f>SUMIFS(JU!$H$441:$H$695,JU!$F$441:$F$695,WS!$A56)</f>
        <v>0</v>
      </c>
      <c r="K56" s="29">
        <f>SUMIFS(JU!$K$441:$K$695,JU!$I$441:$I$695,WS!$A56)</f>
        <v>0</v>
      </c>
      <c r="L56" s="30">
        <f t="shared" si="77"/>
        <v>0</v>
      </c>
      <c r="M56" s="28">
        <f>SUMIFS(JU!$H$696:$H$1062,JU!$F$696:$F$1062,$A56)</f>
        <v>0</v>
      </c>
      <c r="N56" s="29">
        <f>SUMIFS(JU!$K$696:$K$1062,JU!$I$696:$I$1062,WS!$A56)</f>
        <v>0</v>
      </c>
      <c r="O56" s="30">
        <f t="shared" si="78"/>
        <v>0</v>
      </c>
      <c r="P56" s="28">
        <f>SUMIFS(JU!$H$1063:$H$5007,JU!$F$1063:$F$5007,WS!$A56)</f>
        <v>0</v>
      </c>
      <c r="Q56" s="29">
        <f>SUMIFS(JU!$K$1063:$K$5007,JU!$I$1063:$I$5007,WS!$A56)</f>
        <v>0</v>
      </c>
      <c r="R56" s="30">
        <f t="shared" si="80"/>
        <v>0</v>
      </c>
      <c r="S56" s="28">
        <f>SUMIFS(JU!$H$5107:$H$5107,JU!$F$5107:$F$5107,WS!$A56)</f>
        <v>0</v>
      </c>
      <c r="T56" s="29">
        <f>SUMIFS(JU!$K$5107:$K$5107,JU!$I$5107:$I$5107,WS!$A56)</f>
        <v>0</v>
      </c>
      <c r="U56" s="30">
        <f t="shared" si="81"/>
        <v>0</v>
      </c>
      <c r="V56" s="28">
        <f>SUMIFS(JU!$H$5107:$H$5107,JU!$F$5107:$F$5107,WS!$A56)</f>
        <v>0</v>
      </c>
      <c r="W56" s="29">
        <f>SUMIFS(JU!$K$5107:$K$5107,JU!$I$5107:$I$5107,WS!$A56)</f>
        <v>0</v>
      </c>
      <c r="X56" s="30">
        <f t="shared" si="82"/>
        <v>0</v>
      </c>
      <c r="Y56" s="28">
        <f>SUMIFS(JU!$H$5107:$H$5107,JU!$F$5107:$F$5107,WS!$A56)</f>
        <v>0</v>
      </c>
      <c r="Z56" s="29">
        <f>SUMIFS(JU!$K$5107:$K$5107,JU!$I$5107:$I$5107,WS!$A56)</f>
        <v>0</v>
      </c>
      <c r="AA56" s="30">
        <f t="shared" si="83"/>
        <v>0</v>
      </c>
      <c r="AB56" s="28">
        <f>SUMIFS(JU!$H$5107:$H$5107,JU!$F$5107:$F$5107,WS!$A56)</f>
        <v>0</v>
      </c>
      <c r="AC56" s="29">
        <f>SUMIFS(JU!$K$5107:$K$5107,JU!$I$5107:$I$5107,WS!$A56)</f>
        <v>0</v>
      </c>
      <c r="AD56" s="30">
        <f t="shared" si="84"/>
        <v>0</v>
      </c>
      <c r="AE56" s="28">
        <f>SUMIFS(JU!$H$5107:$H$5107,JU!$F$5107:$F$5107,WS!$A56)</f>
        <v>0</v>
      </c>
      <c r="AF56" s="29">
        <f>SUMIFS(JU!$K$5107:$K$5107,JU!$I$5107:$I$5107,WS!$A56)</f>
        <v>0</v>
      </c>
      <c r="AG56" s="30">
        <f t="shared" si="85"/>
        <v>0</v>
      </c>
      <c r="AH56" s="28">
        <f>SUMIFS(JU!$H$5107:$H$5107,JU!$F$5107:$F$5107,WS!$A56)</f>
        <v>0</v>
      </c>
      <c r="AI56" s="29">
        <f>SUMIFS(JU!$K$5107:$K$5107,JU!$I$5107:$I$5107,WS!$A56)</f>
        <v>0</v>
      </c>
      <c r="AJ56" s="30">
        <f t="shared" si="86"/>
        <v>0</v>
      </c>
      <c r="AK56" s="28">
        <f>SUMIFS(JU!$H$5107:$H$5107,JU!$F$5107:$F$5107,WS!$A56)</f>
        <v>0</v>
      </c>
      <c r="AL56" s="29">
        <f>SUMIFS(JU!$K$5107:$K$5107,JU!$I$5107:$I$5107,WS!$A56)</f>
        <v>0</v>
      </c>
      <c r="AM56" s="30">
        <f t="shared" si="87"/>
        <v>0</v>
      </c>
    </row>
    <row r="57" spans="1:39">
      <c r="A57" s="6" t="s">
        <v>5</v>
      </c>
      <c r="B57" s="31" t="s">
        <v>48</v>
      </c>
      <c r="C57" s="32">
        <v>0</v>
      </c>
      <c r="D57" s="28">
        <f>SUMIFS(JU!$H$5:$H$178,JU!$F$5:$F$178,WS!$A57)</f>
        <v>0</v>
      </c>
      <c r="E57" s="29">
        <f>SUMIFS(JU!$K$5:$K$178,JU!$I$5:$I$178,WS!$A57)</f>
        <v>0</v>
      </c>
      <c r="F57" s="30">
        <f t="shared" si="76"/>
        <v>0</v>
      </c>
      <c r="G57" s="28">
        <f>SUMIFS(JU!$H$180:$H$440,JU!$F$180:$F$440,WS!$A57)</f>
        <v>0</v>
      </c>
      <c r="H57" s="29">
        <f>SUMIFS(JU!$K$180:$K$440,JU!$I$180:$I$440,WS!$A57)</f>
        <v>0</v>
      </c>
      <c r="I57" s="30">
        <f t="shared" si="79"/>
        <v>0</v>
      </c>
      <c r="J57" s="28">
        <f>SUMIFS(JU!$H$441:$H$695,JU!$F$441:$F$695,WS!$A57)</f>
        <v>0</v>
      </c>
      <c r="K57" s="29">
        <f>SUMIFS(JU!$K$441:$K$695,JU!$I$441:$I$695,WS!$A57)</f>
        <v>0</v>
      </c>
      <c r="L57" s="30">
        <f t="shared" si="77"/>
        <v>0</v>
      </c>
      <c r="M57" s="28">
        <f>SUMIFS(JU!$H$696:$H$1062,JU!$F$696:$F$1062,$A57)</f>
        <v>0</v>
      </c>
      <c r="N57" s="29">
        <f>SUMIFS(JU!$K$696:$K$1062,JU!$I$696:$I$1062,WS!$A57)</f>
        <v>0</v>
      </c>
      <c r="O57" s="30">
        <f t="shared" si="78"/>
        <v>0</v>
      </c>
      <c r="P57" s="28">
        <f>SUMIFS(JU!$H$1063:$H$5007,JU!$F$1063:$F$5007,WS!$A57)</f>
        <v>0</v>
      </c>
      <c r="Q57" s="29">
        <f>SUMIFS(JU!$K$1063:$K$5007,JU!$I$1063:$I$5007,WS!$A57)</f>
        <v>0</v>
      </c>
      <c r="R57" s="30">
        <f t="shared" si="80"/>
        <v>0</v>
      </c>
      <c r="S57" s="28">
        <f>SUMIFS(JU!$H$5107:$H$5107,JU!$F$5107:$F$5107,WS!$A57)</f>
        <v>0</v>
      </c>
      <c r="T57" s="29">
        <f>SUMIFS(JU!$K$5107:$K$5107,JU!$I$5107:$I$5107,WS!$A57)</f>
        <v>0</v>
      </c>
      <c r="U57" s="30">
        <f t="shared" si="81"/>
        <v>0</v>
      </c>
      <c r="V57" s="28">
        <f>SUMIFS(JU!$H$5107:$H$5107,JU!$F$5107:$F$5107,WS!$A57)</f>
        <v>0</v>
      </c>
      <c r="W57" s="29">
        <f>SUMIFS(JU!$K$5107:$K$5107,JU!$I$5107:$I$5107,WS!$A57)</f>
        <v>0</v>
      </c>
      <c r="X57" s="30">
        <f t="shared" si="82"/>
        <v>0</v>
      </c>
      <c r="Y57" s="28">
        <f>SUMIFS(JU!$H$5107:$H$5107,JU!$F$5107:$F$5107,WS!$A57)</f>
        <v>0</v>
      </c>
      <c r="Z57" s="29">
        <f>SUMIFS(JU!$K$5107:$K$5107,JU!$I$5107:$I$5107,WS!$A57)</f>
        <v>0</v>
      </c>
      <c r="AA57" s="30">
        <f t="shared" si="83"/>
        <v>0</v>
      </c>
      <c r="AB57" s="28">
        <f>SUMIFS(JU!$H$5107:$H$5107,JU!$F$5107:$F$5107,WS!$A57)</f>
        <v>0</v>
      </c>
      <c r="AC57" s="29">
        <f>SUMIFS(JU!$K$5107:$K$5107,JU!$I$5107:$I$5107,WS!$A57)</f>
        <v>0</v>
      </c>
      <c r="AD57" s="30">
        <f t="shared" si="84"/>
        <v>0</v>
      </c>
      <c r="AE57" s="28">
        <f>SUMIFS(JU!$H$5107:$H$5107,JU!$F$5107:$F$5107,WS!$A57)</f>
        <v>0</v>
      </c>
      <c r="AF57" s="29">
        <f>SUMIFS(JU!$K$5107:$K$5107,JU!$I$5107:$I$5107,WS!$A57)</f>
        <v>0</v>
      </c>
      <c r="AG57" s="30">
        <f t="shared" si="85"/>
        <v>0</v>
      </c>
      <c r="AH57" s="28">
        <f>SUMIFS(JU!$H$5107:$H$5107,JU!$F$5107:$F$5107,WS!$A57)</f>
        <v>0</v>
      </c>
      <c r="AI57" s="29">
        <f>SUMIFS(JU!$K$5107:$K$5107,JU!$I$5107:$I$5107,WS!$A57)</f>
        <v>0</v>
      </c>
      <c r="AJ57" s="30">
        <f t="shared" si="86"/>
        <v>0</v>
      </c>
      <c r="AK57" s="28">
        <f>SUMIFS(JU!$H$5107:$H$5107,JU!$F$5107:$F$5107,WS!$A57)</f>
        <v>0</v>
      </c>
      <c r="AL57" s="29">
        <f>SUMIFS(JU!$K$5107:$K$5107,JU!$I$5107:$I$5107,WS!$A57)</f>
        <v>0</v>
      </c>
      <c r="AM57" s="30">
        <f t="shared" si="87"/>
        <v>0</v>
      </c>
    </row>
    <row r="58" spans="1:39" s="37" customFormat="1">
      <c r="A58" s="6" t="s">
        <v>6</v>
      </c>
      <c r="B58" s="31" t="s">
        <v>49</v>
      </c>
      <c r="C58" s="32">
        <v>0</v>
      </c>
      <c r="D58" s="28">
        <f>SUMIFS(JU!$H$5:$H$178,JU!$F$5:$F$178,WS!$A58)</f>
        <v>0</v>
      </c>
      <c r="E58" s="29">
        <f>SUMIFS(JU!$K$5:$K$178,JU!$I$5:$I$178,WS!$A58)</f>
        <v>0</v>
      </c>
      <c r="F58" s="30">
        <f t="shared" si="76"/>
        <v>0</v>
      </c>
      <c r="G58" s="28">
        <f>SUMIFS(JU!$H$180:$H$440,JU!$F$180:$F$440,WS!$A58)</f>
        <v>0</v>
      </c>
      <c r="H58" s="29">
        <f>SUMIFS(JU!$K$180:$K$440,JU!$I$180:$I$440,WS!$A58)</f>
        <v>0</v>
      </c>
      <c r="I58" s="30">
        <f t="shared" si="79"/>
        <v>0</v>
      </c>
      <c r="J58" s="28">
        <f>SUMIFS(JU!$H$441:$H$695,JU!$F$441:$F$695,WS!$A58)</f>
        <v>0</v>
      </c>
      <c r="K58" s="29">
        <f>SUMIFS(JU!$K$441:$K$695,JU!$I$441:$I$695,WS!$A58)</f>
        <v>0</v>
      </c>
      <c r="L58" s="30">
        <f t="shared" si="77"/>
        <v>0</v>
      </c>
      <c r="M58" s="28">
        <f>SUMIFS(JU!$H$696:$H$1062,JU!$F$696:$F$1062,$A58)</f>
        <v>0</v>
      </c>
      <c r="N58" s="29">
        <f>SUMIFS(JU!$K$696:$K$1062,JU!$I$696:$I$1062,WS!$A58)</f>
        <v>0</v>
      </c>
      <c r="O58" s="30">
        <f t="shared" si="78"/>
        <v>0</v>
      </c>
      <c r="P58" s="28">
        <f>SUMIFS(JU!$H$1063:$H$5007,JU!$F$1063:$F$5007,WS!$A58)</f>
        <v>0</v>
      </c>
      <c r="Q58" s="29">
        <f>SUMIFS(JU!$K$1063:$K$5007,JU!$I$1063:$I$5007,WS!$A58)</f>
        <v>0</v>
      </c>
      <c r="R58" s="30">
        <f t="shared" si="80"/>
        <v>0</v>
      </c>
      <c r="S58" s="28">
        <f>SUMIFS(JU!$H$5107:$H$5107,JU!$F$5107:$F$5107,WS!$A58)</f>
        <v>0</v>
      </c>
      <c r="T58" s="29">
        <f>SUMIFS(JU!$K$5107:$K$5107,JU!$I$5107:$I$5107,WS!$A58)</f>
        <v>0</v>
      </c>
      <c r="U58" s="30">
        <f t="shared" si="81"/>
        <v>0</v>
      </c>
      <c r="V58" s="28">
        <f>SUMIFS(JU!$H$5107:$H$5107,JU!$F$5107:$F$5107,WS!$A58)</f>
        <v>0</v>
      </c>
      <c r="W58" s="29">
        <f>SUMIFS(JU!$K$5107:$K$5107,JU!$I$5107:$I$5107,WS!$A58)</f>
        <v>0</v>
      </c>
      <c r="X58" s="30">
        <f t="shared" si="82"/>
        <v>0</v>
      </c>
      <c r="Y58" s="28">
        <f>SUMIFS(JU!$H$5107:$H$5107,JU!$F$5107:$F$5107,WS!$A58)</f>
        <v>0</v>
      </c>
      <c r="Z58" s="29">
        <f>SUMIFS(JU!$K$5107:$K$5107,JU!$I$5107:$I$5107,WS!$A58)</f>
        <v>0</v>
      </c>
      <c r="AA58" s="30">
        <f t="shared" si="83"/>
        <v>0</v>
      </c>
      <c r="AB58" s="28">
        <f>SUMIFS(JU!$H$5107:$H$5107,JU!$F$5107:$F$5107,WS!$A58)</f>
        <v>0</v>
      </c>
      <c r="AC58" s="29">
        <f>SUMIFS(JU!$K$5107:$K$5107,JU!$I$5107:$I$5107,WS!$A58)</f>
        <v>0</v>
      </c>
      <c r="AD58" s="30">
        <f t="shared" si="84"/>
        <v>0</v>
      </c>
      <c r="AE58" s="28">
        <f>SUMIFS(JU!$H$5107:$H$5107,JU!$F$5107:$F$5107,WS!$A58)</f>
        <v>0</v>
      </c>
      <c r="AF58" s="29">
        <f>SUMIFS(JU!$K$5107:$K$5107,JU!$I$5107:$I$5107,WS!$A58)</f>
        <v>0</v>
      </c>
      <c r="AG58" s="30">
        <f t="shared" si="85"/>
        <v>0</v>
      </c>
      <c r="AH58" s="28">
        <f>SUMIFS(JU!$H$5107:$H$5107,JU!$F$5107:$F$5107,WS!$A58)</f>
        <v>0</v>
      </c>
      <c r="AI58" s="29">
        <f>SUMIFS(JU!$K$5107:$K$5107,JU!$I$5107:$I$5107,WS!$A58)</f>
        <v>0</v>
      </c>
      <c r="AJ58" s="30">
        <f t="shared" si="86"/>
        <v>0</v>
      </c>
      <c r="AK58" s="28">
        <f>SUMIFS(JU!$H$5107:$H$5107,JU!$F$5107:$F$5107,WS!$A58)</f>
        <v>0</v>
      </c>
      <c r="AL58" s="29">
        <f>SUMIFS(JU!$K$5107:$K$5107,JU!$I$5107:$I$5107,WS!$A58)</f>
        <v>0</v>
      </c>
      <c r="AM58" s="30">
        <f t="shared" si="87"/>
        <v>0</v>
      </c>
    </row>
    <row r="59" spans="1:39">
      <c r="A59" s="6" t="s">
        <v>7</v>
      </c>
      <c r="B59" s="31" t="s">
        <v>192</v>
      </c>
      <c r="C59" s="32">
        <v>0</v>
      </c>
      <c r="D59" s="28">
        <f>SUMIFS(JU!$H$5:$H$178,JU!$F$5:$F$178,WS!$A59)</f>
        <v>0</v>
      </c>
      <c r="E59" s="29">
        <f>SUMIFS(JU!$K$5:$K$178,JU!$I$5:$I$178,WS!$A59)</f>
        <v>0</v>
      </c>
      <c r="F59" s="30">
        <f t="shared" si="76"/>
        <v>0</v>
      </c>
      <c r="G59" s="28">
        <f>SUMIFS(JU!$H$180:$H$440,JU!$F$180:$F$440,WS!$A59)</f>
        <v>0</v>
      </c>
      <c r="H59" s="29">
        <f>SUMIFS(JU!$K$180:$K$440,JU!$I$180:$I$440,WS!$A59)</f>
        <v>0</v>
      </c>
      <c r="I59" s="30">
        <f t="shared" si="79"/>
        <v>0</v>
      </c>
      <c r="J59" s="28">
        <f>SUMIFS(JU!$H$441:$H$695,JU!$F$441:$F$695,WS!$A59)</f>
        <v>0</v>
      </c>
      <c r="K59" s="29">
        <f>SUMIFS(JU!$K$441:$K$695,JU!$I$441:$I$695,WS!$A59)</f>
        <v>0</v>
      </c>
      <c r="L59" s="30">
        <f t="shared" si="77"/>
        <v>0</v>
      </c>
      <c r="M59" s="28">
        <f>SUMIFS(JU!$H$696:$H$1062,JU!$F$696:$F$1062,$A59)</f>
        <v>0</v>
      </c>
      <c r="N59" s="29">
        <f>SUMIFS(JU!$K$696:$K$1062,JU!$I$696:$I$1062,WS!$A59)</f>
        <v>0</v>
      </c>
      <c r="O59" s="30">
        <f t="shared" si="78"/>
        <v>0</v>
      </c>
      <c r="P59" s="28">
        <f>SUMIFS(JU!$H$1063:$H$5007,JU!$F$1063:$F$5007,WS!$A59)</f>
        <v>0</v>
      </c>
      <c r="Q59" s="29">
        <f>SUMIFS(JU!$K$1063:$K$5007,JU!$I$1063:$I$5007,WS!$A59)</f>
        <v>0</v>
      </c>
      <c r="R59" s="30">
        <f t="shared" si="80"/>
        <v>0</v>
      </c>
      <c r="S59" s="28">
        <f>SUMIFS(JU!$H$5107:$H$5107,JU!$F$5107:$F$5107,WS!$A59)</f>
        <v>0</v>
      </c>
      <c r="T59" s="29">
        <f>SUMIFS(JU!$K$5107:$K$5107,JU!$I$5107:$I$5107,WS!$A59)</f>
        <v>0</v>
      </c>
      <c r="U59" s="30">
        <f t="shared" si="81"/>
        <v>0</v>
      </c>
      <c r="V59" s="28">
        <f>SUMIFS(JU!$H$5107:$H$5107,JU!$F$5107:$F$5107,WS!$A59)</f>
        <v>0</v>
      </c>
      <c r="W59" s="29">
        <f>SUMIFS(JU!$K$5107:$K$5107,JU!$I$5107:$I$5107,WS!$A59)</f>
        <v>0</v>
      </c>
      <c r="X59" s="30">
        <f t="shared" si="82"/>
        <v>0</v>
      </c>
      <c r="Y59" s="28">
        <f>SUMIFS(JU!$H$5107:$H$5107,JU!$F$5107:$F$5107,WS!$A59)</f>
        <v>0</v>
      </c>
      <c r="Z59" s="29">
        <f>SUMIFS(JU!$K$5107:$K$5107,JU!$I$5107:$I$5107,WS!$A59)</f>
        <v>0</v>
      </c>
      <c r="AA59" s="30">
        <f t="shared" si="83"/>
        <v>0</v>
      </c>
      <c r="AB59" s="28">
        <f>SUMIFS(JU!$H$5107:$H$5107,JU!$F$5107:$F$5107,WS!$A59)</f>
        <v>0</v>
      </c>
      <c r="AC59" s="29">
        <f>SUMIFS(JU!$K$5107:$K$5107,JU!$I$5107:$I$5107,WS!$A59)</f>
        <v>0</v>
      </c>
      <c r="AD59" s="30">
        <f t="shared" si="84"/>
        <v>0</v>
      </c>
      <c r="AE59" s="28">
        <f>SUMIFS(JU!$H$5107:$H$5107,JU!$F$5107:$F$5107,WS!$A59)</f>
        <v>0</v>
      </c>
      <c r="AF59" s="29">
        <f>SUMIFS(JU!$K$5107:$K$5107,JU!$I$5107:$I$5107,WS!$A59)</f>
        <v>0</v>
      </c>
      <c r="AG59" s="30">
        <f t="shared" si="85"/>
        <v>0</v>
      </c>
      <c r="AH59" s="28">
        <f>SUMIFS(JU!$H$5107:$H$5107,JU!$F$5107:$F$5107,WS!$A59)</f>
        <v>0</v>
      </c>
      <c r="AI59" s="29">
        <f>SUMIFS(JU!$K$5107:$K$5107,JU!$I$5107:$I$5107,WS!$A59)</f>
        <v>0</v>
      </c>
      <c r="AJ59" s="30">
        <f t="shared" si="86"/>
        <v>0</v>
      </c>
      <c r="AK59" s="28">
        <f>SUMIFS(JU!$H$5107:$H$5107,JU!$F$5107:$F$5107,WS!$A59)</f>
        <v>0</v>
      </c>
      <c r="AL59" s="29">
        <f>SUMIFS(JU!$K$5107:$K$5107,JU!$I$5107:$I$5107,WS!$A59)</f>
        <v>0</v>
      </c>
      <c r="AM59" s="30">
        <f t="shared" si="87"/>
        <v>0</v>
      </c>
    </row>
    <row r="60" spans="1:39">
      <c r="A60" s="6" t="s">
        <v>8</v>
      </c>
      <c r="B60" s="31" t="s">
        <v>50</v>
      </c>
      <c r="C60" s="32">
        <v>0</v>
      </c>
      <c r="D60" s="28">
        <f>SUMIFS(JU!$H$5:$H$178,JU!$F$5:$F$178,WS!$A60)</f>
        <v>1204131000</v>
      </c>
      <c r="E60" s="29">
        <f>SUMIFS(JU!$K$5:$K$178,JU!$I$5:$I$178,WS!$A60)</f>
        <v>1639131000</v>
      </c>
      <c r="F60" s="30">
        <f t="shared" si="76"/>
        <v>435000000</v>
      </c>
      <c r="G60" s="28">
        <f>SUMIFS(JU!$H$180:$H$440,JU!$F$180:$F$440,WS!$A60)</f>
        <v>2538234500</v>
      </c>
      <c r="H60" s="29">
        <f>SUMIFS(JU!$K$180:$K$440,JU!$I$180:$I$440,WS!$A60)</f>
        <v>2759525000</v>
      </c>
      <c r="I60" s="30">
        <f t="shared" si="79"/>
        <v>656290500</v>
      </c>
      <c r="J60" s="28">
        <f>SUMIFS(JU!$H$441:$H$695,JU!$F$441:$F$695,WS!$A60)</f>
        <v>1189546166</v>
      </c>
      <c r="K60" s="29">
        <f>SUMIFS(JU!$K$441:$K$695,JU!$I$441:$I$695,WS!$A60)</f>
        <v>844546166</v>
      </c>
      <c r="L60" s="30">
        <f t="shared" si="77"/>
        <v>311290500</v>
      </c>
      <c r="M60" s="28">
        <f>SUMIFS(JU!$H$696:$H$1062,JU!$F$696:$F$1062,$A60)</f>
        <v>2373762912</v>
      </c>
      <c r="N60" s="29">
        <f>SUMIFS(JU!$K$696:$K$1062,JU!$I$696:$I$1062,WS!$A60)</f>
        <v>2246762500</v>
      </c>
      <c r="O60" s="30">
        <f t="shared" si="78"/>
        <v>184290088</v>
      </c>
      <c r="P60" s="28">
        <f>SUMIFS(JU!$H$1063:$H$5007,JU!$F$1063:$F$5007,WS!$A60)</f>
        <v>627462550</v>
      </c>
      <c r="Q60" s="29">
        <f>SUMIFS(JU!$K$1063:$K$5007,JU!$I$1063:$I$5007,WS!$A60)</f>
        <v>625877500</v>
      </c>
      <c r="R60" s="30">
        <f t="shared" si="80"/>
        <v>182705038</v>
      </c>
      <c r="S60" s="28">
        <f>SUMIFS(JU!$H$5107:$H$5107,JU!$F$5107:$F$5107,WS!$A60)</f>
        <v>0</v>
      </c>
      <c r="T60" s="29">
        <f>SUMIFS(JU!$K$5107:$K$5107,JU!$I$5107:$I$5107,WS!$A60)</f>
        <v>0</v>
      </c>
      <c r="U60" s="30">
        <f t="shared" si="81"/>
        <v>182705038</v>
      </c>
      <c r="V60" s="28">
        <f>SUMIFS(JU!$H$5107:$H$5107,JU!$F$5107:$F$5107,WS!$A60)</f>
        <v>0</v>
      </c>
      <c r="W60" s="29">
        <f>SUMIFS(JU!$K$5107:$K$5107,JU!$I$5107:$I$5107,WS!$A60)</f>
        <v>0</v>
      </c>
      <c r="X60" s="30">
        <f t="shared" si="82"/>
        <v>182705038</v>
      </c>
      <c r="Y60" s="28">
        <f>SUMIFS(JU!$H$5107:$H$5107,JU!$F$5107:$F$5107,WS!$A60)</f>
        <v>0</v>
      </c>
      <c r="Z60" s="29">
        <f>SUMIFS(JU!$K$5107:$K$5107,JU!$I$5107:$I$5107,WS!$A60)</f>
        <v>0</v>
      </c>
      <c r="AA60" s="30">
        <f t="shared" si="83"/>
        <v>182705038</v>
      </c>
      <c r="AB60" s="28">
        <f>SUMIFS(JU!$H$5107:$H$5107,JU!$F$5107:$F$5107,WS!$A60)</f>
        <v>0</v>
      </c>
      <c r="AC60" s="29">
        <f>SUMIFS(JU!$K$5107:$K$5107,JU!$I$5107:$I$5107,WS!$A60)</f>
        <v>0</v>
      </c>
      <c r="AD60" s="30">
        <f t="shared" si="84"/>
        <v>182705038</v>
      </c>
      <c r="AE60" s="28">
        <f>SUMIFS(JU!$H$5107:$H$5107,JU!$F$5107:$F$5107,WS!$A60)</f>
        <v>0</v>
      </c>
      <c r="AF60" s="29">
        <f>SUMIFS(JU!$K$5107:$K$5107,JU!$I$5107:$I$5107,WS!$A60)</f>
        <v>0</v>
      </c>
      <c r="AG60" s="30">
        <f t="shared" si="85"/>
        <v>182705038</v>
      </c>
      <c r="AH60" s="28">
        <f>SUMIFS(JU!$H$5107:$H$5107,JU!$F$5107:$F$5107,WS!$A60)</f>
        <v>0</v>
      </c>
      <c r="AI60" s="29">
        <f>SUMIFS(JU!$K$5107:$K$5107,JU!$I$5107:$I$5107,WS!$A60)</f>
        <v>0</v>
      </c>
      <c r="AJ60" s="30">
        <f t="shared" si="86"/>
        <v>182705038</v>
      </c>
      <c r="AK60" s="28">
        <f>SUMIFS(JU!$H$5107:$H$5107,JU!$F$5107:$F$5107,WS!$A60)</f>
        <v>0</v>
      </c>
      <c r="AL60" s="29">
        <f>SUMIFS(JU!$K$5107:$K$5107,JU!$I$5107:$I$5107,WS!$A60)</f>
        <v>0</v>
      </c>
      <c r="AM60" s="30">
        <f t="shared" si="87"/>
        <v>182705038</v>
      </c>
    </row>
    <row r="61" spans="1:39">
      <c r="A61" s="6" t="s">
        <v>206</v>
      </c>
      <c r="B61" s="31" t="s">
        <v>51</v>
      </c>
      <c r="C61" s="32">
        <v>22716000</v>
      </c>
      <c r="D61" s="28">
        <f>SUMIFS(JU!$H$5:$H$178,JU!$F$5:$F$178,WS!$A61)</f>
        <v>0</v>
      </c>
      <c r="E61" s="29">
        <f>SUMIFS(JU!$K$5:$K$178,JU!$I$5:$I$178,WS!$A61)</f>
        <v>0</v>
      </c>
      <c r="F61" s="30">
        <f t="shared" si="76"/>
        <v>22716000</v>
      </c>
      <c r="G61" s="28">
        <f>SUMIFS(JU!$H$180:$H$440,JU!$F$180:$F$440,WS!$A61)</f>
        <v>5832000</v>
      </c>
      <c r="H61" s="29">
        <f>SUMIFS(JU!$K$180:$K$440,JU!$I$180:$I$440,WS!$A61)</f>
        <v>0</v>
      </c>
      <c r="I61" s="30">
        <f t="shared" si="79"/>
        <v>16884000</v>
      </c>
      <c r="J61" s="28">
        <f>SUMIFS(JU!$H$441:$H$695,JU!$F$441:$F$695,WS!$A61)</f>
        <v>0</v>
      </c>
      <c r="K61" s="29">
        <f>SUMIFS(JU!$K$441:$K$695,JU!$I$441:$I$695,WS!$A61)</f>
        <v>0</v>
      </c>
      <c r="L61" s="30">
        <f t="shared" si="77"/>
        <v>16884000</v>
      </c>
      <c r="M61" s="28">
        <f>SUMIFS(JU!$H$696:$H$1062,JU!$F$696:$F$1062,$A61)</f>
        <v>30504400</v>
      </c>
      <c r="N61" s="29">
        <f>SUMIFS(JU!$K$696:$K$1062,JU!$I$696:$I$1062,WS!$A61)</f>
        <v>284320000</v>
      </c>
      <c r="O61" s="30">
        <f t="shared" si="78"/>
        <v>270699600</v>
      </c>
      <c r="P61" s="28">
        <f>SUMIFS(JU!$H$1063:$H$5007,JU!$F$1063:$F$5007,WS!$A61)</f>
        <v>21700000</v>
      </c>
      <c r="Q61" s="29">
        <f>SUMIFS(JU!$K$1063:$K$5007,JU!$I$1063:$I$5007,WS!$A61)</f>
        <v>48981532.079999998</v>
      </c>
      <c r="R61" s="30">
        <f t="shared" si="80"/>
        <v>297981132.07999998</v>
      </c>
      <c r="S61" s="28">
        <f>SUMIFS(JU!$H$5107:$H$5107,JU!$F$5107:$F$5107,WS!$A61)</f>
        <v>0</v>
      </c>
      <c r="T61" s="29">
        <f>SUMIFS(JU!$K$5107:$K$5107,JU!$I$5107:$I$5107,WS!$A61)</f>
        <v>0</v>
      </c>
      <c r="U61" s="30">
        <f t="shared" si="81"/>
        <v>297981132.07999998</v>
      </c>
      <c r="V61" s="28">
        <f>SUMIFS(JU!$H$5107:$H$5107,JU!$F$5107:$F$5107,WS!$A61)</f>
        <v>0</v>
      </c>
      <c r="W61" s="29">
        <f>SUMIFS(JU!$K$5107:$K$5107,JU!$I$5107:$I$5107,WS!$A61)</f>
        <v>0</v>
      </c>
      <c r="X61" s="30">
        <f t="shared" si="82"/>
        <v>297981132.07999998</v>
      </c>
      <c r="Y61" s="28">
        <f>SUMIFS(JU!$H$5107:$H$5107,JU!$F$5107:$F$5107,WS!$A61)</f>
        <v>0</v>
      </c>
      <c r="Z61" s="29">
        <f>SUMIFS(JU!$K$5107:$K$5107,JU!$I$5107:$I$5107,WS!$A61)</f>
        <v>0</v>
      </c>
      <c r="AA61" s="30">
        <f t="shared" si="83"/>
        <v>297981132.07999998</v>
      </c>
      <c r="AB61" s="28">
        <f>SUMIFS(JU!$H$5107:$H$5107,JU!$F$5107:$F$5107,WS!$A61)</f>
        <v>0</v>
      </c>
      <c r="AC61" s="29">
        <f>SUMIFS(JU!$K$5107:$K$5107,JU!$I$5107:$I$5107,WS!$A61)</f>
        <v>0</v>
      </c>
      <c r="AD61" s="30">
        <f t="shared" si="84"/>
        <v>297981132.07999998</v>
      </c>
      <c r="AE61" s="28">
        <f>SUMIFS(JU!$H$5107:$H$5107,JU!$F$5107:$F$5107,WS!$A61)</f>
        <v>0</v>
      </c>
      <c r="AF61" s="29">
        <f>SUMIFS(JU!$K$5107:$K$5107,JU!$I$5107:$I$5107,WS!$A61)</f>
        <v>0</v>
      </c>
      <c r="AG61" s="30">
        <f t="shared" si="85"/>
        <v>297981132.07999998</v>
      </c>
      <c r="AH61" s="28">
        <f>SUMIFS(JU!$H$5107:$H$5107,JU!$F$5107:$F$5107,WS!$A61)</f>
        <v>0</v>
      </c>
      <c r="AI61" s="29">
        <f>SUMIFS(JU!$K$5107:$K$5107,JU!$I$5107:$I$5107,WS!$A61)</f>
        <v>0</v>
      </c>
      <c r="AJ61" s="30">
        <f t="shared" si="86"/>
        <v>297981132.07999998</v>
      </c>
      <c r="AK61" s="28">
        <f>SUMIFS(JU!$H$5107:$H$5107,JU!$F$5107:$F$5107,WS!$A61)</f>
        <v>0</v>
      </c>
      <c r="AL61" s="29">
        <f>SUMIFS(JU!$K$5107:$K$5107,JU!$I$5107:$I$5107,WS!$A61)</f>
        <v>0</v>
      </c>
      <c r="AM61" s="30">
        <f t="shared" si="87"/>
        <v>297981132.07999998</v>
      </c>
    </row>
    <row r="62" spans="1:39">
      <c r="A62" s="287" t="s">
        <v>214</v>
      </c>
      <c r="B62" s="287"/>
      <c r="C62" s="36">
        <v>1522716000</v>
      </c>
      <c r="D62" s="28">
        <f>SUMIFS(JU!$H$5:$H$178,JU!$F$5:$F$178,WS!$A62)</f>
        <v>0</v>
      </c>
      <c r="E62" s="29">
        <f>SUMIFS(JU!$K$5:$K$178,JU!$I$5:$I$178,WS!$A62)</f>
        <v>0</v>
      </c>
      <c r="F62" s="36">
        <f>SUM(F54:F61)</f>
        <v>2042975094</v>
      </c>
      <c r="G62" s="28">
        <f>SUMIFS(JU!$H$180:$H$440,JU!$F$180:$F$440,WS!$A62)</f>
        <v>0</v>
      </c>
      <c r="H62" s="29">
        <f>SUMIFS(JU!$K$180:$K$440,JU!$I$180:$I$440,WS!$A62)</f>
        <v>0</v>
      </c>
      <c r="I62" s="36">
        <f>SUM(I54:I61)</f>
        <v>3645193394</v>
      </c>
      <c r="J62" s="28">
        <f>SUMIFS(JU!$H$441:$H$695,JU!$F$441:$F$695,WS!$A62)</f>
        <v>0</v>
      </c>
      <c r="K62" s="29">
        <f>SUMIFS(JU!$K$441:$K$695,JU!$I$441:$I$695,WS!$A62)</f>
        <v>0</v>
      </c>
      <c r="L62" s="36">
        <f>SUM(L54:L61)</f>
        <v>6330065894</v>
      </c>
      <c r="M62" s="28">
        <f>SUMIFS(JU!$H$696:$H$1062,JU!$F$696:$F$1062,$A62)</f>
        <v>0</v>
      </c>
      <c r="N62" s="29">
        <f>SUMIFS(JU!$K$696:$K$1062,JU!$I$696:$I$1062,WS!$A62)</f>
        <v>0</v>
      </c>
      <c r="O62" s="36">
        <f>SUM(O54:O61)</f>
        <v>4985881082</v>
      </c>
      <c r="P62" s="28">
        <f>SUMIFS(JU!$H$1063:$H$5007,JU!$F$1063:$F$5007,WS!$A62)</f>
        <v>0</v>
      </c>
      <c r="Q62" s="29">
        <f>SUMIFS(JU!$K$1063:$K$5007,JU!$I$1063:$I$5007,WS!$A62)</f>
        <v>0</v>
      </c>
      <c r="R62" s="36">
        <f>SUM(R54:R61)</f>
        <v>5786577564.0799999</v>
      </c>
      <c r="S62" s="28">
        <f>SUMIFS(JU!$H$5107:$H$5107,JU!$F$5107:$F$5107,WS!$A62)</f>
        <v>0</v>
      </c>
      <c r="T62" s="29">
        <f>SUMIFS(JU!$K$5107:$K$5107,JU!$I$5107:$I$5107,WS!$A62)</f>
        <v>0</v>
      </c>
      <c r="U62" s="36">
        <f>SUM(U54:U61)</f>
        <v>5786577564.0799999</v>
      </c>
      <c r="V62" s="28">
        <f>SUMIFS(JU!$H$5107:$H$5107,JU!$F$5107:$F$5107,WS!$A62)</f>
        <v>0</v>
      </c>
      <c r="W62" s="29">
        <f>SUMIFS(JU!$K$5107:$K$5107,JU!$I$5107:$I$5107,WS!$A62)</f>
        <v>0</v>
      </c>
      <c r="X62" s="36">
        <f>SUM(X54:X61)</f>
        <v>5786577564.0799999</v>
      </c>
      <c r="Y62" s="28">
        <f>SUMIFS(JU!$H$5107:$H$5107,JU!$F$5107:$F$5107,WS!$A62)</f>
        <v>0</v>
      </c>
      <c r="Z62" s="29">
        <f>SUMIFS(JU!$K$5107:$K$5107,JU!$I$5107:$I$5107,WS!$A62)</f>
        <v>0</v>
      </c>
      <c r="AA62" s="36">
        <f>SUM(AA54:AA61)</f>
        <v>5786577564.0799999</v>
      </c>
      <c r="AB62" s="28">
        <f>SUMIFS(JU!$H$5107:$H$5107,JU!$F$5107:$F$5107,WS!$A62)</f>
        <v>0</v>
      </c>
      <c r="AC62" s="29">
        <f>SUMIFS(JU!$K$5107:$K$5107,JU!$I$5107:$I$5107,WS!$A62)</f>
        <v>0</v>
      </c>
      <c r="AD62" s="36">
        <f>SUM(AD54:AD61)</f>
        <v>5786577564.0799999</v>
      </c>
      <c r="AE62" s="28">
        <f>SUMIFS(JU!$H$5107:$H$5107,JU!$F$5107:$F$5107,WS!$A62)</f>
        <v>0</v>
      </c>
      <c r="AF62" s="29">
        <f>SUMIFS(JU!$K$5107:$K$5107,JU!$I$5107:$I$5107,WS!$A62)</f>
        <v>0</v>
      </c>
      <c r="AG62" s="36">
        <f>SUM(AG54:AG61)</f>
        <v>5786577564.0799999</v>
      </c>
      <c r="AH62" s="28">
        <f>SUMIFS(JU!$H$5107:$H$5107,JU!$F$5107:$F$5107,WS!$A62)</f>
        <v>0</v>
      </c>
      <c r="AI62" s="29">
        <f>SUMIFS(JU!$K$5107:$K$5107,JU!$I$5107:$I$5107,WS!$A62)</f>
        <v>0</v>
      </c>
      <c r="AJ62" s="36">
        <f t="shared" ref="AJ62" si="88">SUM(AJ54:AJ61)</f>
        <v>5786577564.0799999</v>
      </c>
      <c r="AK62" s="28">
        <f>SUMIFS(JU!$H$5107:$H$5107,JU!$F$5107:$F$5107,WS!$A62)</f>
        <v>0</v>
      </c>
      <c r="AL62" s="29">
        <f>SUMIFS(JU!$K$5107:$K$5107,JU!$I$5107:$I$5107,WS!$A62)</f>
        <v>0</v>
      </c>
      <c r="AM62" s="36">
        <f t="shared" ref="AM62" si="89">SUM(AM54:AM61)</f>
        <v>5786577564.0799999</v>
      </c>
    </row>
    <row r="63" spans="1:39">
      <c r="A63" s="280" t="s">
        <v>102</v>
      </c>
      <c r="B63" s="280"/>
      <c r="C63" s="32"/>
      <c r="D63" s="28">
        <f>SUMIFS(JU!$H$5:$H$178,JU!$F$5:$F$178,WS!$A63)</f>
        <v>0</v>
      </c>
      <c r="E63" s="29">
        <f>SUMIFS(JU!$K$5:$K$178,JU!$I$5:$I$178,WS!$A63)</f>
        <v>0</v>
      </c>
      <c r="F63" s="30"/>
      <c r="G63" s="28">
        <f>SUMIFS(JU!$H$180:$H$440,JU!$F$180:$F$440,WS!$A63)</f>
        <v>0</v>
      </c>
      <c r="H63" s="29">
        <f>SUMIFS(JU!$K$180:$K$440,JU!$I$180:$I$440,WS!$A63)</f>
        <v>0</v>
      </c>
      <c r="I63" s="30"/>
      <c r="J63" s="28">
        <f>SUMIFS(JU!$H$441:$H$695,JU!$F$441:$F$695,WS!$A63)</f>
        <v>0</v>
      </c>
      <c r="K63" s="29">
        <f>SUMIFS(JU!$K$441:$K$695,JU!$I$441:$I$695,WS!$A63)</f>
        <v>0</v>
      </c>
      <c r="L63" s="30"/>
      <c r="M63" s="28">
        <f>SUMIFS(JU!$H$696:$H$1062,JU!$F$696:$F$1062,$A63)</f>
        <v>0</v>
      </c>
      <c r="N63" s="29">
        <f>SUMIFS(JU!$K$696:$K$1062,JU!$I$696:$I$1062,WS!$A63)</f>
        <v>0</v>
      </c>
      <c r="O63" s="30"/>
      <c r="P63" s="28">
        <f>SUMIFS(JU!$H$1063:$H$5007,JU!$F$1063:$F$5007,WS!$A63)</f>
        <v>0</v>
      </c>
      <c r="Q63" s="29">
        <f>SUMIFS(JU!$K$1063:$K$5007,JU!$I$1063:$I$5007,WS!$A63)</f>
        <v>0</v>
      </c>
      <c r="R63" s="30"/>
      <c r="S63" s="28">
        <f>SUMIFS(JU!$H$5107:$H$5107,JU!$F$5107:$F$5107,WS!$A63)</f>
        <v>0</v>
      </c>
      <c r="T63" s="29">
        <f>SUMIFS(JU!$K$5107:$K$5107,JU!$I$5107:$I$5107,WS!$A63)</f>
        <v>0</v>
      </c>
      <c r="U63" s="30"/>
      <c r="V63" s="28">
        <f>SUMIFS(JU!$H$5107:$H$5107,JU!$F$5107:$F$5107,WS!$A63)</f>
        <v>0</v>
      </c>
      <c r="W63" s="29">
        <f>SUMIFS(JU!$K$5107:$K$5107,JU!$I$5107:$I$5107,WS!$A63)</f>
        <v>0</v>
      </c>
      <c r="X63" s="30"/>
      <c r="Y63" s="28">
        <f>SUMIFS(JU!$H$5107:$H$5107,JU!$F$5107:$F$5107,WS!$A63)</f>
        <v>0</v>
      </c>
      <c r="Z63" s="29">
        <f>SUMIFS(JU!$K$5107:$K$5107,JU!$I$5107:$I$5107,WS!$A63)</f>
        <v>0</v>
      </c>
      <c r="AA63" s="30"/>
      <c r="AB63" s="28">
        <f>SUMIFS(JU!$H$5107:$H$5107,JU!$F$5107:$F$5107,WS!$A63)</f>
        <v>0</v>
      </c>
      <c r="AC63" s="29">
        <f>SUMIFS(JU!$K$5107:$K$5107,JU!$I$5107:$I$5107,WS!$A63)</f>
        <v>0</v>
      </c>
      <c r="AD63" s="30"/>
      <c r="AE63" s="28">
        <f>SUMIFS(JU!$H$5107:$H$5107,JU!$F$5107:$F$5107,WS!$A63)</f>
        <v>0</v>
      </c>
      <c r="AF63" s="29">
        <f>SUMIFS(JU!$K$5107:$K$5107,JU!$I$5107:$I$5107,WS!$A63)</f>
        <v>0</v>
      </c>
      <c r="AG63" s="30"/>
      <c r="AH63" s="28">
        <f>SUMIFS(JU!$H$5107:$H$5107,JU!$F$5107:$F$5107,WS!$A63)</f>
        <v>0</v>
      </c>
      <c r="AI63" s="29">
        <f>SUMIFS(JU!$K$5107:$K$5107,JU!$I$5107:$I$5107,WS!$A63)</f>
        <v>0</v>
      </c>
      <c r="AJ63" s="30"/>
      <c r="AK63" s="28">
        <f>SUMIFS(JU!$H$5107:$H$5107,JU!$F$5107:$F$5107,WS!$A63)</f>
        <v>0</v>
      </c>
      <c r="AL63" s="29">
        <f>SUMIFS(JU!$K$5107:$K$5107,JU!$I$5107:$I$5107,WS!$A63)</f>
        <v>0</v>
      </c>
      <c r="AM63" s="30"/>
    </row>
    <row r="64" spans="1:39">
      <c r="A64" s="6" t="s">
        <v>9</v>
      </c>
      <c r="B64" s="31" t="s">
        <v>52</v>
      </c>
      <c r="C64" s="32">
        <v>788370000</v>
      </c>
      <c r="D64" s="28">
        <f>SUMIFS(JU!$H$5:$H$178,JU!$F$5:$F$178,WS!$A64)</f>
        <v>48000000</v>
      </c>
      <c r="E64" s="29">
        <f>SUMIFS(JU!$K$5:$K$178,JU!$I$5:$I$178,WS!$A64)</f>
        <v>0</v>
      </c>
      <c r="F64" s="30">
        <f>C64+E64-D64</f>
        <v>740370000</v>
      </c>
      <c r="G64" s="28">
        <f>SUMIFS(JU!$H$180:$H$440,JU!$F$180:$F$440,WS!$A64)</f>
        <v>24000000</v>
      </c>
      <c r="H64" s="29">
        <f>SUMIFS(JU!$K$180:$K$440,JU!$I$180:$I$440,WS!$A64)</f>
        <v>0</v>
      </c>
      <c r="I64" s="30">
        <f>F64+H64-G64</f>
        <v>716370000</v>
      </c>
      <c r="J64" s="28">
        <f>SUMIFS(JU!$H$441:$H$695,JU!$F$441:$F$695,WS!$A64)</f>
        <v>24000000</v>
      </c>
      <c r="K64" s="29">
        <f>SUMIFS(JU!$K$441:$K$695,JU!$I$441:$I$695,WS!$A64)</f>
        <v>0</v>
      </c>
      <c r="L64" s="30">
        <f>I64+K64-J64</f>
        <v>692370000</v>
      </c>
      <c r="M64" s="28">
        <f>SUMIFS(JU!$H$696:$H$1062,JU!$F$696:$F$1062,$A64)</f>
        <v>24000000</v>
      </c>
      <c r="N64" s="29">
        <f>SUMIFS(JU!$K$696:$K$1062,JU!$I$696:$I$1062,WS!$A64)</f>
        <v>680000000</v>
      </c>
      <c r="O64" s="30">
        <f>L64+N64-M64</f>
        <v>1348370000</v>
      </c>
      <c r="P64" s="28">
        <f>SUMIFS(JU!$H$1063:$H$5007,JU!$F$1063:$F$5007,WS!$A64)</f>
        <v>36520578</v>
      </c>
      <c r="Q64" s="29">
        <f>SUMIFS(JU!$K$1063:$K$5007,JU!$I$1063:$I$5007,WS!$A64)</f>
        <v>326787224</v>
      </c>
      <c r="R64" s="30">
        <f>O64+Q64-P64</f>
        <v>1638636646</v>
      </c>
      <c r="S64" s="28">
        <f>SUMIFS(JU!$H$5107:$H$5107,JU!$F$5107:$F$5107,WS!$A64)</f>
        <v>0</v>
      </c>
      <c r="T64" s="29">
        <f>SUMIFS(JU!$K$5107:$K$5107,JU!$I$5107:$I$5107,WS!$A64)</f>
        <v>0</v>
      </c>
      <c r="U64" s="30">
        <f>R64+T64-S64</f>
        <v>1638636646</v>
      </c>
      <c r="V64" s="28">
        <f>SUMIFS(JU!$H$5107:$H$5107,JU!$F$5107:$F$5107,WS!$A64)</f>
        <v>0</v>
      </c>
      <c r="W64" s="29">
        <f>SUMIFS(JU!$K$5107:$K$5107,JU!$I$5107:$I$5107,WS!$A64)</f>
        <v>0</v>
      </c>
      <c r="X64" s="30">
        <f>U64+W64-V64</f>
        <v>1638636646</v>
      </c>
      <c r="Y64" s="28">
        <f>SUMIFS(JU!$H$5107:$H$5107,JU!$F$5107:$F$5107,WS!$A64)</f>
        <v>0</v>
      </c>
      <c r="Z64" s="29">
        <f>SUMIFS(JU!$K$5107:$K$5107,JU!$I$5107:$I$5107,WS!$A64)</f>
        <v>0</v>
      </c>
      <c r="AA64" s="30">
        <f>X64+Z64-Y64</f>
        <v>1638636646</v>
      </c>
      <c r="AB64" s="28">
        <f>SUMIFS(JU!$H$5107:$H$5107,JU!$F$5107:$F$5107,WS!$A64)</f>
        <v>0</v>
      </c>
      <c r="AC64" s="29">
        <f>SUMIFS(JU!$K$5107:$K$5107,JU!$I$5107:$I$5107,WS!$A64)</f>
        <v>0</v>
      </c>
      <c r="AD64" s="30">
        <f>AA64+AC64-AB64</f>
        <v>1638636646</v>
      </c>
      <c r="AE64" s="28">
        <f>SUMIFS(JU!$H$5107:$H$5107,JU!$F$5107:$F$5107,WS!$A64)</f>
        <v>0</v>
      </c>
      <c r="AF64" s="29">
        <f>SUMIFS(JU!$K$5107:$K$5107,JU!$I$5107:$I$5107,WS!$A64)</f>
        <v>0</v>
      </c>
      <c r="AG64" s="30">
        <f>AD64+AF64-AE64</f>
        <v>1638636646</v>
      </c>
      <c r="AH64" s="28">
        <f>SUMIFS(JU!$H$5107:$H$5107,JU!$F$5107:$F$5107,WS!$A64)</f>
        <v>0</v>
      </c>
      <c r="AI64" s="29">
        <f>SUMIFS(JU!$K$5107:$K$5107,JU!$I$5107:$I$5107,WS!$A64)</f>
        <v>0</v>
      </c>
      <c r="AJ64" s="30">
        <f>AG64+AI64-AH64</f>
        <v>1638636646</v>
      </c>
      <c r="AK64" s="28">
        <f>SUMIFS(JU!$H$5107:$H$5107,JU!$F$5107:$F$5107,WS!$A64)</f>
        <v>0</v>
      </c>
      <c r="AL64" s="29">
        <f>SUMIFS(JU!$K$5107:$K$5107,JU!$I$5107:$I$5107,WS!$A64)</f>
        <v>0</v>
      </c>
      <c r="AM64" s="30">
        <f>AJ64+AL64-AK64</f>
        <v>1638636646</v>
      </c>
    </row>
    <row r="65" spans="1:41">
      <c r="A65" s="6" t="s">
        <v>10</v>
      </c>
      <c r="B65" s="31" t="s">
        <v>53</v>
      </c>
      <c r="C65" s="32">
        <v>0</v>
      </c>
      <c r="D65" s="28">
        <f>SUMIFS(JU!$H$5:$H$178,JU!$F$5:$F$178,WS!$A65)</f>
        <v>0</v>
      </c>
      <c r="E65" s="29">
        <f>SUMIFS(JU!$K$5:$K$178,JU!$I$5:$I$178,WS!$A65)</f>
        <v>0</v>
      </c>
      <c r="F65" s="30">
        <f>C65+E65-D65</f>
        <v>0</v>
      </c>
      <c r="G65" s="28">
        <f>SUMIFS(JU!$H$180:$H$440,JU!$F$180:$F$440,WS!$A65)</f>
        <v>0</v>
      </c>
      <c r="H65" s="29">
        <f>SUMIFS(JU!$K$180:$K$440,JU!$I$180:$I$440,WS!$A65)</f>
        <v>0</v>
      </c>
      <c r="I65" s="30">
        <f>F65+H65-G65</f>
        <v>0</v>
      </c>
      <c r="J65" s="28">
        <f>SUMIFS(JU!$H$441:$H$695,JU!$F$441:$F$695,WS!$A65)</f>
        <v>0</v>
      </c>
      <c r="K65" s="29">
        <f>SUMIFS(JU!$K$441:$K$695,JU!$I$441:$I$695,WS!$A65)</f>
        <v>0</v>
      </c>
      <c r="L65" s="30">
        <f>I65+K65-J65</f>
        <v>0</v>
      </c>
      <c r="M65" s="28">
        <f>SUMIFS(JU!$H$696:$H$1062,JU!$F$696:$F$1062,$A65)</f>
        <v>0</v>
      </c>
      <c r="N65" s="29">
        <f>SUMIFS(JU!$K$696:$K$1062,JU!$I$696:$I$1062,WS!$A65)</f>
        <v>0</v>
      </c>
      <c r="O65" s="30">
        <f>L65+N65-M65</f>
        <v>0</v>
      </c>
      <c r="P65" s="28">
        <f>SUMIFS(JU!$H$1063:$H$5007,JU!$F$1063:$F$5007,WS!$A65)</f>
        <v>0</v>
      </c>
      <c r="Q65" s="29">
        <f>SUMIFS(JU!$K$1063:$K$5007,JU!$I$1063:$I$5007,WS!$A65)</f>
        <v>0</v>
      </c>
      <c r="R65" s="30">
        <f>O65+Q65-P65</f>
        <v>0</v>
      </c>
      <c r="S65" s="28">
        <f>SUMIFS(JU!$H$5107:$H$5107,JU!$F$5107:$F$5107,WS!$A65)</f>
        <v>0</v>
      </c>
      <c r="T65" s="29">
        <f>SUMIFS(JU!$K$5107:$K$5107,JU!$I$5107:$I$5107,WS!$A65)</f>
        <v>0</v>
      </c>
      <c r="U65" s="30">
        <f>R65+T65-S65</f>
        <v>0</v>
      </c>
      <c r="V65" s="28">
        <f>SUMIFS(JU!$H$5107:$H$5107,JU!$F$5107:$F$5107,WS!$A65)</f>
        <v>0</v>
      </c>
      <c r="W65" s="29">
        <f>SUMIFS(JU!$K$5107:$K$5107,JU!$I$5107:$I$5107,WS!$A65)</f>
        <v>0</v>
      </c>
      <c r="X65" s="30">
        <f>U65+W65-V65</f>
        <v>0</v>
      </c>
      <c r="Y65" s="28">
        <f>SUMIFS(JU!$H$5107:$H$5107,JU!$F$5107:$F$5107,WS!$A65)</f>
        <v>0</v>
      </c>
      <c r="Z65" s="29">
        <f>SUMIFS(JU!$K$5107:$K$5107,JU!$I$5107:$I$5107,WS!$A65)</f>
        <v>0</v>
      </c>
      <c r="AA65" s="30">
        <f>X65+Z65-Y65</f>
        <v>0</v>
      </c>
      <c r="AB65" s="28">
        <f>SUMIFS(JU!$H$5107:$H$5107,JU!$F$5107:$F$5107,WS!$A65)</f>
        <v>0</v>
      </c>
      <c r="AC65" s="29">
        <f>SUMIFS(JU!$K$5107:$K$5107,JU!$I$5107:$I$5107,WS!$A65)</f>
        <v>0</v>
      </c>
      <c r="AD65" s="30">
        <f>AA65+AC65-AB65</f>
        <v>0</v>
      </c>
      <c r="AE65" s="28">
        <f>SUMIFS(JU!$H$5107:$H$5107,JU!$F$5107:$F$5107,WS!$A65)</f>
        <v>0</v>
      </c>
      <c r="AF65" s="29">
        <f>SUMIFS(JU!$K$5107:$K$5107,JU!$I$5107:$I$5107,WS!$A65)</f>
        <v>0</v>
      </c>
      <c r="AG65" s="30">
        <f>AD65+AF65-AE65</f>
        <v>0</v>
      </c>
      <c r="AH65" s="28">
        <f>SUMIFS(JU!$H$5107:$H$5107,JU!$F$5107:$F$5107,WS!$A65)</f>
        <v>0</v>
      </c>
      <c r="AI65" s="29">
        <f>SUMIFS(JU!$K$5107:$K$5107,JU!$I$5107:$I$5107,WS!$A65)</f>
        <v>0</v>
      </c>
      <c r="AJ65" s="30">
        <f>AG65+AI65-AH65</f>
        <v>0</v>
      </c>
      <c r="AK65" s="28">
        <f>SUMIFS(JU!$H$5107:$H$5107,JU!$F$5107:$F$5107,WS!$A65)</f>
        <v>0</v>
      </c>
      <c r="AL65" s="29">
        <f>SUMIFS(JU!$K$5107:$K$5107,JU!$I$5107:$I$5107,WS!$A65)</f>
        <v>0</v>
      </c>
      <c r="AM65" s="30">
        <f>AJ65+AL65-AK65</f>
        <v>0</v>
      </c>
    </row>
    <row r="66" spans="1:41" s="37" customFormat="1">
      <c r="A66" s="6" t="s">
        <v>11</v>
      </c>
      <c r="B66" s="31" t="s">
        <v>54</v>
      </c>
      <c r="C66" s="32">
        <v>0</v>
      </c>
      <c r="D66" s="28">
        <f>SUMIFS(JU!$H$5:$H$178,JU!$F$5:$F$178,WS!$A66)</f>
        <v>0</v>
      </c>
      <c r="E66" s="29">
        <f>SUMIFS(JU!$K$5:$K$178,JU!$I$5:$I$178,WS!$A66)</f>
        <v>0</v>
      </c>
      <c r="F66" s="30">
        <f>C66+E66-D66</f>
        <v>0</v>
      </c>
      <c r="G66" s="28">
        <f>SUMIFS(JU!$H$180:$H$440,JU!$F$180:$F$440,WS!$A66)</f>
        <v>0</v>
      </c>
      <c r="H66" s="29">
        <f>SUMIFS(JU!$K$180:$K$440,JU!$I$180:$I$440,WS!$A66)</f>
        <v>0</v>
      </c>
      <c r="I66" s="30">
        <f>F66+H66-G66</f>
        <v>0</v>
      </c>
      <c r="J66" s="28">
        <f>SUMIFS(JU!$H$441:$H$695,JU!$F$441:$F$695,WS!$A66)</f>
        <v>0</v>
      </c>
      <c r="K66" s="29">
        <f>SUMIFS(JU!$K$441:$K$695,JU!$I$441:$I$695,WS!$A66)</f>
        <v>0</v>
      </c>
      <c r="L66" s="30">
        <f>I66+K66-J66</f>
        <v>0</v>
      </c>
      <c r="M66" s="28">
        <f>SUMIFS(JU!$H$696:$H$1062,JU!$F$696:$F$1062,$A66)</f>
        <v>0</v>
      </c>
      <c r="N66" s="29">
        <f>SUMIFS(JU!$K$696:$K$1062,JU!$I$696:$I$1062,WS!$A66)</f>
        <v>0</v>
      </c>
      <c r="O66" s="30">
        <f>L66+N66-M66</f>
        <v>0</v>
      </c>
      <c r="P66" s="28">
        <f>SUMIFS(JU!$H$1063:$H$5007,JU!$F$1063:$F$5007,WS!$A66)</f>
        <v>0</v>
      </c>
      <c r="Q66" s="29">
        <f>SUMIFS(JU!$K$1063:$K$5007,JU!$I$1063:$I$5007,WS!$A66)</f>
        <v>0</v>
      </c>
      <c r="R66" s="30">
        <f>O66+Q66-P66</f>
        <v>0</v>
      </c>
      <c r="S66" s="28">
        <f>SUMIFS(JU!$H$5107:$H$5107,JU!$F$5107:$F$5107,WS!$A66)</f>
        <v>0</v>
      </c>
      <c r="T66" s="29">
        <f>SUMIFS(JU!$K$5107:$K$5107,JU!$I$5107:$I$5107,WS!$A66)</f>
        <v>0</v>
      </c>
      <c r="U66" s="30">
        <f>R66+T66-S66</f>
        <v>0</v>
      </c>
      <c r="V66" s="28">
        <f>SUMIFS(JU!$H$5107:$H$5107,JU!$F$5107:$F$5107,WS!$A66)</f>
        <v>0</v>
      </c>
      <c r="W66" s="29">
        <f>SUMIFS(JU!$K$5107:$K$5107,JU!$I$5107:$I$5107,WS!$A66)</f>
        <v>0</v>
      </c>
      <c r="X66" s="30">
        <f>U66+W66-V66</f>
        <v>0</v>
      </c>
      <c r="Y66" s="28">
        <f>SUMIFS(JU!$H$5107:$H$5107,JU!$F$5107:$F$5107,WS!$A66)</f>
        <v>0</v>
      </c>
      <c r="Z66" s="29">
        <f>SUMIFS(JU!$K$5107:$K$5107,JU!$I$5107:$I$5107,WS!$A66)</f>
        <v>0</v>
      </c>
      <c r="AA66" s="30">
        <f>X66+Z66-Y66</f>
        <v>0</v>
      </c>
      <c r="AB66" s="28">
        <f>SUMIFS(JU!$H$5107:$H$5107,JU!$F$5107:$F$5107,WS!$A66)</f>
        <v>0</v>
      </c>
      <c r="AC66" s="29">
        <f>SUMIFS(JU!$K$5107:$K$5107,JU!$I$5107:$I$5107,WS!$A66)</f>
        <v>0</v>
      </c>
      <c r="AD66" s="30">
        <f>AA66+AC66-AB66</f>
        <v>0</v>
      </c>
      <c r="AE66" s="28">
        <f>SUMIFS(JU!$H$5107:$H$5107,JU!$F$5107:$F$5107,WS!$A66)</f>
        <v>0</v>
      </c>
      <c r="AF66" s="29">
        <f>SUMIFS(JU!$K$5107:$K$5107,JU!$I$5107:$I$5107,WS!$A66)</f>
        <v>0</v>
      </c>
      <c r="AG66" s="30">
        <f>AD66+AF66-AE66</f>
        <v>0</v>
      </c>
      <c r="AH66" s="28">
        <f>SUMIFS(JU!$H$5107:$H$5107,JU!$F$5107:$F$5107,WS!$A66)</f>
        <v>0</v>
      </c>
      <c r="AI66" s="29">
        <f>SUMIFS(JU!$K$5107:$K$5107,JU!$I$5107:$I$5107,WS!$A66)</f>
        <v>0</v>
      </c>
      <c r="AJ66" s="30">
        <f>AG66+AI66-AH66</f>
        <v>0</v>
      </c>
      <c r="AK66" s="28">
        <f>SUMIFS(JU!$H$5107:$H$5107,JU!$F$5107:$F$5107,WS!$A66)</f>
        <v>0</v>
      </c>
      <c r="AL66" s="29">
        <f>SUMIFS(JU!$K$5107:$K$5107,JU!$I$5107:$I$5107,WS!$A66)</f>
        <v>0</v>
      </c>
      <c r="AM66" s="30">
        <f>AJ66+AL66-AK66</f>
        <v>0</v>
      </c>
    </row>
    <row r="67" spans="1:41">
      <c r="A67" s="6" t="s">
        <v>12</v>
      </c>
      <c r="B67" s="31" t="s">
        <v>196</v>
      </c>
      <c r="C67" s="32">
        <v>-398000000</v>
      </c>
      <c r="D67" s="28">
        <f>SUMIFS(JU!$H$5:$H$178,JU!$F$5:$F$178,WS!$A67)</f>
        <v>15000000</v>
      </c>
      <c r="E67" s="29">
        <f>SUMIFS(JU!$K$5:$K$178,JU!$I$5:$I$178,WS!$A67)</f>
        <v>63000000</v>
      </c>
      <c r="F67" s="30">
        <f>C67+E67-D67</f>
        <v>-350000000</v>
      </c>
      <c r="G67" s="28">
        <f>SUMIFS(JU!$H$180:$H$440,JU!$F$180:$F$440,WS!$A67)</f>
        <v>0</v>
      </c>
      <c r="H67" s="29">
        <f>SUMIFS(JU!$K$180:$K$440,JU!$I$180:$I$440,WS!$A67)</f>
        <v>0</v>
      </c>
      <c r="I67" s="30">
        <f>F67+H67-G67</f>
        <v>-350000000</v>
      </c>
      <c r="J67" s="28">
        <f>SUMIFS(JU!$H$441:$H$695,JU!$F$441:$F$695,WS!$A67)</f>
        <v>0</v>
      </c>
      <c r="K67" s="29">
        <f>SUMIFS(JU!$K$441:$K$695,JU!$I$441:$I$695,WS!$A67)</f>
        <v>0</v>
      </c>
      <c r="L67" s="30">
        <f>I67+K67-J67</f>
        <v>-350000000</v>
      </c>
      <c r="M67" s="28">
        <f>SUMIFS(JU!$H$696:$H$1062,JU!$F$696:$F$1062,$A67)</f>
        <v>0</v>
      </c>
      <c r="N67" s="29">
        <f>SUMIFS(JU!$K$696:$K$1062,JU!$I$696:$I$1062,WS!$A67)</f>
        <v>0</v>
      </c>
      <c r="O67" s="30">
        <f>L67+N67-M67</f>
        <v>-350000000</v>
      </c>
      <c r="P67" s="28">
        <f>SUMIFS(JU!$H$1063:$H$5007,JU!$F$1063:$F$5007,WS!$A67)</f>
        <v>0</v>
      </c>
      <c r="Q67" s="29">
        <f>SUMIFS(JU!$K$1063:$K$5007,JU!$I$1063:$I$5007,WS!$A67)</f>
        <v>0</v>
      </c>
      <c r="R67" s="30">
        <f>O67+Q67-P67</f>
        <v>-350000000</v>
      </c>
      <c r="S67" s="28">
        <f>SUMIFS(JU!$H$5107:$H$5107,JU!$F$5107:$F$5107,WS!$A67)</f>
        <v>0</v>
      </c>
      <c r="T67" s="29">
        <f>SUMIFS(JU!$K$5107:$K$5107,JU!$I$5107:$I$5107,WS!$A67)</f>
        <v>0</v>
      </c>
      <c r="U67" s="30">
        <f>R67+T67-S67</f>
        <v>-350000000</v>
      </c>
      <c r="V67" s="28">
        <f>SUMIFS(JU!$H$5107:$H$5107,JU!$F$5107:$F$5107,WS!$A67)</f>
        <v>0</v>
      </c>
      <c r="W67" s="29">
        <f>SUMIFS(JU!$K$5107:$K$5107,JU!$I$5107:$I$5107,WS!$A67)</f>
        <v>0</v>
      </c>
      <c r="X67" s="30">
        <f>U67+W67-V67</f>
        <v>-350000000</v>
      </c>
      <c r="Y67" s="28">
        <f>SUMIFS(JU!$H$5107:$H$5107,JU!$F$5107:$F$5107,WS!$A67)</f>
        <v>0</v>
      </c>
      <c r="Z67" s="29">
        <f>SUMIFS(JU!$K$5107:$K$5107,JU!$I$5107:$I$5107,WS!$A67)</f>
        <v>0</v>
      </c>
      <c r="AA67" s="30">
        <f>X67+Z67-Y67</f>
        <v>-350000000</v>
      </c>
      <c r="AB67" s="28">
        <f>SUMIFS(JU!$H$5107:$H$5107,JU!$F$5107:$F$5107,WS!$A67)</f>
        <v>0</v>
      </c>
      <c r="AC67" s="29">
        <f>SUMIFS(JU!$K$5107:$K$5107,JU!$I$5107:$I$5107,WS!$A67)</f>
        <v>0</v>
      </c>
      <c r="AD67" s="30">
        <f>AA67+AC67-AB67</f>
        <v>-350000000</v>
      </c>
      <c r="AE67" s="28">
        <f>SUMIFS(JU!$H$5107:$H$5107,JU!$F$5107:$F$5107,WS!$A67)</f>
        <v>0</v>
      </c>
      <c r="AF67" s="29">
        <f>SUMIFS(JU!$K$5107:$K$5107,JU!$I$5107:$I$5107,WS!$A67)</f>
        <v>0</v>
      </c>
      <c r="AG67" s="30">
        <f>AD67+AF67-AE67</f>
        <v>-350000000</v>
      </c>
      <c r="AH67" s="28">
        <f>SUMIFS(JU!$H$5107:$H$5107,JU!$F$5107:$F$5107,WS!$A67)</f>
        <v>0</v>
      </c>
      <c r="AI67" s="29">
        <f>SUMIFS(JU!$K$5107:$K$5107,JU!$I$5107:$I$5107,WS!$A67)</f>
        <v>0</v>
      </c>
      <c r="AJ67" s="30">
        <f>AG67+AI67-AH67</f>
        <v>-350000000</v>
      </c>
      <c r="AK67" s="28">
        <f>SUMIFS(JU!$H$5107:$H$5107,JU!$F$5107:$F$5107,WS!$A67)</f>
        <v>0</v>
      </c>
      <c r="AL67" s="29">
        <f>SUMIFS(JU!$K$5107:$K$5107,JU!$I$5107:$I$5107,WS!$A67)</f>
        <v>0</v>
      </c>
      <c r="AM67" s="30">
        <f>AJ67+AL67-AK67</f>
        <v>-350000000</v>
      </c>
    </row>
    <row r="68" spans="1:41">
      <c r="A68" s="6" t="s">
        <v>207</v>
      </c>
      <c r="B68" s="31" t="s">
        <v>55</v>
      </c>
      <c r="C68" s="32">
        <v>0</v>
      </c>
      <c r="D68" s="28">
        <f>SUMIFS(JU!$H$5:$H$178,JU!$F$5:$F$178,WS!$A68)</f>
        <v>0</v>
      </c>
      <c r="E68" s="29">
        <f>SUMIFS(JU!$K$5:$K$178,JU!$I$5:$I$178,WS!$A68)</f>
        <v>0</v>
      </c>
      <c r="F68" s="30">
        <f>C68+E68-D68</f>
        <v>0</v>
      </c>
      <c r="G68" s="28">
        <f>SUMIFS(JU!$H$180:$H$440,JU!$F$180:$F$440,WS!$A68)</f>
        <v>0</v>
      </c>
      <c r="H68" s="29">
        <f>SUMIFS(JU!$K$180:$K$440,JU!$I$180:$I$440,WS!$A68)</f>
        <v>0</v>
      </c>
      <c r="I68" s="30">
        <f>F68+H68-G68</f>
        <v>0</v>
      </c>
      <c r="J68" s="28">
        <f>SUMIFS(JU!$H$441:$H$695,JU!$F$441:$F$695,WS!$A68)</f>
        <v>0</v>
      </c>
      <c r="K68" s="29">
        <f>SUMIFS(JU!$K$441:$K$695,JU!$I$441:$I$695,WS!$A68)</f>
        <v>0</v>
      </c>
      <c r="L68" s="30">
        <f>I68+K68-J68</f>
        <v>0</v>
      </c>
      <c r="M68" s="28">
        <f>SUMIFS(JU!$H$696:$H$1062,JU!$F$696:$F$1062,$A68)</f>
        <v>0</v>
      </c>
      <c r="N68" s="29">
        <f>SUMIFS(JU!$K$696:$K$1062,JU!$I$696:$I$1062,WS!$A68)</f>
        <v>0</v>
      </c>
      <c r="O68" s="30">
        <f>L68+N68-M68</f>
        <v>0</v>
      </c>
      <c r="P68" s="28">
        <f>SUMIFS(JU!$H$1063:$H$5007,JU!$F$1063:$F$5007,WS!$A68)</f>
        <v>0</v>
      </c>
      <c r="Q68" s="29">
        <f>SUMIFS(JU!$K$1063:$K$5007,JU!$I$1063:$I$5007,WS!$A68)</f>
        <v>0</v>
      </c>
      <c r="R68" s="30">
        <f>O68+Q68-P68</f>
        <v>0</v>
      </c>
      <c r="S68" s="28">
        <f>SUMIFS(JU!$H$5107:$H$5107,JU!$F$5107:$F$5107,WS!$A68)</f>
        <v>0</v>
      </c>
      <c r="T68" s="29">
        <f>SUMIFS(JU!$K$5107:$K$5107,JU!$I$5107:$I$5107,WS!$A68)</f>
        <v>0</v>
      </c>
      <c r="U68" s="30">
        <f>R68+T68-S68</f>
        <v>0</v>
      </c>
      <c r="V68" s="28">
        <f>SUMIFS(JU!$H$5107:$H$5107,JU!$F$5107:$F$5107,WS!$A68)</f>
        <v>0</v>
      </c>
      <c r="W68" s="29">
        <f>SUMIFS(JU!$K$5107:$K$5107,JU!$I$5107:$I$5107,WS!$A68)</f>
        <v>0</v>
      </c>
      <c r="X68" s="30">
        <f>U68+W68-V68</f>
        <v>0</v>
      </c>
      <c r="Y68" s="28">
        <f>SUMIFS(JU!$H$5107:$H$5107,JU!$F$5107:$F$5107,WS!$A68)</f>
        <v>0</v>
      </c>
      <c r="Z68" s="29">
        <f>SUMIFS(JU!$K$5107:$K$5107,JU!$I$5107:$I$5107,WS!$A68)</f>
        <v>0</v>
      </c>
      <c r="AA68" s="30">
        <f>X68+Z68-Y68</f>
        <v>0</v>
      </c>
      <c r="AB68" s="28">
        <f>SUMIFS(JU!$H$5107:$H$5107,JU!$F$5107:$F$5107,WS!$A68)</f>
        <v>0</v>
      </c>
      <c r="AC68" s="29">
        <f>SUMIFS(JU!$K$5107:$K$5107,JU!$I$5107:$I$5107,WS!$A68)</f>
        <v>0</v>
      </c>
      <c r="AD68" s="30">
        <f>AA68+AC68-AB68</f>
        <v>0</v>
      </c>
      <c r="AE68" s="28">
        <f>SUMIFS(JU!$H$5107:$H$5107,JU!$F$5107:$F$5107,WS!$A68)</f>
        <v>0</v>
      </c>
      <c r="AF68" s="29">
        <f>SUMIFS(JU!$K$5107:$K$5107,JU!$I$5107:$I$5107,WS!$A68)</f>
        <v>0</v>
      </c>
      <c r="AG68" s="30">
        <f>AD68+AF68-AE68</f>
        <v>0</v>
      </c>
      <c r="AH68" s="28">
        <f>SUMIFS(JU!$H$5107:$H$5107,JU!$F$5107:$F$5107,WS!$A68)</f>
        <v>0</v>
      </c>
      <c r="AI68" s="29">
        <f>SUMIFS(JU!$K$5107:$K$5107,JU!$I$5107:$I$5107,WS!$A68)</f>
        <v>0</v>
      </c>
      <c r="AJ68" s="30">
        <f>AG68+AI68-AH68</f>
        <v>0</v>
      </c>
      <c r="AK68" s="28">
        <f>SUMIFS(JU!$H$5107:$H$5107,JU!$F$5107:$F$5107,WS!$A68)</f>
        <v>0</v>
      </c>
      <c r="AL68" s="29">
        <f>SUMIFS(JU!$K$5107:$K$5107,JU!$I$5107:$I$5107,WS!$A68)</f>
        <v>0</v>
      </c>
      <c r="AM68" s="30">
        <f>AJ68+AL68-AK68</f>
        <v>0</v>
      </c>
    </row>
    <row r="69" spans="1:41">
      <c r="A69" s="287" t="s">
        <v>215</v>
      </c>
      <c r="B69" s="287"/>
      <c r="C69" s="38">
        <v>390370000</v>
      </c>
      <c r="D69" s="28">
        <f>SUMIFS(JU!$H$5:$H$178,JU!$F$5:$F$178,WS!$A69)</f>
        <v>0</v>
      </c>
      <c r="E69" s="29">
        <f>SUMIFS(JU!$K$5:$K$178,JU!$I$5:$I$178,WS!$A69)</f>
        <v>0</v>
      </c>
      <c r="F69" s="38">
        <f>SUM(F64:F68)</f>
        <v>390370000</v>
      </c>
      <c r="G69" s="28">
        <f>SUMIFS(JU!$H$180:$H$440,JU!$F$180:$F$440,WS!$A69)</f>
        <v>0</v>
      </c>
      <c r="H69" s="29">
        <f>SUMIFS(JU!$K$180:$K$440,JU!$I$180:$I$440,WS!$A69)</f>
        <v>0</v>
      </c>
      <c r="I69" s="38">
        <f>SUM(I64:I68)</f>
        <v>366370000</v>
      </c>
      <c r="J69" s="28">
        <f>SUMIFS(JU!$H$441:$H$695,JU!$F$441:$F$695,WS!$A69)</f>
        <v>0</v>
      </c>
      <c r="K69" s="29">
        <f>SUMIFS(JU!$K$441:$K$695,JU!$I$441:$I$695,WS!$A69)</f>
        <v>0</v>
      </c>
      <c r="L69" s="38">
        <f>SUM(L64:L68)</f>
        <v>342370000</v>
      </c>
      <c r="M69" s="28">
        <f>SUMIFS(JU!$H$696:$H$1062,JU!$F$696:$F$1062,$A69)</f>
        <v>0</v>
      </c>
      <c r="N69" s="29">
        <f>SUMIFS(JU!$K$696:$K$1062,JU!$I$696:$I$1062,WS!$A69)</f>
        <v>0</v>
      </c>
      <c r="O69" s="38">
        <f>SUM(O64:O68)</f>
        <v>998370000</v>
      </c>
      <c r="P69" s="28">
        <f>SUMIFS(JU!$H$1063:$H$5007,JU!$F$1063:$F$5007,WS!$A69)</f>
        <v>0</v>
      </c>
      <c r="Q69" s="29">
        <f>SUMIFS(JU!$K$1063:$K$5007,JU!$I$1063:$I$5007,WS!$A69)</f>
        <v>0</v>
      </c>
      <c r="R69" s="38">
        <f>SUM(R64:R68)</f>
        <v>1288636646</v>
      </c>
      <c r="S69" s="28">
        <f>SUMIFS(JU!$H$5107:$H$5107,JU!$F$5107:$F$5107,WS!$A69)</f>
        <v>0</v>
      </c>
      <c r="T69" s="29">
        <f>SUMIFS(JU!$K$5107:$K$5107,JU!$I$5107:$I$5107,WS!$A69)</f>
        <v>0</v>
      </c>
      <c r="U69" s="38">
        <f>SUM(U64:U68)</f>
        <v>1288636646</v>
      </c>
      <c r="V69" s="28">
        <f>SUMIFS(JU!$H$5107:$H$5107,JU!$F$5107:$F$5107,WS!$A69)</f>
        <v>0</v>
      </c>
      <c r="W69" s="29">
        <f>SUMIFS(JU!$K$5107:$K$5107,JU!$I$5107:$I$5107,WS!$A69)</f>
        <v>0</v>
      </c>
      <c r="X69" s="38">
        <f>SUM(X64:X68)</f>
        <v>1288636646</v>
      </c>
      <c r="Y69" s="28">
        <f>SUMIFS(JU!$H$5107:$H$5107,JU!$F$5107:$F$5107,WS!$A69)</f>
        <v>0</v>
      </c>
      <c r="Z69" s="29">
        <f>SUMIFS(JU!$K$5107:$K$5107,JU!$I$5107:$I$5107,WS!$A69)</f>
        <v>0</v>
      </c>
      <c r="AA69" s="38">
        <f>SUM(AA64:AA68)</f>
        <v>1288636646</v>
      </c>
      <c r="AB69" s="28">
        <f>SUMIFS(JU!$H$5107:$H$5107,JU!$F$5107:$F$5107,WS!$A69)</f>
        <v>0</v>
      </c>
      <c r="AC69" s="29">
        <f>SUMIFS(JU!$K$5107:$K$5107,JU!$I$5107:$I$5107,WS!$A69)</f>
        <v>0</v>
      </c>
      <c r="AD69" s="38">
        <f>SUM(AD64:AD68)</f>
        <v>1288636646</v>
      </c>
      <c r="AE69" s="28">
        <f>SUMIFS(JU!$H$5107:$H$5107,JU!$F$5107:$F$5107,WS!$A69)</f>
        <v>0</v>
      </c>
      <c r="AF69" s="29">
        <f>SUMIFS(JU!$K$5107:$K$5107,JU!$I$5107:$I$5107,WS!$A69)</f>
        <v>0</v>
      </c>
      <c r="AG69" s="38">
        <f>SUM(AG64:AG68)</f>
        <v>1288636646</v>
      </c>
      <c r="AH69" s="28">
        <f>SUMIFS(JU!$H$5107:$H$5107,JU!$F$5107:$F$5107,WS!$A69)</f>
        <v>0</v>
      </c>
      <c r="AI69" s="29">
        <f>SUMIFS(JU!$K$5107:$K$5107,JU!$I$5107:$I$5107,WS!$A69)</f>
        <v>0</v>
      </c>
      <c r="AJ69" s="38">
        <f t="shared" ref="AJ69" si="90">SUM(AJ64:AJ68)</f>
        <v>1288636646</v>
      </c>
      <c r="AK69" s="28">
        <f>SUMIFS(JU!$H$5107:$H$5107,JU!$F$5107:$F$5107,WS!$A69)</f>
        <v>0</v>
      </c>
      <c r="AL69" s="29">
        <f>SUMIFS(JU!$K$5107:$K$5107,JU!$I$5107:$I$5107,WS!$A69)</f>
        <v>0</v>
      </c>
      <c r="AM69" s="38">
        <f t="shared" ref="AM69" si="91">SUM(AM64:AM68)</f>
        <v>1288636646</v>
      </c>
    </row>
    <row r="70" spans="1:41">
      <c r="A70" s="287" t="s">
        <v>216</v>
      </c>
      <c r="B70" s="287"/>
      <c r="C70" s="38">
        <v>1913086000</v>
      </c>
      <c r="D70" s="28">
        <f>SUMIFS(JU!$H$5:$H$178,JU!$F$5:$F$178,WS!$A70)</f>
        <v>0</v>
      </c>
      <c r="E70" s="29">
        <f>SUMIFS(JU!$K$5:$K$178,JU!$I$5:$I$178,WS!$A70)</f>
        <v>0</v>
      </c>
      <c r="F70" s="38">
        <f>F69+F62</f>
        <v>2433345094</v>
      </c>
      <c r="G70" s="28">
        <f>SUMIFS(JU!$H$180:$H$440,JU!$F$180:$F$440,WS!$A70)</f>
        <v>0</v>
      </c>
      <c r="H70" s="29">
        <f>SUMIFS(JU!$K$180:$K$440,JU!$I$180:$I$440,WS!$A70)</f>
        <v>0</v>
      </c>
      <c r="I70" s="38">
        <f>I69+I62</f>
        <v>4011563394</v>
      </c>
      <c r="J70" s="28">
        <f>SUMIFS(JU!$H$441:$H$695,JU!$F$441:$F$695,WS!$A70)</f>
        <v>0</v>
      </c>
      <c r="K70" s="29">
        <f>SUMIFS(JU!$K$441:$K$695,JU!$I$441:$I$695,WS!$A70)</f>
        <v>0</v>
      </c>
      <c r="L70" s="38">
        <f>L69+L62</f>
        <v>6672435894</v>
      </c>
      <c r="M70" s="28">
        <f>SUMIFS(JU!$H$696:$H$1062,JU!$F$696:$F$1062,$A70)</f>
        <v>0</v>
      </c>
      <c r="N70" s="29">
        <f>SUMIFS(JU!$K$696:$K$1062,JU!$I$696:$I$1062,WS!$A70)</f>
        <v>0</v>
      </c>
      <c r="O70" s="38">
        <f>O69+O62</f>
        <v>5984251082</v>
      </c>
      <c r="P70" s="28">
        <f>SUMIFS(JU!$H$1063:$H$5007,JU!$F$1063:$F$5007,WS!$A70)</f>
        <v>0</v>
      </c>
      <c r="Q70" s="29">
        <f>SUMIFS(JU!$K$1063:$K$5007,JU!$I$1063:$I$5007,WS!$A70)</f>
        <v>0</v>
      </c>
      <c r="R70" s="38">
        <f>R69+R62</f>
        <v>7075214210.0799999</v>
      </c>
      <c r="S70" s="28">
        <f>SUMIFS(JU!$H$5107:$H$5107,JU!$F$5107:$F$5107,WS!$A70)</f>
        <v>0</v>
      </c>
      <c r="T70" s="29">
        <f>SUMIFS(JU!$K$5107:$K$5107,JU!$I$5107:$I$5107,WS!$A70)</f>
        <v>0</v>
      </c>
      <c r="U70" s="38">
        <f>U69+U62</f>
        <v>7075214210.0799999</v>
      </c>
      <c r="V70" s="28">
        <f>SUMIFS(JU!$H$5107:$H$5107,JU!$F$5107:$F$5107,WS!$A70)</f>
        <v>0</v>
      </c>
      <c r="W70" s="29">
        <f>SUMIFS(JU!$K$5107:$K$5107,JU!$I$5107:$I$5107,WS!$A70)</f>
        <v>0</v>
      </c>
      <c r="X70" s="38">
        <f>X69+X62</f>
        <v>7075214210.0799999</v>
      </c>
      <c r="Y70" s="28">
        <f>SUMIFS(JU!$H$5107:$H$5107,JU!$F$5107:$F$5107,WS!$A70)</f>
        <v>0</v>
      </c>
      <c r="Z70" s="29">
        <f>SUMIFS(JU!$K$5107:$K$5107,JU!$I$5107:$I$5107,WS!$A70)</f>
        <v>0</v>
      </c>
      <c r="AA70" s="38">
        <f>AA69+AA62</f>
        <v>7075214210.0799999</v>
      </c>
      <c r="AB70" s="28">
        <f>SUMIFS(JU!$H$5107:$H$5107,JU!$F$5107:$F$5107,WS!$A70)</f>
        <v>0</v>
      </c>
      <c r="AC70" s="29">
        <f>SUMIFS(JU!$K$5107:$K$5107,JU!$I$5107:$I$5107,WS!$A70)</f>
        <v>0</v>
      </c>
      <c r="AD70" s="38">
        <f>AD69+AD62</f>
        <v>7075214210.0799999</v>
      </c>
      <c r="AE70" s="28">
        <f>SUMIFS(JU!$H$5107:$H$5107,JU!$F$5107:$F$5107,WS!$A70)</f>
        <v>0</v>
      </c>
      <c r="AF70" s="29">
        <f>SUMIFS(JU!$K$5107:$K$5107,JU!$I$5107:$I$5107,WS!$A70)</f>
        <v>0</v>
      </c>
      <c r="AG70" s="38">
        <f>AG69+AG62</f>
        <v>7075214210.0799999</v>
      </c>
      <c r="AH70" s="28">
        <f>SUMIFS(JU!$H$5107:$H$5107,JU!$F$5107:$F$5107,WS!$A70)</f>
        <v>0</v>
      </c>
      <c r="AI70" s="29">
        <f>SUMIFS(JU!$K$5107:$K$5107,JU!$I$5107:$I$5107,WS!$A70)</f>
        <v>0</v>
      </c>
      <c r="AJ70" s="38">
        <f t="shared" ref="AJ70" si="92">AJ69+AJ62</f>
        <v>7075214210.0799999</v>
      </c>
      <c r="AK70" s="28">
        <f>SUMIFS(JU!$H$5107:$H$5107,JU!$F$5107:$F$5107,WS!$A70)</f>
        <v>0</v>
      </c>
      <c r="AL70" s="29">
        <f>SUMIFS(JU!$K$5107:$K$5107,JU!$I$5107:$I$5107,WS!$A70)</f>
        <v>0</v>
      </c>
      <c r="AM70" s="38">
        <f t="shared" ref="AM70" si="93">AM69+AM62</f>
        <v>7075214210.0799999</v>
      </c>
    </row>
    <row r="71" spans="1:41">
      <c r="A71" s="280" t="s">
        <v>103</v>
      </c>
      <c r="B71" s="280"/>
      <c r="C71" s="32"/>
      <c r="D71" s="28">
        <f>SUMIFS(JU!$H$5:$H$178,JU!$F$5:$F$178,WS!$A71)</f>
        <v>0</v>
      </c>
      <c r="E71" s="29">
        <f>SUMIFS(JU!$K$5:$K$178,JU!$I$5:$I$178,WS!$A71)</f>
        <v>0</v>
      </c>
      <c r="F71" s="30"/>
      <c r="G71" s="28">
        <f>SUMIFS(JU!$H$180:$H$440,JU!$F$180:$F$440,WS!$A71)</f>
        <v>0</v>
      </c>
      <c r="H71" s="29">
        <f>SUMIFS(JU!$K$180:$K$440,JU!$I$180:$I$440,WS!$A71)</f>
        <v>0</v>
      </c>
      <c r="I71" s="30"/>
      <c r="J71" s="28">
        <f>SUMIFS(JU!$H$441:$H$695,JU!$F$441:$F$695,WS!$A71)</f>
        <v>0</v>
      </c>
      <c r="K71" s="29">
        <f>SUMIFS(JU!$K$441:$K$695,JU!$I$441:$I$695,WS!$A71)</f>
        <v>0</v>
      </c>
      <c r="L71" s="30"/>
      <c r="M71" s="28">
        <f>SUMIFS(JU!$H$696:$H$1062,JU!$F$696:$F$1062,$A71)</f>
        <v>0</v>
      </c>
      <c r="N71" s="29">
        <f>SUMIFS(JU!$K$696:$K$1062,JU!$I$696:$I$1062,WS!$A71)</f>
        <v>0</v>
      </c>
      <c r="O71" s="30"/>
      <c r="P71" s="28">
        <f>SUMIFS(JU!$H$1063:$H$5007,JU!$F$1063:$F$5007,WS!$A71)</f>
        <v>0</v>
      </c>
      <c r="Q71" s="29">
        <f>SUMIFS(JU!$K$1063:$K$5007,JU!$I$1063:$I$5007,WS!$A71)</f>
        <v>0</v>
      </c>
      <c r="R71" s="30"/>
      <c r="S71" s="28">
        <f>SUMIFS(JU!$H$5107:$H$5107,JU!$F$5107:$F$5107,WS!$A71)</f>
        <v>0</v>
      </c>
      <c r="T71" s="29">
        <f>SUMIFS(JU!$K$5107:$K$5107,JU!$I$5107:$I$5107,WS!$A71)</f>
        <v>0</v>
      </c>
      <c r="U71" s="30"/>
      <c r="V71" s="28">
        <f>SUMIFS(JU!$H$5107:$H$5107,JU!$F$5107:$F$5107,WS!$A71)</f>
        <v>0</v>
      </c>
      <c r="W71" s="29">
        <f>SUMIFS(JU!$K$5107:$K$5107,JU!$I$5107:$I$5107,WS!$A71)</f>
        <v>0</v>
      </c>
      <c r="X71" s="30"/>
      <c r="Y71" s="28">
        <f>SUMIFS(JU!$H$5107:$H$5107,JU!$F$5107:$F$5107,WS!$A71)</f>
        <v>0</v>
      </c>
      <c r="Z71" s="29">
        <f>SUMIFS(JU!$K$5107:$K$5107,JU!$I$5107:$I$5107,WS!$A71)</f>
        <v>0</v>
      </c>
      <c r="AA71" s="30"/>
      <c r="AB71" s="28">
        <f>SUMIFS(JU!$H$5107:$H$5107,JU!$F$5107:$F$5107,WS!$A71)</f>
        <v>0</v>
      </c>
      <c r="AC71" s="29">
        <f>SUMIFS(JU!$K$5107:$K$5107,JU!$I$5107:$I$5107,WS!$A71)</f>
        <v>0</v>
      </c>
      <c r="AD71" s="30"/>
      <c r="AE71" s="28">
        <f>SUMIFS(JU!$H$5107:$H$5107,JU!$F$5107:$F$5107,WS!$A71)</f>
        <v>0</v>
      </c>
      <c r="AF71" s="29">
        <f>SUMIFS(JU!$K$5107:$K$5107,JU!$I$5107:$I$5107,WS!$A71)</f>
        <v>0</v>
      </c>
      <c r="AG71" s="30"/>
      <c r="AH71" s="28">
        <f>SUMIFS(JU!$H$5107:$H$5107,JU!$F$5107:$F$5107,WS!$A71)</f>
        <v>0</v>
      </c>
      <c r="AI71" s="29">
        <f>SUMIFS(JU!$K$5107:$K$5107,JU!$I$5107:$I$5107,WS!$A71)</f>
        <v>0</v>
      </c>
      <c r="AJ71" s="30"/>
      <c r="AK71" s="28">
        <f>SUMIFS(JU!$H$5107:$H$5107,JU!$F$5107:$F$5107,WS!$A71)</f>
        <v>0</v>
      </c>
      <c r="AL71" s="29">
        <f>SUMIFS(JU!$K$5107:$K$5107,JU!$I$5107:$I$5107,WS!$A71)</f>
        <v>0</v>
      </c>
      <c r="AM71" s="30"/>
    </row>
    <row r="72" spans="1:41">
      <c r="A72" s="6" t="s">
        <v>13</v>
      </c>
      <c r="B72" s="31" t="s">
        <v>56</v>
      </c>
      <c r="C72" s="32">
        <v>0</v>
      </c>
      <c r="D72" s="28">
        <f>SUMIFS(JU!$H$5:$H$178,JU!$F$5:$F$178,WS!$A72)</f>
        <v>0</v>
      </c>
      <c r="E72" s="29">
        <f>SUMIFS(JU!$K$5:$K$178,JU!$I$5:$I$178,WS!$A72)</f>
        <v>0</v>
      </c>
      <c r="F72" s="30">
        <f>C72+E72-D72</f>
        <v>0</v>
      </c>
      <c r="G72" s="28">
        <f>SUMIFS(JU!$H$180:$H$440,JU!$F$180:$F$440,WS!$A72)</f>
        <v>0</v>
      </c>
      <c r="H72" s="29">
        <f>SUMIFS(JU!$K$180:$K$440,JU!$I$180:$I$440,WS!$A72)</f>
        <v>0</v>
      </c>
      <c r="I72" s="30">
        <f>F72+H72-G72</f>
        <v>0</v>
      </c>
      <c r="J72" s="28">
        <f>SUMIFS(JU!$H$441:$H$695,JU!$F$441:$F$695,WS!$A72)</f>
        <v>0</v>
      </c>
      <c r="K72" s="29">
        <f>SUMIFS(JU!$K$441:$K$695,JU!$I$441:$I$695,WS!$A72)</f>
        <v>0</v>
      </c>
      <c r="L72" s="30">
        <f>I72+K72-J72</f>
        <v>0</v>
      </c>
      <c r="M72" s="28">
        <f>SUMIFS(JU!$H$696:$H$1062,JU!$F$696:$F$1062,$A72)</f>
        <v>0</v>
      </c>
      <c r="N72" s="29">
        <f>SUMIFS(JU!$K$696:$K$1062,JU!$I$696:$I$1062,WS!$A72)</f>
        <v>0</v>
      </c>
      <c r="O72" s="30">
        <f>L72+N72-M72</f>
        <v>0</v>
      </c>
      <c r="P72" s="28">
        <f>SUMIFS(JU!$H$1063:$H$5007,JU!$F$1063:$F$5007,WS!$A72)</f>
        <v>0</v>
      </c>
      <c r="Q72" s="29">
        <f>SUMIFS(JU!$K$1063:$K$5007,JU!$I$1063:$I$5007,WS!$A72)</f>
        <v>0</v>
      </c>
      <c r="R72" s="30">
        <f>O72+Q72-P72</f>
        <v>0</v>
      </c>
      <c r="S72" s="28">
        <f>SUMIFS(JU!$H$5107:$H$5107,JU!$F$5107:$F$5107,WS!$A72)</f>
        <v>0</v>
      </c>
      <c r="T72" s="29">
        <f>SUMIFS(JU!$K$5107:$K$5107,JU!$I$5107:$I$5107,WS!$A72)</f>
        <v>0</v>
      </c>
      <c r="U72" s="30">
        <f>R72+T72-S72</f>
        <v>0</v>
      </c>
      <c r="V72" s="28">
        <f>SUMIFS(JU!$H$5107:$H$5107,JU!$F$5107:$F$5107,WS!$A72)</f>
        <v>0</v>
      </c>
      <c r="W72" s="29">
        <f>SUMIFS(JU!$K$5107:$K$5107,JU!$I$5107:$I$5107,WS!$A72)</f>
        <v>0</v>
      </c>
      <c r="X72" s="30">
        <f>U72+W72-V72</f>
        <v>0</v>
      </c>
      <c r="Y72" s="28">
        <f>SUMIFS(JU!$H$5107:$H$5107,JU!$F$5107:$F$5107,WS!$A72)</f>
        <v>0</v>
      </c>
      <c r="Z72" s="29">
        <f>SUMIFS(JU!$K$5107:$K$5107,JU!$I$5107:$I$5107,WS!$A72)</f>
        <v>0</v>
      </c>
      <c r="AA72" s="30">
        <f>X72+Z72-Y72</f>
        <v>0</v>
      </c>
      <c r="AB72" s="28">
        <f>SUMIFS(JU!$H$5107:$H$5107,JU!$F$5107:$F$5107,WS!$A72)</f>
        <v>0</v>
      </c>
      <c r="AC72" s="29">
        <f>SUMIFS(JU!$K$5107:$K$5107,JU!$I$5107:$I$5107,WS!$A72)</f>
        <v>0</v>
      </c>
      <c r="AD72" s="30">
        <f>AA72+AC72-AB72</f>
        <v>0</v>
      </c>
      <c r="AE72" s="28">
        <f>SUMIFS(JU!$H$5107:$H$5107,JU!$F$5107:$F$5107,WS!$A72)</f>
        <v>0</v>
      </c>
      <c r="AF72" s="29">
        <f>SUMIFS(JU!$K$5107:$K$5107,JU!$I$5107:$I$5107,WS!$A72)</f>
        <v>0</v>
      </c>
      <c r="AG72" s="30">
        <f>AD72+AF72-AE72</f>
        <v>0</v>
      </c>
      <c r="AH72" s="28">
        <f>SUMIFS(JU!$H$5107:$H$5107,JU!$F$5107:$F$5107,WS!$A72)</f>
        <v>0</v>
      </c>
      <c r="AI72" s="29">
        <f>SUMIFS(JU!$K$5107:$K$5107,JU!$I$5107:$I$5107,WS!$A72)</f>
        <v>0</v>
      </c>
      <c r="AJ72" s="30">
        <f>AG72+AI72-AH72</f>
        <v>0</v>
      </c>
      <c r="AK72" s="28">
        <f>SUMIFS(JU!$H$5107:$H$5107,JU!$F$5107:$F$5107,WS!$A72)</f>
        <v>0</v>
      </c>
      <c r="AL72" s="29">
        <f>SUMIFS(JU!$K$5107:$K$5107,JU!$I$5107:$I$5107,WS!$A72)</f>
        <v>0</v>
      </c>
      <c r="AM72" s="30">
        <f>AJ72+AL72-AK72</f>
        <v>0</v>
      </c>
    </row>
    <row r="73" spans="1:41">
      <c r="A73" s="6" t="s">
        <v>14</v>
      </c>
      <c r="B73" s="31" t="s">
        <v>57</v>
      </c>
      <c r="C73" s="32">
        <v>0</v>
      </c>
      <c r="D73" s="28">
        <f>SUMIFS(JU!$H$5:$H$178,JU!$F$5:$F$178,WS!$A73)</f>
        <v>0</v>
      </c>
      <c r="E73" s="29">
        <f>SUMIFS(JU!$K$5:$K$178,JU!$I$5:$I$178,WS!$A73)</f>
        <v>0</v>
      </c>
      <c r="F73" s="30">
        <f>C73+E73-D73</f>
        <v>0</v>
      </c>
      <c r="G73" s="28">
        <f>SUMIFS(JU!$H$180:$H$440,JU!$F$180:$F$440,WS!$A73)</f>
        <v>0</v>
      </c>
      <c r="H73" s="29">
        <f>SUMIFS(JU!$K$180:$K$440,JU!$I$180:$I$440,WS!$A73)</f>
        <v>0</v>
      </c>
      <c r="I73" s="30">
        <f>F73+H73-G73</f>
        <v>0</v>
      </c>
      <c r="J73" s="28">
        <f>SUMIFS(JU!$H$441:$H$695,JU!$F$441:$F$695,WS!$A73)</f>
        <v>0</v>
      </c>
      <c r="K73" s="29">
        <f>SUMIFS(JU!$K$441:$K$695,JU!$I$441:$I$695,WS!$A73)</f>
        <v>0</v>
      </c>
      <c r="L73" s="30">
        <f>I73+K73-J73</f>
        <v>0</v>
      </c>
      <c r="M73" s="28">
        <f>SUMIFS(JU!$H$696:$H$1062,JU!$F$696:$F$1062,$A73)</f>
        <v>0</v>
      </c>
      <c r="N73" s="29">
        <f>SUMIFS(JU!$K$696:$K$1062,JU!$I$696:$I$1062,WS!$A73)</f>
        <v>0</v>
      </c>
      <c r="O73" s="30">
        <f>L73+N73-M73</f>
        <v>0</v>
      </c>
      <c r="P73" s="28">
        <f>SUMIFS(JU!$H$1063:$H$5007,JU!$F$1063:$F$5007,WS!$A73)</f>
        <v>0</v>
      </c>
      <c r="Q73" s="29">
        <f>SUMIFS(JU!$K$1063:$K$5007,JU!$I$1063:$I$5007,WS!$A73)</f>
        <v>0</v>
      </c>
      <c r="R73" s="30">
        <f>O73+Q73-P73</f>
        <v>0</v>
      </c>
      <c r="S73" s="28">
        <f>SUMIFS(JU!$H$5107:$H$5107,JU!$F$5107:$F$5107,WS!$A73)</f>
        <v>0</v>
      </c>
      <c r="T73" s="29">
        <f>SUMIFS(JU!$K$5107:$K$5107,JU!$I$5107:$I$5107,WS!$A73)</f>
        <v>0</v>
      </c>
      <c r="U73" s="30">
        <f>R73+T73-S73</f>
        <v>0</v>
      </c>
      <c r="V73" s="28">
        <f>SUMIFS(JU!$H$5107:$H$5107,JU!$F$5107:$F$5107,WS!$A73)</f>
        <v>0</v>
      </c>
      <c r="W73" s="29">
        <f>SUMIFS(JU!$K$5107:$K$5107,JU!$I$5107:$I$5107,WS!$A73)</f>
        <v>0</v>
      </c>
      <c r="X73" s="30">
        <f>U73+W73-V73</f>
        <v>0</v>
      </c>
      <c r="Y73" s="28">
        <f>SUMIFS(JU!$H$5107:$H$5107,JU!$F$5107:$F$5107,WS!$A73)</f>
        <v>0</v>
      </c>
      <c r="Z73" s="29">
        <f>SUMIFS(JU!$K$5107:$K$5107,JU!$I$5107:$I$5107,WS!$A73)</f>
        <v>0</v>
      </c>
      <c r="AA73" s="30">
        <f>X73+Z73-Y73</f>
        <v>0</v>
      </c>
      <c r="AB73" s="28">
        <f>SUMIFS(JU!$H$5107:$H$5107,JU!$F$5107:$F$5107,WS!$A73)</f>
        <v>0</v>
      </c>
      <c r="AC73" s="29">
        <f>SUMIFS(JU!$K$5107:$K$5107,JU!$I$5107:$I$5107,WS!$A73)</f>
        <v>0</v>
      </c>
      <c r="AD73" s="30">
        <f>AA73+AC73-AB73</f>
        <v>0</v>
      </c>
      <c r="AE73" s="28">
        <f>SUMIFS(JU!$H$5107:$H$5107,JU!$F$5107:$F$5107,WS!$A73)</f>
        <v>0</v>
      </c>
      <c r="AF73" s="29">
        <f>SUMIFS(JU!$K$5107:$K$5107,JU!$I$5107:$I$5107,WS!$A73)</f>
        <v>0</v>
      </c>
      <c r="AG73" s="30">
        <f>AD73+AF73-AE73</f>
        <v>0</v>
      </c>
      <c r="AH73" s="28">
        <f>SUMIFS(JU!$H$5107:$H$5107,JU!$F$5107:$F$5107,WS!$A73)</f>
        <v>0</v>
      </c>
      <c r="AI73" s="29">
        <f>SUMIFS(JU!$K$5107:$K$5107,JU!$I$5107:$I$5107,WS!$A73)</f>
        <v>0</v>
      </c>
      <c r="AJ73" s="30">
        <f>AG73+AI73-AH73</f>
        <v>0</v>
      </c>
      <c r="AK73" s="28">
        <f>SUMIFS(JU!$H$5107:$H$5107,JU!$F$5107:$F$5107,WS!$A73)</f>
        <v>0</v>
      </c>
      <c r="AL73" s="29">
        <f>SUMIFS(JU!$K$5107:$K$5107,JU!$I$5107:$I$5107,WS!$A73)</f>
        <v>0</v>
      </c>
      <c r="AM73" s="30">
        <f>AJ73+AL73-AK73</f>
        <v>0</v>
      </c>
    </row>
    <row r="74" spans="1:41">
      <c r="A74" s="6" t="s">
        <v>15</v>
      </c>
      <c r="B74" s="31" t="s">
        <v>58</v>
      </c>
      <c r="C74" s="32">
        <v>3541092098.1999998</v>
      </c>
      <c r="D74" s="28">
        <f>SUMIFS(JU!$H$5:$H$178,JU!$F$5:$F$178,WS!$A74)</f>
        <v>0</v>
      </c>
      <c r="E74" s="29">
        <f>SUMIFS(JU!$K$5:$K$178,JU!$I$5:$I$178,WS!$A74)</f>
        <v>0</v>
      </c>
      <c r="F74" s="30">
        <f>C74+E74-D74</f>
        <v>3541092098.1999998</v>
      </c>
      <c r="G74" s="28">
        <f>SUMIFS(JU!$H$180:$H$440,JU!$F$180:$F$440,WS!$A74)</f>
        <v>0</v>
      </c>
      <c r="H74" s="29">
        <f>SUMIFS(JU!$K$180:$K$440,JU!$I$180:$I$440,WS!$A74)</f>
        <v>0</v>
      </c>
      <c r="I74" s="30">
        <f>F74+F75</f>
        <v>3482331464.1999998</v>
      </c>
      <c r="J74" s="28">
        <f>SUMIFS(JU!$H$441:$H$695,JU!$F$441:$F$695,WS!$A74)</f>
        <v>0</v>
      </c>
      <c r="K74" s="29">
        <f>SUMIFS(JU!$K$441:$K$695,JU!$I$441:$I$695,WS!$A74)</f>
        <v>0</v>
      </c>
      <c r="L74" s="30">
        <f>I74+I75</f>
        <v>3466129011.1999998</v>
      </c>
      <c r="M74" s="28">
        <f>SUMIFS(JU!$H$696:$H$1062,JU!$F$696:$F$1062,$A74)</f>
        <v>0</v>
      </c>
      <c r="N74" s="29">
        <f>SUMIFS(JU!$K$696:$K$1062,JU!$I$696:$I$1062,WS!$A74)</f>
        <v>0</v>
      </c>
      <c r="O74" s="30">
        <f>L74+L75</f>
        <v>3583793154.1999998</v>
      </c>
      <c r="P74" s="28">
        <f>SUMIFS(JU!$H$1063:$H$5007,JU!$F$1063:$F$5007,WS!$A74)</f>
        <v>0</v>
      </c>
      <c r="Q74" s="29">
        <f>SUMIFS(JU!$K$1063:$K$5007,JU!$I$1063:$I$5007,WS!$A74)</f>
        <v>0</v>
      </c>
      <c r="R74" s="30">
        <f>O74+O75</f>
        <v>4778725673.1999998</v>
      </c>
      <c r="S74" s="28">
        <f>SUMIFS(JU!$H$5107:$H$5107,JU!$F$5107:$F$5107,WS!$A74)</f>
        <v>0</v>
      </c>
      <c r="T74" s="29">
        <f>SUMIFS(JU!$K$5107:$K$5107,JU!$I$5107:$I$5107,WS!$A74)</f>
        <v>0</v>
      </c>
      <c r="U74" s="30">
        <f>R74+R75</f>
        <v>6680029845.1999998</v>
      </c>
      <c r="V74" s="28">
        <f>SUMIFS(JU!$H$5107:$H$5107,JU!$F$5107:$F$5107,WS!$A74)</f>
        <v>0</v>
      </c>
      <c r="W74" s="29">
        <f>SUMIFS(JU!$K$5107:$K$5107,JU!$I$5107:$I$5107,WS!$A74)</f>
        <v>0</v>
      </c>
      <c r="X74" s="30">
        <f>U74+U75</f>
        <v>6680029845.1999998</v>
      </c>
      <c r="Y74" s="28">
        <f>SUMIFS(JU!$H$5107:$H$5107,JU!$F$5107:$F$5107,WS!$A74)</f>
        <v>0</v>
      </c>
      <c r="Z74" s="29">
        <f>SUMIFS(JU!$K$5107:$K$5107,JU!$I$5107:$I$5107,WS!$A74)</f>
        <v>0</v>
      </c>
      <c r="AA74" s="30">
        <f>X74+X75</f>
        <v>6680029845.1999998</v>
      </c>
      <c r="AB74" s="28">
        <f>SUMIFS(JU!$H$5107:$H$5107,JU!$F$5107:$F$5107,WS!$A74)</f>
        <v>0</v>
      </c>
      <c r="AC74" s="29">
        <f>SUMIFS(JU!$K$5107:$K$5107,JU!$I$5107:$I$5107,WS!$A74)</f>
        <v>0</v>
      </c>
      <c r="AD74" s="30">
        <f>AA74+AA75</f>
        <v>6680029845.1999998</v>
      </c>
      <c r="AE74" s="28">
        <f>SUMIFS(JU!$H$5107:$H$5107,JU!$F$5107:$F$5107,WS!$A74)</f>
        <v>0</v>
      </c>
      <c r="AF74" s="29">
        <f>SUMIFS(JU!$K$5107:$K$5107,JU!$I$5107:$I$5107,WS!$A74)</f>
        <v>0</v>
      </c>
      <c r="AG74" s="30">
        <f>AD74+AD75</f>
        <v>6680029845.1999998</v>
      </c>
      <c r="AH74" s="28">
        <f>SUMIFS(JU!$H$5107:$H$5107,JU!$F$5107:$F$5107,WS!$A74)</f>
        <v>0</v>
      </c>
      <c r="AI74" s="29">
        <f>SUMIFS(JU!$K$5107:$K$5107,JU!$I$5107:$I$5107,WS!$A74)</f>
        <v>0</v>
      </c>
      <c r="AJ74" s="30">
        <f>AG74+AG75</f>
        <v>6680029845.1999998</v>
      </c>
      <c r="AK74" s="28">
        <f>SUMIFS(JU!$H$5107:$H$5107,JU!$F$5107:$F$5107,WS!$A74)</f>
        <v>0</v>
      </c>
      <c r="AL74" s="29">
        <f>SUMIFS(JU!$K$5107:$K$5107,JU!$I$5107:$I$5107,WS!$A74)</f>
        <v>0</v>
      </c>
      <c r="AM74" s="30">
        <f>AJ74+AJ75</f>
        <v>6680029845.1999998</v>
      </c>
      <c r="AN74">
        <v>2870516042</v>
      </c>
    </row>
    <row r="75" spans="1:41">
      <c r="A75" s="6" t="s">
        <v>16</v>
      </c>
      <c r="B75" s="31" t="s">
        <v>59</v>
      </c>
      <c r="C75" s="32"/>
      <c r="D75" s="28">
        <f>SUMIFS(JU!$H$5:$H$178,JU!$F$5:$F$178,WS!$A75)</f>
        <v>0</v>
      </c>
      <c r="E75" s="29">
        <f>SUMIFS(JU!$K$5:$K$178,JU!$I$5:$I$178,WS!$A75)</f>
        <v>0</v>
      </c>
      <c r="F75" s="30">
        <f>F3</f>
        <v>-58760634</v>
      </c>
      <c r="G75" s="28">
        <f>SUMIFS(JU!$H$180:$H$440,JU!$F$180:$F$440,WS!$A75)</f>
        <v>0</v>
      </c>
      <c r="H75" s="29">
        <f>SUMIFS(JU!$K$180:$K$440,JU!$I$180:$I$440,WS!$A75)</f>
        <v>0</v>
      </c>
      <c r="I75" s="30">
        <f>I3</f>
        <v>-16202453</v>
      </c>
      <c r="J75" s="28">
        <f>SUMIFS(JU!$H$441:$H$695,JU!$F$441:$F$695,WS!$A75)</f>
        <v>0</v>
      </c>
      <c r="K75" s="29">
        <f>SUMIFS(JU!$K$441:$K$695,JU!$I$441:$I$695,WS!$A75)</f>
        <v>0</v>
      </c>
      <c r="L75" s="30">
        <f>L3</f>
        <v>117664143</v>
      </c>
      <c r="M75" s="28">
        <f>SUMIFS(JU!$H$696:$H$1062,JU!$F$696:$F$1062,$A75)</f>
        <v>0</v>
      </c>
      <c r="N75" s="29">
        <f>SUMIFS(JU!$K$696:$K$1062,JU!$I$696:$I$1062,WS!$A75)</f>
        <v>0</v>
      </c>
      <c r="O75" s="30">
        <f>O3</f>
        <v>1194932519</v>
      </c>
      <c r="P75" s="28">
        <f>SUMIFS(JU!$H$1063:$H$5007,JU!$F$1063:$F$5007,WS!$A75)</f>
        <v>0</v>
      </c>
      <c r="Q75" s="29">
        <f>SUMIFS(JU!$K$1063:$K$5007,JU!$I$1063:$I$5007,WS!$A75)</f>
        <v>0</v>
      </c>
      <c r="R75" s="30">
        <f>R3</f>
        <v>1901304172</v>
      </c>
      <c r="S75" s="28">
        <f>SUMIFS(JU!$H$5107:$H$5107,JU!$F$5107:$F$5107,WS!$A75)</f>
        <v>0</v>
      </c>
      <c r="T75" s="29">
        <f>SUMIFS(JU!$K$5107:$K$5107,JU!$I$5107:$I$5107,WS!$A75)</f>
        <v>0</v>
      </c>
      <c r="U75" s="30">
        <f>U3</f>
        <v>0</v>
      </c>
      <c r="V75" s="28">
        <f>SUMIFS(JU!$H$5107:$H$5107,JU!$F$5107:$F$5107,WS!$A75)</f>
        <v>0</v>
      </c>
      <c r="W75" s="29">
        <f>SUMIFS(JU!$K$5107:$K$5107,JU!$I$5107:$I$5107,WS!$A75)</f>
        <v>0</v>
      </c>
      <c r="X75" s="30">
        <f>X3</f>
        <v>0</v>
      </c>
      <c r="Y75" s="28">
        <f>SUMIFS(JU!$H$5107:$H$5107,JU!$F$5107:$F$5107,WS!$A75)</f>
        <v>0</v>
      </c>
      <c r="Z75" s="29">
        <f>SUMIFS(JU!$K$5107:$K$5107,JU!$I$5107:$I$5107,WS!$A75)</f>
        <v>0</v>
      </c>
      <c r="AA75" s="30">
        <f>AA3</f>
        <v>0</v>
      </c>
      <c r="AB75" s="28">
        <f>SUMIFS(JU!$H$5107:$H$5107,JU!$F$5107:$F$5107,WS!$A75)</f>
        <v>0</v>
      </c>
      <c r="AC75" s="29">
        <f>SUMIFS(JU!$K$5107:$K$5107,JU!$I$5107:$I$5107,WS!$A75)</f>
        <v>0</v>
      </c>
      <c r="AD75" s="30">
        <f>AD3</f>
        <v>0</v>
      </c>
      <c r="AE75" s="28">
        <f>SUMIFS(JU!$H$5107:$H$5107,JU!$F$5107:$F$5107,WS!$A75)</f>
        <v>0</v>
      </c>
      <c r="AF75" s="29">
        <f>SUMIFS(JU!$K$5107:$K$5107,JU!$I$5107:$I$5107,WS!$A75)</f>
        <v>0</v>
      </c>
      <c r="AG75" s="30">
        <f>AG3</f>
        <v>0</v>
      </c>
      <c r="AH75" s="28">
        <f>SUMIFS(JU!$H$5107:$H$5107,JU!$F$5107:$F$5107,WS!$A75)</f>
        <v>0</v>
      </c>
      <c r="AI75" s="29">
        <f>SUMIFS(JU!$K$5107:$K$5107,JU!$I$5107:$I$5107,WS!$A75)</f>
        <v>0</v>
      </c>
      <c r="AJ75" s="30">
        <f>AJ3</f>
        <v>0</v>
      </c>
      <c r="AK75" s="28">
        <f>SUMIFS(JU!$H$5107:$H$5107,JU!$F$5107:$F$5107,WS!$A75)</f>
        <v>0</v>
      </c>
      <c r="AL75" s="29">
        <f>SUMIFS(JU!$K$5107:$K$5107,JU!$I$5107:$I$5107,WS!$A75)</f>
        <v>0</v>
      </c>
      <c r="AM75" s="30">
        <f>AM3</f>
        <v>0</v>
      </c>
      <c r="AN75" s="33">
        <f>AN74-AD74-AD75</f>
        <v>-3809513803.1999998</v>
      </c>
      <c r="AO75">
        <f>150000*29</f>
        <v>4350000</v>
      </c>
    </row>
    <row r="76" spans="1:41">
      <c r="A76" s="6" t="s">
        <v>17</v>
      </c>
      <c r="B76" s="31" t="s">
        <v>60</v>
      </c>
      <c r="C76" s="32">
        <v>0</v>
      </c>
      <c r="D76" s="28">
        <f>SUMIFS(JU!$H$5:$H$178,JU!$F$5:$F$178,WS!$A76)</f>
        <v>0</v>
      </c>
      <c r="E76" s="29">
        <f>SUMIFS(JU!$K$5:$K$178,JU!$I$5:$I$178,WS!$A76)</f>
        <v>0</v>
      </c>
      <c r="F76" s="30">
        <f>C76+E76-D76</f>
        <v>0</v>
      </c>
      <c r="G76" s="28">
        <f>SUMIFS(JU!$H$180:$H$440,JU!$F$180:$F$440,WS!$A76)</f>
        <v>0</v>
      </c>
      <c r="H76" s="29">
        <f>SUMIFS(JU!$K$180:$K$440,JU!$I$180:$I$440,WS!$A76)</f>
        <v>0</v>
      </c>
      <c r="I76" s="30">
        <f>F76+H76-G76</f>
        <v>0</v>
      </c>
      <c r="J76" s="28">
        <f>SUMIFS(JU!$H$441:$H$695,JU!$F$441:$F$695,WS!$A76)</f>
        <v>0</v>
      </c>
      <c r="K76" s="29">
        <f>SUMIFS(JU!$K$441:$K$695,JU!$I$441:$I$695,WS!$A76)</f>
        <v>0</v>
      </c>
      <c r="L76" s="30">
        <f>I76+K76-J76</f>
        <v>0</v>
      </c>
      <c r="M76" s="28">
        <f>SUMIFS(JU!$H$696:$H$1062,JU!$F$696:$F$1062,$A76)</f>
        <v>0</v>
      </c>
      <c r="N76" s="29">
        <f>SUMIFS(JU!$K$696:$K$1062,JU!$I$696:$I$1062,WS!$A76)</f>
        <v>0</v>
      </c>
      <c r="O76" s="30">
        <f>L76+N76-M76</f>
        <v>0</v>
      </c>
      <c r="P76" s="28">
        <f>SUMIFS(JU!$H$1063:$H$5007,JU!$F$1063:$F$5007,WS!$A76)</f>
        <v>0</v>
      </c>
      <c r="Q76" s="29">
        <f>SUMIFS(JU!$K$1063:$K$5007,JU!$I$1063:$I$5007,WS!$A76)</f>
        <v>0</v>
      </c>
      <c r="R76" s="30">
        <f>O76+Q76-P76</f>
        <v>0</v>
      </c>
      <c r="S76" s="28">
        <f>SUMIFS(JU!$H$5107:$H$5107,JU!$F$5107:$F$5107,WS!$A76)</f>
        <v>0</v>
      </c>
      <c r="T76" s="29">
        <f>SUMIFS(JU!$K$5107:$K$5107,JU!$I$5107:$I$5107,WS!$A76)</f>
        <v>0</v>
      </c>
      <c r="U76" s="30">
        <f>R76+T76-S76</f>
        <v>0</v>
      </c>
      <c r="V76" s="28">
        <f>SUMIFS(JU!$H$5107:$H$5107,JU!$F$5107:$F$5107,WS!$A76)</f>
        <v>0</v>
      </c>
      <c r="W76" s="29">
        <f>SUMIFS(JU!$K$5107:$K$5107,JU!$I$5107:$I$5107,WS!$A76)</f>
        <v>0</v>
      </c>
      <c r="X76" s="30">
        <f>U76+W76-V76</f>
        <v>0</v>
      </c>
      <c r="Y76" s="28">
        <f>SUMIFS(JU!$H$5107:$H$5107,JU!$F$5107:$F$5107,WS!$A76)</f>
        <v>0</v>
      </c>
      <c r="Z76" s="29">
        <f>SUMIFS(JU!$K$5107:$K$5107,JU!$I$5107:$I$5107,WS!$A76)</f>
        <v>0</v>
      </c>
      <c r="AA76" s="30">
        <f>X76+Z76-Y76</f>
        <v>0</v>
      </c>
      <c r="AB76" s="28">
        <f>SUMIFS(JU!$H$5107:$H$5107,JU!$F$5107:$F$5107,WS!$A76)</f>
        <v>0</v>
      </c>
      <c r="AC76" s="29">
        <f>SUMIFS(JU!$K$5107:$K$5107,JU!$I$5107:$I$5107,WS!$A76)</f>
        <v>0</v>
      </c>
      <c r="AD76" s="30">
        <f>AA76+AC76-AB76</f>
        <v>0</v>
      </c>
      <c r="AE76" s="28">
        <f>SUMIFS(JU!$H$5107:$H$5107,JU!$F$5107:$F$5107,WS!$A76)</f>
        <v>0</v>
      </c>
      <c r="AF76" s="29">
        <f>SUMIFS(JU!$K$5107:$K$5107,JU!$I$5107:$I$5107,WS!$A76)</f>
        <v>0</v>
      </c>
      <c r="AG76" s="30">
        <f>AD76+AF76-AE76</f>
        <v>0</v>
      </c>
      <c r="AH76" s="28">
        <f>SUMIFS(JU!$H$5107:$H$5107,JU!$F$5107:$F$5107,WS!$A76)</f>
        <v>0</v>
      </c>
      <c r="AI76" s="29">
        <f>SUMIFS(JU!$K$5107:$K$5107,JU!$I$5107:$I$5107,WS!$A76)</f>
        <v>0</v>
      </c>
      <c r="AJ76" s="30">
        <f>AG76+AI76-AH76</f>
        <v>0</v>
      </c>
      <c r="AK76" s="28">
        <f>SUMIFS(JU!$H$5107:$H$5107,JU!$F$5107:$F$5107,WS!$A76)</f>
        <v>0</v>
      </c>
      <c r="AL76" s="29">
        <f>SUMIFS(JU!$K$5107:$K$5107,JU!$I$5107:$I$5107,WS!$A76)</f>
        <v>0</v>
      </c>
      <c r="AM76" s="30">
        <f>AJ76+AL76-AK76</f>
        <v>0</v>
      </c>
    </row>
    <row r="77" spans="1:41" s="37" customFormat="1">
      <c r="A77" s="287" t="s">
        <v>217</v>
      </c>
      <c r="B77" s="287"/>
      <c r="C77" s="38">
        <v>3541092098.1999998</v>
      </c>
      <c r="D77" s="28">
        <f>SUMIFS(JU!$H$5:$H$178,JU!$F$5:$F$178,WS!$A77)</f>
        <v>0</v>
      </c>
      <c r="E77" s="29">
        <f>SUMIFS(JU!$K$5:$K$178,JU!$I$5:$I$178,WS!$A77)</f>
        <v>0</v>
      </c>
      <c r="F77" s="36">
        <f>SUM(F72:F76)</f>
        <v>3482331464.1999998</v>
      </c>
      <c r="G77" s="28">
        <f>SUMIFS(JU!$H$180:$H$440,JU!$F$180:$F$440,WS!$A77)</f>
        <v>0</v>
      </c>
      <c r="H77" s="29">
        <f>SUMIFS(JU!$K$180:$K$440,JU!$I$180:$I$440,WS!$A77)</f>
        <v>0</v>
      </c>
      <c r="I77" s="36">
        <f>SUM(I72:I76)</f>
        <v>3466129011.1999998</v>
      </c>
      <c r="J77" s="28">
        <f>SUMIFS(JU!$H$441:$H$695,JU!$F$441:$F$695,WS!$A77)</f>
        <v>0</v>
      </c>
      <c r="K77" s="29">
        <f>SUMIFS(JU!$K$441:$K$695,JU!$I$441:$I$695,WS!$A77)</f>
        <v>0</v>
      </c>
      <c r="L77" s="36">
        <f>SUM(L72:L76)</f>
        <v>3583793154.1999998</v>
      </c>
      <c r="M77" s="28">
        <f>SUMIFS(JU!$H$696:$H$1062,JU!$F$696:$F$1062,$A77)</f>
        <v>0</v>
      </c>
      <c r="N77" s="29">
        <f>SUMIFS(JU!$K$696:$K$1062,JU!$I$696:$I$1062,WS!$A77)</f>
        <v>0</v>
      </c>
      <c r="O77" s="36">
        <f>SUM(O72:O76)</f>
        <v>4778725673.1999998</v>
      </c>
      <c r="P77" s="28">
        <f>SUMIFS(JU!$H$1063:$H$5007,JU!$F$1063:$F$5007,WS!$A77)</f>
        <v>0</v>
      </c>
      <c r="Q77" s="29">
        <f>SUMIFS(JU!$K$1063:$K$5007,JU!$I$1063:$I$5007,WS!$A77)</f>
        <v>0</v>
      </c>
      <c r="R77" s="36">
        <f>SUM(R72:R76)</f>
        <v>6680029845.1999998</v>
      </c>
      <c r="S77" s="28">
        <f>SUMIFS(JU!$H$5107:$H$5107,JU!$F$5107:$F$5107,WS!$A77)</f>
        <v>0</v>
      </c>
      <c r="T77" s="29">
        <f>SUMIFS(JU!$K$5107:$K$5107,JU!$I$5107:$I$5107,WS!$A77)</f>
        <v>0</v>
      </c>
      <c r="U77" s="36">
        <f>SUM(U72:U76)</f>
        <v>6680029845.1999998</v>
      </c>
      <c r="V77" s="28">
        <f>SUMIFS(JU!$H$5107:$H$5107,JU!$F$5107:$F$5107,WS!$A77)</f>
        <v>0</v>
      </c>
      <c r="W77" s="29">
        <f>SUMIFS(JU!$K$5107:$K$5107,JU!$I$5107:$I$5107,WS!$A77)</f>
        <v>0</v>
      </c>
      <c r="X77" s="36">
        <f>SUM(X72:X76)</f>
        <v>6680029845.1999998</v>
      </c>
      <c r="Y77" s="28">
        <f>SUMIFS(JU!$H$5107:$H$5107,JU!$F$5107:$F$5107,WS!$A77)</f>
        <v>0</v>
      </c>
      <c r="Z77" s="29">
        <f>SUMIFS(JU!$K$5107:$K$5107,JU!$I$5107:$I$5107,WS!$A77)</f>
        <v>0</v>
      </c>
      <c r="AA77" s="36">
        <f>SUM(AA72:AA76)</f>
        <v>6680029845.1999998</v>
      </c>
      <c r="AB77" s="28">
        <f>SUMIFS(JU!$H$5107:$H$5107,JU!$F$5107:$F$5107,WS!$A77)</f>
        <v>0</v>
      </c>
      <c r="AC77" s="29">
        <f>SUMIFS(JU!$K$5107:$K$5107,JU!$I$5107:$I$5107,WS!$A77)</f>
        <v>0</v>
      </c>
      <c r="AD77" s="36">
        <f>SUM(AD72:AD76)</f>
        <v>6680029845.1999998</v>
      </c>
      <c r="AE77" s="28">
        <f>SUMIFS(JU!$H$5107:$H$5107,JU!$F$5107:$F$5107,WS!$A77)</f>
        <v>0</v>
      </c>
      <c r="AF77" s="29">
        <f>SUMIFS(JU!$K$5107:$K$5107,JU!$I$5107:$I$5107,WS!$A77)</f>
        <v>0</v>
      </c>
      <c r="AG77" s="36">
        <f>SUM(AG72:AG76)</f>
        <v>6680029845.1999998</v>
      </c>
      <c r="AH77" s="28">
        <f>SUMIFS(JU!$H$5107:$H$5107,JU!$F$5107:$F$5107,WS!$A77)</f>
        <v>0</v>
      </c>
      <c r="AI77" s="29">
        <f>SUMIFS(JU!$K$5107:$K$5107,JU!$I$5107:$I$5107,WS!$A77)</f>
        <v>0</v>
      </c>
      <c r="AJ77" s="36">
        <f t="shared" ref="AJ77" si="94">SUM(AJ72:AJ76)</f>
        <v>6680029845.1999998</v>
      </c>
      <c r="AK77" s="28">
        <f>SUMIFS(JU!$H$5107:$H$5107,JU!$F$5107:$F$5107,WS!$A77)</f>
        <v>0</v>
      </c>
      <c r="AL77" s="29">
        <f>SUMIFS(JU!$K$5107:$K$5107,JU!$I$5107:$I$5107,WS!$A77)</f>
        <v>0</v>
      </c>
      <c r="AM77" s="36">
        <f t="shared" ref="AM77" si="95">SUM(AM72:AM76)</f>
        <v>6680029845.1999998</v>
      </c>
    </row>
    <row r="78" spans="1:41" s="37" customFormat="1">
      <c r="A78" s="287" t="s">
        <v>218</v>
      </c>
      <c r="B78" s="287"/>
      <c r="C78" s="38">
        <v>5454178098.1999998</v>
      </c>
      <c r="D78" s="28">
        <f>SUMIFS(JU!$H$5:$H$178,JU!$F$5:$F$178,WS!$A78)</f>
        <v>0</v>
      </c>
      <c r="E78" s="29">
        <f>SUMIFS(JU!$K$5:$K$178,JU!$I$5:$I$178,WS!$A78)</f>
        <v>0</v>
      </c>
      <c r="F78" s="36">
        <f>F77+F70</f>
        <v>5915676558.1999998</v>
      </c>
      <c r="G78" s="28">
        <f>SUMIFS(JU!$H$180:$H$440,JU!$F$180:$F$440,WS!$A78)</f>
        <v>0</v>
      </c>
      <c r="H78" s="29">
        <f>SUMIFS(JU!$K$180:$K$440,JU!$I$180:$I$440,WS!$A78)</f>
        <v>0</v>
      </c>
      <c r="I78" s="36">
        <f>I77+I70</f>
        <v>7477692405.1999998</v>
      </c>
      <c r="J78" s="28">
        <f>SUMIFS(JU!$H$441:$H$695,JU!$F$441:$F$695,WS!$A78)</f>
        <v>0</v>
      </c>
      <c r="K78" s="29">
        <f>SUMIFS(JU!$K$441:$K$695,JU!$I$441:$I$695,WS!$A78)</f>
        <v>0</v>
      </c>
      <c r="L78" s="36">
        <f>L77+L70</f>
        <v>10256229048.200001</v>
      </c>
      <c r="M78" s="28">
        <f>SUMIFS(JU!$H$696:$H$1062,JU!$F$696:$F$1062,$A78)</f>
        <v>0</v>
      </c>
      <c r="N78" s="29">
        <f>SUMIFS(JU!$K$696:$K$1062,JU!$I$696:$I$1062,WS!$A78)</f>
        <v>0</v>
      </c>
      <c r="O78" s="36">
        <f>O77+O70</f>
        <v>10762976755.200001</v>
      </c>
      <c r="P78" s="28">
        <f>SUMIFS(JU!$H$1063:$H$5007,JU!$F$1063:$F$5007,WS!$A78)</f>
        <v>0</v>
      </c>
      <c r="Q78" s="29">
        <f>SUMIFS(JU!$K$1063:$K$5007,JU!$I$1063:$I$5007,WS!$A78)</f>
        <v>0</v>
      </c>
      <c r="R78" s="36">
        <f>R77+R70</f>
        <v>13755244055.279999</v>
      </c>
      <c r="S78" s="28">
        <f>SUMIFS(JU!$H$5107:$H$5107,JU!$F$5107:$F$5107,WS!$A78)</f>
        <v>0</v>
      </c>
      <c r="T78" s="29">
        <f>SUMIFS(JU!$K$5107:$K$5107,JU!$I$5107:$I$5107,WS!$A78)</f>
        <v>0</v>
      </c>
      <c r="U78" s="36">
        <f>U77+U70</f>
        <v>13755244055.279999</v>
      </c>
      <c r="V78" s="28">
        <f>SUMIFS(JU!$H$5107:$H$5107,JU!$F$5107:$F$5107,WS!$A78)</f>
        <v>0</v>
      </c>
      <c r="W78" s="29">
        <f>SUMIFS(JU!$K$5107:$K$5107,JU!$I$5107:$I$5107,WS!$A78)</f>
        <v>0</v>
      </c>
      <c r="X78" s="36">
        <f>X77+X70</f>
        <v>13755244055.279999</v>
      </c>
      <c r="Y78" s="28">
        <f>SUMIFS(JU!$H$5107:$H$5107,JU!$F$5107:$F$5107,WS!$A78)</f>
        <v>0</v>
      </c>
      <c r="Z78" s="29">
        <f>SUMIFS(JU!$K$5107:$K$5107,JU!$I$5107:$I$5107,WS!$A78)</f>
        <v>0</v>
      </c>
      <c r="AA78" s="36">
        <f>AA77+AA70</f>
        <v>13755244055.279999</v>
      </c>
      <c r="AB78" s="28">
        <f>SUMIFS(JU!$H$5107:$H$5107,JU!$F$5107:$F$5107,WS!$A78)</f>
        <v>0</v>
      </c>
      <c r="AC78" s="29">
        <f>SUMIFS(JU!$K$5107:$K$5107,JU!$I$5107:$I$5107,WS!$A78)</f>
        <v>0</v>
      </c>
      <c r="AD78" s="36">
        <f>AD77+AD70</f>
        <v>13755244055.279999</v>
      </c>
      <c r="AE78" s="28">
        <f>SUMIFS(JU!$H$5107:$H$5107,JU!$F$5107:$F$5107,WS!$A78)</f>
        <v>0</v>
      </c>
      <c r="AF78" s="29">
        <f>SUMIFS(JU!$K$5107:$K$5107,JU!$I$5107:$I$5107,WS!$A78)</f>
        <v>0</v>
      </c>
      <c r="AG78" s="36">
        <f>AG77+AG70</f>
        <v>13755244055.279999</v>
      </c>
      <c r="AH78" s="28">
        <f>SUMIFS(JU!$H$5107:$H$5107,JU!$F$5107:$F$5107,WS!$A78)</f>
        <v>0</v>
      </c>
      <c r="AI78" s="29">
        <f>SUMIFS(JU!$K$5107:$K$5107,JU!$I$5107:$I$5107,WS!$A78)</f>
        <v>0</v>
      </c>
      <c r="AJ78" s="36">
        <f>AJ77+AJ70</f>
        <v>13755244055.279999</v>
      </c>
      <c r="AK78" s="28">
        <f>SUMIFS(JU!$H$5107:$H$5107,JU!$F$5107:$F$5107,WS!$A78)</f>
        <v>0</v>
      </c>
      <c r="AL78" s="29">
        <f>SUMIFS(JU!$K$5107:$K$5107,JU!$I$5107:$I$5107,WS!$A78)</f>
        <v>0</v>
      </c>
      <c r="AM78" s="36">
        <f>AM77+AM70</f>
        <v>13755244055.279999</v>
      </c>
    </row>
    <row r="79" spans="1:41" s="37" customFormat="1">
      <c r="A79" s="35"/>
      <c r="B79" s="39" t="s">
        <v>227</v>
      </c>
      <c r="C79" s="40">
        <v>0</v>
      </c>
      <c r="D79" s="28">
        <f>SUMIFS(JU!$H$5:$H$178,JU!$F$5:$F$178,WS!$A79)</f>
        <v>0</v>
      </c>
      <c r="E79" s="29">
        <f>SUMIFS(JU!$K$5:$K$178,JU!$I$5:$I$178,WS!$A79)</f>
        <v>0</v>
      </c>
      <c r="F79" s="40">
        <f>F78-F52</f>
        <v>0</v>
      </c>
      <c r="G79" s="28">
        <f>SUMIFS(JU!$H$180:$H$440,JU!$F$180:$F$440,WS!$A79)</f>
        <v>0</v>
      </c>
      <c r="H79" s="29">
        <f>SUMIFS(JU!$K$180:$K$440,JU!$I$180:$I$440,WS!$A79)</f>
        <v>0</v>
      </c>
      <c r="I79" s="40">
        <f>I78-I52</f>
        <v>0</v>
      </c>
      <c r="J79" s="28">
        <f>SUMIFS(JU!$H$441:$H$695,JU!$F$441:$F$695,WS!$A79)</f>
        <v>0</v>
      </c>
      <c r="K79" s="29">
        <f>SUMIFS(JU!$K$441:$K$695,JU!$I$441:$I$695,WS!$A79)</f>
        <v>0</v>
      </c>
      <c r="L79" s="40">
        <f>L78-L52</f>
        <v>0</v>
      </c>
      <c r="M79" s="28">
        <f>SUMIFS(JU!$H$696:$H$1062,JU!$F$696:$F$1062,$A79)</f>
        <v>0</v>
      </c>
      <c r="N79" s="29">
        <f>SUMIFS(JU!$K$696:$K$1062,JU!$I$696:$I$1062,WS!$A79)</f>
        <v>0</v>
      </c>
      <c r="O79" s="40">
        <f>O78-O52</f>
        <v>0</v>
      </c>
      <c r="P79" s="28">
        <f>SUMIFS(JU!$H$1063:$H$5007,JU!$F$1063:$F$5007,WS!$A79)</f>
        <v>0</v>
      </c>
      <c r="Q79" s="29">
        <f>SUMIFS(JU!$K$1063:$K$5007,JU!$I$1063:$I$5007,WS!$A79)</f>
        <v>0</v>
      </c>
      <c r="R79" s="40">
        <f>R78-R52</f>
        <v>0</v>
      </c>
      <c r="S79" s="28">
        <f>SUMIFS(JU!$H$5107:$H$5107,JU!$F$5107:$F$5107,WS!$A79)</f>
        <v>0</v>
      </c>
      <c r="T79" s="29">
        <f>SUMIFS(JU!$K$5107:$K$5107,JU!$I$5107:$I$5107,WS!$A79)</f>
        <v>0</v>
      </c>
      <c r="U79" s="40">
        <f>U78-U52</f>
        <v>0</v>
      </c>
      <c r="V79" s="28">
        <f>SUMIFS(JU!$H$5107:$H$5107,JU!$F$5107:$F$5107,WS!$A79)</f>
        <v>0</v>
      </c>
      <c r="W79" s="29">
        <f>SUMIFS(JU!$K$5107:$K$5107,JU!$I$5107:$I$5107,WS!$A79)</f>
        <v>0</v>
      </c>
      <c r="X79" s="40">
        <f>X78-X52</f>
        <v>0</v>
      </c>
      <c r="Y79" s="28">
        <f>SUMIFS(JU!$H$5107:$H$5107,JU!$F$5107:$F$5107,WS!$A79)</f>
        <v>0</v>
      </c>
      <c r="Z79" s="29">
        <f>SUMIFS(JU!$K$5107:$K$5107,JU!$I$5107:$I$5107,WS!$A79)</f>
        <v>0</v>
      </c>
      <c r="AA79" s="40">
        <f>AA78-AA52</f>
        <v>0</v>
      </c>
      <c r="AB79" s="28">
        <f>SUMIFS(JU!$H$5107:$H$5107,JU!$F$5107:$F$5107,WS!$A79)</f>
        <v>0</v>
      </c>
      <c r="AC79" s="29">
        <f>SUMIFS(JU!$K$5107:$K$5107,JU!$I$5107:$I$5107,WS!$A79)</f>
        <v>0</v>
      </c>
      <c r="AD79" s="40">
        <f>AD78-AD52</f>
        <v>0</v>
      </c>
      <c r="AE79" s="28">
        <f>SUMIFS(JU!$H$5107:$H$5107,JU!$F$5107:$F$5107,WS!$A79)</f>
        <v>0</v>
      </c>
      <c r="AF79" s="29">
        <f>SUMIFS(JU!$K$5107:$K$5107,JU!$I$5107:$I$5107,WS!$A79)</f>
        <v>0</v>
      </c>
      <c r="AG79" s="40">
        <f>AG78-AG52</f>
        <v>0</v>
      </c>
      <c r="AH79" s="28">
        <f>SUMIFS(JU!$H$5107:$H$5107,JU!$F$5107:$F$5107,WS!$A79)</f>
        <v>0</v>
      </c>
      <c r="AI79" s="29">
        <f>SUMIFS(JU!$K$5107:$K$5107,JU!$I$5107:$I$5107,WS!$A79)</f>
        <v>0</v>
      </c>
      <c r="AJ79" s="40">
        <f t="shared" ref="AJ79" si="96">AJ78-AJ52</f>
        <v>0</v>
      </c>
      <c r="AK79" s="28">
        <f>SUMIFS(JU!$H$5107:$H$5107,JU!$F$5107:$F$5107,WS!$A79)</f>
        <v>0</v>
      </c>
      <c r="AL79" s="29">
        <f>SUMIFS(JU!$K$5107:$K$5107,JU!$I$5107:$I$5107,WS!$A79)</f>
        <v>0</v>
      </c>
      <c r="AM79" s="40">
        <f t="shared" ref="AM79" si="97">AM78-AM52</f>
        <v>0</v>
      </c>
    </row>
    <row r="80" spans="1:41" s="37" customFormat="1">
      <c r="A80" s="280" t="s">
        <v>224</v>
      </c>
      <c r="B80" s="280"/>
      <c r="C80" s="38"/>
      <c r="D80" s="28">
        <f>SUMIFS(JU!$H$5:$H$178,JU!$F$5:$F$178,WS!$A80)</f>
        <v>0</v>
      </c>
      <c r="E80" s="29">
        <f>SUMIFS(JU!$K$5:$K$178,JU!$I$5:$I$178,WS!$A80)</f>
        <v>0</v>
      </c>
      <c r="F80" s="36"/>
      <c r="G80" s="28">
        <f>SUMIFS(JU!$H$180:$H$440,JU!$F$180:$F$440,WS!$A80)</f>
        <v>0</v>
      </c>
      <c r="H80" s="29">
        <f>SUMIFS(JU!$K$180:$K$440,JU!$I$180:$I$440,WS!$A80)</f>
        <v>0</v>
      </c>
      <c r="I80" s="36"/>
      <c r="J80" s="28">
        <f>SUMIFS(JU!$H$441:$H$695,JU!$F$441:$F$695,WS!$A80)</f>
        <v>0</v>
      </c>
      <c r="K80" s="29">
        <f>SUMIFS(JU!$K$441:$K$695,JU!$I$441:$I$695,WS!$A80)</f>
        <v>0</v>
      </c>
      <c r="L80" s="36"/>
      <c r="M80" s="28">
        <f>SUMIFS(JU!$H$696:$H$1062,JU!$F$696:$F$1062,$A80)</f>
        <v>0</v>
      </c>
      <c r="N80" s="29">
        <f>SUMIFS(JU!$K$696:$K$1062,JU!$I$696:$I$1062,WS!$A80)</f>
        <v>0</v>
      </c>
      <c r="O80" s="36"/>
      <c r="P80" s="28">
        <f>SUMIFS(JU!$H$1063:$H$5007,JU!$F$1063:$F$5007,WS!$A80)</f>
        <v>0</v>
      </c>
      <c r="Q80" s="29">
        <f>SUMIFS(JU!$K$1063:$K$5007,JU!$I$1063:$I$5007,WS!$A80)</f>
        <v>0</v>
      </c>
      <c r="R80" s="36"/>
      <c r="S80" s="28">
        <f>SUMIFS(JU!$H$5107:$H$5107,JU!$F$5107:$F$5107,WS!$A80)</f>
        <v>0</v>
      </c>
      <c r="T80" s="29">
        <f>SUMIFS(JU!$K$5107:$K$5107,JU!$I$5107:$I$5107,WS!$A80)</f>
        <v>0</v>
      </c>
      <c r="U80" s="36"/>
      <c r="V80" s="28">
        <f>SUMIFS(JU!$H$5107:$H$5107,JU!$F$5107:$F$5107,WS!$A80)</f>
        <v>0</v>
      </c>
      <c r="W80" s="29">
        <f>SUMIFS(JU!$K$5107:$K$5107,JU!$I$5107:$I$5107,WS!$A80)</f>
        <v>0</v>
      </c>
      <c r="X80" s="36"/>
      <c r="Y80" s="28">
        <f>SUMIFS(JU!$H$5107:$H$5107,JU!$F$5107:$F$5107,WS!$A80)</f>
        <v>0</v>
      </c>
      <c r="Z80" s="29">
        <f>SUMIFS(JU!$K$5107:$K$5107,JU!$I$5107:$I$5107,WS!$A80)</f>
        <v>0</v>
      </c>
      <c r="AA80" s="36"/>
      <c r="AB80" s="28">
        <f>SUMIFS(JU!$H$5107:$H$5107,JU!$F$5107:$F$5107,WS!$A80)</f>
        <v>0</v>
      </c>
      <c r="AC80" s="29">
        <f>SUMIFS(JU!$K$5107:$K$5107,JU!$I$5107:$I$5107,WS!$A80)</f>
        <v>0</v>
      </c>
      <c r="AD80" s="36"/>
      <c r="AE80" s="28">
        <f>SUMIFS(JU!$H$5107:$H$5107,JU!$F$5107:$F$5107,WS!$A80)</f>
        <v>0</v>
      </c>
      <c r="AF80" s="29">
        <f>SUMIFS(JU!$K$5107:$K$5107,JU!$I$5107:$I$5107,WS!$A80)</f>
        <v>0</v>
      </c>
      <c r="AG80" s="36"/>
      <c r="AH80" s="28">
        <f>SUMIFS(JU!$H$5107:$H$5107,JU!$F$5107:$F$5107,WS!$A80)</f>
        <v>0</v>
      </c>
      <c r="AI80" s="29">
        <f>SUMIFS(JU!$K$5107:$K$5107,JU!$I$5107:$I$5107,WS!$A80)</f>
        <v>0</v>
      </c>
      <c r="AJ80" s="36"/>
      <c r="AK80" s="28">
        <f>SUMIFS(JU!$H$5107:$H$5107,JU!$F$5107:$F$5107,WS!$A80)</f>
        <v>0</v>
      </c>
      <c r="AL80" s="29">
        <f>SUMIFS(JU!$K$5107:$K$5107,JU!$I$5107:$I$5107,WS!$A80)</f>
        <v>0</v>
      </c>
      <c r="AM80" s="36"/>
    </row>
    <row r="81" spans="1:42">
      <c r="A81" s="6">
        <v>4101</v>
      </c>
      <c r="B81" s="31" t="s">
        <v>61</v>
      </c>
      <c r="C81" s="32"/>
      <c r="D81" s="28">
        <f>SUMIFS(JU!$H$5:$H$178,JU!$F$5:$F$178,WS!$A81)</f>
        <v>0</v>
      </c>
      <c r="E81" s="29">
        <f>SUMIFS(JU!$K$5:$K$178,JU!$I$5:$I$178,WS!$A81)</f>
        <v>85000000</v>
      </c>
      <c r="F81" s="30">
        <f>E81-D81</f>
        <v>85000000</v>
      </c>
      <c r="G81" s="28">
        <f>SUMIFS(JU!$H$180:$H$440,JU!$F$180:$F$440,WS!$A81)</f>
        <v>0</v>
      </c>
      <c r="H81" s="29">
        <f>SUMIFS(JU!$K$180:$K$440,JU!$I$180:$I$440,WS!$A81)</f>
        <v>34500000</v>
      </c>
      <c r="I81" s="30">
        <f>H81-G81</f>
        <v>34500000</v>
      </c>
      <c r="J81" s="28">
        <f>SUMIFS(JU!$H$441:$H$695,JU!$F$441:$F$695,WS!$A81)</f>
        <v>0</v>
      </c>
      <c r="K81" s="29">
        <f>SUMIFS(JU!$K$441:$K$695,JU!$I$441:$I$695,WS!$A81)</f>
        <v>10000000</v>
      </c>
      <c r="L81" s="30">
        <f t="shared" ref="L81:L90" si="98">K81-J81</f>
        <v>10000000</v>
      </c>
      <c r="M81" s="28">
        <f>SUMIFS(JU!$H$696:$H$1062,JU!$F$696:$F$1062,$A81)</f>
        <v>0</v>
      </c>
      <c r="N81" s="29">
        <f>SUMIFS(JU!$K$696:$K$1062,JU!$I$696:$I$1062,WS!$A81)</f>
        <v>2000000</v>
      </c>
      <c r="O81" s="30">
        <f t="shared" ref="O81:O90" si="99">N81-M81</f>
        <v>2000000</v>
      </c>
      <c r="P81" s="28">
        <f>SUMIFS(JU!$H$1063:$H$5007,JU!$F$1063:$F$5007,WS!$A81)</f>
        <v>0</v>
      </c>
      <c r="Q81" s="29">
        <f>SUMIFS(JU!$K$1063:$K$5007,JU!$I$1063:$I$5007,WS!$A81)</f>
        <v>36000000</v>
      </c>
      <c r="R81" s="30">
        <f>Q81-P81</f>
        <v>36000000</v>
      </c>
      <c r="S81" s="28">
        <f>SUMIFS(JU!$H$5107:$H$5107,JU!$F$5107:$F$5107,WS!$A81)</f>
        <v>0</v>
      </c>
      <c r="T81" s="29">
        <f>SUMIFS(JU!$K$5107:$K$5107,JU!$I$5107:$I$5107,WS!$A81)</f>
        <v>0</v>
      </c>
      <c r="U81" s="30">
        <f>T81-S81</f>
        <v>0</v>
      </c>
      <c r="V81" s="28">
        <f>SUMIFS(JU!$H$5107:$H$5107,JU!$F$5107:$F$5107,WS!$A81)</f>
        <v>0</v>
      </c>
      <c r="W81" s="29">
        <f>SUMIFS(JU!$K$5107:$K$5107,JU!$I$5107:$I$5107,WS!$A81)</f>
        <v>0</v>
      </c>
      <c r="X81" s="30">
        <f>W81-V81</f>
        <v>0</v>
      </c>
      <c r="Y81" s="28">
        <f>SUMIFS(JU!$H$5107:$H$5107,JU!$F$5107:$F$5107,WS!$A81)</f>
        <v>0</v>
      </c>
      <c r="Z81" s="29">
        <f>SUMIFS(JU!$K$5107:$K$5107,JU!$I$5107:$I$5107,WS!$A81)</f>
        <v>0</v>
      </c>
      <c r="AA81" s="30">
        <f>Z81-Y81</f>
        <v>0</v>
      </c>
      <c r="AB81" s="28">
        <f>SUMIFS(JU!$H$5107:$H$5107,JU!$F$5107:$F$5107,WS!$A81)</f>
        <v>0</v>
      </c>
      <c r="AC81" s="29">
        <f>SUMIFS(JU!$K$5107:$K$5107,JU!$I$5107:$I$5107,WS!$A81)</f>
        <v>0</v>
      </c>
      <c r="AD81" s="30">
        <f>AC81-AB81</f>
        <v>0</v>
      </c>
      <c r="AE81" s="28">
        <f>SUMIFS(JU!$H$5107:$H$5107,JU!$F$5107:$F$5107,WS!$A81)</f>
        <v>0</v>
      </c>
      <c r="AF81" s="29">
        <f>SUMIFS(JU!$K$5107:$K$5107,JU!$I$5107:$I$5107,WS!$A81)</f>
        <v>0</v>
      </c>
      <c r="AG81" s="30">
        <f>AF81-AE81</f>
        <v>0</v>
      </c>
      <c r="AH81" s="28">
        <f>SUMIFS(JU!$H$5107:$H$5107,JU!$F$5107:$F$5107,WS!$A81)</f>
        <v>0</v>
      </c>
      <c r="AI81" s="29">
        <f>SUMIFS(JU!$K$5107:$K$5107,JU!$I$5107:$I$5107,WS!$A81)</f>
        <v>0</v>
      </c>
      <c r="AJ81" s="30">
        <f>AI81-AH81</f>
        <v>0</v>
      </c>
      <c r="AK81" s="28">
        <f>SUMIFS(JU!$H$5107:$H$5107,JU!$F$5107:$F$5107,WS!$A81)</f>
        <v>0</v>
      </c>
      <c r="AL81" s="29">
        <f>SUMIFS(JU!$K$5107:$K$5107,JU!$I$5107:$I$5107,WS!$A81)</f>
        <v>0</v>
      </c>
      <c r="AM81" s="30">
        <f>AL81-AK81</f>
        <v>0</v>
      </c>
      <c r="AN81" s="275">
        <f>F81+I81+L81+O81+R81+U81+X81+AA81+AD81+AG81+AJ81+AM81</f>
        <v>167500000</v>
      </c>
      <c r="AP81" s="18">
        <f>AG81+AD81+AA81+X81+U81+R81+O81+L81+I81+F81</f>
        <v>167500000</v>
      </c>
    </row>
    <row r="82" spans="1:42">
      <c r="A82" s="6">
        <v>4102</v>
      </c>
      <c r="B82" s="31" t="s">
        <v>62</v>
      </c>
      <c r="C82" s="32"/>
      <c r="D82" s="28">
        <f>SUMIFS(JU!$H$5:$H$178,JU!$F$5:$F$178,WS!$A82)</f>
        <v>79000000</v>
      </c>
      <c r="E82" s="29">
        <f>SUMIFS(JU!$K$5:$K$178,JU!$I$5:$I$178,WS!$A82)</f>
        <v>113000000</v>
      </c>
      <c r="F82" s="30">
        <f t="shared" ref="F82:F90" si="100">E82-D82</f>
        <v>34000000</v>
      </c>
      <c r="G82" s="28">
        <f>SUMIFS(JU!$H$180:$H$440,JU!$F$180:$F$440,WS!$A82)</f>
        <v>26500000</v>
      </c>
      <c r="H82" s="29">
        <f>SUMIFS(JU!$K$180:$K$440,JU!$I$180:$I$440,WS!$A82)</f>
        <v>603000000</v>
      </c>
      <c r="I82" s="30">
        <f t="shared" ref="I82:I90" si="101">H82-G82</f>
        <v>576500000</v>
      </c>
      <c r="J82" s="28">
        <f>SUMIFS(JU!$H$441:$H$695,JU!$F$441:$F$695,WS!$A82)</f>
        <v>35500000</v>
      </c>
      <c r="K82" s="29">
        <f>SUMIFS(JU!$K$441:$K$695,JU!$I$441:$I$695,WS!$A82)</f>
        <v>603500000</v>
      </c>
      <c r="L82" s="30">
        <f t="shared" si="98"/>
        <v>568000000</v>
      </c>
      <c r="M82" s="28">
        <f>SUMIFS(JU!$H$696:$H$1062,JU!$F$696:$F$1062,$A82)</f>
        <v>72000000</v>
      </c>
      <c r="N82" s="29">
        <f>SUMIFS(JU!$K$696:$K$1062,JU!$I$696:$I$1062,WS!$A82)</f>
        <v>2341900000</v>
      </c>
      <c r="O82" s="30">
        <f t="shared" si="99"/>
        <v>2269900000</v>
      </c>
      <c r="P82" s="28">
        <f>SUMIFS(JU!$H$1063:$H$5007,JU!$F$1063:$F$5007,WS!$A82)</f>
        <v>94500000</v>
      </c>
      <c r="Q82" s="29">
        <f>SUMIFS(JU!$K$1063:$K$5007,JU!$I$1063:$I$5007,WS!$A82)</f>
        <v>2931100000</v>
      </c>
      <c r="R82" s="30">
        <f t="shared" ref="R82:R90" si="102">Q82-P82</f>
        <v>2836600000</v>
      </c>
      <c r="S82" s="28">
        <f>SUMIFS(JU!$H$5107:$H$5107,JU!$F$5107:$F$5107,WS!$A82)</f>
        <v>0</v>
      </c>
      <c r="T82" s="29">
        <f>SUMIFS(JU!$K$5107:$K$5107,JU!$I$5107:$I$5107,WS!$A82)</f>
        <v>0</v>
      </c>
      <c r="U82" s="30">
        <f t="shared" ref="U82:U90" si="103">T82-S82</f>
        <v>0</v>
      </c>
      <c r="V82" s="28">
        <f>SUMIFS(JU!$H$5107:$H$5107,JU!$F$5107:$F$5107,WS!$A82)</f>
        <v>0</v>
      </c>
      <c r="W82" s="29">
        <f>SUMIFS(JU!$K$5107:$K$5107,JU!$I$5107:$I$5107,WS!$A82)</f>
        <v>0</v>
      </c>
      <c r="X82" s="30">
        <f t="shared" ref="X82:X90" si="104">W82-V82</f>
        <v>0</v>
      </c>
      <c r="Y82" s="28">
        <f>SUMIFS(JU!$H$5107:$H$5107,JU!$F$5107:$F$5107,WS!$A82)</f>
        <v>0</v>
      </c>
      <c r="Z82" s="29">
        <f>SUMIFS(JU!$K$5107:$K$5107,JU!$I$5107:$I$5107,WS!$A82)</f>
        <v>0</v>
      </c>
      <c r="AA82" s="30">
        <f t="shared" ref="AA82:AA90" si="105">Z82-Y82</f>
        <v>0</v>
      </c>
      <c r="AB82" s="28">
        <f>SUMIFS(JU!$H$5107:$H$5107,JU!$F$5107:$F$5107,WS!$A82)</f>
        <v>0</v>
      </c>
      <c r="AC82" s="29">
        <f>SUMIFS(JU!$K$5107:$K$5107,JU!$I$5107:$I$5107,WS!$A82)</f>
        <v>0</v>
      </c>
      <c r="AD82" s="30">
        <f t="shared" ref="AD82:AD90" si="106">AC82-AB82</f>
        <v>0</v>
      </c>
      <c r="AE82" s="28">
        <f>SUMIFS(JU!$H$5107:$H$5107,JU!$F$5107:$F$5107,WS!$A82)</f>
        <v>0</v>
      </c>
      <c r="AF82" s="29">
        <f>SUMIFS(JU!$K$5107:$K$5107,JU!$I$5107:$I$5107,WS!$A82)</f>
        <v>0</v>
      </c>
      <c r="AG82" s="30">
        <f t="shared" ref="AG82:AG90" si="107">AF82-AE82</f>
        <v>0</v>
      </c>
      <c r="AH82" s="28">
        <f>SUMIFS(JU!$H$5107:$H$5107,JU!$F$5107:$F$5107,WS!$A82)</f>
        <v>0</v>
      </c>
      <c r="AI82" s="29">
        <f>SUMIFS(JU!$K$5107:$K$5107,JU!$I$5107:$I$5107,WS!$A82)</f>
        <v>0</v>
      </c>
      <c r="AJ82" s="30">
        <f t="shared" ref="AJ82:AJ90" si="108">AI82-AH82</f>
        <v>0</v>
      </c>
      <c r="AK82" s="28">
        <f>SUMIFS(JU!$H$5107:$H$5107,JU!$F$5107:$F$5107,WS!$A82)</f>
        <v>0</v>
      </c>
      <c r="AL82" s="29">
        <f>SUMIFS(JU!$K$5107:$K$5107,JU!$I$5107:$I$5107,WS!$A82)</f>
        <v>0</v>
      </c>
      <c r="AM82" s="30">
        <f t="shared" ref="AM82:AM90" si="109">AL82-AK82</f>
        <v>0</v>
      </c>
      <c r="AN82" s="275">
        <f t="shared" ref="AN82:AN145" si="110">F82+I82+L82+O82+R82+U82+X82+AA82+AD82+AG82+AJ82+AM82</f>
        <v>6285000000</v>
      </c>
      <c r="AP82" s="18">
        <f t="shared" ref="AP82:AP145" si="111">AG82+AD82+AA82+X82+U82+R82+O82+L82+I82+F82</f>
        <v>6285000000</v>
      </c>
    </row>
    <row r="83" spans="1:42">
      <c r="A83" s="6">
        <v>4103</v>
      </c>
      <c r="B83" s="31" t="s">
        <v>63</v>
      </c>
      <c r="C83" s="32"/>
      <c r="D83" s="28">
        <f>SUMIFS(JU!$H$5:$H$178,JU!$F$5:$F$178,WS!$A83)</f>
        <v>0</v>
      </c>
      <c r="E83" s="29">
        <f>SUMIFS(JU!$K$5:$K$178,JU!$I$5:$I$178,WS!$A83)</f>
        <v>0</v>
      </c>
      <c r="F83" s="30">
        <f t="shared" si="100"/>
        <v>0</v>
      </c>
      <c r="G83" s="28">
        <f>SUMIFS(JU!$H$180:$H$440,JU!$F$180:$F$440,WS!$A83)</f>
        <v>52600000</v>
      </c>
      <c r="H83" s="29">
        <f>SUMIFS(JU!$K$180:$K$440,JU!$I$180:$I$440,WS!$A83)</f>
        <v>235000000</v>
      </c>
      <c r="I83" s="30">
        <f t="shared" si="101"/>
        <v>182400000</v>
      </c>
      <c r="J83" s="28">
        <f>SUMIFS(JU!$H$441:$H$695,JU!$F$441:$F$695,WS!$A83)</f>
        <v>40000000</v>
      </c>
      <c r="K83" s="29">
        <f>SUMIFS(JU!$K$441:$K$695,JU!$I$441:$I$695,WS!$A83)</f>
        <v>0</v>
      </c>
      <c r="L83" s="30">
        <f t="shared" si="98"/>
        <v>-40000000</v>
      </c>
      <c r="M83" s="28">
        <f>SUMIFS(JU!$H$696:$H$1062,JU!$F$696:$F$1062,$A83)</f>
        <v>0</v>
      </c>
      <c r="N83" s="29">
        <f>SUMIFS(JU!$K$696:$K$1062,JU!$I$696:$I$1062,WS!$A83)</f>
        <v>0</v>
      </c>
      <c r="O83" s="30">
        <f t="shared" si="99"/>
        <v>0</v>
      </c>
      <c r="P83" s="28">
        <f>SUMIFS(JU!$H$1063:$H$5007,JU!$F$1063:$F$5007,WS!$A83)</f>
        <v>0</v>
      </c>
      <c r="Q83" s="29">
        <f>SUMIFS(JU!$K$1063:$K$5007,JU!$I$1063:$I$5007,WS!$A83)</f>
        <v>285000000</v>
      </c>
      <c r="R83" s="30">
        <f t="shared" si="102"/>
        <v>285000000</v>
      </c>
      <c r="S83" s="28">
        <f>SUMIFS(JU!$H$5107:$H$5107,JU!$F$5107:$F$5107,WS!$A83)</f>
        <v>0</v>
      </c>
      <c r="T83" s="29">
        <f>SUMIFS(JU!$K$5107:$K$5107,JU!$I$5107:$I$5107,WS!$A83)</f>
        <v>0</v>
      </c>
      <c r="U83" s="30">
        <f t="shared" si="103"/>
        <v>0</v>
      </c>
      <c r="V83" s="28">
        <f>SUMIFS(JU!$H$5107:$H$5107,JU!$F$5107:$F$5107,WS!$A83)</f>
        <v>0</v>
      </c>
      <c r="W83" s="29">
        <f>SUMIFS(JU!$K$5107:$K$5107,JU!$I$5107:$I$5107,WS!$A83)</f>
        <v>0</v>
      </c>
      <c r="X83" s="30">
        <f t="shared" si="104"/>
        <v>0</v>
      </c>
      <c r="Y83" s="28">
        <f>SUMIFS(JU!$H$5107:$H$5107,JU!$F$5107:$F$5107,WS!$A83)</f>
        <v>0</v>
      </c>
      <c r="Z83" s="29">
        <f>SUMIFS(JU!$K$5107:$K$5107,JU!$I$5107:$I$5107,WS!$A83)</f>
        <v>0</v>
      </c>
      <c r="AA83" s="30">
        <f t="shared" si="105"/>
        <v>0</v>
      </c>
      <c r="AB83" s="28">
        <f>SUMIFS(JU!$H$5107:$H$5107,JU!$F$5107:$F$5107,WS!$A83)</f>
        <v>0</v>
      </c>
      <c r="AC83" s="29">
        <f>SUMIFS(JU!$K$5107:$K$5107,JU!$I$5107:$I$5107,WS!$A83)</f>
        <v>0</v>
      </c>
      <c r="AD83" s="30">
        <f t="shared" si="106"/>
        <v>0</v>
      </c>
      <c r="AE83" s="28">
        <f>SUMIFS(JU!$H$5107:$H$5107,JU!$F$5107:$F$5107,WS!$A83)</f>
        <v>0</v>
      </c>
      <c r="AF83" s="29">
        <f>SUMIFS(JU!$K$5107:$K$5107,JU!$I$5107:$I$5107,WS!$A83)</f>
        <v>0</v>
      </c>
      <c r="AG83" s="30">
        <f t="shared" si="107"/>
        <v>0</v>
      </c>
      <c r="AH83" s="28">
        <f>SUMIFS(JU!$H$5107:$H$5107,JU!$F$5107:$F$5107,WS!$A83)</f>
        <v>0</v>
      </c>
      <c r="AI83" s="29">
        <f>SUMIFS(JU!$K$5107:$K$5107,JU!$I$5107:$I$5107,WS!$A83)</f>
        <v>0</v>
      </c>
      <c r="AJ83" s="30">
        <f t="shared" si="108"/>
        <v>0</v>
      </c>
      <c r="AK83" s="28">
        <f>SUMIFS(JU!$H$5107:$H$5107,JU!$F$5107:$F$5107,WS!$A83)</f>
        <v>0</v>
      </c>
      <c r="AL83" s="29">
        <f>SUMIFS(JU!$K$5107:$K$5107,JU!$I$5107:$I$5107,WS!$A83)</f>
        <v>0</v>
      </c>
      <c r="AM83" s="30">
        <f t="shared" si="109"/>
        <v>0</v>
      </c>
      <c r="AN83" s="275">
        <f t="shared" si="110"/>
        <v>427400000</v>
      </c>
      <c r="AP83" s="18">
        <f t="shared" si="111"/>
        <v>427400000</v>
      </c>
    </row>
    <row r="84" spans="1:42">
      <c r="A84" s="6">
        <v>4104</v>
      </c>
      <c r="B84" s="31" t="s">
        <v>64</v>
      </c>
      <c r="C84" s="32"/>
      <c r="D84" s="28">
        <f>SUMIFS(JU!$H$5:$H$178,JU!$F$5:$F$178,WS!$A84)</f>
        <v>0</v>
      </c>
      <c r="E84" s="29">
        <f>SUMIFS(JU!$K$5:$K$178,JU!$I$5:$I$178,WS!$A84)</f>
        <v>0</v>
      </c>
      <c r="F84" s="30">
        <f t="shared" si="100"/>
        <v>0</v>
      </c>
      <c r="G84" s="28">
        <f>SUMIFS(JU!$H$180:$H$440,JU!$F$180:$F$440,WS!$A84)</f>
        <v>0</v>
      </c>
      <c r="H84" s="29">
        <f>SUMIFS(JU!$K$180:$K$440,JU!$I$180:$I$440,WS!$A84)</f>
        <v>0</v>
      </c>
      <c r="I84" s="30">
        <f t="shared" si="101"/>
        <v>0</v>
      </c>
      <c r="J84" s="28">
        <f>SUMIFS(JU!$H$441:$H$695,JU!$F$441:$F$695,WS!$A84)</f>
        <v>0</v>
      </c>
      <c r="K84" s="29">
        <f>SUMIFS(JU!$K$441:$K$695,JU!$I$441:$I$695,WS!$A84)</f>
        <v>0</v>
      </c>
      <c r="L84" s="30">
        <f t="shared" si="98"/>
        <v>0</v>
      </c>
      <c r="M84" s="28">
        <f>SUMIFS(JU!$H$696:$H$1062,JU!$F$696:$F$1062,$A84)</f>
        <v>0</v>
      </c>
      <c r="N84" s="29">
        <f>SUMIFS(JU!$K$696:$K$1062,JU!$I$696:$I$1062,WS!$A84)</f>
        <v>0</v>
      </c>
      <c r="O84" s="30">
        <f t="shared" si="99"/>
        <v>0</v>
      </c>
      <c r="P84" s="28">
        <f>SUMIFS(JU!$H$1063:$H$5007,JU!$F$1063:$F$5007,WS!$A84)</f>
        <v>0</v>
      </c>
      <c r="Q84" s="29">
        <f>SUMIFS(JU!$K$1063:$K$5007,JU!$I$1063:$I$5007,WS!$A84)</f>
        <v>0</v>
      </c>
      <c r="R84" s="30">
        <f t="shared" si="102"/>
        <v>0</v>
      </c>
      <c r="S84" s="28">
        <f>SUMIFS(JU!$H$5107:$H$5107,JU!$F$5107:$F$5107,WS!$A84)</f>
        <v>0</v>
      </c>
      <c r="T84" s="29">
        <f>SUMIFS(JU!$K$5107:$K$5107,JU!$I$5107:$I$5107,WS!$A84)</f>
        <v>0</v>
      </c>
      <c r="U84" s="30">
        <f t="shared" si="103"/>
        <v>0</v>
      </c>
      <c r="V84" s="28">
        <f>SUMIFS(JU!$H$5107:$H$5107,JU!$F$5107:$F$5107,WS!$A84)</f>
        <v>0</v>
      </c>
      <c r="W84" s="29">
        <f>SUMIFS(JU!$K$5107:$K$5107,JU!$I$5107:$I$5107,WS!$A84)</f>
        <v>0</v>
      </c>
      <c r="X84" s="30">
        <f t="shared" si="104"/>
        <v>0</v>
      </c>
      <c r="Y84" s="28">
        <f>SUMIFS(JU!$H$5107:$H$5107,JU!$F$5107:$F$5107,WS!$A84)</f>
        <v>0</v>
      </c>
      <c r="Z84" s="29">
        <f>SUMIFS(JU!$K$5107:$K$5107,JU!$I$5107:$I$5107,WS!$A84)</f>
        <v>0</v>
      </c>
      <c r="AA84" s="30">
        <f t="shared" si="105"/>
        <v>0</v>
      </c>
      <c r="AB84" s="28">
        <f>SUMIFS(JU!$H$5107:$H$5107,JU!$F$5107:$F$5107,WS!$A84)</f>
        <v>0</v>
      </c>
      <c r="AC84" s="29">
        <f>SUMIFS(JU!$K$5107:$K$5107,JU!$I$5107:$I$5107,WS!$A84)</f>
        <v>0</v>
      </c>
      <c r="AD84" s="30">
        <f t="shared" si="106"/>
        <v>0</v>
      </c>
      <c r="AE84" s="28">
        <f>SUMIFS(JU!$H$5107:$H$5107,JU!$F$5107:$F$5107,WS!$A84)</f>
        <v>0</v>
      </c>
      <c r="AF84" s="29">
        <f>SUMIFS(JU!$K$5107:$K$5107,JU!$I$5107:$I$5107,WS!$A84)</f>
        <v>0</v>
      </c>
      <c r="AG84" s="30">
        <f t="shared" si="107"/>
        <v>0</v>
      </c>
      <c r="AH84" s="28">
        <f>SUMIFS(JU!$H$5107:$H$5107,JU!$F$5107:$F$5107,WS!$A84)</f>
        <v>0</v>
      </c>
      <c r="AI84" s="29">
        <f>SUMIFS(JU!$K$5107:$K$5107,JU!$I$5107:$I$5107,WS!$A84)</f>
        <v>0</v>
      </c>
      <c r="AJ84" s="30">
        <f t="shared" si="108"/>
        <v>0</v>
      </c>
      <c r="AK84" s="28">
        <f>SUMIFS(JU!$H$5107:$H$5107,JU!$F$5107:$F$5107,WS!$A84)</f>
        <v>0</v>
      </c>
      <c r="AL84" s="29">
        <f>SUMIFS(JU!$K$5107:$K$5107,JU!$I$5107:$I$5107,WS!$A84)</f>
        <v>0</v>
      </c>
      <c r="AM84" s="30">
        <f t="shared" si="109"/>
        <v>0</v>
      </c>
      <c r="AN84" s="275">
        <f t="shared" si="110"/>
        <v>0</v>
      </c>
      <c r="AP84" s="18">
        <f t="shared" si="111"/>
        <v>0</v>
      </c>
    </row>
    <row r="85" spans="1:42">
      <c r="A85" s="6">
        <v>4105</v>
      </c>
      <c r="B85" s="31" t="s">
        <v>65</v>
      </c>
      <c r="C85" s="32"/>
      <c r="D85" s="28">
        <f>SUMIFS(JU!$H$5:$H$178,JU!$F$5:$F$178,WS!$A85)</f>
        <v>0</v>
      </c>
      <c r="E85" s="29">
        <f>SUMIFS(JU!$K$5:$K$178,JU!$I$5:$I$178,WS!$A85)</f>
        <v>0</v>
      </c>
      <c r="F85" s="30">
        <f t="shared" si="100"/>
        <v>0</v>
      </c>
      <c r="G85" s="28">
        <f>SUMIFS(JU!$H$180:$H$440,JU!$F$180:$F$440,WS!$A85)</f>
        <v>0</v>
      </c>
      <c r="H85" s="29">
        <f>SUMIFS(JU!$K$180:$K$440,JU!$I$180:$I$440,WS!$A85)</f>
        <v>0</v>
      </c>
      <c r="I85" s="30">
        <f t="shared" si="101"/>
        <v>0</v>
      </c>
      <c r="J85" s="28">
        <f>SUMIFS(JU!$H$441:$H$695,JU!$F$441:$F$695,WS!$A85)</f>
        <v>0</v>
      </c>
      <c r="K85" s="29">
        <f>SUMIFS(JU!$K$441:$K$695,JU!$I$441:$I$695,WS!$A85)</f>
        <v>0</v>
      </c>
      <c r="L85" s="30">
        <f t="shared" si="98"/>
        <v>0</v>
      </c>
      <c r="M85" s="28">
        <f>SUMIFS(JU!$H$696:$H$1062,JU!$F$696:$F$1062,$A85)</f>
        <v>0</v>
      </c>
      <c r="N85" s="29">
        <f>SUMIFS(JU!$K$696:$K$1062,JU!$I$696:$I$1062,WS!$A85)</f>
        <v>0</v>
      </c>
      <c r="O85" s="30">
        <f t="shared" si="99"/>
        <v>0</v>
      </c>
      <c r="P85" s="28">
        <f>SUMIFS(JU!$H$1063:$H$5007,JU!$F$1063:$F$5007,WS!$A85)</f>
        <v>0</v>
      </c>
      <c r="Q85" s="29">
        <f>SUMIFS(JU!$K$1063:$K$5007,JU!$I$1063:$I$5007,WS!$A85)</f>
        <v>0</v>
      </c>
      <c r="R85" s="30">
        <f t="shared" si="102"/>
        <v>0</v>
      </c>
      <c r="S85" s="28">
        <f>SUMIFS(JU!$H$5107:$H$5107,JU!$F$5107:$F$5107,WS!$A85)</f>
        <v>0</v>
      </c>
      <c r="T85" s="29">
        <f>SUMIFS(JU!$K$5107:$K$5107,JU!$I$5107:$I$5107,WS!$A85)</f>
        <v>0</v>
      </c>
      <c r="U85" s="30">
        <f t="shared" si="103"/>
        <v>0</v>
      </c>
      <c r="V85" s="28">
        <f>SUMIFS(JU!$H$5107:$H$5107,JU!$F$5107:$F$5107,WS!$A85)</f>
        <v>0</v>
      </c>
      <c r="W85" s="29">
        <f>SUMIFS(JU!$K$5107:$K$5107,JU!$I$5107:$I$5107,WS!$A85)</f>
        <v>0</v>
      </c>
      <c r="X85" s="30">
        <f t="shared" si="104"/>
        <v>0</v>
      </c>
      <c r="Y85" s="28">
        <f>SUMIFS(JU!$H$5107:$H$5107,JU!$F$5107:$F$5107,WS!$A85)</f>
        <v>0</v>
      </c>
      <c r="Z85" s="29">
        <f>SUMIFS(JU!$K$5107:$K$5107,JU!$I$5107:$I$5107,WS!$A85)</f>
        <v>0</v>
      </c>
      <c r="AA85" s="30">
        <f t="shared" si="105"/>
        <v>0</v>
      </c>
      <c r="AB85" s="28">
        <f>SUMIFS(JU!$H$5107:$H$5107,JU!$F$5107:$F$5107,WS!$A85)</f>
        <v>0</v>
      </c>
      <c r="AC85" s="29">
        <f>SUMIFS(JU!$K$5107:$K$5107,JU!$I$5107:$I$5107,WS!$A85)</f>
        <v>0</v>
      </c>
      <c r="AD85" s="30">
        <f t="shared" si="106"/>
        <v>0</v>
      </c>
      <c r="AE85" s="28">
        <f>SUMIFS(JU!$H$5107:$H$5107,JU!$F$5107:$F$5107,WS!$A85)</f>
        <v>0</v>
      </c>
      <c r="AF85" s="29">
        <f>SUMIFS(JU!$K$5107:$K$5107,JU!$I$5107:$I$5107,WS!$A85)</f>
        <v>0</v>
      </c>
      <c r="AG85" s="30">
        <f t="shared" si="107"/>
        <v>0</v>
      </c>
      <c r="AH85" s="28">
        <f>SUMIFS(JU!$H$5107:$H$5107,JU!$F$5107:$F$5107,WS!$A85)</f>
        <v>0</v>
      </c>
      <c r="AI85" s="29">
        <f>SUMIFS(JU!$K$5107:$K$5107,JU!$I$5107:$I$5107,WS!$A85)</f>
        <v>0</v>
      </c>
      <c r="AJ85" s="30">
        <f t="shared" si="108"/>
        <v>0</v>
      </c>
      <c r="AK85" s="28">
        <f>SUMIFS(JU!$H$5107:$H$5107,JU!$F$5107:$F$5107,WS!$A85)</f>
        <v>0</v>
      </c>
      <c r="AL85" s="29">
        <f>SUMIFS(JU!$K$5107:$K$5107,JU!$I$5107:$I$5107,WS!$A85)</f>
        <v>0</v>
      </c>
      <c r="AM85" s="30">
        <f t="shared" si="109"/>
        <v>0</v>
      </c>
      <c r="AN85" s="275">
        <f t="shared" si="110"/>
        <v>0</v>
      </c>
      <c r="AP85" s="18">
        <f t="shared" si="111"/>
        <v>0</v>
      </c>
    </row>
    <row r="86" spans="1:42">
      <c r="A86" s="6">
        <v>4106</v>
      </c>
      <c r="B86" s="31" t="s">
        <v>199</v>
      </c>
      <c r="C86" s="32"/>
      <c r="D86" s="28">
        <f>SUMIFS(JU!$H$5:$H$178,JU!$F$5:$F$178,WS!$A86)</f>
        <v>0</v>
      </c>
      <c r="E86" s="29">
        <f>SUMIFS(JU!$K$5:$K$178,JU!$I$5:$I$178,WS!$A86)</f>
        <v>0</v>
      </c>
      <c r="F86" s="30">
        <f t="shared" si="100"/>
        <v>0</v>
      </c>
      <c r="G86" s="28">
        <f>SUMIFS(JU!$H$180:$H$440,JU!$F$180:$F$440,WS!$A86)</f>
        <v>0</v>
      </c>
      <c r="H86" s="29">
        <f>SUMIFS(JU!$K$180:$K$440,JU!$I$180:$I$440,WS!$A86)</f>
        <v>0</v>
      </c>
      <c r="I86" s="30">
        <f t="shared" si="101"/>
        <v>0</v>
      </c>
      <c r="J86" s="28">
        <f>SUMIFS(JU!$H$441:$H$695,JU!$F$441:$F$695,WS!$A86)</f>
        <v>0</v>
      </c>
      <c r="K86" s="29">
        <f>SUMIFS(JU!$K$441:$K$695,JU!$I$441:$I$695,WS!$A86)</f>
        <v>0</v>
      </c>
      <c r="L86" s="30">
        <f t="shared" si="98"/>
        <v>0</v>
      </c>
      <c r="M86" s="28">
        <f>SUMIFS(JU!$H$696:$H$1062,JU!$F$696:$F$1062,$A86)</f>
        <v>0</v>
      </c>
      <c r="N86" s="29">
        <f>SUMIFS(JU!$K$696:$K$1062,JU!$I$696:$I$1062,WS!$A86)</f>
        <v>0</v>
      </c>
      <c r="O86" s="30">
        <f t="shared" si="99"/>
        <v>0</v>
      </c>
      <c r="P86" s="28">
        <f>SUMIFS(JU!$H$1063:$H$5007,JU!$F$1063:$F$5007,WS!$A86)</f>
        <v>0</v>
      </c>
      <c r="Q86" s="29">
        <f>SUMIFS(JU!$K$1063:$K$5007,JU!$I$1063:$I$5007,WS!$A86)</f>
        <v>0</v>
      </c>
      <c r="R86" s="30">
        <f t="shared" si="102"/>
        <v>0</v>
      </c>
      <c r="S86" s="28">
        <f>SUMIFS(JU!$H$5107:$H$5107,JU!$F$5107:$F$5107,WS!$A86)</f>
        <v>0</v>
      </c>
      <c r="T86" s="29">
        <f>SUMIFS(JU!$K$5107:$K$5107,JU!$I$5107:$I$5107,WS!$A86)</f>
        <v>0</v>
      </c>
      <c r="U86" s="30">
        <f t="shared" si="103"/>
        <v>0</v>
      </c>
      <c r="V86" s="28">
        <f>SUMIFS(JU!$H$5107:$H$5107,JU!$F$5107:$F$5107,WS!$A86)</f>
        <v>0</v>
      </c>
      <c r="W86" s="29">
        <f>SUMIFS(JU!$K$5107:$K$5107,JU!$I$5107:$I$5107,WS!$A86)</f>
        <v>0</v>
      </c>
      <c r="X86" s="30">
        <f t="shared" si="104"/>
        <v>0</v>
      </c>
      <c r="Y86" s="28">
        <f>SUMIFS(JU!$H$5107:$H$5107,JU!$F$5107:$F$5107,WS!$A86)</f>
        <v>0</v>
      </c>
      <c r="Z86" s="29">
        <f>SUMIFS(JU!$K$5107:$K$5107,JU!$I$5107:$I$5107,WS!$A86)</f>
        <v>0</v>
      </c>
      <c r="AA86" s="30">
        <f t="shared" si="105"/>
        <v>0</v>
      </c>
      <c r="AB86" s="28">
        <f>SUMIFS(JU!$H$5107:$H$5107,JU!$F$5107:$F$5107,WS!$A86)</f>
        <v>0</v>
      </c>
      <c r="AC86" s="29">
        <f>SUMIFS(JU!$K$5107:$K$5107,JU!$I$5107:$I$5107,WS!$A86)</f>
        <v>0</v>
      </c>
      <c r="AD86" s="30">
        <f t="shared" si="106"/>
        <v>0</v>
      </c>
      <c r="AE86" s="28">
        <f>SUMIFS(JU!$H$5107:$H$5107,JU!$F$5107:$F$5107,WS!$A86)</f>
        <v>0</v>
      </c>
      <c r="AF86" s="29">
        <f>SUMIFS(JU!$K$5107:$K$5107,JU!$I$5107:$I$5107,WS!$A86)</f>
        <v>0</v>
      </c>
      <c r="AG86" s="30">
        <f t="shared" si="107"/>
        <v>0</v>
      </c>
      <c r="AH86" s="28">
        <f>SUMIFS(JU!$H$5107:$H$5107,JU!$F$5107:$F$5107,WS!$A86)</f>
        <v>0</v>
      </c>
      <c r="AI86" s="29">
        <f>SUMIFS(JU!$K$5107:$K$5107,JU!$I$5107:$I$5107,WS!$A86)</f>
        <v>0</v>
      </c>
      <c r="AJ86" s="30">
        <f t="shared" si="108"/>
        <v>0</v>
      </c>
      <c r="AK86" s="28">
        <f>SUMIFS(JU!$H$5107:$H$5107,JU!$F$5107:$F$5107,WS!$A86)</f>
        <v>0</v>
      </c>
      <c r="AL86" s="29">
        <f>SUMIFS(JU!$K$5107:$K$5107,JU!$I$5107:$I$5107,WS!$A86)</f>
        <v>0</v>
      </c>
      <c r="AM86" s="30">
        <f t="shared" si="109"/>
        <v>0</v>
      </c>
      <c r="AN86" s="275">
        <f t="shared" si="110"/>
        <v>0</v>
      </c>
      <c r="AP86" s="18">
        <f t="shared" si="111"/>
        <v>0</v>
      </c>
    </row>
    <row r="87" spans="1:42">
      <c r="A87" s="6">
        <v>4107</v>
      </c>
      <c r="B87" s="31" t="s">
        <v>142</v>
      </c>
      <c r="C87" s="32"/>
      <c r="D87" s="28">
        <f>SUMIFS(JU!$H$5:$H$178,JU!$F$5:$F$178,WS!$A87)</f>
        <v>0</v>
      </c>
      <c r="E87" s="29">
        <f>SUMIFS(JU!$K$5:$K$178,JU!$I$5:$I$178,WS!$A87)</f>
        <v>0</v>
      </c>
      <c r="F87" s="30">
        <f t="shared" si="100"/>
        <v>0</v>
      </c>
      <c r="G87" s="28">
        <f>SUMIFS(JU!$H$180:$H$440,JU!$F$180:$F$440,WS!$A87)</f>
        <v>0</v>
      </c>
      <c r="H87" s="29">
        <f>SUMIFS(JU!$K$180:$K$440,JU!$I$180:$I$440,WS!$A87)</f>
        <v>0</v>
      </c>
      <c r="I87" s="30">
        <f t="shared" si="101"/>
        <v>0</v>
      </c>
      <c r="J87" s="28">
        <f>SUMIFS(JU!$H$441:$H$695,JU!$F$441:$F$695,WS!$A87)</f>
        <v>0</v>
      </c>
      <c r="K87" s="29">
        <f>SUMIFS(JU!$K$441:$K$695,JU!$I$441:$I$695,WS!$A87)</f>
        <v>0</v>
      </c>
      <c r="L87" s="30">
        <f t="shared" si="98"/>
        <v>0</v>
      </c>
      <c r="M87" s="28">
        <f>SUMIFS(JU!$H$696:$H$1062,JU!$F$696:$F$1062,$A87)</f>
        <v>0</v>
      </c>
      <c r="N87" s="29">
        <f>SUMIFS(JU!$K$696:$K$1062,JU!$I$696:$I$1062,WS!$A87)</f>
        <v>0</v>
      </c>
      <c r="O87" s="30">
        <f t="shared" si="99"/>
        <v>0</v>
      </c>
      <c r="P87" s="28">
        <f>SUMIFS(JU!$H$1063:$H$5007,JU!$F$1063:$F$5007,WS!$A87)</f>
        <v>0</v>
      </c>
      <c r="Q87" s="29">
        <f>SUMIFS(JU!$K$1063:$K$5007,JU!$I$1063:$I$5007,WS!$A87)</f>
        <v>0</v>
      </c>
      <c r="R87" s="30">
        <f t="shared" si="102"/>
        <v>0</v>
      </c>
      <c r="S87" s="28">
        <f>SUMIFS(JU!$H$5107:$H$5107,JU!$F$5107:$F$5107,WS!$A87)</f>
        <v>0</v>
      </c>
      <c r="T87" s="29">
        <f>SUMIFS(JU!$K$5107:$K$5107,JU!$I$5107:$I$5107,WS!$A87)</f>
        <v>0</v>
      </c>
      <c r="U87" s="30">
        <f t="shared" si="103"/>
        <v>0</v>
      </c>
      <c r="V87" s="28">
        <f>SUMIFS(JU!$H$5107:$H$5107,JU!$F$5107:$F$5107,WS!$A87)</f>
        <v>0</v>
      </c>
      <c r="W87" s="29">
        <f>SUMIFS(JU!$K$5107:$K$5107,JU!$I$5107:$I$5107,WS!$A87)</f>
        <v>0</v>
      </c>
      <c r="X87" s="30">
        <f t="shared" si="104"/>
        <v>0</v>
      </c>
      <c r="Y87" s="28">
        <f>SUMIFS(JU!$H$5107:$H$5107,JU!$F$5107:$F$5107,WS!$A87)</f>
        <v>0</v>
      </c>
      <c r="Z87" s="29">
        <f>SUMIFS(JU!$K$5107:$K$5107,JU!$I$5107:$I$5107,WS!$A87)</f>
        <v>0</v>
      </c>
      <c r="AA87" s="30">
        <f t="shared" si="105"/>
        <v>0</v>
      </c>
      <c r="AB87" s="28">
        <f>SUMIFS(JU!$H$5107:$H$5107,JU!$F$5107:$F$5107,WS!$A87)</f>
        <v>0</v>
      </c>
      <c r="AC87" s="29">
        <f>SUMIFS(JU!$K$5107:$K$5107,JU!$I$5107:$I$5107,WS!$A87)</f>
        <v>0</v>
      </c>
      <c r="AD87" s="30">
        <f t="shared" si="106"/>
        <v>0</v>
      </c>
      <c r="AE87" s="28">
        <f>SUMIFS(JU!$H$5107:$H$5107,JU!$F$5107:$F$5107,WS!$A87)</f>
        <v>0</v>
      </c>
      <c r="AF87" s="29">
        <f>SUMIFS(JU!$K$5107:$K$5107,JU!$I$5107:$I$5107,WS!$A87)</f>
        <v>0</v>
      </c>
      <c r="AG87" s="30">
        <f t="shared" si="107"/>
        <v>0</v>
      </c>
      <c r="AH87" s="28">
        <f>SUMIFS(JU!$H$5107:$H$5107,JU!$F$5107:$F$5107,WS!$A87)</f>
        <v>0</v>
      </c>
      <c r="AI87" s="29">
        <f>SUMIFS(JU!$K$5107:$K$5107,JU!$I$5107:$I$5107,WS!$A87)</f>
        <v>0</v>
      </c>
      <c r="AJ87" s="30">
        <f t="shared" si="108"/>
        <v>0</v>
      </c>
      <c r="AK87" s="28">
        <f>SUMIFS(JU!$H$5107:$H$5107,JU!$F$5107:$F$5107,WS!$A87)</f>
        <v>0</v>
      </c>
      <c r="AL87" s="29">
        <f>SUMIFS(JU!$K$5107:$K$5107,JU!$I$5107:$I$5107,WS!$A87)</f>
        <v>0</v>
      </c>
      <c r="AM87" s="30">
        <f t="shared" si="109"/>
        <v>0</v>
      </c>
      <c r="AN87" s="275">
        <f t="shared" si="110"/>
        <v>0</v>
      </c>
      <c r="AP87" s="18">
        <f t="shared" si="111"/>
        <v>0</v>
      </c>
    </row>
    <row r="88" spans="1:42" s="37" customFormat="1">
      <c r="A88" s="6">
        <v>4108</v>
      </c>
      <c r="B88" s="31" t="s">
        <v>197</v>
      </c>
      <c r="C88" s="32"/>
      <c r="D88" s="28">
        <f>SUMIFS(JU!$H$5:$H$178,JU!$F$5:$F$178,WS!$A88)</f>
        <v>0</v>
      </c>
      <c r="E88" s="29">
        <f>SUMIFS(JU!$K$5:$K$178,JU!$I$5:$I$178,WS!$A88)</f>
        <v>0</v>
      </c>
      <c r="F88" s="30">
        <f t="shared" si="100"/>
        <v>0</v>
      </c>
      <c r="G88" s="28">
        <f>SUMIFS(JU!$H$180:$H$440,JU!$F$180:$F$440,WS!$A88)</f>
        <v>0</v>
      </c>
      <c r="H88" s="29">
        <f>SUMIFS(JU!$K$180:$K$440,JU!$I$180:$I$440,WS!$A88)</f>
        <v>0</v>
      </c>
      <c r="I88" s="30">
        <f t="shared" si="101"/>
        <v>0</v>
      </c>
      <c r="J88" s="28">
        <f>SUMIFS(JU!$H$441:$H$695,JU!$F$441:$F$695,WS!$A88)</f>
        <v>0</v>
      </c>
      <c r="K88" s="29">
        <f>SUMIFS(JU!$K$441:$K$695,JU!$I$441:$I$695,WS!$A88)</f>
        <v>0</v>
      </c>
      <c r="L88" s="30">
        <f t="shared" si="98"/>
        <v>0</v>
      </c>
      <c r="M88" s="28">
        <f>SUMIFS(JU!$H$696:$H$1062,JU!$F$696:$F$1062,$A88)</f>
        <v>0</v>
      </c>
      <c r="N88" s="29">
        <f>SUMIFS(JU!$K$696:$K$1062,JU!$I$696:$I$1062,WS!$A88)</f>
        <v>0</v>
      </c>
      <c r="O88" s="30">
        <f t="shared" si="99"/>
        <v>0</v>
      </c>
      <c r="P88" s="28">
        <f>SUMIFS(JU!$H$1063:$H$5007,JU!$F$1063:$F$5007,WS!$A88)</f>
        <v>0</v>
      </c>
      <c r="Q88" s="29">
        <f>SUMIFS(JU!$K$1063:$K$5007,JU!$I$1063:$I$5007,WS!$A88)</f>
        <v>0</v>
      </c>
      <c r="R88" s="30">
        <f t="shared" si="102"/>
        <v>0</v>
      </c>
      <c r="S88" s="28">
        <f>SUMIFS(JU!$H$5107:$H$5107,JU!$F$5107:$F$5107,WS!$A88)</f>
        <v>0</v>
      </c>
      <c r="T88" s="29">
        <f>SUMIFS(JU!$K$5107:$K$5107,JU!$I$5107:$I$5107,WS!$A88)</f>
        <v>0</v>
      </c>
      <c r="U88" s="30">
        <f t="shared" si="103"/>
        <v>0</v>
      </c>
      <c r="V88" s="28">
        <f>SUMIFS(JU!$H$5107:$H$5107,JU!$F$5107:$F$5107,WS!$A88)</f>
        <v>0</v>
      </c>
      <c r="W88" s="29">
        <f>SUMIFS(JU!$K$5107:$K$5107,JU!$I$5107:$I$5107,WS!$A88)</f>
        <v>0</v>
      </c>
      <c r="X88" s="30">
        <f t="shared" si="104"/>
        <v>0</v>
      </c>
      <c r="Y88" s="28">
        <f>SUMIFS(JU!$H$5107:$H$5107,JU!$F$5107:$F$5107,WS!$A88)</f>
        <v>0</v>
      </c>
      <c r="Z88" s="29">
        <f>SUMIFS(JU!$K$5107:$K$5107,JU!$I$5107:$I$5107,WS!$A88)</f>
        <v>0</v>
      </c>
      <c r="AA88" s="30">
        <f t="shared" si="105"/>
        <v>0</v>
      </c>
      <c r="AB88" s="28">
        <f>SUMIFS(JU!$H$5107:$H$5107,JU!$F$5107:$F$5107,WS!$A88)</f>
        <v>0</v>
      </c>
      <c r="AC88" s="29">
        <f>SUMIFS(JU!$K$5107:$K$5107,JU!$I$5107:$I$5107,WS!$A88)</f>
        <v>0</v>
      </c>
      <c r="AD88" s="30">
        <f t="shared" si="106"/>
        <v>0</v>
      </c>
      <c r="AE88" s="28">
        <f>SUMIFS(JU!$H$5107:$H$5107,JU!$F$5107:$F$5107,WS!$A88)</f>
        <v>0</v>
      </c>
      <c r="AF88" s="29">
        <f>SUMIFS(JU!$K$5107:$K$5107,JU!$I$5107:$I$5107,WS!$A88)</f>
        <v>0</v>
      </c>
      <c r="AG88" s="30">
        <f t="shared" si="107"/>
        <v>0</v>
      </c>
      <c r="AH88" s="28">
        <f>SUMIFS(JU!$H$5107:$H$5107,JU!$F$5107:$F$5107,WS!$A88)</f>
        <v>0</v>
      </c>
      <c r="AI88" s="29">
        <f>SUMIFS(JU!$K$5107:$K$5107,JU!$I$5107:$I$5107,WS!$A88)</f>
        <v>0</v>
      </c>
      <c r="AJ88" s="30">
        <f t="shared" si="108"/>
        <v>0</v>
      </c>
      <c r="AK88" s="28">
        <f>SUMIFS(JU!$H$5107:$H$5107,JU!$F$5107:$F$5107,WS!$A88)</f>
        <v>0</v>
      </c>
      <c r="AL88" s="29">
        <f>SUMIFS(JU!$K$5107:$K$5107,JU!$I$5107:$I$5107,WS!$A88)</f>
        <v>0</v>
      </c>
      <c r="AM88" s="30">
        <f t="shared" si="109"/>
        <v>0</v>
      </c>
      <c r="AN88" s="275">
        <f t="shared" si="110"/>
        <v>0</v>
      </c>
      <c r="AP88" s="18">
        <f t="shared" si="111"/>
        <v>0</v>
      </c>
    </row>
    <row r="89" spans="1:42">
      <c r="A89" s="6">
        <v>4109</v>
      </c>
      <c r="B89" s="31" t="s">
        <v>198</v>
      </c>
      <c r="C89" s="32"/>
      <c r="D89" s="28">
        <f>SUMIFS(JU!$H$5:$H$178,JU!$F$5:$F$178,WS!$A89)</f>
        <v>0</v>
      </c>
      <c r="E89" s="29">
        <f>SUMIFS(JU!$K$5:$K$178,JU!$I$5:$I$178,WS!$A89)</f>
        <v>0</v>
      </c>
      <c r="F89" s="30">
        <f t="shared" si="100"/>
        <v>0</v>
      </c>
      <c r="G89" s="28">
        <f>SUMIFS(JU!$H$180:$H$440,JU!$F$180:$F$440,WS!$A89)</f>
        <v>0</v>
      </c>
      <c r="H89" s="29">
        <f>SUMIFS(JU!$K$180:$K$440,JU!$I$180:$I$440,WS!$A89)</f>
        <v>0</v>
      </c>
      <c r="I89" s="30">
        <f t="shared" si="101"/>
        <v>0</v>
      </c>
      <c r="J89" s="28">
        <f>SUMIFS(JU!$H$441:$H$695,JU!$F$441:$F$695,WS!$A89)</f>
        <v>0</v>
      </c>
      <c r="K89" s="29">
        <f>SUMIFS(JU!$K$441:$K$695,JU!$I$441:$I$695,WS!$A89)</f>
        <v>0</v>
      </c>
      <c r="L89" s="30">
        <f t="shared" si="98"/>
        <v>0</v>
      </c>
      <c r="M89" s="28">
        <f>SUMIFS(JU!$H$696:$H$1062,JU!$F$696:$F$1062,$A89)</f>
        <v>0</v>
      </c>
      <c r="N89" s="29">
        <f>SUMIFS(JU!$K$696:$K$1062,JU!$I$696:$I$1062,WS!$A89)</f>
        <v>0</v>
      </c>
      <c r="O89" s="30">
        <f t="shared" si="99"/>
        <v>0</v>
      </c>
      <c r="P89" s="28">
        <f>SUMIFS(JU!$H$1063:$H$5007,JU!$F$1063:$F$5007,WS!$A89)</f>
        <v>0</v>
      </c>
      <c r="Q89" s="29">
        <f>SUMIFS(JU!$K$1063:$K$5007,JU!$I$1063:$I$5007,WS!$A89)</f>
        <v>0</v>
      </c>
      <c r="R89" s="30">
        <f t="shared" si="102"/>
        <v>0</v>
      </c>
      <c r="S89" s="28">
        <f>SUMIFS(JU!$H$5107:$H$5107,JU!$F$5107:$F$5107,WS!$A89)</f>
        <v>0</v>
      </c>
      <c r="T89" s="29">
        <f>SUMIFS(JU!$K$5107:$K$5107,JU!$I$5107:$I$5107,WS!$A89)</f>
        <v>0</v>
      </c>
      <c r="U89" s="30">
        <f t="shared" si="103"/>
        <v>0</v>
      </c>
      <c r="V89" s="28">
        <f>SUMIFS(JU!$H$5107:$H$5107,JU!$F$5107:$F$5107,WS!$A89)</f>
        <v>0</v>
      </c>
      <c r="W89" s="29">
        <f>SUMIFS(JU!$K$5107:$K$5107,JU!$I$5107:$I$5107,WS!$A89)</f>
        <v>0</v>
      </c>
      <c r="X89" s="30">
        <f t="shared" si="104"/>
        <v>0</v>
      </c>
      <c r="Y89" s="28">
        <f>SUMIFS(JU!$H$5107:$H$5107,JU!$F$5107:$F$5107,WS!$A89)</f>
        <v>0</v>
      </c>
      <c r="Z89" s="29">
        <f>SUMIFS(JU!$K$5107:$K$5107,JU!$I$5107:$I$5107,WS!$A89)</f>
        <v>0</v>
      </c>
      <c r="AA89" s="30">
        <f t="shared" si="105"/>
        <v>0</v>
      </c>
      <c r="AB89" s="28">
        <f>SUMIFS(JU!$H$5107:$H$5107,JU!$F$5107:$F$5107,WS!$A89)</f>
        <v>0</v>
      </c>
      <c r="AC89" s="29">
        <f>SUMIFS(JU!$K$5107:$K$5107,JU!$I$5107:$I$5107,WS!$A89)</f>
        <v>0</v>
      </c>
      <c r="AD89" s="30">
        <f t="shared" si="106"/>
        <v>0</v>
      </c>
      <c r="AE89" s="28">
        <f>SUMIFS(JU!$H$5107:$H$5107,JU!$F$5107:$F$5107,WS!$A89)</f>
        <v>0</v>
      </c>
      <c r="AF89" s="29">
        <f>SUMIFS(JU!$K$5107:$K$5107,JU!$I$5107:$I$5107,WS!$A89)</f>
        <v>0</v>
      </c>
      <c r="AG89" s="30">
        <f t="shared" si="107"/>
        <v>0</v>
      </c>
      <c r="AH89" s="28">
        <f>SUMIFS(JU!$H$5107:$H$5107,JU!$F$5107:$F$5107,WS!$A89)</f>
        <v>0</v>
      </c>
      <c r="AI89" s="29">
        <f>SUMIFS(JU!$K$5107:$K$5107,JU!$I$5107:$I$5107,WS!$A89)</f>
        <v>0</v>
      </c>
      <c r="AJ89" s="30">
        <f t="shared" si="108"/>
        <v>0</v>
      </c>
      <c r="AK89" s="28">
        <f>SUMIFS(JU!$H$5107:$H$5107,JU!$F$5107:$F$5107,WS!$A89)</f>
        <v>0</v>
      </c>
      <c r="AL89" s="29">
        <f>SUMIFS(JU!$K$5107:$K$5107,JU!$I$5107:$I$5107,WS!$A89)</f>
        <v>0</v>
      </c>
      <c r="AM89" s="30">
        <f t="shared" si="109"/>
        <v>0</v>
      </c>
      <c r="AN89" s="275">
        <f t="shared" si="110"/>
        <v>0</v>
      </c>
      <c r="AP89" s="18">
        <f t="shared" si="111"/>
        <v>0</v>
      </c>
    </row>
    <row r="90" spans="1:42">
      <c r="A90" s="6">
        <v>4110</v>
      </c>
      <c r="B90" s="31" t="s">
        <v>200</v>
      </c>
      <c r="C90" s="32"/>
      <c r="D90" s="28">
        <f>SUMIFS(JU!$H$5:$H$178,JU!$F$5:$F$178,WS!$A90)</f>
        <v>0</v>
      </c>
      <c r="E90" s="29">
        <f>SUMIFS(JU!$K$5:$K$178,JU!$I$5:$I$178,WS!$A90)</f>
        <v>0</v>
      </c>
      <c r="F90" s="30">
        <f t="shared" si="100"/>
        <v>0</v>
      </c>
      <c r="G90" s="28">
        <f>SUMIFS(JU!$H$180:$H$440,JU!$F$180:$F$440,WS!$A90)</f>
        <v>0</v>
      </c>
      <c r="H90" s="29">
        <f>SUMIFS(JU!$K$180:$K$440,JU!$I$180:$I$440,WS!$A90)</f>
        <v>0</v>
      </c>
      <c r="I90" s="30">
        <f t="shared" si="101"/>
        <v>0</v>
      </c>
      <c r="J90" s="28">
        <f>SUMIFS(JU!$H$441:$H$695,JU!$F$441:$F$695,WS!$A90)</f>
        <v>0</v>
      </c>
      <c r="K90" s="29">
        <f>SUMIFS(JU!$K$441:$K$695,JU!$I$441:$I$695,WS!$A90)</f>
        <v>0</v>
      </c>
      <c r="L90" s="30">
        <f t="shared" si="98"/>
        <v>0</v>
      </c>
      <c r="M90" s="28">
        <f>SUMIFS(JU!$H$696:$H$1062,JU!$F$696:$F$1062,$A90)</f>
        <v>0</v>
      </c>
      <c r="N90" s="29">
        <f>SUMIFS(JU!$K$696:$K$1062,JU!$I$696:$I$1062,WS!$A90)</f>
        <v>0</v>
      </c>
      <c r="O90" s="30">
        <f t="shared" si="99"/>
        <v>0</v>
      </c>
      <c r="P90" s="28">
        <f>SUMIFS(JU!$H$1063:$H$5007,JU!$F$1063:$F$5007,WS!$A90)</f>
        <v>0</v>
      </c>
      <c r="Q90" s="29">
        <f>SUMIFS(JU!$K$1063:$K$5007,JU!$I$1063:$I$5007,WS!$A90)</f>
        <v>0</v>
      </c>
      <c r="R90" s="30">
        <f t="shared" si="102"/>
        <v>0</v>
      </c>
      <c r="S90" s="28">
        <f>SUMIFS(JU!$H$5107:$H$5107,JU!$F$5107:$F$5107,WS!$A90)</f>
        <v>0</v>
      </c>
      <c r="T90" s="29">
        <f>SUMIFS(JU!$K$5107:$K$5107,JU!$I$5107:$I$5107,WS!$A90)</f>
        <v>0</v>
      </c>
      <c r="U90" s="30">
        <f t="shared" si="103"/>
        <v>0</v>
      </c>
      <c r="V90" s="28">
        <f>SUMIFS(JU!$H$5107:$H$5107,JU!$F$5107:$F$5107,WS!$A90)</f>
        <v>0</v>
      </c>
      <c r="W90" s="29">
        <f>SUMIFS(JU!$K$5107:$K$5107,JU!$I$5107:$I$5107,WS!$A90)</f>
        <v>0</v>
      </c>
      <c r="X90" s="30">
        <f t="shared" si="104"/>
        <v>0</v>
      </c>
      <c r="Y90" s="28">
        <f>SUMIFS(JU!$H$5107:$H$5107,JU!$F$5107:$F$5107,WS!$A90)</f>
        <v>0</v>
      </c>
      <c r="Z90" s="29">
        <f>SUMIFS(JU!$K$5107:$K$5107,JU!$I$5107:$I$5107,WS!$A90)</f>
        <v>0</v>
      </c>
      <c r="AA90" s="30">
        <f t="shared" si="105"/>
        <v>0</v>
      </c>
      <c r="AB90" s="28">
        <f>SUMIFS(JU!$H$5107:$H$5107,JU!$F$5107:$F$5107,WS!$A90)</f>
        <v>0</v>
      </c>
      <c r="AC90" s="29">
        <f>SUMIFS(JU!$K$5107:$K$5107,JU!$I$5107:$I$5107,WS!$A90)</f>
        <v>0</v>
      </c>
      <c r="AD90" s="30">
        <f t="shared" si="106"/>
        <v>0</v>
      </c>
      <c r="AE90" s="28">
        <f>SUMIFS(JU!$H$5107:$H$5107,JU!$F$5107:$F$5107,WS!$A90)</f>
        <v>0</v>
      </c>
      <c r="AF90" s="29">
        <f>SUMIFS(JU!$K$5107:$K$5107,JU!$I$5107:$I$5107,WS!$A90)</f>
        <v>0</v>
      </c>
      <c r="AG90" s="30">
        <f t="shared" si="107"/>
        <v>0</v>
      </c>
      <c r="AH90" s="28">
        <f>SUMIFS(JU!$H$5107:$H$5107,JU!$F$5107:$F$5107,WS!$A90)</f>
        <v>0</v>
      </c>
      <c r="AI90" s="29">
        <f>SUMIFS(JU!$K$5107:$K$5107,JU!$I$5107:$I$5107,WS!$A90)</f>
        <v>0</v>
      </c>
      <c r="AJ90" s="30">
        <f t="shared" si="108"/>
        <v>0</v>
      </c>
      <c r="AK90" s="28">
        <f>SUMIFS(JU!$H$5107:$H$5107,JU!$F$5107:$F$5107,WS!$A90)</f>
        <v>0</v>
      </c>
      <c r="AL90" s="29">
        <f>SUMIFS(JU!$K$5107:$K$5107,JU!$I$5107:$I$5107,WS!$A90)</f>
        <v>0</v>
      </c>
      <c r="AM90" s="30">
        <f t="shared" si="109"/>
        <v>0</v>
      </c>
      <c r="AN90" s="275">
        <f t="shared" si="110"/>
        <v>0</v>
      </c>
      <c r="AP90" s="18">
        <f t="shared" si="111"/>
        <v>0</v>
      </c>
    </row>
    <row r="91" spans="1:42" s="37" customFormat="1">
      <c r="A91" s="287" t="s">
        <v>225</v>
      </c>
      <c r="B91" s="287"/>
      <c r="C91" s="38">
        <f>SUM(C81:C90)</f>
        <v>0</v>
      </c>
      <c r="D91" s="28">
        <f>SUMIFS(JU!$H$5:$H$178,JU!$F$5:$F$178,WS!$A91)</f>
        <v>0</v>
      </c>
      <c r="E91" s="29">
        <f>SUMIFS(JU!$K$5:$K$178,JU!$I$5:$I$178,WS!$A91)</f>
        <v>0</v>
      </c>
      <c r="F91" s="36">
        <f>SUM(F81:F90)</f>
        <v>119000000</v>
      </c>
      <c r="G91" s="28">
        <f>SUMIFS(JU!$H$180:$H$440,JU!$F$180:$F$440,WS!$A91)</f>
        <v>0</v>
      </c>
      <c r="H91" s="29">
        <f>SUMIFS(JU!$K$180:$K$440,JU!$I$180:$I$440,WS!$A91)</f>
        <v>0</v>
      </c>
      <c r="I91" s="36">
        <f>SUM(I81:I90)</f>
        <v>793400000</v>
      </c>
      <c r="J91" s="28">
        <f>SUMIFS(JU!$H$441:$H$695,JU!$F$441:$F$695,WS!$A91)</f>
        <v>0</v>
      </c>
      <c r="K91" s="29">
        <f>SUMIFS(JU!$K$441:$K$695,JU!$I$441:$I$695,WS!$A91)</f>
        <v>0</v>
      </c>
      <c r="L91" s="36">
        <f>SUM(L81:L90)</f>
        <v>538000000</v>
      </c>
      <c r="M91" s="28">
        <f>SUMIFS(JU!$H$696:$H$1062,JU!$F$696:$F$1062,$A91)</f>
        <v>0</v>
      </c>
      <c r="N91" s="29">
        <f>SUMIFS(JU!$K$696:$K$1062,JU!$I$696:$I$1062,WS!$A91)</f>
        <v>0</v>
      </c>
      <c r="O91" s="36">
        <f>SUM(O81:O90)</f>
        <v>2271900000</v>
      </c>
      <c r="P91" s="28">
        <f>SUMIFS(JU!$H$1063:$H$5007,JU!$F$1063:$F$5007,WS!$A91)</f>
        <v>0</v>
      </c>
      <c r="Q91" s="29">
        <f>SUMIFS(JU!$K$1063:$K$5007,JU!$I$1063:$I$5007,WS!$A91)</f>
        <v>0</v>
      </c>
      <c r="R91" s="36">
        <f>SUM(R81:R90)</f>
        <v>3157600000</v>
      </c>
      <c r="S91" s="28">
        <f>SUMIFS(JU!$H$5107:$H$5107,JU!$F$5107:$F$5107,WS!$A91)</f>
        <v>0</v>
      </c>
      <c r="T91" s="29">
        <f>SUMIFS(JU!$K$5107:$K$5107,JU!$I$5107:$I$5107,WS!$A91)</f>
        <v>0</v>
      </c>
      <c r="U91" s="36">
        <f>SUM(U81:U90)</f>
        <v>0</v>
      </c>
      <c r="V91" s="28">
        <f>SUMIFS(JU!$H$5107:$H$5107,JU!$F$5107:$F$5107,WS!$A91)</f>
        <v>0</v>
      </c>
      <c r="W91" s="29">
        <f>SUMIFS(JU!$K$5107:$K$5107,JU!$I$5107:$I$5107,WS!$A91)</f>
        <v>0</v>
      </c>
      <c r="X91" s="36">
        <f>SUM(X81:X90)</f>
        <v>0</v>
      </c>
      <c r="Y91" s="28">
        <f>SUMIFS(JU!$H$5107:$H$5107,JU!$F$5107:$F$5107,WS!$A91)</f>
        <v>0</v>
      </c>
      <c r="Z91" s="29">
        <f>SUMIFS(JU!$K$5107:$K$5107,JU!$I$5107:$I$5107,WS!$A91)</f>
        <v>0</v>
      </c>
      <c r="AA91" s="36">
        <f>SUM(AA81:AA90)</f>
        <v>0</v>
      </c>
      <c r="AB91" s="28">
        <f>SUMIFS(JU!$H$5107:$H$5107,JU!$F$5107:$F$5107,WS!$A91)</f>
        <v>0</v>
      </c>
      <c r="AC91" s="29">
        <f>SUMIFS(JU!$K$5107:$K$5107,JU!$I$5107:$I$5107,WS!$A91)</f>
        <v>0</v>
      </c>
      <c r="AD91" s="36">
        <f>SUM(AD81:AD90)</f>
        <v>0</v>
      </c>
      <c r="AE91" s="28">
        <f>SUMIFS(JU!$H$5107:$H$5107,JU!$F$5107:$F$5107,WS!$A91)</f>
        <v>0</v>
      </c>
      <c r="AF91" s="29">
        <f>SUMIFS(JU!$K$5107:$K$5107,JU!$I$5107:$I$5107,WS!$A91)</f>
        <v>0</v>
      </c>
      <c r="AG91" s="36">
        <f>SUM(AG81:AG90)</f>
        <v>0</v>
      </c>
      <c r="AH91" s="28">
        <f>SUMIFS(JU!$H$5107:$H$5107,JU!$F$5107:$F$5107,WS!$A91)</f>
        <v>0</v>
      </c>
      <c r="AI91" s="29">
        <f>SUMIFS(JU!$K$5107:$K$5107,JU!$I$5107:$I$5107,WS!$A91)</f>
        <v>0</v>
      </c>
      <c r="AJ91" s="36">
        <f t="shared" ref="AJ91" si="112">SUM(AJ81:AJ90)</f>
        <v>0</v>
      </c>
      <c r="AK91" s="28">
        <f>SUMIFS(JU!$H$5107:$H$5107,JU!$F$5107:$F$5107,WS!$A91)</f>
        <v>0</v>
      </c>
      <c r="AL91" s="29">
        <f>SUMIFS(JU!$K$5107:$K$5107,JU!$I$5107:$I$5107,WS!$A91)</f>
        <v>0</v>
      </c>
      <c r="AM91" s="36">
        <f t="shared" ref="AM91" si="113">SUM(AM81:AM90)</f>
        <v>0</v>
      </c>
      <c r="AN91" s="275">
        <f t="shared" si="110"/>
        <v>6879900000</v>
      </c>
      <c r="AP91" s="18">
        <f>AG91+AD91+AA91+X91+U91+R91+O91+L91+I91+F91</f>
        <v>6879900000</v>
      </c>
    </row>
    <row r="92" spans="1:42" s="37" customFormat="1">
      <c r="A92" s="280" t="s">
        <v>111</v>
      </c>
      <c r="B92" s="280"/>
      <c r="C92" s="38"/>
      <c r="D92" s="28">
        <f>SUMIFS(JU!$H$5:$H$178,JU!$F$5:$F$178,WS!$A92)</f>
        <v>0</v>
      </c>
      <c r="E92" s="29">
        <f>SUMIFS(JU!$K$5:$K$178,JU!$I$5:$I$178,WS!$A92)</f>
        <v>0</v>
      </c>
      <c r="F92" s="36"/>
      <c r="G92" s="28">
        <f>SUMIFS(JU!$H$180:$H$440,JU!$F$180:$F$440,WS!$A92)</f>
        <v>0</v>
      </c>
      <c r="H92" s="29">
        <f>SUMIFS(JU!$K$180:$K$440,JU!$I$180:$I$440,WS!$A92)</f>
        <v>0</v>
      </c>
      <c r="I92" s="36"/>
      <c r="J92" s="28">
        <f>SUMIFS(JU!$H$441:$H$695,JU!$F$441:$F$695,WS!$A92)</f>
        <v>0</v>
      </c>
      <c r="K92" s="29">
        <f>SUMIFS(JU!$K$441:$K$695,JU!$I$441:$I$695,WS!$A92)</f>
        <v>0</v>
      </c>
      <c r="L92" s="36"/>
      <c r="M92" s="28">
        <f>SUMIFS(JU!$H$696:$H$1062,JU!$F$696:$F$1062,$A92)</f>
        <v>0</v>
      </c>
      <c r="N92" s="29">
        <f>SUMIFS(JU!$K$696:$K$1062,JU!$I$696:$I$1062,WS!$A92)</f>
        <v>0</v>
      </c>
      <c r="O92" s="36"/>
      <c r="P92" s="28">
        <f>SUMIFS(JU!$H$1063:$H$5007,JU!$F$1063:$F$5007,WS!$A92)</f>
        <v>0</v>
      </c>
      <c r="Q92" s="29">
        <f>SUMIFS(JU!$K$1063:$K$5007,JU!$I$1063:$I$5007,WS!$A92)</f>
        <v>0</v>
      </c>
      <c r="R92" s="36"/>
      <c r="S92" s="28">
        <f>SUMIFS(JU!$H$5107:$H$5107,JU!$F$5107:$F$5107,WS!$A92)</f>
        <v>0</v>
      </c>
      <c r="T92" s="29">
        <f>SUMIFS(JU!$K$5107:$K$5107,JU!$I$5107:$I$5107,WS!$A92)</f>
        <v>0</v>
      </c>
      <c r="U92" s="36"/>
      <c r="V92" s="28">
        <f>SUMIFS(JU!$H$5107:$H$5107,JU!$F$5107:$F$5107,WS!$A92)</f>
        <v>0</v>
      </c>
      <c r="W92" s="29">
        <f>SUMIFS(JU!$K$5107:$K$5107,JU!$I$5107:$I$5107,WS!$A92)</f>
        <v>0</v>
      </c>
      <c r="X92" s="36"/>
      <c r="Y92" s="28">
        <f>SUMIFS(JU!$H$5107:$H$5107,JU!$F$5107:$F$5107,WS!$A92)</f>
        <v>0</v>
      </c>
      <c r="Z92" s="29">
        <f>SUMIFS(JU!$K$5107:$K$5107,JU!$I$5107:$I$5107,WS!$A92)</f>
        <v>0</v>
      </c>
      <c r="AA92" s="36"/>
      <c r="AB92" s="28">
        <f>SUMIFS(JU!$H$5107:$H$5107,JU!$F$5107:$F$5107,WS!$A92)</f>
        <v>0</v>
      </c>
      <c r="AC92" s="29">
        <f>SUMIFS(JU!$K$5107:$K$5107,JU!$I$5107:$I$5107,WS!$A92)</f>
        <v>0</v>
      </c>
      <c r="AD92" s="36"/>
      <c r="AE92" s="28">
        <f>SUMIFS(JU!$H$5107:$H$5107,JU!$F$5107:$F$5107,WS!$A92)</f>
        <v>0</v>
      </c>
      <c r="AF92" s="29">
        <f>SUMIFS(JU!$K$5107:$K$5107,JU!$I$5107:$I$5107,WS!$A92)</f>
        <v>0</v>
      </c>
      <c r="AG92" s="36"/>
      <c r="AH92" s="28">
        <f>SUMIFS(JU!$H$5107:$H$5107,JU!$F$5107:$F$5107,WS!$A92)</f>
        <v>0</v>
      </c>
      <c r="AI92" s="29">
        <f>SUMIFS(JU!$K$5107:$K$5107,JU!$I$5107:$I$5107,WS!$A92)</f>
        <v>0</v>
      </c>
      <c r="AJ92" s="36"/>
      <c r="AK92" s="28">
        <f>SUMIFS(JU!$H$5107:$H$5107,JU!$F$5107:$F$5107,WS!$A92)</f>
        <v>0</v>
      </c>
      <c r="AL92" s="29">
        <f>SUMIFS(JU!$K$5107:$K$5107,JU!$I$5107:$I$5107,WS!$A92)</f>
        <v>0</v>
      </c>
      <c r="AM92" s="36"/>
      <c r="AN92" s="275">
        <f t="shared" si="110"/>
        <v>0</v>
      </c>
      <c r="AP92" s="18">
        <f t="shared" si="111"/>
        <v>0</v>
      </c>
    </row>
    <row r="93" spans="1:42">
      <c r="A93" s="6">
        <v>4201</v>
      </c>
      <c r="B93" s="31" t="s">
        <v>66</v>
      </c>
      <c r="C93" s="32"/>
      <c r="D93" s="28">
        <f>SUMIFS(JU!$H$5:$H$178,JU!$F$5:$F$178,WS!$A93)</f>
        <v>0</v>
      </c>
      <c r="E93" s="29">
        <f>SUMIFS(JU!$K$5:$K$178,JU!$I$5:$I$178,WS!$A93)</f>
        <v>0</v>
      </c>
      <c r="F93" s="30">
        <f>E93-D93</f>
        <v>0</v>
      </c>
      <c r="G93" s="28">
        <f>SUMIFS(JU!$H$180:$H$440,JU!$F$180:$F$440,WS!$A93)</f>
        <v>0</v>
      </c>
      <c r="H93" s="29">
        <f>SUMIFS(JU!$K$180:$K$440,JU!$I$180:$I$440,WS!$A93)</f>
        <v>0</v>
      </c>
      <c r="I93" s="30">
        <f>H93-G93</f>
        <v>0</v>
      </c>
      <c r="J93" s="28">
        <f>SUMIFS(JU!$H$441:$H$695,JU!$F$441:$F$695,WS!$A93)</f>
        <v>0</v>
      </c>
      <c r="K93" s="29">
        <f>SUMIFS(JU!$K$441:$K$695,JU!$I$441:$I$695,WS!$A93)</f>
        <v>0</v>
      </c>
      <c r="L93" s="30">
        <f t="shared" ref="L93:L98" si="114">K93-J93</f>
        <v>0</v>
      </c>
      <c r="M93" s="28">
        <f>SUMIFS(JU!$H$696:$H$1062,JU!$F$696:$F$1062,$A93)</f>
        <v>0</v>
      </c>
      <c r="N93" s="29">
        <f>SUMIFS(JU!$K$696:$K$1062,JU!$I$696:$I$1062,WS!$A93)</f>
        <v>0</v>
      </c>
      <c r="O93" s="30">
        <f t="shared" ref="O93:O98" si="115">N93-M93</f>
        <v>0</v>
      </c>
      <c r="P93" s="28">
        <f>SUMIFS(JU!$H$1063:$H$5007,JU!$F$1063:$F$5007,WS!$A93)</f>
        <v>0</v>
      </c>
      <c r="Q93" s="29">
        <f>SUMIFS(JU!$K$1063:$K$5007,JU!$I$1063:$I$5007,WS!$A93)</f>
        <v>0</v>
      </c>
      <c r="R93" s="30">
        <f>Q93-P93</f>
        <v>0</v>
      </c>
      <c r="S93" s="28">
        <f>SUMIFS(JU!$H$5107:$H$5107,JU!$F$5107:$F$5107,WS!$A93)</f>
        <v>0</v>
      </c>
      <c r="T93" s="29">
        <f>SUMIFS(JU!$K$5107:$K$5107,JU!$I$5107:$I$5107,WS!$A93)</f>
        <v>0</v>
      </c>
      <c r="U93" s="30">
        <f>T93-S93</f>
        <v>0</v>
      </c>
      <c r="V93" s="28">
        <f>SUMIFS(JU!$H$5107:$H$5107,JU!$F$5107:$F$5107,WS!$A93)</f>
        <v>0</v>
      </c>
      <c r="W93" s="29">
        <f>SUMIFS(JU!$K$5107:$K$5107,JU!$I$5107:$I$5107,WS!$A93)</f>
        <v>0</v>
      </c>
      <c r="X93" s="30">
        <f>W93-V93</f>
        <v>0</v>
      </c>
      <c r="Y93" s="28">
        <f>SUMIFS(JU!$H$5107:$H$5107,JU!$F$5107:$F$5107,WS!$A93)</f>
        <v>0</v>
      </c>
      <c r="Z93" s="29">
        <f>SUMIFS(JU!$K$5107:$K$5107,JU!$I$5107:$I$5107,WS!$A93)</f>
        <v>0</v>
      </c>
      <c r="AA93" s="30">
        <f>Z93-Y93</f>
        <v>0</v>
      </c>
      <c r="AB93" s="28">
        <f>SUMIFS(JU!$H$5107:$H$5107,JU!$F$5107:$F$5107,WS!$A93)</f>
        <v>0</v>
      </c>
      <c r="AC93" s="29">
        <f>SUMIFS(JU!$K$5107:$K$5107,JU!$I$5107:$I$5107,WS!$A93)</f>
        <v>0</v>
      </c>
      <c r="AD93" s="30">
        <f>AC93-AB93</f>
        <v>0</v>
      </c>
      <c r="AE93" s="28">
        <f>SUMIFS(JU!$H$5107:$H$5107,JU!$F$5107:$F$5107,WS!$A93)</f>
        <v>0</v>
      </c>
      <c r="AF93" s="29">
        <f>SUMIFS(JU!$K$5107:$K$5107,JU!$I$5107:$I$5107,WS!$A93)</f>
        <v>0</v>
      </c>
      <c r="AG93" s="30">
        <f>AF93-AE93</f>
        <v>0</v>
      </c>
      <c r="AH93" s="28">
        <f>SUMIFS(JU!$H$5107:$H$5107,JU!$F$5107:$F$5107,WS!$A93)</f>
        <v>0</v>
      </c>
      <c r="AI93" s="29">
        <f>SUMIFS(JU!$K$5107:$K$5107,JU!$I$5107:$I$5107,WS!$A93)</f>
        <v>0</v>
      </c>
      <c r="AJ93" s="30">
        <f>AI93-AH93</f>
        <v>0</v>
      </c>
      <c r="AK93" s="28">
        <f>SUMIFS(JU!$H$5107:$H$5107,JU!$F$5107:$F$5107,WS!$A93)</f>
        <v>0</v>
      </c>
      <c r="AL93" s="29">
        <f>SUMIFS(JU!$K$5107:$K$5107,JU!$I$5107:$I$5107,WS!$A93)</f>
        <v>0</v>
      </c>
      <c r="AM93" s="30">
        <f>AL93-AK93</f>
        <v>0</v>
      </c>
      <c r="AN93" s="275">
        <f t="shared" si="110"/>
        <v>0</v>
      </c>
      <c r="AP93" s="18">
        <f t="shared" si="111"/>
        <v>0</v>
      </c>
    </row>
    <row r="94" spans="1:42">
      <c r="A94" s="6">
        <v>4202</v>
      </c>
      <c r="B94" s="31" t="s">
        <v>67</v>
      </c>
      <c r="C94" s="32"/>
      <c r="D94" s="28">
        <f>SUMIFS(JU!$H$5:$H$178,JU!$F$5:$F$178,WS!$A94)</f>
        <v>0</v>
      </c>
      <c r="E94" s="29">
        <f>SUMIFS(JU!$K$5:$K$178,JU!$I$5:$I$178,WS!$A94)</f>
        <v>0</v>
      </c>
      <c r="F94" s="30">
        <f t="shared" ref="F94:F98" si="116">E94-D94</f>
        <v>0</v>
      </c>
      <c r="G94" s="28">
        <f>SUMIFS(JU!$H$180:$H$440,JU!$F$180:$F$440,WS!$A94)</f>
        <v>0</v>
      </c>
      <c r="H94" s="29">
        <f>SUMIFS(JU!$K$180:$K$440,JU!$I$180:$I$440,WS!$A94)</f>
        <v>293644</v>
      </c>
      <c r="I94" s="30">
        <f t="shared" ref="I94:I98" si="117">H94-G94</f>
        <v>293644</v>
      </c>
      <c r="J94" s="28">
        <f>SUMIFS(JU!$H$441:$H$695,JU!$F$441:$F$695,WS!$A94)</f>
        <v>0</v>
      </c>
      <c r="K94" s="29">
        <f>SUMIFS(JU!$K$441:$K$695,JU!$I$441:$I$695,WS!$A94)</f>
        <v>0</v>
      </c>
      <c r="L94" s="30">
        <f t="shared" si="114"/>
        <v>0</v>
      </c>
      <c r="M94" s="28">
        <f>SUMIFS(JU!$H$696:$H$1062,JU!$F$696:$F$1062,$A94)</f>
        <v>0</v>
      </c>
      <c r="N94" s="29">
        <f>SUMIFS(JU!$K$696:$K$1062,JU!$I$696:$I$1062,WS!$A94)</f>
        <v>0</v>
      </c>
      <c r="O94" s="30">
        <f t="shared" si="115"/>
        <v>0</v>
      </c>
      <c r="P94" s="28">
        <f>SUMIFS(JU!$H$1063:$H$5007,JU!$F$1063:$F$5007,WS!$A94)</f>
        <v>0</v>
      </c>
      <c r="Q94" s="29">
        <f>SUMIFS(JU!$K$1063:$K$5007,JU!$I$1063:$I$5007,WS!$A94)</f>
        <v>0</v>
      </c>
      <c r="R94" s="30">
        <f t="shared" ref="R94:R98" si="118">Q94-P94</f>
        <v>0</v>
      </c>
      <c r="S94" s="28">
        <f>SUMIFS(JU!$H$5107:$H$5107,JU!$F$5107:$F$5107,WS!$A94)</f>
        <v>0</v>
      </c>
      <c r="T94" s="29">
        <f>SUMIFS(JU!$K$5107:$K$5107,JU!$I$5107:$I$5107,WS!$A94)</f>
        <v>0</v>
      </c>
      <c r="U94" s="30">
        <f t="shared" ref="U94:U98" si="119">T94-S94</f>
        <v>0</v>
      </c>
      <c r="V94" s="28">
        <f>SUMIFS(JU!$H$5107:$H$5107,JU!$F$5107:$F$5107,WS!$A94)</f>
        <v>0</v>
      </c>
      <c r="W94" s="29">
        <f>SUMIFS(JU!$K$5107:$K$5107,JU!$I$5107:$I$5107,WS!$A94)</f>
        <v>0</v>
      </c>
      <c r="X94" s="30">
        <f t="shared" ref="X94:X98" si="120">W94-V94</f>
        <v>0</v>
      </c>
      <c r="Y94" s="28">
        <f>SUMIFS(JU!$H$5107:$H$5107,JU!$F$5107:$F$5107,WS!$A94)</f>
        <v>0</v>
      </c>
      <c r="Z94" s="29">
        <f>SUMIFS(JU!$K$5107:$K$5107,JU!$I$5107:$I$5107,WS!$A94)</f>
        <v>0</v>
      </c>
      <c r="AA94" s="30">
        <f t="shared" ref="AA94:AA98" si="121">Z94-Y94</f>
        <v>0</v>
      </c>
      <c r="AB94" s="28">
        <f>SUMIFS(JU!$H$5107:$H$5107,JU!$F$5107:$F$5107,WS!$A94)</f>
        <v>0</v>
      </c>
      <c r="AC94" s="29">
        <f>SUMIFS(JU!$K$5107:$K$5107,JU!$I$5107:$I$5107,WS!$A94)</f>
        <v>0</v>
      </c>
      <c r="AD94" s="30">
        <f t="shared" ref="AD94:AD98" si="122">AC94-AB94</f>
        <v>0</v>
      </c>
      <c r="AE94" s="28">
        <f>SUMIFS(JU!$H$5107:$H$5107,JU!$F$5107:$F$5107,WS!$A94)</f>
        <v>0</v>
      </c>
      <c r="AF94" s="29">
        <f>SUMIFS(JU!$K$5107:$K$5107,JU!$I$5107:$I$5107,WS!$A94)</f>
        <v>0</v>
      </c>
      <c r="AG94" s="30">
        <f t="shared" ref="AG94:AG98" si="123">AF94-AE94</f>
        <v>0</v>
      </c>
      <c r="AH94" s="28">
        <f>SUMIFS(JU!$H$5107:$H$5107,JU!$F$5107:$F$5107,WS!$A94)</f>
        <v>0</v>
      </c>
      <c r="AI94" s="29">
        <f>SUMIFS(JU!$K$5107:$K$5107,JU!$I$5107:$I$5107,WS!$A94)</f>
        <v>0</v>
      </c>
      <c r="AJ94" s="30">
        <f t="shared" ref="AJ94:AJ98" si="124">AI94-AH94</f>
        <v>0</v>
      </c>
      <c r="AK94" s="28">
        <f>SUMIFS(JU!$H$5107:$H$5107,JU!$F$5107:$F$5107,WS!$A94)</f>
        <v>0</v>
      </c>
      <c r="AL94" s="29">
        <f>SUMIFS(JU!$K$5107:$K$5107,JU!$I$5107:$I$5107,WS!$A94)</f>
        <v>0</v>
      </c>
      <c r="AM94" s="30">
        <f t="shared" ref="AM94:AM98" si="125">AL94-AK94</f>
        <v>0</v>
      </c>
      <c r="AN94" s="275">
        <f t="shared" si="110"/>
        <v>293644</v>
      </c>
      <c r="AP94" s="18">
        <f t="shared" si="111"/>
        <v>293644</v>
      </c>
    </row>
    <row r="95" spans="1:42">
      <c r="A95" s="6">
        <v>4203</v>
      </c>
      <c r="B95" s="31" t="s">
        <v>68</v>
      </c>
      <c r="C95" s="32"/>
      <c r="D95" s="28">
        <f>SUMIFS(JU!$H$5:$H$178,JU!$F$5:$F$178,WS!$A95)</f>
        <v>0</v>
      </c>
      <c r="E95" s="29">
        <f>SUMIFS(JU!$K$5:$K$178,JU!$I$5:$I$178,WS!$A95)</f>
        <v>0</v>
      </c>
      <c r="F95" s="30">
        <f t="shared" si="116"/>
        <v>0</v>
      </c>
      <c r="G95" s="28">
        <f>SUMIFS(JU!$H$180:$H$440,JU!$F$180:$F$440,WS!$A95)</f>
        <v>0</v>
      </c>
      <c r="H95" s="29">
        <f>SUMIFS(JU!$K$180:$K$440,JU!$I$180:$I$440,WS!$A95)</f>
        <v>0</v>
      </c>
      <c r="I95" s="30">
        <f t="shared" si="117"/>
        <v>0</v>
      </c>
      <c r="J95" s="28">
        <f>SUMIFS(JU!$H$441:$H$695,JU!$F$441:$F$695,WS!$A95)</f>
        <v>0</v>
      </c>
      <c r="K95" s="29">
        <f>SUMIFS(JU!$K$441:$K$695,JU!$I$441:$I$695,WS!$A95)</f>
        <v>0</v>
      </c>
      <c r="L95" s="30">
        <f t="shared" si="114"/>
        <v>0</v>
      </c>
      <c r="M95" s="28">
        <f>SUMIFS(JU!$H$696:$H$1062,JU!$F$696:$F$1062,$A95)</f>
        <v>0</v>
      </c>
      <c r="N95" s="29">
        <f>SUMIFS(JU!$K$696:$K$1062,JU!$I$696:$I$1062,WS!$A95)</f>
        <v>0</v>
      </c>
      <c r="O95" s="30">
        <f t="shared" si="115"/>
        <v>0</v>
      </c>
      <c r="P95" s="28">
        <f>SUMIFS(JU!$H$1063:$H$5007,JU!$F$1063:$F$5007,WS!$A95)</f>
        <v>0</v>
      </c>
      <c r="Q95" s="29">
        <f>SUMIFS(JU!$K$1063:$K$5007,JU!$I$1063:$I$5007,WS!$A95)</f>
        <v>0</v>
      </c>
      <c r="R95" s="30">
        <f t="shared" si="118"/>
        <v>0</v>
      </c>
      <c r="S95" s="28">
        <f>SUMIFS(JU!$H$5107:$H$5107,JU!$F$5107:$F$5107,WS!$A95)</f>
        <v>0</v>
      </c>
      <c r="T95" s="29">
        <f>SUMIFS(JU!$K$5107:$K$5107,JU!$I$5107:$I$5107,WS!$A95)</f>
        <v>0</v>
      </c>
      <c r="U95" s="30">
        <f t="shared" si="119"/>
        <v>0</v>
      </c>
      <c r="V95" s="28">
        <f>SUMIFS(JU!$H$5107:$H$5107,JU!$F$5107:$F$5107,WS!$A95)</f>
        <v>0</v>
      </c>
      <c r="W95" s="29">
        <f>SUMIFS(JU!$K$5107:$K$5107,JU!$I$5107:$I$5107,WS!$A95)</f>
        <v>0</v>
      </c>
      <c r="X95" s="30">
        <f t="shared" si="120"/>
        <v>0</v>
      </c>
      <c r="Y95" s="28">
        <f>SUMIFS(JU!$H$5107:$H$5107,JU!$F$5107:$F$5107,WS!$A95)</f>
        <v>0</v>
      </c>
      <c r="Z95" s="29">
        <f>SUMIFS(JU!$K$5107:$K$5107,JU!$I$5107:$I$5107,WS!$A95)</f>
        <v>0</v>
      </c>
      <c r="AA95" s="30">
        <f t="shared" si="121"/>
        <v>0</v>
      </c>
      <c r="AB95" s="28">
        <f>SUMIFS(JU!$H$5107:$H$5107,JU!$F$5107:$F$5107,WS!$A95)</f>
        <v>0</v>
      </c>
      <c r="AC95" s="29">
        <f>SUMIFS(JU!$K$5107:$K$5107,JU!$I$5107:$I$5107,WS!$A95)</f>
        <v>0</v>
      </c>
      <c r="AD95" s="30">
        <f t="shared" si="122"/>
        <v>0</v>
      </c>
      <c r="AE95" s="28">
        <f>SUMIFS(JU!$H$5107:$H$5107,JU!$F$5107:$F$5107,WS!$A95)</f>
        <v>0</v>
      </c>
      <c r="AF95" s="29">
        <f>SUMIFS(JU!$K$5107:$K$5107,JU!$I$5107:$I$5107,WS!$A95)</f>
        <v>0</v>
      </c>
      <c r="AG95" s="30">
        <f t="shared" si="123"/>
        <v>0</v>
      </c>
      <c r="AH95" s="28">
        <f>SUMIFS(JU!$H$5107:$H$5107,JU!$F$5107:$F$5107,WS!$A95)</f>
        <v>0</v>
      </c>
      <c r="AI95" s="29">
        <f>SUMIFS(JU!$K$5107:$K$5107,JU!$I$5107:$I$5107,WS!$A95)</f>
        <v>0</v>
      </c>
      <c r="AJ95" s="30">
        <f t="shared" si="124"/>
        <v>0</v>
      </c>
      <c r="AK95" s="28">
        <f>SUMIFS(JU!$H$5107:$H$5107,JU!$F$5107:$F$5107,WS!$A95)</f>
        <v>0</v>
      </c>
      <c r="AL95" s="29">
        <f>SUMIFS(JU!$K$5107:$K$5107,JU!$I$5107:$I$5107,WS!$A95)</f>
        <v>0</v>
      </c>
      <c r="AM95" s="30">
        <f t="shared" si="125"/>
        <v>0</v>
      </c>
      <c r="AN95" s="275">
        <f t="shared" si="110"/>
        <v>0</v>
      </c>
      <c r="AP95" s="18">
        <f t="shared" si="111"/>
        <v>0</v>
      </c>
    </row>
    <row r="96" spans="1:42">
      <c r="A96" s="6">
        <v>4204</v>
      </c>
      <c r="B96" s="31" t="s">
        <v>69</v>
      </c>
      <c r="C96" s="32"/>
      <c r="D96" s="28">
        <f>SUMIFS(JU!$H$5:$H$178,JU!$F$5:$F$178,WS!$A96)</f>
        <v>0</v>
      </c>
      <c r="E96" s="29">
        <f>SUMIFS(JU!$K$5:$K$178,JU!$I$5:$I$178,WS!$A96)</f>
        <v>0</v>
      </c>
      <c r="F96" s="30">
        <f t="shared" si="116"/>
        <v>0</v>
      </c>
      <c r="G96" s="28">
        <f>SUMIFS(JU!$H$180:$H$440,JU!$F$180:$F$440,WS!$A96)</f>
        <v>0</v>
      </c>
      <c r="H96" s="29">
        <f>SUMIFS(JU!$K$180:$K$440,JU!$I$180:$I$440,WS!$A96)</f>
        <v>0</v>
      </c>
      <c r="I96" s="30">
        <f t="shared" si="117"/>
        <v>0</v>
      </c>
      <c r="J96" s="28">
        <f>SUMIFS(JU!$H$441:$H$695,JU!$F$441:$F$695,WS!$A96)</f>
        <v>0</v>
      </c>
      <c r="K96" s="29">
        <f>SUMIFS(JU!$K$441:$K$695,JU!$I$441:$I$695,WS!$A96)</f>
        <v>253029</v>
      </c>
      <c r="L96" s="30">
        <f t="shared" si="114"/>
        <v>253029</v>
      </c>
      <c r="M96" s="28">
        <f>SUMIFS(JU!$H$696:$H$1062,JU!$F$696:$F$1062,$A96)</f>
        <v>0</v>
      </c>
      <c r="N96" s="29">
        <f>SUMIFS(JU!$K$696:$K$1062,JU!$I$696:$I$1062,WS!$A96)</f>
        <v>454254</v>
      </c>
      <c r="O96" s="30">
        <f t="shared" si="115"/>
        <v>454254</v>
      </c>
      <c r="P96" s="28">
        <f>SUMIFS(JU!$H$1063:$H$5007,JU!$F$1063:$F$5007,WS!$A96)</f>
        <v>0</v>
      </c>
      <c r="Q96" s="29">
        <f>SUMIFS(JU!$K$1063:$K$5007,JU!$I$1063:$I$5007,WS!$A96)</f>
        <v>0</v>
      </c>
      <c r="R96" s="30">
        <f t="shared" si="118"/>
        <v>0</v>
      </c>
      <c r="S96" s="28">
        <f>SUMIFS(JU!$H$5107:$H$5107,JU!$F$5107:$F$5107,WS!$A96)</f>
        <v>0</v>
      </c>
      <c r="T96" s="29">
        <f>SUMIFS(JU!$K$5107:$K$5107,JU!$I$5107:$I$5107,WS!$A96)</f>
        <v>0</v>
      </c>
      <c r="U96" s="30">
        <f t="shared" si="119"/>
        <v>0</v>
      </c>
      <c r="V96" s="28">
        <f>SUMIFS(JU!$H$5107:$H$5107,JU!$F$5107:$F$5107,WS!$A96)</f>
        <v>0</v>
      </c>
      <c r="W96" s="29">
        <f>SUMIFS(JU!$K$5107:$K$5107,JU!$I$5107:$I$5107,WS!$A96)</f>
        <v>0</v>
      </c>
      <c r="X96" s="30">
        <f t="shared" si="120"/>
        <v>0</v>
      </c>
      <c r="Y96" s="28">
        <f>SUMIFS(JU!$H$5107:$H$5107,JU!$F$5107:$F$5107,WS!$A96)</f>
        <v>0</v>
      </c>
      <c r="Z96" s="29">
        <f>SUMIFS(JU!$K$5107:$K$5107,JU!$I$5107:$I$5107,WS!$A96)</f>
        <v>0</v>
      </c>
      <c r="AA96" s="30">
        <f t="shared" si="121"/>
        <v>0</v>
      </c>
      <c r="AB96" s="28">
        <f>SUMIFS(JU!$H$5107:$H$5107,JU!$F$5107:$F$5107,WS!$A96)</f>
        <v>0</v>
      </c>
      <c r="AC96" s="29">
        <f>SUMIFS(JU!$K$5107:$K$5107,JU!$I$5107:$I$5107,WS!$A96)</f>
        <v>0</v>
      </c>
      <c r="AD96" s="30">
        <f t="shared" si="122"/>
        <v>0</v>
      </c>
      <c r="AE96" s="28">
        <f>SUMIFS(JU!$H$5107:$H$5107,JU!$F$5107:$F$5107,WS!$A96)</f>
        <v>0</v>
      </c>
      <c r="AF96" s="29">
        <f>SUMIFS(JU!$K$5107:$K$5107,JU!$I$5107:$I$5107,WS!$A96)</f>
        <v>0</v>
      </c>
      <c r="AG96" s="30">
        <f t="shared" si="123"/>
        <v>0</v>
      </c>
      <c r="AH96" s="28">
        <f>SUMIFS(JU!$H$5107:$H$5107,JU!$F$5107:$F$5107,WS!$A96)</f>
        <v>0</v>
      </c>
      <c r="AI96" s="29">
        <f>SUMIFS(JU!$K$5107:$K$5107,JU!$I$5107:$I$5107,WS!$A96)</f>
        <v>0</v>
      </c>
      <c r="AJ96" s="30">
        <f t="shared" si="124"/>
        <v>0</v>
      </c>
      <c r="AK96" s="28">
        <f>SUMIFS(JU!$H$5107:$H$5107,JU!$F$5107:$F$5107,WS!$A96)</f>
        <v>0</v>
      </c>
      <c r="AL96" s="29">
        <f>SUMIFS(JU!$K$5107:$K$5107,JU!$I$5107:$I$5107,WS!$A96)</f>
        <v>0</v>
      </c>
      <c r="AM96" s="30">
        <f t="shared" si="125"/>
        <v>0</v>
      </c>
      <c r="AN96" s="275">
        <f t="shared" si="110"/>
        <v>707283</v>
      </c>
      <c r="AP96" s="18">
        <f t="shared" si="111"/>
        <v>707283</v>
      </c>
    </row>
    <row r="97" spans="1:42">
      <c r="A97" s="6">
        <v>4205</v>
      </c>
      <c r="B97" s="31" t="s">
        <v>88</v>
      </c>
      <c r="C97" s="32"/>
      <c r="D97" s="28">
        <f>SUMIFS(JU!$H$5:$H$178,JU!$F$5:$F$178,WS!$A97)</f>
        <v>0</v>
      </c>
      <c r="E97" s="29">
        <f>SUMIFS(JU!$K$5:$K$178,JU!$I$5:$I$178,WS!$A97)</f>
        <v>0</v>
      </c>
      <c r="F97" s="30">
        <f t="shared" si="116"/>
        <v>0</v>
      </c>
      <c r="G97" s="28">
        <f>SUMIFS(JU!$H$180:$H$440,JU!$F$180:$F$440,WS!$A97)</f>
        <v>0</v>
      </c>
      <c r="H97" s="29">
        <f>SUMIFS(JU!$K$180:$K$440,JU!$I$180:$I$440,WS!$A97)</f>
        <v>0</v>
      </c>
      <c r="I97" s="30">
        <f t="shared" si="117"/>
        <v>0</v>
      </c>
      <c r="J97" s="28">
        <f>SUMIFS(JU!$H$441:$H$695,JU!$F$441:$F$695,WS!$A97)</f>
        <v>0</v>
      </c>
      <c r="K97" s="29">
        <f>SUMIFS(JU!$K$441:$K$695,JU!$I$441:$I$695,WS!$A97)</f>
        <v>0</v>
      </c>
      <c r="L97" s="30">
        <f t="shared" si="114"/>
        <v>0</v>
      </c>
      <c r="M97" s="28">
        <f>SUMIFS(JU!$H$696:$H$1062,JU!$F$696:$F$1062,$A97)</f>
        <v>0</v>
      </c>
      <c r="N97" s="29">
        <f>SUMIFS(JU!$K$696:$K$1062,JU!$I$696:$I$1062,WS!$A97)</f>
        <v>0</v>
      </c>
      <c r="O97" s="30">
        <f t="shared" si="115"/>
        <v>0</v>
      </c>
      <c r="P97" s="28">
        <f>SUMIFS(JU!$H$1063:$H$5007,JU!$F$1063:$F$5007,WS!$A97)</f>
        <v>0</v>
      </c>
      <c r="Q97" s="29">
        <f>SUMIFS(JU!$K$1063:$K$5007,JU!$I$1063:$I$5007,WS!$A97)</f>
        <v>0</v>
      </c>
      <c r="R97" s="30">
        <f t="shared" si="118"/>
        <v>0</v>
      </c>
      <c r="S97" s="28">
        <f>SUMIFS(JU!$H$5107:$H$5107,JU!$F$5107:$F$5107,WS!$A97)</f>
        <v>0</v>
      </c>
      <c r="T97" s="29">
        <f>SUMIFS(JU!$K$5107:$K$5107,JU!$I$5107:$I$5107,WS!$A97)</f>
        <v>0</v>
      </c>
      <c r="U97" s="30">
        <f t="shared" si="119"/>
        <v>0</v>
      </c>
      <c r="V97" s="28">
        <f>SUMIFS(JU!$H$5107:$H$5107,JU!$F$5107:$F$5107,WS!$A97)</f>
        <v>0</v>
      </c>
      <c r="W97" s="29">
        <f>SUMIFS(JU!$K$5107:$K$5107,JU!$I$5107:$I$5107,WS!$A97)</f>
        <v>0</v>
      </c>
      <c r="X97" s="30">
        <f t="shared" si="120"/>
        <v>0</v>
      </c>
      <c r="Y97" s="28">
        <f>SUMIFS(JU!$H$5107:$H$5107,JU!$F$5107:$F$5107,WS!$A97)</f>
        <v>0</v>
      </c>
      <c r="Z97" s="29">
        <f>SUMIFS(JU!$K$5107:$K$5107,JU!$I$5107:$I$5107,WS!$A97)</f>
        <v>0</v>
      </c>
      <c r="AA97" s="30">
        <f t="shared" si="121"/>
        <v>0</v>
      </c>
      <c r="AB97" s="28">
        <f>SUMIFS(JU!$H$5107:$H$5107,JU!$F$5107:$F$5107,WS!$A97)</f>
        <v>0</v>
      </c>
      <c r="AC97" s="29">
        <f>SUMIFS(JU!$K$5107:$K$5107,JU!$I$5107:$I$5107,WS!$A97)</f>
        <v>0</v>
      </c>
      <c r="AD97" s="30">
        <f t="shared" si="122"/>
        <v>0</v>
      </c>
      <c r="AE97" s="28">
        <f>SUMIFS(JU!$H$5107:$H$5107,JU!$F$5107:$F$5107,WS!$A97)</f>
        <v>0</v>
      </c>
      <c r="AF97" s="29">
        <f>SUMIFS(JU!$K$5107:$K$5107,JU!$I$5107:$I$5107,WS!$A97)</f>
        <v>0</v>
      </c>
      <c r="AG97" s="30">
        <f t="shared" si="123"/>
        <v>0</v>
      </c>
      <c r="AH97" s="28">
        <f>SUMIFS(JU!$H$5107:$H$5107,JU!$F$5107:$F$5107,WS!$A97)</f>
        <v>0</v>
      </c>
      <c r="AI97" s="29">
        <f>SUMIFS(JU!$K$5107:$K$5107,JU!$I$5107:$I$5107,WS!$A97)</f>
        <v>0</v>
      </c>
      <c r="AJ97" s="30">
        <f t="shared" si="124"/>
        <v>0</v>
      </c>
      <c r="AK97" s="28">
        <f>SUMIFS(JU!$H$5107:$H$5107,JU!$F$5107:$F$5107,WS!$A97)</f>
        <v>0</v>
      </c>
      <c r="AL97" s="29">
        <f>SUMIFS(JU!$K$5107:$K$5107,JU!$I$5107:$I$5107,WS!$A97)</f>
        <v>0</v>
      </c>
      <c r="AM97" s="30">
        <f t="shared" si="125"/>
        <v>0</v>
      </c>
      <c r="AN97" s="275">
        <f t="shared" si="110"/>
        <v>0</v>
      </c>
      <c r="AP97" s="18">
        <f t="shared" si="111"/>
        <v>0</v>
      </c>
    </row>
    <row r="98" spans="1:42">
      <c r="A98" s="6">
        <v>4206</v>
      </c>
      <c r="B98" s="31" t="s">
        <v>91</v>
      </c>
      <c r="C98" s="32"/>
      <c r="D98" s="28">
        <f>SUMIFS(JU!$H$5:$H$178,JU!$F$5:$F$178,WS!$A98)</f>
        <v>0</v>
      </c>
      <c r="E98" s="29">
        <f>SUMIFS(JU!$K$5:$K$178,JU!$I$5:$I$178,WS!$A98)</f>
        <v>0</v>
      </c>
      <c r="F98" s="30">
        <f t="shared" si="116"/>
        <v>0</v>
      </c>
      <c r="G98" s="28">
        <f>SUMIFS(JU!$H$180:$H$440,JU!$F$180:$F$440,WS!$A98)</f>
        <v>0</v>
      </c>
      <c r="H98" s="29">
        <f>SUMIFS(JU!$K$180:$K$440,JU!$I$180:$I$440,WS!$A98)</f>
        <v>0</v>
      </c>
      <c r="I98" s="30">
        <f t="shared" si="117"/>
        <v>0</v>
      </c>
      <c r="J98" s="28">
        <f>SUMIFS(JU!$H$441:$H$695,JU!$F$441:$F$695,WS!$A98)</f>
        <v>0</v>
      </c>
      <c r="K98" s="29">
        <f>SUMIFS(JU!$K$441:$K$695,JU!$I$441:$I$695,WS!$A98)</f>
        <v>0</v>
      </c>
      <c r="L98" s="30">
        <f t="shared" si="114"/>
        <v>0</v>
      </c>
      <c r="M98" s="28">
        <f>SUMIFS(JU!$H$696:$H$1062,JU!$F$696:$F$1062,$A98)</f>
        <v>0</v>
      </c>
      <c r="N98" s="29">
        <f>SUMIFS(JU!$K$696:$K$1062,JU!$I$696:$I$1062,WS!$A98)</f>
        <v>0</v>
      </c>
      <c r="O98" s="30">
        <f t="shared" si="115"/>
        <v>0</v>
      </c>
      <c r="P98" s="28">
        <f>SUMIFS(JU!$H$1063:$H$5007,JU!$F$1063:$F$5007,WS!$A98)</f>
        <v>0</v>
      </c>
      <c r="Q98" s="29">
        <f>SUMIFS(JU!$K$1063:$K$5007,JU!$I$1063:$I$5007,WS!$A98)</f>
        <v>0</v>
      </c>
      <c r="R98" s="30">
        <f t="shared" si="118"/>
        <v>0</v>
      </c>
      <c r="S98" s="28">
        <f>SUMIFS(JU!$H$5107:$H$5107,JU!$F$5107:$F$5107,WS!$A98)</f>
        <v>0</v>
      </c>
      <c r="T98" s="29">
        <f>SUMIFS(JU!$K$5107:$K$5107,JU!$I$5107:$I$5107,WS!$A98)</f>
        <v>0</v>
      </c>
      <c r="U98" s="30">
        <f t="shared" si="119"/>
        <v>0</v>
      </c>
      <c r="V98" s="28">
        <f>SUMIFS(JU!$H$5107:$H$5107,JU!$F$5107:$F$5107,WS!$A98)</f>
        <v>0</v>
      </c>
      <c r="W98" s="29">
        <f>SUMIFS(JU!$K$5107:$K$5107,JU!$I$5107:$I$5107,WS!$A98)</f>
        <v>0</v>
      </c>
      <c r="X98" s="30">
        <f t="shared" si="120"/>
        <v>0</v>
      </c>
      <c r="Y98" s="28">
        <f>SUMIFS(JU!$H$5107:$H$5107,JU!$F$5107:$F$5107,WS!$A98)</f>
        <v>0</v>
      </c>
      <c r="Z98" s="29">
        <f>SUMIFS(JU!$K$5107:$K$5107,JU!$I$5107:$I$5107,WS!$A98)</f>
        <v>0</v>
      </c>
      <c r="AA98" s="30">
        <f t="shared" si="121"/>
        <v>0</v>
      </c>
      <c r="AB98" s="28">
        <f>SUMIFS(JU!$H$5107:$H$5107,JU!$F$5107:$F$5107,WS!$A98)</f>
        <v>0</v>
      </c>
      <c r="AC98" s="29">
        <f>SUMIFS(JU!$K$5107:$K$5107,JU!$I$5107:$I$5107,WS!$A98)</f>
        <v>0</v>
      </c>
      <c r="AD98" s="30">
        <f t="shared" si="122"/>
        <v>0</v>
      </c>
      <c r="AE98" s="28">
        <f>SUMIFS(JU!$H$5107:$H$5107,JU!$F$5107:$F$5107,WS!$A98)</f>
        <v>0</v>
      </c>
      <c r="AF98" s="29">
        <f>SUMIFS(JU!$K$5107:$K$5107,JU!$I$5107:$I$5107,WS!$A98)</f>
        <v>0</v>
      </c>
      <c r="AG98" s="30">
        <f t="shared" si="123"/>
        <v>0</v>
      </c>
      <c r="AH98" s="28">
        <f>SUMIFS(JU!$H$5107:$H$5107,JU!$F$5107:$F$5107,WS!$A98)</f>
        <v>0</v>
      </c>
      <c r="AI98" s="29">
        <f>SUMIFS(JU!$K$5107:$K$5107,JU!$I$5107:$I$5107,WS!$A98)</f>
        <v>0</v>
      </c>
      <c r="AJ98" s="30">
        <f t="shared" si="124"/>
        <v>0</v>
      </c>
      <c r="AK98" s="28">
        <f>SUMIFS(JU!$H$5107:$H$5107,JU!$F$5107:$F$5107,WS!$A98)</f>
        <v>0</v>
      </c>
      <c r="AL98" s="29">
        <f>SUMIFS(JU!$K$5107:$K$5107,JU!$I$5107:$I$5107,WS!$A98)</f>
        <v>0</v>
      </c>
      <c r="AM98" s="30">
        <f t="shared" si="125"/>
        <v>0</v>
      </c>
      <c r="AN98" s="275">
        <f t="shared" si="110"/>
        <v>0</v>
      </c>
      <c r="AP98" s="18">
        <f t="shared" si="111"/>
        <v>0</v>
      </c>
    </row>
    <row r="99" spans="1:42" s="37" customFormat="1">
      <c r="A99" s="287" t="s">
        <v>220</v>
      </c>
      <c r="B99" s="287"/>
      <c r="C99" s="38">
        <f>SUM(C93:C98)</f>
        <v>0</v>
      </c>
      <c r="D99" s="28">
        <f>SUMIFS(JU!$H$5:$H$178,JU!$F$5:$F$178,WS!$A99)</f>
        <v>0</v>
      </c>
      <c r="E99" s="29">
        <f>SUMIFS(JU!$K$5:$K$178,JU!$I$5:$I$178,WS!$A99)</f>
        <v>0</v>
      </c>
      <c r="F99" s="36">
        <f>SUM(F93:F98)</f>
        <v>0</v>
      </c>
      <c r="G99" s="28">
        <f>SUMIFS(JU!$H$180:$H$440,JU!$F$180:$F$440,WS!$A99)</f>
        <v>0</v>
      </c>
      <c r="H99" s="29">
        <f>SUMIFS(JU!$K$180:$K$440,JU!$I$180:$I$440,WS!$A99)</f>
        <v>0</v>
      </c>
      <c r="I99" s="36">
        <f>SUM(I93:I98)</f>
        <v>293644</v>
      </c>
      <c r="J99" s="28">
        <f>SUMIFS(JU!$H$441:$H$695,JU!$F$441:$F$695,WS!$A99)</f>
        <v>0</v>
      </c>
      <c r="K99" s="29">
        <f>SUMIFS(JU!$K$441:$K$695,JU!$I$441:$I$695,WS!$A99)</f>
        <v>0</v>
      </c>
      <c r="L99" s="36">
        <f>SUM(L93:L98)</f>
        <v>253029</v>
      </c>
      <c r="M99" s="28">
        <f>SUMIFS(JU!$H$696:$H$1062,JU!$F$696:$F$1062,$A99)</f>
        <v>0</v>
      </c>
      <c r="N99" s="29">
        <f>SUMIFS(JU!$K$696:$K$1062,JU!$I$696:$I$1062,WS!$A99)</f>
        <v>0</v>
      </c>
      <c r="O99" s="36">
        <f>SUM(O93:O98)</f>
        <v>454254</v>
      </c>
      <c r="P99" s="28">
        <f>SUMIFS(JU!$H$1063:$H$5007,JU!$F$1063:$F$5007,WS!$A99)</f>
        <v>0</v>
      </c>
      <c r="Q99" s="29">
        <f>SUMIFS(JU!$K$1063:$K$5007,JU!$I$1063:$I$5007,WS!$A99)</f>
        <v>0</v>
      </c>
      <c r="R99" s="36">
        <f>SUM(R93:R98)</f>
        <v>0</v>
      </c>
      <c r="S99" s="28">
        <f>SUMIFS(JU!$H$5107:$H$5107,JU!$F$5107:$F$5107,WS!$A99)</f>
        <v>0</v>
      </c>
      <c r="T99" s="29">
        <f>SUMIFS(JU!$K$5107:$K$5107,JU!$I$5107:$I$5107,WS!$A99)</f>
        <v>0</v>
      </c>
      <c r="U99" s="36">
        <f>SUM(U93:U98)</f>
        <v>0</v>
      </c>
      <c r="V99" s="28">
        <f>SUMIFS(JU!$H$5107:$H$5107,JU!$F$5107:$F$5107,WS!$A99)</f>
        <v>0</v>
      </c>
      <c r="W99" s="29">
        <f>SUMIFS(JU!$K$5107:$K$5107,JU!$I$5107:$I$5107,WS!$A99)</f>
        <v>0</v>
      </c>
      <c r="X99" s="36">
        <f>SUM(X93:X98)</f>
        <v>0</v>
      </c>
      <c r="Y99" s="28">
        <f>SUMIFS(JU!$H$5107:$H$5107,JU!$F$5107:$F$5107,WS!$A99)</f>
        <v>0</v>
      </c>
      <c r="Z99" s="29">
        <f>SUMIFS(JU!$K$5107:$K$5107,JU!$I$5107:$I$5107,WS!$A99)</f>
        <v>0</v>
      </c>
      <c r="AA99" s="36">
        <f>SUM(AA93:AA98)</f>
        <v>0</v>
      </c>
      <c r="AB99" s="28">
        <f>SUMIFS(JU!$H$5107:$H$5107,JU!$F$5107:$F$5107,WS!$A99)</f>
        <v>0</v>
      </c>
      <c r="AC99" s="29">
        <f>SUMIFS(JU!$K$5107:$K$5107,JU!$I$5107:$I$5107,WS!$A99)</f>
        <v>0</v>
      </c>
      <c r="AD99" s="36">
        <f>SUM(AD93:AD98)</f>
        <v>0</v>
      </c>
      <c r="AE99" s="28">
        <f>SUMIFS(JU!$H$5107:$H$5107,JU!$F$5107:$F$5107,WS!$A99)</f>
        <v>0</v>
      </c>
      <c r="AF99" s="29">
        <f>SUMIFS(JU!$K$5107:$K$5107,JU!$I$5107:$I$5107,WS!$A99)</f>
        <v>0</v>
      </c>
      <c r="AG99" s="36">
        <f>SUM(AG93:AG98)</f>
        <v>0</v>
      </c>
      <c r="AH99" s="28">
        <f>SUMIFS(JU!$H$5107:$H$5107,JU!$F$5107:$F$5107,WS!$A99)</f>
        <v>0</v>
      </c>
      <c r="AI99" s="29">
        <f>SUMIFS(JU!$K$5107:$K$5107,JU!$I$5107:$I$5107,WS!$A99)</f>
        <v>0</v>
      </c>
      <c r="AJ99" s="36">
        <f t="shared" ref="AJ99" si="126">SUM(AJ93:AJ98)</f>
        <v>0</v>
      </c>
      <c r="AK99" s="28">
        <f>SUMIFS(JU!$H$5107:$H$5107,JU!$F$5107:$F$5107,WS!$A99)</f>
        <v>0</v>
      </c>
      <c r="AL99" s="29">
        <f>SUMIFS(JU!$K$5107:$K$5107,JU!$I$5107:$I$5107,WS!$A99)</f>
        <v>0</v>
      </c>
      <c r="AM99" s="36">
        <f t="shared" ref="AM99" si="127">SUM(AM93:AM98)</f>
        <v>0</v>
      </c>
      <c r="AN99" s="275">
        <f t="shared" si="110"/>
        <v>1000927</v>
      </c>
      <c r="AP99" s="18">
        <f t="shared" si="111"/>
        <v>1000927</v>
      </c>
    </row>
    <row r="100" spans="1:42" s="37" customFormat="1">
      <c r="A100" s="287" t="s">
        <v>219</v>
      </c>
      <c r="B100" s="287"/>
      <c r="C100" s="38">
        <f>C91+C99</f>
        <v>0</v>
      </c>
      <c r="D100" s="28">
        <f>SUMIFS(JU!$H$5:$H$178,JU!$F$5:$F$178,WS!$A100)</f>
        <v>0</v>
      </c>
      <c r="E100" s="29">
        <f>SUMIFS(JU!$K$5:$K$178,JU!$I$5:$I$178,WS!$A100)</f>
        <v>0</v>
      </c>
      <c r="F100" s="36">
        <f>F91+F99</f>
        <v>119000000</v>
      </c>
      <c r="G100" s="28">
        <f>SUMIFS(JU!$H$180:$H$440,JU!$F$180:$F$440,WS!$A100)</f>
        <v>0</v>
      </c>
      <c r="H100" s="29">
        <f>SUMIFS(JU!$K$180:$K$440,JU!$I$180:$I$440,WS!$A100)</f>
        <v>0</v>
      </c>
      <c r="I100" s="36">
        <f>I91+I99</f>
        <v>793693644</v>
      </c>
      <c r="J100" s="28">
        <f>SUMIFS(JU!$H$441:$H$695,JU!$F$441:$F$695,WS!$A100)</f>
        <v>0</v>
      </c>
      <c r="K100" s="29">
        <f>SUMIFS(JU!$K$441:$K$695,JU!$I$441:$I$695,WS!$A100)</f>
        <v>0</v>
      </c>
      <c r="L100" s="36">
        <f>L91+L99</f>
        <v>538253029</v>
      </c>
      <c r="M100" s="28">
        <f>SUMIFS(JU!$H$696:$H$1062,JU!$F$696:$F$1062,$A100)</f>
        <v>0</v>
      </c>
      <c r="N100" s="29">
        <f>SUMIFS(JU!$K$696:$K$1062,JU!$I$696:$I$1062,WS!$A100)</f>
        <v>0</v>
      </c>
      <c r="O100" s="36">
        <f>O91+O99</f>
        <v>2272354254</v>
      </c>
      <c r="P100" s="28">
        <f>SUMIFS(JU!$H$1063:$H$5007,JU!$F$1063:$F$5007,WS!$A100)</f>
        <v>0</v>
      </c>
      <c r="Q100" s="29">
        <f>SUMIFS(JU!$K$1063:$K$5007,JU!$I$1063:$I$5007,WS!$A100)</f>
        <v>0</v>
      </c>
      <c r="R100" s="36">
        <f>R91+R99</f>
        <v>3157600000</v>
      </c>
      <c r="S100" s="28">
        <f>SUMIFS(JU!$H$5107:$H$5107,JU!$F$5107:$F$5107,WS!$A100)</f>
        <v>0</v>
      </c>
      <c r="T100" s="29">
        <f>SUMIFS(JU!$K$5107:$K$5107,JU!$I$5107:$I$5107,WS!$A100)</f>
        <v>0</v>
      </c>
      <c r="U100" s="36">
        <f>U91+U99</f>
        <v>0</v>
      </c>
      <c r="V100" s="28">
        <f>SUMIFS(JU!$H$5107:$H$5107,JU!$F$5107:$F$5107,WS!$A100)</f>
        <v>0</v>
      </c>
      <c r="W100" s="29">
        <f>SUMIFS(JU!$K$5107:$K$5107,JU!$I$5107:$I$5107,WS!$A100)</f>
        <v>0</v>
      </c>
      <c r="X100" s="36">
        <f>X91+X99</f>
        <v>0</v>
      </c>
      <c r="Y100" s="28">
        <f>SUMIFS(JU!$H$5107:$H$5107,JU!$F$5107:$F$5107,WS!$A100)</f>
        <v>0</v>
      </c>
      <c r="Z100" s="29">
        <f>SUMIFS(JU!$K$5107:$K$5107,JU!$I$5107:$I$5107,WS!$A100)</f>
        <v>0</v>
      </c>
      <c r="AA100" s="36">
        <f>AA91+AA99</f>
        <v>0</v>
      </c>
      <c r="AB100" s="28">
        <f>SUMIFS(JU!$H$5107:$H$5107,JU!$F$5107:$F$5107,WS!$A100)</f>
        <v>0</v>
      </c>
      <c r="AC100" s="29">
        <f>SUMIFS(JU!$K$5107:$K$5107,JU!$I$5107:$I$5107,WS!$A100)</f>
        <v>0</v>
      </c>
      <c r="AD100" s="36">
        <f>AD91+AD99</f>
        <v>0</v>
      </c>
      <c r="AE100" s="28">
        <f>SUMIFS(JU!$H$5107:$H$5107,JU!$F$5107:$F$5107,WS!$A100)</f>
        <v>0</v>
      </c>
      <c r="AF100" s="29">
        <f>SUMIFS(JU!$K$5107:$K$5107,JU!$I$5107:$I$5107,WS!$A100)</f>
        <v>0</v>
      </c>
      <c r="AG100" s="36">
        <f>AG91+AG99</f>
        <v>0</v>
      </c>
      <c r="AH100" s="28">
        <f>SUMIFS(JU!$H$5107:$H$5107,JU!$F$5107:$F$5107,WS!$A100)</f>
        <v>0</v>
      </c>
      <c r="AI100" s="29">
        <f>SUMIFS(JU!$K$5107:$K$5107,JU!$I$5107:$I$5107,WS!$A100)</f>
        <v>0</v>
      </c>
      <c r="AJ100" s="36">
        <f t="shared" ref="AJ100" si="128">AJ91+AJ99</f>
        <v>0</v>
      </c>
      <c r="AK100" s="28">
        <f>SUMIFS(JU!$H$5107:$H$5107,JU!$F$5107:$F$5107,WS!$A100)</f>
        <v>0</v>
      </c>
      <c r="AL100" s="29">
        <f>SUMIFS(JU!$K$5107:$K$5107,JU!$I$5107:$I$5107,WS!$A100)</f>
        <v>0</v>
      </c>
      <c r="AM100" s="36">
        <f t="shared" ref="AM100" si="129">AM91+AM99</f>
        <v>0</v>
      </c>
      <c r="AN100" s="275">
        <f t="shared" si="110"/>
        <v>6880900927</v>
      </c>
      <c r="AP100" s="18">
        <f t="shared" si="111"/>
        <v>6880900927</v>
      </c>
    </row>
    <row r="101" spans="1:42" s="37" customFormat="1">
      <c r="A101" s="280" t="s">
        <v>105</v>
      </c>
      <c r="B101" s="280"/>
      <c r="C101" s="38"/>
      <c r="D101" s="28">
        <f>SUMIFS(JU!$H$5:$H$178,JU!$F$5:$F$178,WS!$A101)</f>
        <v>0</v>
      </c>
      <c r="E101" s="29">
        <f>SUMIFS(JU!$K$5:$K$178,JU!$I$5:$I$178,WS!$A101)</f>
        <v>0</v>
      </c>
      <c r="F101" s="36"/>
      <c r="G101" s="28">
        <f>SUMIFS(JU!$H$180:$H$440,JU!$F$180:$F$440,WS!$A101)</f>
        <v>0</v>
      </c>
      <c r="H101" s="29">
        <f>SUMIFS(JU!$K$180:$K$440,JU!$I$180:$I$440,WS!$A101)</f>
        <v>0</v>
      </c>
      <c r="I101" s="36"/>
      <c r="J101" s="28">
        <f>SUMIFS(JU!$H$441:$H$695,JU!$F$441:$F$695,WS!$A101)</f>
        <v>0</v>
      </c>
      <c r="K101" s="29">
        <f>SUMIFS(JU!$K$441:$K$695,JU!$I$441:$I$695,WS!$A101)</f>
        <v>0</v>
      </c>
      <c r="L101" s="36"/>
      <c r="M101" s="28">
        <f>SUMIFS(JU!$H$696:$H$1062,JU!$F$696:$F$1062,$A101)</f>
        <v>0</v>
      </c>
      <c r="N101" s="29">
        <f>SUMIFS(JU!$K$696:$K$1062,JU!$I$696:$I$1062,WS!$A101)</f>
        <v>0</v>
      </c>
      <c r="O101" s="36"/>
      <c r="P101" s="28">
        <f>SUMIFS(JU!$H$1063:$H$5007,JU!$F$1063:$F$5007,WS!$A101)</f>
        <v>0</v>
      </c>
      <c r="Q101" s="29">
        <f>SUMIFS(JU!$K$1063:$K$5007,JU!$I$1063:$I$5007,WS!$A101)</f>
        <v>0</v>
      </c>
      <c r="R101" s="36"/>
      <c r="S101" s="28">
        <f>SUMIFS(JU!$H$5107:$H$5107,JU!$F$5107:$F$5107,WS!$A101)</f>
        <v>0</v>
      </c>
      <c r="T101" s="29">
        <f>SUMIFS(JU!$K$5107:$K$5107,JU!$I$5107:$I$5107,WS!$A101)</f>
        <v>0</v>
      </c>
      <c r="U101" s="36"/>
      <c r="V101" s="28">
        <f>SUMIFS(JU!$H$5107:$H$5107,JU!$F$5107:$F$5107,WS!$A101)</f>
        <v>0</v>
      </c>
      <c r="W101" s="29">
        <f>SUMIFS(JU!$K$5107:$K$5107,JU!$I$5107:$I$5107,WS!$A101)</f>
        <v>0</v>
      </c>
      <c r="X101" s="36"/>
      <c r="Y101" s="28">
        <f>SUMIFS(JU!$H$5107:$H$5107,JU!$F$5107:$F$5107,WS!$A101)</f>
        <v>0</v>
      </c>
      <c r="Z101" s="29">
        <f>SUMIFS(JU!$K$5107:$K$5107,JU!$I$5107:$I$5107,WS!$A101)</f>
        <v>0</v>
      </c>
      <c r="AA101" s="36"/>
      <c r="AB101" s="28">
        <f>SUMIFS(JU!$H$5107:$H$5107,JU!$F$5107:$F$5107,WS!$A101)</f>
        <v>0</v>
      </c>
      <c r="AC101" s="29">
        <f>SUMIFS(JU!$K$5107:$K$5107,JU!$I$5107:$I$5107,WS!$A101)</f>
        <v>0</v>
      </c>
      <c r="AD101" s="36"/>
      <c r="AE101" s="28">
        <f>SUMIFS(JU!$H$5107:$H$5107,JU!$F$5107:$F$5107,WS!$A101)</f>
        <v>0</v>
      </c>
      <c r="AF101" s="29">
        <f>SUMIFS(JU!$K$5107:$K$5107,JU!$I$5107:$I$5107,WS!$A101)</f>
        <v>0</v>
      </c>
      <c r="AG101" s="36"/>
      <c r="AH101" s="28">
        <f>SUMIFS(JU!$H$5107:$H$5107,JU!$F$5107:$F$5107,WS!$A101)</f>
        <v>0</v>
      </c>
      <c r="AI101" s="29">
        <f>SUMIFS(JU!$K$5107:$K$5107,JU!$I$5107:$I$5107,WS!$A101)</f>
        <v>0</v>
      </c>
      <c r="AJ101" s="36"/>
      <c r="AK101" s="28">
        <f>SUMIFS(JU!$H$5107:$H$5107,JU!$F$5107:$F$5107,WS!$A101)</f>
        <v>0</v>
      </c>
      <c r="AL101" s="29">
        <f>SUMIFS(JU!$K$5107:$K$5107,JU!$I$5107:$I$5107,WS!$A101)</f>
        <v>0</v>
      </c>
      <c r="AM101" s="36"/>
      <c r="AN101" s="275">
        <f t="shared" si="110"/>
        <v>0</v>
      </c>
      <c r="AP101" s="18">
        <f t="shared" si="111"/>
        <v>0</v>
      </c>
    </row>
    <row r="102" spans="1:42" s="37" customFormat="1">
      <c r="A102" s="6">
        <v>5101</v>
      </c>
      <c r="B102" s="31" t="s">
        <v>70</v>
      </c>
      <c r="C102" s="32"/>
      <c r="D102" s="28">
        <f>SUMIFS(JU!$H$5:$H$178,JU!$F$5:$F$178,WS!$A102)</f>
        <v>0</v>
      </c>
      <c r="E102" s="29">
        <f>SUMIFS(JU!$K$5:$K$178,JU!$I$5:$I$178,WS!$A102)</f>
        <v>0</v>
      </c>
      <c r="F102" s="30">
        <f>D102-E102</f>
        <v>0</v>
      </c>
      <c r="G102" s="28">
        <f>SUMIFS(JU!$H$180:$H$440,JU!$F$180:$F$440,WS!$A102)</f>
        <v>0</v>
      </c>
      <c r="H102" s="29">
        <f>SUMIFS(JU!$K$180:$K$440,JU!$I$180:$I$440,WS!$A102)</f>
        <v>0</v>
      </c>
      <c r="I102" s="30">
        <f>G102-H102</f>
        <v>0</v>
      </c>
      <c r="J102" s="28">
        <f>SUMIFS(JU!$H$441:$H$695,JU!$F$441:$F$695,WS!$A102)</f>
        <v>0</v>
      </c>
      <c r="K102" s="29">
        <f>SUMIFS(JU!$K$441:$K$695,JU!$I$441:$I$695,WS!$A102)</f>
        <v>0</v>
      </c>
      <c r="L102" s="30">
        <f t="shared" ref="L102:L112" si="130">J102-K102</f>
        <v>0</v>
      </c>
      <c r="M102" s="28">
        <f>SUMIFS(JU!$H$696:$H$1062,JU!$F$696:$F$1062,$A102)</f>
        <v>0</v>
      </c>
      <c r="N102" s="29">
        <f>SUMIFS(JU!$K$696:$K$1062,JU!$I$696:$I$1062,WS!$A102)</f>
        <v>0</v>
      </c>
      <c r="O102" s="30">
        <f t="shared" ref="O102:O112" si="131">M102-N102</f>
        <v>0</v>
      </c>
      <c r="P102" s="28">
        <f>SUMIFS(JU!$H$1063:$H$5007,JU!$F$1063:$F$5007,WS!$A102)</f>
        <v>0</v>
      </c>
      <c r="Q102" s="29">
        <f>SUMIFS(JU!$K$1063:$K$5007,JU!$I$1063:$I$5007,WS!$A102)</f>
        <v>0</v>
      </c>
      <c r="R102" s="30">
        <f>P102-Q102</f>
        <v>0</v>
      </c>
      <c r="S102" s="28">
        <f>SUMIFS(JU!$H$5107:$H$5107,JU!$F$5107:$F$5107,WS!$A102)</f>
        <v>0</v>
      </c>
      <c r="T102" s="29">
        <f>SUMIFS(JU!$K$5107:$K$5107,JU!$I$5107:$I$5107,WS!$A102)</f>
        <v>0</v>
      </c>
      <c r="U102" s="30">
        <f>S102-T102</f>
        <v>0</v>
      </c>
      <c r="V102" s="28">
        <f>SUMIFS(JU!$H$5107:$H$5107,JU!$F$5107:$F$5107,WS!$A102)</f>
        <v>0</v>
      </c>
      <c r="W102" s="29">
        <f>SUMIFS(JU!$K$5107:$K$5107,JU!$I$5107:$I$5107,WS!$A102)</f>
        <v>0</v>
      </c>
      <c r="X102" s="30">
        <f>V102-W102</f>
        <v>0</v>
      </c>
      <c r="Y102" s="28">
        <f>SUMIFS(JU!$H$5107:$H$5107,JU!$F$5107:$F$5107,WS!$A102)</f>
        <v>0</v>
      </c>
      <c r="Z102" s="29">
        <f>SUMIFS(JU!$K$5107:$K$5107,JU!$I$5107:$I$5107,WS!$A102)</f>
        <v>0</v>
      </c>
      <c r="AA102" s="30">
        <f>Y102-Z102</f>
        <v>0</v>
      </c>
      <c r="AB102" s="28">
        <f>SUMIFS(JU!$H$5107:$H$5107,JU!$F$5107:$F$5107,WS!$A102)</f>
        <v>0</v>
      </c>
      <c r="AC102" s="29">
        <f>SUMIFS(JU!$K$5107:$K$5107,JU!$I$5107:$I$5107,WS!$A102)</f>
        <v>0</v>
      </c>
      <c r="AD102" s="30">
        <f>AB102-AC102</f>
        <v>0</v>
      </c>
      <c r="AE102" s="28">
        <f>SUMIFS(JU!$H$5107:$H$5107,JU!$F$5107:$F$5107,WS!$A102)</f>
        <v>0</v>
      </c>
      <c r="AF102" s="29">
        <f>SUMIFS(JU!$K$5107:$K$5107,JU!$I$5107:$I$5107,WS!$A102)</f>
        <v>0</v>
      </c>
      <c r="AG102" s="30">
        <f>AE102-AF102</f>
        <v>0</v>
      </c>
      <c r="AH102" s="28">
        <f>SUMIFS(JU!$H$5107:$H$5107,JU!$F$5107:$F$5107,WS!$A102)</f>
        <v>0</v>
      </c>
      <c r="AI102" s="29">
        <f>SUMIFS(JU!$K$5107:$K$5107,JU!$I$5107:$I$5107,WS!$A102)</f>
        <v>0</v>
      </c>
      <c r="AJ102" s="30">
        <f>AH102-AI102</f>
        <v>0</v>
      </c>
      <c r="AK102" s="28">
        <f>SUMIFS(JU!$H$5107:$H$5107,JU!$F$5107:$F$5107,WS!$A102)</f>
        <v>0</v>
      </c>
      <c r="AL102" s="29">
        <f>SUMIFS(JU!$K$5107:$K$5107,JU!$I$5107:$I$5107,WS!$A102)</f>
        <v>0</v>
      </c>
      <c r="AM102" s="30">
        <f>AK102-AL102</f>
        <v>0</v>
      </c>
      <c r="AN102" s="275">
        <f t="shared" si="110"/>
        <v>0</v>
      </c>
      <c r="AP102" s="18">
        <f t="shared" si="111"/>
        <v>0</v>
      </c>
    </row>
    <row r="103" spans="1:42">
      <c r="A103" s="6">
        <v>5102</v>
      </c>
      <c r="B103" s="31" t="s">
        <v>201</v>
      </c>
      <c r="C103" s="32"/>
      <c r="D103" s="28">
        <f>SUMIFS(JU!$H$5:$H$178,JU!$F$5:$F$178,WS!$A103)</f>
        <v>0</v>
      </c>
      <c r="E103" s="29">
        <f>SUMIFS(JU!$K$5:$K$178,JU!$I$5:$I$178,WS!$A103)</f>
        <v>0</v>
      </c>
      <c r="F103" s="30">
        <f t="shared" ref="F103:F111" si="132">D103-E103</f>
        <v>0</v>
      </c>
      <c r="G103" s="28">
        <f>SUMIFS(JU!$H$180:$H$440,JU!$F$180:$F$440,WS!$A103)</f>
        <v>195000000</v>
      </c>
      <c r="H103" s="29">
        <f>SUMIFS(JU!$K$180:$K$440,JU!$I$180:$I$440,WS!$A103)</f>
        <v>0</v>
      </c>
      <c r="I103" s="30">
        <f t="shared" ref="I103:I111" si="133">G103-H103</f>
        <v>195000000</v>
      </c>
      <c r="J103" s="28">
        <f>SUMIFS(JU!$H$441:$H$695,JU!$F$441:$F$695,WS!$A103)</f>
        <v>195000000</v>
      </c>
      <c r="K103" s="29">
        <f>SUMIFS(JU!$K$441:$K$695,JU!$I$441:$I$695,WS!$A103)</f>
        <v>0</v>
      </c>
      <c r="L103" s="30">
        <f t="shared" si="130"/>
        <v>195000000</v>
      </c>
      <c r="M103" s="28">
        <f>SUMIFS(JU!$H$696:$H$1062,JU!$F$696:$F$1062,$A103)</f>
        <v>780000000</v>
      </c>
      <c r="N103" s="29">
        <f>SUMIFS(JU!$K$696:$K$1062,JU!$I$696:$I$1062,WS!$A103)</f>
        <v>0</v>
      </c>
      <c r="O103" s="30">
        <f t="shared" si="131"/>
        <v>780000000</v>
      </c>
      <c r="P103" s="28">
        <f>SUMIFS(JU!$H$1063:$H$5007,JU!$F$1063:$F$5007,WS!$A103)</f>
        <v>845000000</v>
      </c>
      <c r="Q103" s="29">
        <f>SUMIFS(JU!$K$1063:$K$5007,JU!$I$1063:$I$5007,WS!$A103)</f>
        <v>0</v>
      </c>
      <c r="R103" s="30">
        <f t="shared" ref="R103:R111" si="134">P103-Q103</f>
        <v>845000000</v>
      </c>
      <c r="S103" s="28">
        <f>SUMIFS(JU!$H$5107:$H$5107,JU!$F$5107:$F$5107,WS!$A103)</f>
        <v>0</v>
      </c>
      <c r="T103" s="29">
        <f>SUMIFS(JU!$K$5107:$K$5107,JU!$I$5107:$I$5107,WS!$A103)</f>
        <v>0</v>
      </c>
      <c r="U103" s="30">
        <f t="shared" ref="U103:U111" si="135">S103-T103</f>
        <v>0</v>
      </c>
      <c r="V103" s="28">
        <f>SUMIFS(JU!$H$5107:$H$5107,JU!$F$5107:$F$5107,WS!$A103)</f>
        <v>0</v>
      </c>
      <c r="W103" s="29">
        <f>SUMIFS(JU!$K$5107:$K$5107,JU!$I$5107:$I$5107,WS!$A103)</f>
        <v>0</v>
      </c>
      <c r="X103" s="30">
        <f t="shared" ref="X103:X111" si="136">V103-W103</f>
        <v>0</v>
      </c>
      <c r="Y103" s="28">
        <f>SUMIFS(JU!$H$5107:$H$5107,JU!$F$5107:$F$5107,WS!$A103)</f>
        <v>0</v>
      </c>
      <c r="Z103" s="29">
        <f>SUMIFS(JU!$K$5107:$K$5107,JU!$I$5107:$I$5107,WS!$A103)</f>
        <v>0</v>
      </c>
      <c r="AA103" s="30">
        <f t="shared" ref="AA103:AA111" si="137">Y103-Z103</f>
        <v>0</v>
      </c>
      <c r="AB103" s="28">
        <f>SUMIFS(JU!$H$5107:$H$5107,JU!$F$5107:$F$5107,WS!$A103)</f>
        <v>0</v>
      </c>
      <c r="AC103" s="29">
        <f>SUMIFS(JU!$K$5107:$K$5107,JU!$I$5107:$I$5107,WS!$A103)</f>
        <v>0</v>
      </c>
      <c r="AD103" s="30">
        <f t="shared" ref="AD103:AD111" si="138">AB103-AC103</f>
        <v>0</v>
      </c>
      <c r="AE103" s="28">
        <f>SUMIFS(JU!$H$5107:$H$5107,JU!$F$5107:$F$5107,WS!$A103)</f>
        <v>0</v>
      </c>
      <c r="AF103" s="29">
        <f>SUMIFS(JU!$K$5107:$K$5107,JU!$I$5107:$I$5107,WS!$A103)</f>
        <v>0</v>
      </c>
      <c r="AG103" s="30">
        <f t="shared" ref="AG103:AG111" si="139">AE103-AF103</f>
        <v>0</v>
      </c>
      <c r="AH103" s="28">
        <f>SUMIFS(JU!$H$5107:$H$5107,JU!$F$5107:$F$5107,WS!$A103)</f>
        <v>0</v>
      </c>
      <c r="AI103" s="29">
        <f>SUMIFS(JU!$K$5107:$K$5107,JU!$I$5107:$I$5107,WS!$A103)</f>
        <v>0</v>
      </c>
      <c r="AJ103" s="30">
        <f t="shared" ref="AJ103:AJ112" si="140">AH103-AI103</f>
        <v>0</v>
      </c>
      <c r="AK103" s="28">
        <f>SUMIFS(JU!$H$5107:$H$5107,JU!$F$5107:$F$5107,WS!$A103)</f>
        <v>0</v>
      </c>
      <c r="AL103" s="29">
        <f>SUMIFS(JU!$K$5107:$K$5107,JU!$I$5107:$I$5107,WS!$A103)</f>
        <v>0</v>
      </c>
      <c r="AM103" s="30">
        <f t="shared" ref="AM103:AM112" si="141">AK103-AL103</f>
        <v>0</v>
      </c>
      <c r="AN103" s="275">
        <f t="shared" si="110"/>
        <v>2015000000</v>
      </c>
      <c r="AP103" s="18">
        <f t="shared" si="111"/>
        <v>2015000000</v>
      </c>
    </row>
    <row r="104" spans="1:42">
      <c r="A104" s="6">
        <v>5103</v>
      </c>
      <c r="B104" s="31" t="s">
        <v>202</v>
      </c>
      <c r="C104" s="32"/>
      <c r="D104" s="28">
        <f>SUMIFS(JU!$H$5:$H$178,JU!$F$5:$F$178,WS!$A104)</f>
        <v>0</v>
      </c>
      <c r="E104" s="29">
        <f>SUMIFS(JU!$K$5:$K$178,JU!$I$5:$I$178,WS!$A104)</f>
        <v>0</v>
      </c>
      <c r="F104" s="30">
        <f t="shared" si="132"/>
        <v>0</v>
      </c>
      <c r="G104" s="28">
        <f>SUMIFS(JU!$H$180:$H$440,JU!$F$180:$F$440,WS!$A104)</f>
        <v>0</v>
      </c>
      <c r="H104" s="29">
        <f>SUMIFS(JU!$K$180:$K$440,JU!$I$180:$I$440,WS!$A104)</f>
        <v>0</v>
      </c>
      <c r="I104" s="30">
        <f t="shared" si="133"/>
        <v>0</v>
      </c>
      <c r="J104" s="28">
        <f>SUMIFS(JU!$H$441:$H$695,JU!$F$441:$F$695,WS!$A104)</f>
        <v>0</v>
      </c>
      <c r="K104" s="29">
        <f>SUMIFS(JU!$K$441:$K$695,JU!$I$441:$I$695,WS!$A104)</f>
        <v>0</v>
      </c>
      <c r="L104" s="30">
        <f t="shared" si="130"/>
        <v>0</v>
      </c>
      <c r="M104" s="28">
        <f>SUMIFS(JU!$H$696:$H$1062,JU!$F$696:$F$1062,$A104)</f>
        <v>0</v>
      </c>
      <c r="N104" s="29">
        <f>SUMIFS(JU!$K$696:$K$1062,JU!$I$696:$I$1062,WS!$A104)</f>
        <v>0</v>
      </c>
      <c r="O104" s="30">
        <f t="shared" si="131"/>
        <v>0</v>
      </c>
      <c r="P104" s="28">
        <f>SUMIFS(JU!$H$1063:$H$5007,JU!$F$1063:$F$5007,WS!$A104)</f>
        <v>0</v>
      </c>
      <c r="Q104" s="29">
        <f>SUMIFS(JU!$K$1063:$K$5007,JU!$I$1063:$I$5007,WS!$A104)</f>
        <v>0</v>
      </c>
      <c r="R104" s="30">
        <f t="shared" si="134"/>
        <v>0</v>
      </c>
      <c r="S104" s="28">
        <f>SUMIFS(JU!$H$5107:$H$5107,JU!$F$5107:$F$5107,WS!$A104)</f>
        <v>0</v>
      </c>
      <c r="T104" s="29">
        <f>SUMIFS(JU!$K$5107:$K$5107,JU!$I$5107:$I$5107,WS!$A104)</f>
        <v>0</v>
      </c>
      <c r="U104" s="30">
        <f t="shared" si="135"/>
        <v>0</v>
      </c>
      <c r="V104" s="28">
        <f>SUMIFS(JU!$H$5107:$H$5107,JU!$F$5107:$F$5107,WS!$A104)</f>
        <v>0</v>
      </c>
      <c r="W104" s="29">
        <f>SUMIFS(JU!$K$5107:$K$5107,JU!$I$5107:$I$5107,WS!$A104)</f>
        <v>0</v>
      </c>
      <c r="X104" s="30">
        <f t="shared" si="136"/>
        <v>0</v>
      </c>
      <c r="Y104" s="28">
        <f>SUMIFS(JU!$H$5107:$H$5107,JU!$F$5107:$F$5107,WS!$A104)</f>
        <v>0</v>
      </c>
      <c r="Z104" s="29">
        <f>SUMIFS(JU!$K$5107:$K$5107,JU!$I$5107:$I$5107,WS!$A104)</f>
        <v>0</v>
      </c>
      <c r="AA104" s="30">
        <f t="shared" si="137"/>
        <v>0</v>
      </c>
      <c r="AB104" s="28">
        <f>SUMIFS(JU!$H$5107:$H$5107,JU!$F$5107:$F$5107,WS!$A104)</f>
        <v>0</v>
      </c>
      <c r="AC104" s="29">
        <f>SUMIFS(JU!$K$5107:$K$5107,JU!$I$5107:$I$5107,WS!$A104)</f>
        <v>0</v>
      </c>
      <c r="AD104" s="30">
        <f t="shared" si="138"/>
        <v>0</v>
      </c>
      <c r="AE104" s="28">
        <f>SUMIFS(JU!$H$5107:$H$5107,JU!$F$5107:$F$5107,WS!$A104)</f>
        <v>0</v>
      </c>
      <c r="AF104" s="29">
        <f>SUMIFS(JU!$K$5107:$K$5107,JU!$I$5107:$I$5107,WS!$A104)</f>
        <v>0</v>
      </c>
      <c r="AG104" s="30">
        <f t="shared" si="139"/>
        <v>0</v>
      </c>
      <c r="AH104" s="28">
        <f>SUMIFS(JU!$H$5107:$H$5107,JU!$F$5107:$F$5107,WS!$A104)</f>
        <v>0</v>
      </c>
      <c r="AI104" s="29">
        <f>SUMIFS(JU!$K$5107:$K$5107,JU!$I$5107:$I$5107,WS!$A104)</f>
        <v>0</v>
      </c>
      <c r="AJ104" s="30">
        <f t="shared" si="140"/>
        <v>0</v>
      </c>
      <c r="AK104" s="28">
        <f>SUMIFS(JU!$H$5107:$H$5107,JU!$F$5107:$F$5107,WS!$A104)</f>
        <v>0</v>
      </c>
      <c r="AL104" s="29">
        <f>SUMIFS(JU!$K$5107:$K$5107,JU!$I$5107:$I$5107,WS!$A104)</f>
        <v>0</v>
      </c>
      <c r="AM104" s="30">
        <f t="shared" si="141"/>
        <v>0</v>
      </c>
      <c r="AN104" s="275">
        <f t="shared" si="110"/>
        <v>0</v>
      </c>
      <c r="AP104" s="18">
        <f t="shared" si="111"/>
        <v>0</v>
      </c>
    </row>
    <row r="105" spans="1:42">
      <c r="A105" s="6">
        <v>5104</v>
      </c>
      <c r="B105" s="31" t="s">
        <v>144</v>
      </c>
      <c r="C105" s="32"/>
      <c r="D105" s="28">
        <f>SUMIFS(JU!$H$5:$H$178,JU!$F$5:$F$178,WS!$A105)</f>
        <v>0</v>
      </c>
      <c r="E105" s="29">
        <f>SUMIFS(JU!$K$5:$K$178,JU!$I$5:$I$178,WS!$A105)</f>
        <v>0</v>
      </c>
      <c r="F105" s="30">
        <f t="shared" si="132"/>
        <v>0</v>
      </c>
      <c r="G105" s="28">
        <f>SUMIFS(JU!$H$180:$H$440,JU!$F$180:$F$440,WS!$A105)</f>
        <v>0</v>
      </c>
      <c r="H105" s="29">
        <f>SUMIFS(JU!$K$180:$K$440,JU!$I$180:$I$440,WS!$A105)</f>
        <v>0</v>
      </c>
      <c r="I105" s="30">
        <f t="shared" si="133"/>
        <v>0</v>
      </c>
      <c r="J105" s="28">
        <f>SUMIFS(JU!$H$441:$H$695,JU!$F$441:$F$695,WS!$A105)</f>
        <v>0</v>
      </c>
      <c r="K105" s="29">
        <f>SUMIFS(JU!$K$441:$K$695,JU!$I$441:$I$695,WS!$A105)</f>
        <v>0</v>
      </c>
      <c r="L105" s="30">
        <f t="shared" si="130"/>
        <v>0</v>
      </c>
      <c r="M105" s="28">
        <f>SUMIFS(JU!$H$696:$H$1062,JU!$F$696:$F$1062,$A105)</f>
        <v>0</v>
      </c>
      <c r="N105" s="29">
        <f>SUMIFS(JU!$K$696:$K$1062,JU!$I$696:$I$1062,WS!$A105)</f>
        <v>0</v>
      </c>
      <c r="O105" s="30">
        <f t="shared" si="131"/>
        <v>0</v>
      </c>
      <c r="P105" s="28">
        <f>SUMIFS(JU!$H$1063:$H$5007,JU!$F$1063:$F$5007,WS!$A105)</f>
        <v>0</v>
      </c>
      <c r="Q105" s="29">
        <f>SUMIFS(JU!$K$1063:$K$5007,JU!$I$1063:$I$5007,WS!$A105)</f>
        <v>0</v>
      </c>
      <c r="R105" s="30">
        <f t="shared" si="134"/>
        <v>0</v>
      </c>
      <c r="S105" s="28">
        <f>SUMIFS(JU!$H$5107:$H$5107,JU!$F$5107:$F$5107,WS!$A105)</f>
        <v>0</v>
      </c>
      <c r="T105" s="29">
        <f>SUMIFS(JU!$K$5107:$K$5107,JU!$I$5107:$I$5107,WS!$A105)</f>
        <v>0</v>
      </c>
      <c r="U105" s="30">
        <f t="shared" si="135"/>
        <v>0</v>
      </c>
      <c r="V105" s="28">
        <f>SUMIFS(JU!$H$5107:$H$5107,JU!$F$5107:$F$5107,WS!$A105)</f>
        <v>0</v>
      </c>
      <c r="W105" s="29">
        <f>SUMIFS(JU!$K$5107:$K$5107,JU!$I$5107:$I$5107,WS!$A105)</f>
        <v>0</v>
      </c>
      <c r="X105" s="30">
        <f t="shared" si="136"/>
        <v>0</v>
      </c>
      <c r="Y105" s="28">
        <f>SUMIFS(JU!$H$5107:$H$5107,JU!$F$5107:$F$5107,WS!$A105)</f>
        <v>0</v>
      </c>
      <c r="Z105" s="29">
        <f>SUMIFS(JU!$K$5107:$K$5107,JU!$I$5107:$I$5107,WS!$A105)</f>
        <v>0</v>
      </c>
      <c r="AA105" s="30">
        <f t="shared" si="137"/>
        <v>0</v>
      </c>
      <c r="AB105" s="28">
        <f>SUMIFS(JU!$H$5107:$H$5107,JU!$F$5107:$F$5107,WS!$A105)</f>
        <v>0</v>
      </c>
      <c r="AC105" s="29">
        <f>SUMIFS(JU!$K$5107:$K$5107,JU!$I$5107:$I$5107,WS!$A105)</f>
        <v>0</v>
      </c>
      <c r="AD105" s="30">
        <f t="shared" si="138"/>
        <v>0</v>
      </c>
      <c r="AE105" s="28">
        <f>SUMIFS(JU!$H$5107:$H$5107,JU!$F$5107:$F$5107,WS!$A105)</f>
        <v>0</v>
      </c>
      <c r="AF105" s="29">
        <f>SUMIFS(JU!$K$5107:$K$5107,JU!$I$5107:$I$5107,WS!$A105)</f>
        <v>0</v>
      </c>
      <c r="AG105" s="30">
        <f t="shared" si="139"/>
        <v>0</v>
      </c>
      <c r="AH105" s="28">
        <f>SUMIFS(JU!$H$5107:$H$5107,JU!$F$5107:$F$5107,WS!$A105)</f>
        <v>0</v>
      </c>
      <c r="AI105" s="29">
        <f>SUMIFS(JU!$K$5107:$K$5107,JU!$I$5107:$I$5107,WS!$A105)</f>
        <v>0</v>
      </c>
      <c r="AJ105" s="30">
        <f t="shared" si="140"/>
        <v>0</v>
      </c>
      <c r="AK105" s="28">
        <f>SUMIFS(JU!$H$5107:$H$5107,JU!$F$5107:$F$5107,WS!$A105)</f>
        <v>0</v>
      </c>
      <c r="AL105" s="29">
        <f>SUMIFS(JU!$K$5107:$K$5107,JU!$I$5107:$I$5107,WS!$A105)</f>
        <v>0</v>
      </c>
      <c r="AM105" s="30">
        <f t="shared" si="141"/>
        <v>0</v>
      </c>
      <c r="AN105" s="275">
        <f t="shared" si="110"/>
        <v>0</v>
      </c>
      <c r="AP105" s="18">
        <f t="shared" si="111"/>
        <v>0</v>
      </c>
    </row>
    <row r="106" spans="1:42">
      <c r="A106" s="6">
        <v>5105</v>
      </c>
      <c r="B106" s="31" t="s">
        <v>145</v>
      </c>
      <c r="C106" s="32"/>
      <c r="D106" s="28">
        <f>SUMIFS(JU!$H$5:$H$178,JU!$F$5:$F$178,WS!$A106)</f>
        <v>0</v>
      </c>
      <c r="E106" s="29">
        <f>SUMIFS(JU!$K$5:$K$178,JU!$I$5:$I$178,WS!$A106)</f>
        <v>0</v>
      </c>
      <c r="F106" s="30">
        <f t="shared" si="132"/>
        <v>0</v>
      </c>
      <c r="G106" s="28">
        <f>SUMIFS(JU!$H$180:$H$440,JU!$F$180:$F$440,WS!$A106)</f>
        <v>0</v>
      </c>
      <c r="H106" s="29">
        <f>SUMIFS(JU!$K$180:$K$440,JU!$I$180:$I$440,WS!$A106)</f>
        <v>0</v>
      </c>
      <c r="I106" s="30">
        <f t="shared" si="133"/>
        <v>0</v>
      </c>
      <c r="J106" s="28">
        <f>SUMIFS(JU!$H$441:$H$695,JU!$F$441:$F$695,WS!$A106)</f>
        <v>0</v>
      </c>
      <c r="K106" s="29">
        <f>SUMIFS(JU!$K$441:$K$695,JU!$I$441:$I$695,WS!$A106)</f>
        <v>0</v>
      </c>
      <c r="L106" s="30">
        <f t="shared" si="130"/>
        <v>0</v>
      </c>
      <c r="M106" s="28">
        <f>SUMIFS(JU!$H$696:$H$1062,JU!$F$696:$F$1062,$A106)</f>
        <v>0</v>
      </c>
      <c r="N106" s="29">
        <f>SUMIFS(JU!$K$696:$K$1062,JU!$I$696:$I$1062,WS!$A106)</f>
        <v>0</v>
      </c>
      <c r="O106" s="30">
        <f t="shared" si="131"/>
        <v>0</v>
      </c>
      <c r="P106" s="28">
        <f>SUMIFS(JU!$H$1063:$H$5007,JU!$F$1063:$F$5007,WS!$A106)</f>
        <v>0</v>
      </c>
      <c r="Q106" s="29">
        <f>SUMIFS(JU!$K$1063:$K$5007,JU!$I$1063:$I$5007,WS!$A106)</f>
        <v>0</v>
      </c>
      <c r="R106" s="30">
        <f t="shared" si="134"/>
        <v>0</v>
      </c>
      <c r="S106" s="28">
        <f>SUMIFS(JU!$H$5107:$H$5107,JU!$F$5107:$F$5107,WS!$A106)</f>
        <v>0</v>
      </c>
      <c r="T106" s="29">
        <f>SUMIFS(JU!$K$5107:$K$5107,JU!$I$5107:$I$5107,WS!$A106)</f>
        <v>0</v>
      </c>
      <c r="U106" s="30">
        <f t="shared" si="135"/>
        <v>0</v>
      </c>
      <c r="V106" s="28">
        <f>SUMIFS(JU!$H$5107:$H$5107,JU!$F$5107:$F$5107,WS!$A106)</f>
        <v>0</v>
      </c>
      <c r="W106" s="29">
        <f>SUMIFS(JU!$K$5107:$K$5107,JU!$I$5107:$I$5107,WS!$A106)</f>
        <v>0</v>
      </c>
      <c r="X106" s="30">
        <f t="shared" si="136"/>
        <v>0</v>
      </c>
      <c r="Y106" s="28">
        <f>SUMIFS(JU!$H$5107:$H$5107,JU!$F$5107:$F$5107,WS!$A106)</f>
        <v>0</v>
      </c>
      <c r="Z106" s="29">
        <f>SUMIFS(JU!$K$5107:$K$5107,JU!$I$5107:$I$5107,WS!$A106)</f>
        <v>0</v>
      </c>
      <c r="AA106" s="30">
        <f t="shared" si="137"/>
        <v>0</v>
      </c>
      <c r="AB106" s="28">
        <f>SUMIFS(JU!$H$5107:$H$5107,JU!$F$5107:$F$5107,WS!$A106)</f>
        <v>0</v>
      </c>
      <c r="AC106" s="29">
        <f>SUMIFS(JU!$K$5107:$K$5107,JU!$I$5107:$I$5107,WS!$A106)</f>
        <v>0</v>
      </c>
      <c r="AD106" s="30">
        <f t="shared" si="138"/>
        <v>0</v>
      </c>
      <c r="AE106" s="28">
        <f>SUMIFS(JU!$H$5107:$H$5107,JU!$F$5107:$F$5107,WS!$A106)</f>
        <v>0</v>
      </c>
      <c r="AF106" s="29">
        <f>SUMIFS(JU!$K$5107:$K$5107,JU!$I$5107:$I$5107,WS!$A106)</f>
        <v>0</v>
      </c>
      <c r="AG106" s="30">
        <f t="shared" si="139"/>
        <v>0</v>
      </c>
      <c r="AH106" s="28">
        <f>SUMIFS(JU!$H$5107:$H$5107,JU!$F$5107:$F$5107,WS!$A106)</f>
        <v>0</v>
      </c>
      <c r="AI106" s="29">
        <f>SUMIFS(JU!$K$5107:$K$5107,JU!$I$5107:$I$5107,WS!$A106)</f>
        <v>0</v>
      </c>
      <c r="AJ106" s="30">
        <f t="shared" si="140"/>
        <v>0</v>
      </c>
      <c r="AK106" s="28">
        <f>SUMIFS(JU!$H$5107:$H$5107,JU!$F$5107:$F$5107,WS!$A106)</f>
        <v>0</v>
      </c>
      <c r="AL106" s="29">
        <f>SUMIFS(JU!$K$5107:$K$5107,JU!$I$5107:$I$5107,WS!$A106)</f>
        <v>0</v>
      </c>
      <c r="AM106" s="30">
        <f t="shared" si="141"/>
        <v>0</v>
      </c>
      <c r="AN106" s="275">
        <f t="shared" si="110"/>
        <v>0</v>
      </c>
      <c r="AP106" s="18">
        <f t="shared" si="111"/>
        <v>0</v>
      </c>
    </row>
    <row r="107" spans="1:42">
      <c r="A107" s="6">
        <v>5106</v>
      </c>
      <c r="B107" s="31" t="s">
        <v>146</v>
      </c>
      <c r="C107" s="32"/>
      <c r="D107" s="28">
        <f>SUMIFS(JU!$H$5:$H$178,JU!$F$5:$F$178,WS!$A107)</f>
        <v>0</v>
      </c>
      <c r="E107" s="29">
        <f>SUMIFS(JU!$K$5:$K$178,JU!$I$5:$I$178,WS!$A107)</f>
        <v>0</v>
      </c>
      <c r="F107" s="30">
        <f t="shared" si="132"/>
        <v>0</v>
      </c>
      <c r="G107" s="28">
        <f>SUMIFS(JU!$H$180:$H$440,JU!$F$180:$F$440,WS!$A107)</f>
        <v>0</v>
      </c>
      <c r="H107" s="29">
        <f>SUMIFS(JU!$K$180:$K$440,JU!$I$180:$I$440,WS!$A107)</f>
        <v>0</v>
      </c>
      <c r="I107" s="30">
        <f t="shared" si="133"/>
        <v>0</v>
      </c>
      <c r="J107" s="28">
        <f>SUMIFS(JU!$H$441:$H$695,JU!$F$441:$F$695,WS!$A107)</f>
        <v>0</v>
      </c>
      <c r="K107" s="29">
        <f>SUMIFS(JU!$K$441:$K$695,JU!$I$441:$I$695,WS!$A107)</f>
        <v>0</v>
      </c>
      <c r="L107" s="30">
        <f t="shared" si="130"/>
        <v>0</v>
      </c>
      <c r="M107" s="28">
        <f>SUMIFS(JU!$H$696:$H$1062,JU!$F$696:$F$1062,$A107)</f>
        <v>0</v>
      </c>
      <c r="N107" s="29">
        <f>SUMIFS(JU!$K$696:$K$1062,JU!$I$696:$I$1062,WS!$A107)</f>
        <v>0</v>
      </c>
      <c r="O107" s="30">
        <f t="shared" si="131"/>
        <v>0</v>
      </c>
      <c r="P107" s="28">
        <f>SUMIFS(JU!$H$1063:$H$5007,JU!$F$1063:$F$5007,WS!$A107)</f>
        <v>0</v>
      </c>
      <c r="Q107" s="29">
        <f>SUMIFS(JU!$K$1063:$K$5007,JU!$I$1063:$I$5007,WS!$A107)</f>
        <v>0</v>
      </c>
      <c r="R107" s="30">
        <f t="shared" si="134"/>
        <v>0</v>
      </c>
      <c r="S107" s="28">
        <f>SUMIFS(JU!$H$5107:$H$5107,JU!$F$5107:$F$5107,WS!$A107)</f>
        <v>0</v>
      </c>
      <c r="T107" s="29">
        <f>SUMIFS(JU!$K$5107:$K$5107,JU!$I$5107:$I$5107,WS!$A107)</f>
        <v>0</v>
      </c>
      <c r="U107" s="30">
        <f t="shared" si="135"/>
        <v>0</v>
      </c>
      <c r="V107" s="28">
        <f>SUMIFS(JU!$H$5107:$H$5107,JU!$F$5107:$F$5107,WS!$A107)</f>
        <v>0</v>
      </c>
      <c r="W107" s="29">
        <f>SUMIFS(JU!$K$5107:$K$5107,JU!$I$5107:$I$5107,WS!$A107)</f>
        <v>0</v>
      </c>
      <c r="X107" s="30">
        <f t="shared" si="136"/>
        <v>0</v>
      </c>
      <c r="Y107" s="28">
        <f>SUMIFS(JU!$H$5107:$H$5107,JU!$F$5107:$F$5107,WS!$A107)</f>
        <v>0</v>
      </c>
      <c r="Z107" s="29">
        <f>SUMIFS(JU!$K$5107:$K$5107,JU!$I$5107:$I$5107,WS!$A107)</f>
        <v>0</v>
      </c>
      <c r="AA107" s="30">
        <f t="shared" si="137"/>
        <v>0</v>
      </c>
      <c r="AB107" s="28">
        <f>SUMIFS(JU!$H$5107:$H$5107,JU!$F$5107:$F$5107,WS!$A107)</f>
        <v>0</v>
      </c>
      <c r="AC107" s="29">
        <f>SUMIFS(JU!$K$5107:$K$5107,JU!$I$5107:$I$5107,WS!$A107)</f>
        <v>0</v>
      </c>
      <c r="AD107" s="30">
        <f t="shared" si="138"/>
        <v>0</v>
      </c>
      <c r="AE107" s="28">
        <f>SUMIFS(JU!$H$5107:$H$5107,JU!$F$5107:$F$5107,WS!$A107)</f>
        <v>0</v>
      </c>
      <c r="AF107" s="29">
        <f>SUMIFS(JU!$K$5107:$K$5107,JU!$I$5107:$I$5107,WS!$A107)</f>
        <v>0</v>
      </c>
      <c r="AG107" s="30">
        <f t="shared" si="139"/>
        <v>0</v>
      </c>
      <c r="AH107" s="28">
        <f>SUMIFS(JU!$H$5107:$H$5107,JU!$F$5107:$F$5107,WS!$A107)</f>
        <v>0</v>
      </c>
      <c r="AI107" s="29">
        <f>SUMIFS(JU!$K$5107:$K$5107,JU!$I$5107:$I$5107,WS!$A107)</f>
        <v>0</v>
      </c>
      <c r="AJ107" s="30">
        <f t="shared" si="140"/>
        <v>0</v>
      </c>
      <c r="AK107" s="28">
        <f>SUMIFS(JU!$H$5107:$H$5107,JU!$F$5107:$F$5107,WS!$A107)</f>
        <v>0</v>
      </c>
      <c r="AL107" s="29">
        <f>SUMIFS(JU!$K$5107:$K$5107,JU!$I$5107:$I$5107,WS!$A107)</f>
        <v>0</v>
      </c>
      <c r="AM107" s="30">
        <f t="shared" si="141"/>
        <v>0</v>
      </c>
      <c r="AN107" s="275">
        <f t="shared" si="110"/>
        <v>0</v>
      </c>
      <c r="AP107" s="18">
        <f t="shared" si="111"/>
        <v>0</v>
      </c>
    </row>
    <row r="108" spans="1:42">
      <c r="A108" s="6">
        <v>5107</v>
      </c>
      <c r="B108" s="31" t="s">
        <v>71</v>
      </c>
      <c r="C108" s="32"/>
      <c r="D108" s="28">
        <f>SUMIFS(JU!$H$5:$H$178,JU!$F$5:$F$178,WS!$A108)</f>
        <v>45330000</v>
      </c>
      <c r="E108" s="29">
        <f>SUMIFS(JU!$K$5:$K$178,JU!$I$5:$I$178,WS!$A108)</f>
        <v>0</v>
      </c>
      <c r="F108" s="30">
        <f t="shared" si="132"/>
        <v>45330000</v>
      </c>
      <c r="G108" s="28">
        <f>SUMIFS(JU!$H$180:$H$440,JU!$F$180:$F$440,WS!$A108)</f>
        <v>84523000</v>
      </c>
      <c r="H108" s="29">
        <f>SUMIFS(JU!$K$180:$K$440,JU!$I$180:$I$440,WS!$A108)</f>
        <v>4000000</v>
      </c>
      <c r="I108" s="30">
        <f t="shared" si="133"/>
        <v>80523000</v>
      </c>
      <c r="J108" s="28">
        <f>SUMIFS(JU!$H$441:$H$695,JU!$F$441:$F$695,WS!$A108)</f>
        <v>13237000</v>
      </c>
      <c r="K108" s="29">
        <f>SUMIFS(JU!$K$441:$K$695,JU!$I$441:$I$695,WS!$A108)</f>
        <v>0</v>
      </c>
      <c r="L108" s="30">
        <f t="shared" si="130"/>
        <v>13237000</v>
      </c>
      <c r="M108" s="28">
        <f>SUMIFS(JU!$H$696:$H$1062,JU!$F$696:$F$1062,$A108)</f>
        <v>16373000</v>
      </c>
      <c r="N108" s="29">
        <f>SUMIFS(JU!$K$696:$K$1062,JU!$I$696:$I$1062,WS!$A108)</f>
        <v>0</v>
      </c>
      <c r="O108" s="30">
        <f t="shared" si="131"/>
        <v>16373000</v>
      </c>
      <c r="P108" s="28">
        <f>SUMIFS(JU!$H$1063:$H$5007,JU!$F$1063:$F$5007,WS!$A108)</f>
        <v>43859500</v>
      </c>
      <c r="Q108" s="29">
        <f>SUMIFS(JU!$K$1063:$K$5007,JU!$I$1063:$I$5007,WS!$A108)</f>
        <v>0</v>
      </c>
      <c r="R108" s="30">
        <f t="shared" si="134"/>
        <v>43859500</v>
      </c>
      <c r="S108" s="28">
        <f>SUMIFS(JU!$H$5107:$H$5107,JU!$F$5107:$F$5107,WS!$A108)</f>
        <v>0</v>
      </c>
      <c r="T108" s="29">
        <f>SUMIFS(JU!$K$5107:$K$5107,JU!$I$5107:$I$5107,WS!$A108)</f>
        <v>0</v>
      </c>
      <c r="U108" s="30">
        <f t="shared" si="135"/>
        <v>0</v>
      </c>
      <c r="V108" s="28">
        <f>SUMIFS(JU!$H$5107:$H$5107,JU!$F$5107:$F$5107,WS!$A108)</f>
        <v>0</v>
      </c>
      <c r="W108" s="29">
        <f>SUMIFS(JU!$K$5107:$K$5107,JU!$I$5107:$I$5107,WS!$A108)</f>
        <v>0</v>
      </c>
      <c r="X108" s="30">
        <f t="shared" si="136"/>
        <v>0</v>
      </c>
      <c r="Y108" s="28">
        <f>SUMIFS(JU!$H$5107:$H$5107,JU!$F$5107:$F$5107,WS!$A108)</f>
        <v>0</v>
      </c>
      <c r="Z108" s="29">
        <f>SUMIFS(JU!$K$5107:$K$5107,JU!$I$5107:$I$5107,WS!$A108)</f>
        <v>0</v>
      </c>
      <c r="AA108" s="30">
        <f t="shared" si="137"/>
        <v>0</v>
      </c>
      <c r="AB108" s="28">
        <f>SUMIFS(JU!$H$5107:$H$5107,JU!$F$5107:$F$5107,WS!$A108)</f>
        <v>0</v>
      </c>
      <c r="AC108" s="29">
        <f>SUMIFS(JU!$K$5107:$K$5107,JU!$I$5107:$I$5107,WS!$A108)</f>
        <v>0</v>
      </c>
      <c r="AD108" s="30">
        <f t="shared" si="138"/>
        <v>0</v>
      </c>
      <c r="AE108" s="28">
        <f>SUMIFS(JU!$H$5107:$H$5107,JU!$F$5107:$F$5107,WS!$A108)</f>
        <v>0</v>
      </c>
      <c r="AF108" s="29">
        <f>SUMIFS(JU!$K$5107:$K$5107,JU!$I$5107:$I$5107,WS!$A108)</f>
        <v>0</v>
      </c>
      <c r="AG108" s="30">
        <f t="shared" si="139"/>
        <v>0</v>
      </c>
      <c r="AH108" s="28">
        <f>SUMIFS(JU!$H$5107:$H$5107,JU!$F$5107:$F$5107,WS!$A108)</f>
        <v>0</v>
      </c>
      <c r="AI108" s="29">
        <f>SUMIFS(JU!$K$5107:$K$5107,JU!$I$5107:$I$5107,WS!$A108)</f>
        <v>0</v>
      </c>
      <c r="AJ108" s="30">
        <f t="shared" si="140"/>
        <v>0</v>
      </c>
      <c r="AK108" s="28">
        <f>SUMIFS(JU!$H$5107:$H$5107,JU!$F$5107:$F$5107,WS!$A108)</f>
        <v>0</v>
      </c>
      <c r="AL108" s="29">
        <f>SUMIFS(JU!$K$5107:$K$5107,JU!$I$5107:$I$5107,WS!$A108)</f>
        <v>0</v>
      </c>
      <c r="AM108" s="30">
        <f t="shared" si="141"/>
        <v>0</v>
      </c>
      <c r="AN108" s="275">
        <f t="shared" si="110"/>
        <v>199322500</v>
      </c>
      <c r="AP108" s="18">
        <f t="shared" si="111"/>
        <v>199322500</v>
      </c>
    </row>
    <row r="109" spans="1:42">
      <c r="A109" s="6">
        <v>5108</v>
      </c>
      <c r="B109" s="31" t="s">
        <v>72</v>
      </c>
      <c r="C109" s="32"/>
      <c r="D109" s="28">
        <f>SUMIFS(JU!$H$5:$H$178,JU!$F$5:$F$178,WS!$A109)</f>
        <v>13228000</v>
      </c>
      <c r="E109" s="29">
        <f>SUMIFS(JU!$K$5:$K$178,JU!$I$5:$I$178,WS!$A109)</f>
        <v>0</v>
      </c>
      <c r="F109" s="30">
        <f t="shared" si="132"/>
        <v>13228000</v>
      </c>
      <c r="G109" s="28">
        <f>SUMIFS(JU!$H$180:$H$440,JU!$F$180:$F$440,WS!$A109)</f>
        <v>30200000</v>
      </c>
      <c r="H109" s="29">
        <f>SUMIFS(JU!$K$180:$K$440,JU!$I$180:$I$440,WS!$A109)</f>
        <v>0</v>
      </c>
      <c r="I109" s="30">
        <f t="shared" si="133"/>
        <v>30200000</v>
      </c>
      <c r="J109" s="28">
        <f>SUMIFS(JU!$H$441:$H$695,JU!$F$441:$F$695,WS!$A109)</f>
        <v>14300000</v>
      </c>
      <c r="K109" s="29">
        <f>SUMIFS(JU!$K$441:$K$695,JU!$I$441:$I$695,WS!$A109)</f>
        <v>0</v>
      </c>
      <c r="L109" s="30">
        <f t="shared" si="130"/>
        <v>14300000</v>
      </c>
      <c r="M109" s="28">
        <f>SUMIFS(JU!$H$696:$H$1062,JU!$F$696:$F$1062,$A109)</f>
        <v>34085000</v>
      </c>
      <c r="N109" s="29">
        <f>SUMIFS(JU!$K$696:$K$1062,JU!$I$696:$I$1062,WS!$A109)</f>
        <v>0</v>
      </c>
      <c r="O109" s="30">
        <f t="shared" si="131"/>
        <v>34085000</v>
      </c>
      <c r="P109" s="28">
        <f>SUMIFS(JU!$H$1063:$H$5007,JU!$F$1063:$F$5007,WS!$A109)</f>
        <v>47620000</v>
      </c>
      <c r="Q109" s="29">
        <f>SUMIFS(JU!$K$1063:$K$5007,JU!$I$1063:$I$5007,WS!$A109)</f>
        <v>0</v>
      </c>
      <c r="R109" s="30">
        <f t="shared" si="134"/>
        <v>47620000</v>
      </c>
      <c r="S109" s="28">
        <f>SUMIFS(JU!$H$5107:$H$5107,JU!$F$5107:$F$5107,WS!$A109)</f>
        <v>0</v>
      </c>
      <c r="T109" s="29">
        <f>SUMIFS(JU!$K$5107:$K$5107,JU!$I$5107:$I$5107,WS!$A109)</f>
        <v>0</v>
      </c>
      <c r="U109" s="30">
        <f t="shared" si="135"/>
        <v>0</v>
      </c>
      <c r="V109" s="28">
        <f>SUMIFS(JU!$H$5107:$H$5107,JU!$F$5107:$F$5107,WS!$A109)</f>
        <v>0</v>
      </c>
      <c r="W109" s="29">
        <f>SUMIFS(JU!$K$5107:$K$5107,JU!$I$5107:$I$5107,WS!$A109)</f>
        <v>0</v>
      </c>
      <c r="X109" s="30">
        <f t="shared" si="136"/>
        <v>0</v>
      </c>
      <c r="Y109" s="28">
        <f>SUMIFS(JU!$H$5107:$H$5107,JU!$F$5107:$F$5107,WS!$A109)</f>
        <v>0</v>
      </c>
      <c r="Z109" s="29">
        <f>SUMIFS(JU!$K$5107:$K$5107,JU!$I$5107:$I$5107,WS!$A109)</f>
        <v>0</v>
      </c>
      <c r="AA109" s="30">
        <f t="shared" si="137"/>
        <v>0</v>
      </c>
      <c r="AB109" s="28">
        <f>SUMIFS(JU!$H$5107:$H$5107,JU!$F$5107:$F$5107,WS!$A109)</f>
        <v>0</v>
      </c>
      <c r="AC109" s="29">
        <f>SUMIFS(JU!$K$5107:$K$5107,JU!$I$5107:$I$5107,WS!$A109)</f>
        <v>0</v>
      </c>
      <c r="AD109" s="30">
        <f t="shared" si="138"/>
        <v>0</v>
      </c>
      <c r="AE109" s="28">
        <f>SUMIFS(JU!$H$5107:$H$5107,JU!$F$5107:$F$5107,WS!$A109)</f>
        <v>0</v>
      </c>
      <c r="AF109" s="29">
        <f>SUMIFS(JU!$K$5107:$K$5107,JU!$I$5107:$I$5107,WS!$A109)</f>
        <v>0</v>
      </c>
      <c r="AG109" s="30">
        <f t="shared" si="139"/>
        <v>0</v>
      </c>
      <c r="AH109" s="28">
        <f>SUMIFS(JU!$H$5107:$H$5107,JU!$F$5107:$F$5107,WS!$A109)</f>
        <v>0</v>
      </c>
      <c r="AI109" s="29">
        <f>SUMIFS(JU!$K$5107:$K$5107,JU!$I$5107:$I$5107,WS!$A109)</f>
        <v>0</v>
      </c>
      <c r="AJ109" s="30">
        <f t="shared" si="140"/>
        <v>0</v>
      </c>
      <c r="AK109" s="28">
        <f>SUMIFS(JU!$H$5107:$H$5107,JU!$F$5107:$F$5107,WS!$A109)</f>
        <v>0</v>
      </c>
      <c r="AL109" s="29">
        <f>SUMIFS(JU!$K$5107:$K$5107,JU!$I$5107:$I$5107,WS!$A109)</f>
        <v>0</v>
      </c>
      <c r="AM109" s="30">
        <f t="shared" si="141"/>
        <v>0</v>
      </c>
      <c r="AN109" s="275">
        <f t="shared" si="110"/>
        <v>139433000</v>
      </c>
      <c r="AP109" s="18">
        <f t="shared" si="111"/>
        <v>139433000</v>
      </c>
    </row>
    <row r="110" spans="1:42">
      <c r="A110" s="6">
        <v>5109</v>
      </c>
      <c r="B110" s="31" t="s">
        <v>73</v>
      </c>
      <c r="C110" s="32"/>
      <c r="D110" s="28">
        <f>SUMIFS(JU!$H$5:$H$178,JU!$F$5:$F$178,WS!$A110)</f>
        <v>3000000</v>
      </c>
      <c r="E110" s="29">
        <f>SUMIFS(JU!$K$5:$K$178,JU!$I$5:$I$178,WS!$A110)</f>
        <v>0</v>
      </c>
      <c r="F110" s="30">
        <f t="shared" si="132"/>
        <v>3000000</v>
      </c>
      <c r="G110" s="28">
        <f>SUMIFS(JU!$H$180:$H$440,JU!$F$180:$F$440,WS!$A110)</f>
        <v>0</v>
      </c>
      <c r="H110" s="29">
        <f>SUMIFS(JU!$K$180:$K$440,JU!$I$180:$I$440,WS!$A110)</f>
        <v>0</v>
      </c>
      <c r="I110" s="30">
        <f t="shared" si="133"/>
        <v>0</v>
      </c>
      <c r="J110" s="28">
        <f>SUMIFS(JU!$H$441:$H$695,JU!$F$441:$F$695,WS!$A110)</f>
        <v>6000000</v>
      </c>
      <c r="K110" s="29">
        <f>SUMIFS(JU!$K$441:$K$695,JU!$I$441:$I$695,WS!$A110)</f>
        <v>0</v>
      </c>
      <c r="L110" s="30">
        <f t="shared" si="130"/>
        <v>6000000</v>
      </c>
      <c r="M110" s="28">
        <f>SUMIFS(JU!$H$696:$H$1062,JU!$F$696:$F$1062,$A110)</f>
        <v>1000000</v>
      </c>
      <c r="N110" s="29">
        <f>SUMIFS(JU!$K$696:$K$1062,JU!$I$696:$I$1062,WS!$A110)</f>
        <v>0</v>
      </c>
      <c r="O110" s="30">
        <f t="shared" si="131"/>
        <v>1000000</v>
      </c>
      <c r="P110" s="28">
        <f>SUMIFS(JU!$H$1063:$H$5007,JU!$F$1063:$F$5007,WS!$A110)</f>
        <v>32500000</v>
      </c>
      <c r="Q110" s="29">
        <f>SUMIFS(JU!$K$1063:$K$5007,JU!$I$1063:$I$5007,WS!$A110)</f>
        <v>0</v>
      </c>
      <c r="R110" s="30">
        <f t="shared" si="134"/>
        <v>32500000</v>
      </c>
      <c r="S110" s="28">
        <f>SUMIFS(JU!$H$5107:$H$5107,JU!$F$5107:$F$5107,WS!$A110)</f>
        <v>0</v>
      </c>
      <c r="T110" s="29">
        <f>SUMIFS(JU!$K$5107:$K$5107,JU!$I$5107:$I$5107,WS!$A110)</f>
        <v>0</v>
      </c>
      <c r="U110" s="30">
        <f t="shared" si="135"/>
        <v>0</v>
      </c>
      <c r="V110" s="28">
        <f>SUMIFS(JU!$H$5107:$H$5107,JU!$F$5107:$F$5107,WS!$A110)</f>
        <v>0</v>
      </c>
      <c r="W110" s="29">
        <f>SUMIFS(JU!$K$5107:$K$5107,JU!$I$5107:$I$5107,WS!$A110)</f>
        <v>0</v>
      </c>
      <c r="X110" s="30">
        <f t="shared" si="136"/>
        <v>0</v>
      </c>
      <c r="Y110" s="28">
        <f>SUMIFS(JU!$H$5107:$H$5107,JU!$F$5107:$F$5107,WS!$A110)</f>
        <v>0</v>
      </c>
      <c r="Z110" s="29">
        <f>SUMIFS(JU!$K$5107:$K$5107,JU!$I$5107:$I$5107,WS!$A110)</f>
        <v>0</v>
      </c>
      <c r="AA110" s="30">
        <f t="shared" si="137"/>
        <v>0</v>
      </c>
      <c r="AB110" s="28">
        <f>SUMIFS(JU!$H$5107:$H$5107,JU!$F$5107:$F$5107,WS!$A110)</f>
        <v>0</v>
      </c>
      <c r="AC110" s="29">
        <f>SUMIFS(JU!$K$5107:$K$5107,JU!$I$5107:$I$5107,WS!$A110)</f>
        <v>0</v>
      </c>
      <c r="AD110" s="30">
        <f t="shared" si="138"/>
        <v>0</v>
      </c>
      <c r="AE110" s="28">
        <f>SUMIFS(JU!$H$5107:$H$5107,JU!$F$5107:$F$5107,WS!$A110)</f>
        <v>0</v>
      </c>
      <c r="AF110" s="29">
        <f>SUMIFS(JU!$K$5107:$K$5107,JU!$I$5107:$I$5107,WS!$A110)</f>
        <v>0</v>
      </c>
      <c r="AG110" s="30">
        <f t="shared" si="139"/>
        <v>0</v>
      </c>
      <c r="AH110" s="28">
        <f>SUMIFS(JU!$H$5107:$H$5107,JU!$F$5107:$F$5107,WS!$A110)</f>
        <v>0</v>
      </c>
      <c r="AI110" s="29">
        <f>SUMIFS(JU!$K$5107:$K$5107,JU!$I$5107:$I$5107,WS!$A110)</f>
        <v>0</v>
      </c>
      <c r="AJ110" s="30">
        <f t="shared" si="140"/>
        <v>0</v>
      </c>
      <c r="AK110" s="28">
        <f>SUMIFS(JU!$H$5107:$H$5107,JU!$F$5107:$F$5107,WS!$A110)</f>
        <v>0</v>
      </c>
      <c r="AL110" s="29">
        <f>SUMIFS(JU!$K$5107:$K$5107,JU!$I$5107:$I$5107,WS!$A110)</f>
        <v>0</v>
      </c>
      <c r="AM110" s="30">
        <f t="shared" si="141"/>
        <v>0</v>
      </c>
      <c r="AN110" s="275">
        <f t="shared" si="110"/>
        <v>42500000</v>
      </c>
      <c r="AP110" s="18">
        <f t="shared" si="111"/>
        <v>42500000</v>
      </c>
    </row>
    <row r="111" spans="1:42">
      <c r="A111" s="6">
        <v>5110</v>
      </c>
      <c r="B111" s="31" t="s">
        <v>74</v>
      </c>
      <c r="C111" s="32"/>
      <c r="D111" s="28">
        <f>SUMIFS(JU!$H$5:$H$178,JU!$F$5:$F$178,WS!$A111)</f>
        <v>0</v>
      </c>
      <c r="E111" s="29">
        <f>SUMIFS(JU!$K$5:$K$178,JU!$I$5:$I$178,WS!$A111)</f>
        <v>0</v>
      </c>
      <c r="F111" s="30">
        <f t="shared" si="132"/>
        <v>0</v>
      </c>
      <c r="G111" s="28">
        <f>SUMIFS(JU!$H$180:$H$440,JU!$F$180:$F$440,WS!$A111)</f>
        <v>7480000</v>
      </c>
      <c r="H111" s="29">
        <f>SUMIFS(JU!$K$180:$K$440,JU!$I$180:$I$440,WS!$A111)</f>
        <v>0</v>
      </c>
      <c r="I111" s="30">
        <f t="shared" si="133"/>
        <v>7480000</v>
      </c>
      <c r="J111" s="28">
        <f>SUMIFS(JU!$H$441:$H$695,JU!$F$441:$F$695,WS!$A111)</f>
        <v>21220000</v>
      </c>
      <c r="K111" s="29">
        <f>SUMIFS(JU!$K$441:$K$695,JU!$I$441:$I$695,WS!$A111)</f>
        <v>0</v>
      </c>
      <c r="L111" s="30">
        <f t="shared" si="130"/>
        <v>21220000</v>
      </c>
      <c r="M111" s="28">
        <f>SUMIFS(JU!$H$696:$H$1062,JU!$F$696:$F$1062,$A111)</f>
        <v>39255000</v>
      </c>
      <c r="N111" s="29">
        <f>SUMIFS(JU!$K$696:$K$1062,JU!$I$696:$I$1062,WS!$A111)</f>
        <v>0</v>
      </c>
      <c r="O111" s="30">
        <f t="shared" si="131"/>
        <v>39255000</v>
      </c>
      <c r="P111" s="28">
        <f>SUMIFS(JU!$H$1063:$H$5007,JU!$F$1063:$F$5007,WS!$A111)</f>
        <v>44977500</v>
      </c>
      <c r="Q111" s="29">
        <f>SUMIFS(JU!$K$1063:$K$5007,JU!$I$1063:$I$5007,WS!$A111)</f>
        <v>0</v>
      </c>
      <c r="R111" s="30">
        <f t="shared" si="134"/>
        <v>44977500</v>
      </c>
      <c r="S111" s="28">
        <f>SUMIFS(JU!$H$5107:$H$5107,JU!$F$5107:$F$5107,WS!$A111)</f>
        <v>0</v>
      </c>
      <c r="T111" s="29">
        <f>SUMIFS(JU!$K$5107:$K$5107,JU!$I$5107:$I$5107,WS!$A111)</f>
        <v>0</v>
      </c>
      <c r="U111" s="30">
        <f t="shared" si="135"/>
        <v>0</v>
      </c>
      <c r="V111" s="28">
        <f>SUMIFS(JU!$H$5107:$H$5107,JU!$F$5107:$F$5107,WS!$A111)</f>
        <v>0</v>
      </c>
      <c r="W111" s="29">
        <f>SUMIFS(JU!$K$5107:$K$5107,JU!$I$5107:$I$5107,WS!$A111)</f>
        <v>0</v>
      </c>
      <c r="X111" s="30">
        <f t="shared" si="136"/>
        <v>0</v>
      </c>
      <c r="Y111" s="28">
        <f>SUMIFS(JU!$H$5107:$H$5107,JU!$F$5107:$F$5107,WS!$A111)</f>
        <v>0</v>
      </c>
      <c r="Z111" s="29">
        <f>SUMIFS(JU!$K$5107:$K$5107,JU!$I$5107:$I$5107,WS!$A111)</f>
        <v>0</v>
      </c>
      <c r="AA111" s="30">
        <f t="shared" si="137"/>
        <v>0</v>
      </c>
      <c r="AB111" s="28">
        <f>SUMIFS(JU!$H$5107:$H$5107,JU!$F$5107:$F$5107,WS!$A111)</f>
        <v>0</v>
      </c>
      <c r="AC111" s="29">
        <f>SUMIFS(JU!$K$5107:$K$5107,JU!$I$5107:$I$5107,WS!$A111)</f>
        <v>0</v>
      </c>
      <c r="AD111" s="30">
        <f t="shared" si="138"/>
        <v>0</v>
      </c>
      <c r="AE111" s="28">
        <f>SUMIFS(JU!$H$5107:$H$5107,JU!$F$5107:$F$5107,WS!$A111)</f>
        <v>0</v>
      </c>
      <c r="AF111" s="29">
        <f>SUMIFS(JU!$K$5107:$K$5107,JU!$I$5107:$I$5107,WS!$A111)</f>
        <v>0</v>
      </c>
      <c r="AG111" s="30">
        <f t="shared" si="139"/>
        <v>0</v>
      </c>
      <c r="AH111" s="28">
        <f>SUMIFS(JU!$H$5107:$H$5107,JU!$F$5107:$F$5107,WS!$A111)</f>
        <v>0</v>
      </c>
      <c r="AI111" s="29">
        <f>SUMIFS(JU!$K$5107:$K$5107,JU!$I$5107:$I$5107,WS!$A111)</f>
        <v>0</v>
      </c>
      <c r="AJ111" s="30">
        <f t="shared" si="140"/>
        <v>0</v>
      </c>
      <c r="AK111" s="28">
        <f>SUMIFS(JU!$H$5107:$H$5107,JU!$F$5107:$F$5107,WS!$A111)</f>
        <v>0</v>
      </c>
      <c r="AL111" s="29">
        <f>SUMIFS(JU!$K$5107:$K$5107,JU!$I$5107:$I$5107,WS!$A111)</f>
        <v>0</v>
      </c>
      <c r="AM111" s="30">
        <f t="shared" si="141"/>
        <v>0</v>
      </c>
      <c r="AN111" s="275">
        <f t="shared" si="110"/>
        <v>112932500</v>
      </c>
      <c r="AP111" s="18">
        <f t="shared" si="111"/>
        <v>112932500</v>
      </c>
    </row>
    <row r="112" spans="1:42">
      <c r="A112" s="6">
        <v>5111</v>
      </c>
      <c r="B112" s="31" t="s">
        <v>256</v>
      </c>
      <c r="C112" s="32"/>
      <c r="D112" s="28">
        <f>SUMIFS(JU!$H$5:$H$178,JU!$F$5:$F$178,WS!$A112)</f>
        <v>0</v>
      </c>
      <c r="E112" s="29">
        <f>SUMIFS(JU!$K$5:$K$178,JU!$I$5:$I$178,WS!$A112)</f>
        <v>0</v>
      </c>
      <c r="F112" s="30">
        <f t="shared" ref="F112" si="142">D112-E112</f>
        <v>0</v>
      </c>
      <c r="G112" s="28">
        <f>SUMIFS(JU!$H$180:$H$440,JU!$F$180:$F$440,WS!$A112)</f>
        <v>0</v>
      </c>
      <c r="H112" s="29">
        <f>SUMIFS(JU!$K$180:$K$440,JU!$I$180:$I$440,WS!$A112)</f>
        <v>0</v>
      </c>
      <c r="I112" s="30">
        <f t="shared" ref="I112" si="143">G112-H112</f>
        <v>0</v>
      </c>
      <c r="J112" s="28">
        <f>SUMIFS(JU!$H$441:$H$695,JU!$F$441:$F$695,WS!$A112)</f>
        <v>0</v>
      </c>
      <c r="K112" s="29">
        <f>SUMIFS(JU!$K$441:$K$695,JU!$I$441:$I$695,WS!$A112)</f>
        <v>0</v>
      </c>
      <c r="L112" s="30">
        <f t="shared" si="130"/>
        <v>0</v>
      </c>
      <c r="M112" s="28">
        <f>SUMIFS(JU!$H$696:$H$1062,JU!$F$696:$F$1062,$A112)</f>
        <v>0</v>
      </c>
      <c r="N112" s="29">
        <f>SUMIFS(JU!$K$696:$K$1062,JU!$I$696:$I$1062,WS!$A112)</f>
        <v>0</v>
      </c>
      <c r="O112" s="30">
        <f t="shared" si="131"/>
        <v>0</v>
      </c>
      <c r="P112" s="28">
        <f>SUMIFS(JU!$H$1063:$H$5007,JU!$F$1063:$F$5007,WS!$A112)</f>
        <v>0</v>
      </c>
      <c r="Q112" s="29">
        <f>SUMIFS(JU!$K$1063:$K$5007,JU!$I$1063:$I$5007,WS!$A112)</f>
        <v>0</v>
      </c>
      <c r="R112" s="30">
        <f t="shared" ref="R112" si="144">P112-Q112</f>
        <v>0</v>
      </c>
      <c r="S112" s="28">
        <f>SUMIFS(JU!$H$5107:$H$5107,JU!$F$5107:$F$5107,WS!$A112)</f>
        <v>0</v>
      </c>
      <c r="T112" s="29">
        <f>SUMIFS(JU!$K$5107:$K$5107,JU!$I$5107:$I$5107,WS!$A112)</f>
        <v>0</v>
      </c>
      <c r="U112" s="30">
        <f t="shared" ref="U112" si="145">S112-T112</f>
        <v>0</v>
      </c>
      <c r="V112" s="28">
        <f>SUMIFS(JU!$H$5107:$H$5107,JU!$F$5107:$F$5107,WS!$A112)</f>
        <v>0</v>
      </c>
      <c r="W112" s="29">
        <f>SUMIFS(JU!$K$5107:$K$5107,JU!$I$5107:$I$5107,WS!$A112)</f>
        <v>0</v>
      </c>
      <c r="X112" s="30">
        <f t="shared" ref="X112" si="146">V112-W112</f>
        <v>0</v>
      </c>
      <c r="Y112" s="28">
        <f>SUMIFS(JU!$H$5107:$H$5107,JU!$F$5107:$F$5107,WS!$A112)</f>
        <v>0</v>
      </c>
      <c r="Z112" s="29">
        <f>SUMIFS(JU!$K$5107:$K$5107,JU!$I$5107:$I$5107,WS!$A112)</f>
        <v>0</v>
      </c>
      <c r="AA112" s="30">
        <f t="shared" ref="AA112" si="147">Y112-Z112</f>
        <v>0</v>
      </c>
      <c r="AB112" s="28">
        <f>SUMIFS(JU!$H$5107:$H$5107,JU!$F$5107:$F$5107,WS!$A112)</f>
        <v>0</v>
      </c>
      <c r="AC112" s="29">
        <f>SUMIFS(JU!$K$5107:$K$5107,JU!$I$5107:$I$5107,WS!$A112)</f>
        <v>0</v>
      </c>
      <c r="AD112" s="30">
        <f t="shared" ref="AD112" si="148">AB112-AC112</f>
        <v>0</v>
      </c>
      <c r="AE112" s="28">
        <f>SUMIFS(JU!$H$5107:$H$5107,JU!$F$5107:$F$5107,WS!$A112)</f>
        <v>0</v>
      </c>
      <c r="AF112" s="29">
        <f>SUMIFS(JU!$K$5107:$K$5107,JU!$I$5107:$I$5107,WS!$A112)</f>
        <v>0</v>
      </c>
      <c r="AG112" s="30">
        <f t="shared" ref="AG112" si="149">AE112-AF112</f>
        <v>0</v>
      </c>
      <c r="AH112" s="28">
        <f>SUMIFS(JU!$H$5107:$H$5107,JU!$F$5107:$F$5107,WS!$A112)</f>
        <v>0</v>
      </c>
      <c r="AI112" s="29">
        <f>SUMIFS(JU!$K$5107:$K$5107,JU!$I$5107:$I$5107,WS!$A112)</f>
        <v>0</v>
      </c>
      <c r="AJ112" s="30">
        <f t="shared" si="140"/>
        <v>0</v>
      </c>
      <c r="AK112" s="28">
        <f>SUMIFS(JU!$H$5107:$H$5107,JU!$F$5107:$F$5107,WS!$A112)</f>
        <v>0</v>
      </c>
      <c r="AL112" s="29">
        <f>SUMIFS(JU!$K$5107:$K$5107,JU!$I$5107:$I$5107,WS!$A112)</f>
        <v>0</v>
      </c>
      <c r="AM112" s="30">
        <f t="shared" si="141"/>
        <v>0</v>
      </c>
      <c r="AN112" s="275">
        <f t="shared" si="110"/>
        <v>0</v>
      </c>
      <c r="AP112" s="18">
        <f t="shared" si="111"/>
        <v>0</v>
      </c>
    </row>
    <row r="113" spans="1:42" s="37" customFormat="1">
      <c r="A113" s="287" t="s">
        <v>221</v>
      </c>
      <c r="B113" s="287"/>
      <c r="C113" s="38">
        <f>SUM(C102:C111)</f>
        <v>0</v>
      </c>
      <c r="D113" s="28">
        <f>SUMIFS(JU!$H$5:$H$178,JU!$F$5:$F$178,WS!$A113)</f>
        <v>0</v>
      </c>
      <c r="E113" s="29">
        <f>SUMIFS(JU!$K$5:$K$178,JU!$I$5:$I$178,WS!$A113)</f>
        <v>0</v>
      </c>
      <c r="F113" s="36">
        <f>SUM(F102:F112)</f>
        <v>61558000</v>
      </c>
      <c r="G113" s="28">
        <f>SUMIFS(JU!$H$180:$H$440,JU!$F$180:$F$440,WS!$A113)</f>
        <v>0</v>
      </c>
      <c r="H113" s="29">
        <f>SUMIFS(JU!$K$180:$K$440,JU!$I$180:$I$440,WS!$A113)</f>
        <v>0</v>
      </c>
      <c r="I113" s="36">
        <f>SUM(I102:I112)</f>
        <v>313203000</v>
      </c>
      <c r="J113" s="28">
        <f>SUMIFS(JU!$H$441:$H$695,JU!$F$441:$F$695,WS!$A113)</f>
        <v>0</v>
      </c>
      <c r="K113" s="29">
        <f>SUMIFS(JU!$K$441:$K$695,JU!$I$441:$I$695,WS!$A113)</f>
        <v>0</v>
      </c>
      <c r="L113" s="36">
        <f>SUM(L102:L112)</f>
        <v>249757000</v>
      </c>
      <c r="M113" s="28">
        <f>SUMIFS(JU!$H$696:$H$1062,JU!$F$696:$F$1062,$A113)</f>
        <v>0</v>
      </c>
      <c r="N113" s="29">
        <f>SUMIFS(JU!$K$696:$K$1062,JU!$I$696:$I$1062,WS!$A113)</f>
        <v>0</v>
      </c>
      <c r="O113" s="36">
        <f>SUM(O102:O112)</f>
        <v>870713000</v>
      </c>
      <c r="P113" s="28">
        <f>SUMIFS(JU!$H$1063:$H$5007,JU!$F$1063:$F$5007,WS!$A113)</f>
        <v>0</v>
      </c>
      <c r="Q113" s="29">
        <f>SUMIFS(JU!$K$1063:$K$5007,JU!$I$1063:$I$5007,WS!$A113)</f>
        <v>0</v>
      </c>
      <c r="R113" s="36">
        <f>SUM(R102:R112)</f>
        <v>1013957000</v>
      </c>
      <c r="S113" s="28">
        <f>SUMIFS(JU!$H$5107:$H$5107,JU!$F$5107:$F$5107,WS!$A113)</f>
        <v>0</v>
      </c>
      <c r="T113" s="29">
        <f>SUMIFS(JU!$K$5107:$K$5107,JU!$I$5107:$I$5107,WS!$A113)</f>
        <v>0</v>
      </c>
      <c r="U113" s="36">
        <f>SUM(U102:U112)</f>
        <v>0</v>
      </c>
      <c r="V113" s="28">
        <f>SUMIFS(JU!$H$5107:$H$5107,JU!$F$5107:$F$5107,WS!$A113)</f>
        <v>0</v>
      </c>
      <c r="W113" s="29">
        <f>SUMIFS(JU!$K$5107:$K$5107,JU!$I$5107:$I$5107,WS!$A113)</f>
        <v>0</v>
      </c>
      <c r="X113" s="36">
        <f>SUM(X102:X112)</f>
        <v>0</v>
      </c>
      <c r="Y113" s="28">
        <f>SUMIFS(JU!$H$5107:$H$5107,JU!$F$5107:$F$5107,WS!$A113)</f>
        <v>0</v>
      </c>
      <c r="Z113" s="29">
        <f>SUMIFS(JU!$K$5107:$K$5107,JU!$I$5107:$I$5107,WS!$A113)</f>
        <v>0</v>
      </c>
      <c r="AA113" s="36">
        <f>SUM(AA102:AA112)</f>
        <v>0</v>
      </c>
      <c r="AB113" s="28">
        <f>SUMIFS(JU!$H$5107:$H$5107,JU!$F$5107:$F$5107,WS!$A113)</f>
        <v>0</v>
      </c>
      <c r="AC113" s="29">
        <f>SUMIFS(JU!$K$5107:$K$5107,JU!$I$5107:$I$5107,WS!$A113)</f>
        <v>0</v>
      </c>
      <c r="AD113" s="36">
        <f>SUM(AD102:AD112)</f>
        <v>0</v>
      </c>
      <c r="AE113" s="28">
        <f>SUMIFS(JU!$H$5107:$H$5107,JU!$F$5107:$F$5107,WS!$A113)</f>
        <v>0</v>
      </c>
      <c r="AF113" s="29">
        <f>SUMIFS(JU!$K$5107:$K$5107,JU!$I$5107:$I$5107,WS!$A113)</f>
        <v>0</v>
      </c>
      <c r="AG113" s="36">
        <f>SUM(AG102:AG112)</f>
        <v>0</v>
      </c>
      <c r="AH113" s="28">
        <f>SUMIFS(JU!$H$5107:$H$5107,JU!$F$5107:$F$5107,WS!$A113)</f>
        <v>0</v>
      </c>
      <c r="AI113" s="29">
        <f>SUMIFS(JU!$K$5107:$K$5107,JU!$I$5107:$I$5107,WS!$A113)</f>
        <v>0</v>
      </c>
      <c r="AJ113" s="36">
        <f t="shared" ref="AJ113" si="150">SUM(AJ102:AJ112)</f>
        <v>0</v>
      </c>
      <c r="AK113" s="28">
        <f>SUMIFS(JU!$H$5107:$H$5107,JU!$F$5107:$F$5107,WS!$A113)</f>
        <v>0</v>
      </c>
      <c r="AL113" s="29">
        <f>SUMIFS(JU!$K$5107:$K$5107,JU!$I$5107:$I$5107,WS!$A113)</f>
        <v>0</v>
      </c>
      <c r="AM113" s="36">
        <f t="shared" ref="AM113" si="151">SUM(AM102:AM112)</f>
        <v>0</v>
      </c>
      <c r="AN113" s="275">
        <f t="shared" si="110"/>
        <v>2509188000</v>
      </c>
      <c r="AP113" s="18">
        <f t="shared" si="111"/>
        <v>2509188000</v>
      </c>
    </row>
    <row r="114" spans="1:42" s="37" customFormat="1">
      <c r="A114" s="280" t="s">
        <v>106</v>
      </c>
      <c r="B114" s="280"/>
      <c r="C114" s="38"/>
      <c r="D114" s="28">
        <f>SUMIFS(JU!$H$5:$H$178,JU!$F$5:$F$178,WS!$A114)</f>
        <v>0</v>
      </c>
      <c r="E114" s="29">
        <f>SUMIFS(JU!$K$5:$K$178,JU!$I$5:$I$178,WS!$A114)</f>
        <v>0</v>
      </c>
      <c r="F114" s="36"/>
      <c r="G114" s="28">
        <f>SUMIFS(JU!$H$180:$H$440,JU!$F$180:$F$440,WS!$A114)</f>
        <v>0</v>
      </c>
      <c r="H114" s="29">
        <f>SUMIFS(JU!$K$180:$K$440,JU!$I$180:$I$440,WS!$A114)</f>
        <v>0</v>
      </c>
      <c r="I114" s="36"/>
      <c r="J114" s="28">
        <f>SUMIFS(JU!$H$441:$H$695,JU!$F$441:$F$695,WS!$A114)</f>
        <v>0</v>
      </c>
      <c r="K114" s="29">
        <f>SUMIFS(JU!$K$441:$K$695,JU!$I$441:$I$695,WS!$A114)</f>
        <v>0</v>
      </c>
      <c r="L114" s="36"/>
      <c r="M114" s="28">
        <f>SUMIFS(JU!$H$696:$H$1062,JU!$F$696:$F$1062,$A114)</f>
        <v>0</v>
      </c>
      <c r="N114" s="29">
        <f>SUMIFS(JU!$K$696:$K$1062,JU!$I$696:$I$1062,WS!$A114)</f>
        <v>0</v>
      </c>
      <c r="O114" s="36"/>
      <c r="P114" s="28">
        <f>SUMIFS(JU!$H$1063:$H$5007,JU!$F$1063:$F$5007,WS!$A114)</f>
        <v>0</v>
      </c>
      <c r="Q114" s="29">
        <f>SUMIFS(JU!$K$1063:$K$5007,JU!$I$1063:$I$5007,WS!$A114)</f>
        <v>0</v>
      </c>
      <c r="R114" s="36"/>
      <c r="S114" s="28">
        <f>SUMIFS(JU!$H$5107:$H$5107,JU!$F$5107:$F$5107,WS!$A114)</f>
        <v>0</v>
      </c>
      <c r="T114" s="29">
        <f>SUMIFS(JU!$K$5107:$K$5107,JU!$I$5107:$I$5107,WS!$A114)</f>
        <v>0</v>
      </c>
      <c r="U114" s="36"/>
      <c r="V114" s="28">
        <f>SUMIFS(JU!$H$5107:$H$5107,JU!$F$5107:$F$5107,WS!$A114)</f>
        <v>0</v>
      </c>
      <c r="W114" s="29">
        <f>SUMIFS(JU!$K$5107:$K$5107,JU!$I$5107:$I$5107,WS!$A114)</f>
        <v>0</v>
      </c>
      <c r="X114" s="36"/>
      <c r="Y114" s="28">
        <f>SUMIFS(JU!$H$5107:$H$5107,JU!$F$5107:$F$5107,WS!$A114)</f>
        <v>0</v>
      </c>
      <c r="Z114" s="29">
        <f>SUMIFS(JU!$K$5107:$K$5107,JU!$I$5107:$I$5107,WS!$A114)</f>
        <v>0</v>
      </c>
      <c r="AA114" s="36"/>
      <c r="AB114" s="28">
        <f>SUMIFS(JU!$H$5107:$H$5107,JU!$F$5107:$F$5107,WS!$A114)</f>
        <v>0</v>
      </c>
      <c r="AC114" s="29">
        <f>SUMIFS(JU!$K$5107:$K$5107,JU!$I$5107:$I$5107,WS!$A114)</f>
        <v>0</v>
      </c>
      <c r="AD114" s="36"/>
      <c r="AE114" s="28">
        <f>SUMIFS(JU!$H$5107:$H$5107,JU!$F$5107:$F$5107,WS!$A114)</f>
        <v>0</v>
      </c>
      <c r="AF114" s="29">
        <f>SUMIFS(JU!$K$5107:$K$5107,JU!$I$5107:$I$5107,WS!$A114)</f>
        <v>0</v>
      </c>
      <c r="AG114" s="36"/>
      <c r="AH114" s="28">
        <f>SUMIFS(JU!$H$5107:$H$5107,JU!$F$5107:$F$5107,WS!$A114)</f>
        <v>0</v>
      </c>
      <c r="AI114" s="29">
        <f>SUMIFS(JU!$K$5107:$K$5107,JU!$I$5107:$I$5107,WS!$A114)</f>
        <v>0</v>
      </c>
      <c r="AJ114" s="36"/>
      <c r="AK114" s="28">
        <f>SUMIFS(JU!$H$5107:$H$5107,JU!$F$5107:$F$5107,WS!$A114)</f>
        <v>0</v>
      </c>
      <c r="AL114" s="29">
        <f>SUMIFS(JU!$K$5107:$K$5107,JU!$I$5107:$I$5107,WS!$A114)</f>
        <v>0</v>
      </c>
      <c r="AM114" s="36"/>
      <c r="AN114" s="275">
        <f t="shared" si="110"/>
        <v>0</v>
      </c>
      <c r="AP114" s="18">
        <f t="shared" si="111"/>
        <v>0</v>
      </c>
    </row>
    <row r="115" spans="1:42">
      <c r="A115" s="6">
        <v>6101</v>
      </c>
      <c r="B115" s="31" t="s">
        <v>75</v>
      </c>
      <c r="C115" s="32"/>
      <c r="D115" s="28">
        <f>SUMIFS(JU!$H$5:$H$178,JU!$F$5:$F$178,WS!$A115)</f>
        <v>38242276</v>
      </c>
      <c r="E115" s="29">
        <f>SUMIFS(JU!$K$5:$K$178,JU!$I$5:$I$178,WS!$A115)</f>
        <v>0</v>
      </c>
      <c r="F115" s="30">
        <f>D115-E115</f>
        <v>38242276</v>
      </c>
      <c r="G115" s="28">
        <f>SUMIFS(JU!$H$180:$H$440,JU!$F$180:$F$440,WS!$A115)</f>
        <v>71417388</v>
      </c>
      <c r="H115" s="29">
        <f>SUMIFS(JU!$K$180:$K$440,JU!$I$180:$I$440,WS!$A115)</f>
        <v>17500000</v>
      </c>
      <c r="I115" s="30">
        <f>G115-H115</f>
        <v>53917388</v>
      </c>
      <c r="J115" s="28">
        <f>SUMIFS(JU!$H$441:$H$695,JU!$F$441:$F$695,WS!$A115)</f>
        <v>66060048</v>
      </c>
      <c r="K115" s="29">
        <f>SUMIFS(JU!$K$441:$K$695,JU!$I$441:$I$695,WS!$A115)</f>
        <v>29863158</v>
      </c>
      <c r="L115" s="30">
        <f t="shared" ref="L115:L126" si="152">J115-K115</f>
        <v>36196890</v>
      </c>
      <c r="M115" s="28">
        <f>SUMIFS(JU!$H$696:$H$1062,JU!$F$696:$F$1062,$A115)</f>
        <v>38789964</v>
      </c>
      <c r="N115" s="29">
        <f>SUMIFS(JU!$K$696:$K$1062,JU!$I$696:$I$1062,WS!$A115)</f>
        <v>0</v>
      </c>
      <c r="O115" s="30">
        <f t="shared" ref="O115:O126" si="153">M115-N115</f>
        <v>38789964</v>
      </c>
      <c r="P115" s="28">
        <f>SUMIFS(JU!$H$1063:$H$5007,JU!$F$1063:$F$5007,WS!$A115)</f>
        <v>62537528</v>
      </c>
      <c r="Q115" s="29">
        <f>SUMIFS(JU!$K$1063:$K$5007,JU!$I$1063:$I$5007,WS!$A115)</f>
        <v>0</v>
      </c>
      <c r="R115" s="30">
        <f>P115-Q115</f>
        <v>62537528</v>
      </c>
      <c r="S115" s="28">
        <f>SUMIFS(JU!$H$5107:$H$5107,JU!$F$5107:$F$5107,WS!$A115)</f>
        <v>0</v>
      </c>
      <c r="T115" s="29">
        <f>SUMIFS(JU!$K$5107:$K$5107,JU!$I$5107:$I$5107,WS!$A115)</f>
        <v>0</v>
      </c>
      <c r="U115" s="30">
        <f>S115-T115</f>
        <v>0</v>
      </c>
      <c r="V115" s="28">
        <f>SUMIFS(JU!$H$5107:$H$5107,JU!$F$5107:$F$5107,WS!$A115)</f>
        <v>0</v>
      </c>
      <c r="W115" s="29">
        <f>SUMIFS(JU!$K$5107:$K$5107,JU!$I$5107:$I$5107,WS!$A115)</f>
        <v>0</v>
      </c>
      <c r="X115" s="30">
        <f>V115-W115</f>
        <v>0</v>
      </c>
      <c r="Y115" s="28">
        <f>SUMIFS(JU!$H$5107:$H$5107,JU!$F$5107:$F$5107,WS!$A115)</f>
        <v>0</v>
      </c>
      <c r="Z115" s="29">
        <f>SUMIFS(JU!$K$5107:$K$5107,JU!$I$5107:$I$5107,WS!$A115)</f>
        <v>0</v>
      </c>
      <c r="AA115" s="30">
        <f>Y115-Z115</f>
        <v>0</v>
      </c>
      <c r="AB115" s="28">
        <f>SUMIFS(JU!$H$5107:$H$5107,JU!$F$5107:$F$5107,WS!$A115)</f>
        <v>0</v>
      </c>
      <c r="AC115" s="29">
        <f>SUMIFS(JU!$K$5107:$K$5107,JU!$I$5107:$I$5107,WS!$A115)</f>
        <v>0</v>
      </c>
      <c r="AD115" s="30">
        <f>AB115-AC115</f>
        <v>0</v>
      </c>
      <c r="AE115" s="28">
        <f>SUMIFS(JU!$H$5107:$H$5107,JU!$F$5107:$F$5107,WS!$A115)</f>
        <v>0</v>
      </c>
      <c r="AF115" s="29">
        <f>SUMIFS(JU!$K$5107:$K$5107,JU!$I$5107:$I$5107,WS!$A115)</f>
        <v>0</v>
      </c>
      <c r="AG115" s="30">
        <f>AE115-AF115</f>
        <v>0</v>
      </c>
      <c r="AH115" s="28">
        <f>SUMIFS(JU!$H$5107:$H$5107,JU!$F$5107:$F$5107,WS!$A115)</f>
        <v>0</v>
      </c>
      <c r="AI115" s="29">
        <f>SUMIFS(JU!$K$5107:$K$5107,JU!$I$5107:$I$5107,WS!$A115)</f>
        <v>0</v>
      </c>
      <c r="AJ115" s="30">
        <f>AH115-AI115</f>
        <v>0</v>
      </c>
      <c r="AK115" s="28">
        <f>SUMIFS(JU!$H$5107:$H$5107,JU!$F$5107:$F$5107,WS!$A115)</f>
        <v>0</v>
      </c>
      <c r="AL115" s="29">
        <f>SUMIFS(JU!$K$5107:$K$5107,JU!$I$5107:$I$5107,WS!$A115)</f>
        <v>0</v>
      </c>
      <c r="AM115" s="30">
        <f>AK115-AL115</f>
        <v>0</v>
      </c>
      <c r="AN115" s="275">
        <f t="shared" si="110"/>
        <v>229684046</v>
      </c>
      <c r="AP115" s="18">
        <f t="shared" si="111"/>
        <v>229684046</v>
      </c>
    </row>
    <row r="116" spans="1:42" s="37" customFormat="1">
      <c r="A116" s="6">
        <v>6102</v>
      </c>
      <c r="B116" s="31" t="s">
        <v>204</v>
      </c>
      <c r="C116" s="32"/>
      <c r="D116" s="28">
        <f>SUMIFS(JU!$H$5:$H$178,JU!$F$5:$F$178,WS!$A116)</f>
        <v>0</v>
      </c>
      <c r="E116" s="29">
        <f>SUMIFS(JU!$K$5:$K$178,JU!$I$5:$I$178,WS!$A116)</f>
        <v>0</v>
      </c>
      <c r="F116" s="30">
        <f t="shared" ref="F116:F126" si="154">D116-E116</f>
        <v>0</v>
      </c>
      <c r="G116" s="28">
        <f>SUMIFS(JU!$H$180:$H$440,JU!$F$180:$F$440,WS!$A116)</f>
        <v>100000</v>
      </c>
      <c r="H116" s="29">
        <f>SUMIFS(JU!$K$180:$K$440,JU!$I$180:$I$440,WS!$A116)</f>
        <v>0</v>
      </c>
      <c r="I116" s="30">
        <f t="shared" ref="I116:I126" si="155">G116-H116</f>
        <v>100000</v>
      </c>
      <c r="J116" s="28">
        <f>SUMIFS(JU!$H$441:$H$695,JU!$F$441:$F$695,WS!$A116)</f>
        <v>0</v>
      </c>
      <c r="K116" s="29">
        <f>SUMIFS(JU!$K$441:$K$695,JU!$I$441:$I$695,WS!$A116)</f>
        <v>0</v>
      </c>
      <c r="L116" s="30">
        <f t="shared" si="152"/>
        <v>0</v>
      </c>
      <c r="M116" s="28">
        <f>SUMIFS(JU!$H$696:$H$1062,JU!$F$696:$F$1062,$A116)</f>
        <v>0</v>
      </c>
      <c r="N116" s="29">
        <f>SUMIFS(JU!$K$696:$K$1062,JU!$I$696:$I$1062,WS!$A116)</f>
        <v>0</v>
      </c>
      <c r="O116" s="30">
        <f t="shared" si="153"/>
        <v>0</v>
      </c>
      <c r="P116" s="28">
        <f>SUMIFS(JU!$H$1063:$H$5007,JU!$F$1063:$F$5007,WS!$A116)</f>
        <v>0</v>
      </c>
      <c r="Q116" s="29">
        <f>SUMIFS(JU!$K$1063:$K$5007,JU!$I$1063:$I$5007,WS!$A116)</f>
        <v>0</v>
      </c>
      <c r="R116" s="30">
        <f t="shared" ref="R116:R126" si="156">P116-Q116</f>
        <v>0</v>
      </c>
      <c r="S116" s="28">
        <f>SUMIFS(JU!$H$5107:$H$5107,JU!$F$5107:$F$5107,WS!$A116)</f>
        <v>0</v>
      </c>
      <c r="T116" s="29">
        <f>SUMIFS(JU!$K$5107:$K$5107,JU!$I$5107:$I$5107,WS!$A116)</f>
        <v>0</v>
      </c>
      <c r="U116" s="30">
        <f t="shared" ref="U116:U126" si="157">S116-T116</f>
        <v>0</v>
      </c>
      <c r="V116" s="28">
        <f>SUMIFS(JU!$H$5107:$H$5107,JU!$F$5107:$F$5107,WS!$A116)</f>
        <v>0</v>
      </c>
      <c r="W116" s="29">
        <f>SUMIFS(JU!$K$5107:$K$5107,JU!$I$5107:$I$5107,WS!$A116)</f>
        <v>0</v>
      </c>
      <c r="X116" s="30">
        <f t="shared" ref="X116:X126" si="158">V116-W116</f>
        <v>0</v>
      </c>
      <c r="Y116" s="28">
        <f>SUMIFS(JU!$H$5107:$H$5107,JU!$F$5107:$F$5107,WS!$A116)</f>
        <v>0</v>
      </c>
      <c r="Z116" s="29">
        <f>SUMIFS(JU!$K$5107:$K$5107,JU!$I$5107:$I$5107,WS!$A116)</f>
        <v>0</v>
      </c>
      <c r="AA116" s="30">
        <f t="shared" ref="AA116:AA126" si="159">Y116-Z116</f>
        <v>0</v>
      </c>
      <c r="AB116" s="28">
        <f>SUMIFS(JU!$H$5107:$H$5107,JU!$F$5107:$F$5107,WS!$A116)</f>
        <v>0</v>
      </c>
      <c r="AC116" s="29">
        <f>SUMIFS(JU!$K$5107:$K$5107,JU!$I$5107:$I$5107,WS!$A116)</f>
        <v>0</v>
      </c>
      <c r="AD116" s="30">
        <f t="shared" ref="AD116:AD126" si="160">AB116-AC116</f>
        <v>0</v>
      </c>
      <c r="AE116" s="28">
        <f>SUMIFS(JU!$H$5107:$H$5107,JU!$F$5107:$F$5107,WS!$A116)</f>
        <v>0</v>
      </c>
      <c r="AF116" s="29">
        <f>SUMIFS(JU!$K$5107:$K$5107,JU!$I$5107:$I$5107,WS!$A116)</f>
        <v>0</v>
      </c>
      <c r="AG116" s="30">
        <f t="shared" ref="AG116:AG126" si="161">AE116-AF116</f>
        <v>0</v>
      </c>
      <c r="AH116" s="28">
        <f>SUMIFS(JU!$H$5107:$H$5107,JU!$F$5107:$F$5107,WS!$A116)</f>
        <v>0</v>
      </c>
      <c r="AI116" s="29">
        <f>SUMIFS(JU!$K$5107:$K$5107,JU!$I$5107:$I$5107,WS!$A116)</f>
        <v>0</v>
      </c>
      <c r="AJ116" s="30">
        <f t="shared" ref="AJ116:AJ126" si="162">AH116-AI116</f>
        <v>0</v>
      </c>
      <c r="AK116" s="28">
        <f>SUMIFS(JU!$H$5107:$H$5107,JU!$F$5107:$F$5107,WS!$A116)</f>
        <v>0</v>
      </c>
      <c r="AL116" s="29">
        <f>SUMIFS(JU!$K$5107:$K$5107,JU!$I$5107:$I$5107,WS!$A116)</f>
        <v>0</v>
      </c>
      <c r="AM116" s="30">
        <f t="shared" ref="AM116:AM126" si="163">AK116-AL116</f>
        <v>0</v>
      </c>
      <c r="AN116" s="275">
        <f t="shared" si="110"/>
        <v>100000</v>
      </c>
      <c r="AP116" s="18">
        <f t="shared" si="111"/>
        <v>100000</v>
      </c>
    </row>
    <row r="117" spans="1:42">
      <c r="A117" s="6">
        <v>6103</v>
      </c>
      <c r="B117" s="31" t="s">
        <v>203</v>
      </c>
      <c r="C117" s="32"/>
      <c r="D117" s="28">
        <f>SUMIFS(JU!$H$5:$H$178,JU!$F$5:$F$178,WS!$A117)</f>
        <v>0</v>
      </c>
      <c r="E117" s="29">
        <f>SUMIFS(JU!$K$5:$K$178,JU!$I$5:$I$178,WS!$A117)</f>
        <v>0</v>
      </c>
      <c r="F117" s="30">
        <f t="shared" si="154"/>
        <v>0</v>
      </c>
      <c r="G117" s="28">
        <f>SUMIFS(JU!$H$180:$H$440,JU!$F$180:$F$440,WS!$A117)</f>
        <v>0</v>
      </c>
      <c r="H117" s="29">
        <f>SUMIFS(JU!$K$180:$K$440,JU!$I$180:$I$440,WS!$A117)</f>
        <v>0</v>
      </c>
      <c r="I117" s="30">
        <f t="shared" si="155"/>
        <v>0</v>
      </c>
      <c r="J117" s="28">
        <f>SUMIFS(JU!$H$441:$H$695,JU!$F$441:$F$695,WS!$A117)</f>
        <v>0</v>
      </c>
      <c r="K117" s="29">
        <f>SUMIFS(JU!$K$441:$K$695,JU!$I$441:$I$695,WS!$A117)</f>
        <v>0</v>
      </c>
      <c r="L117" s="30">
        <f t="shared" si="152"/>
        <v>0</v>
      </c>
      <c r="M117" s="28">
        <f>SUMIFS(JU!$H$696:$H$1062,JU!$F$696:$F$1062,$A117)</f>
        <v>0</v>
      </c>
      <c r="N117" s="29">
        <f>SUMIFS(JU!$K$696:$K$1062,JU!$I$696:$I$1062,WS!$A117)</f>
        <v>0</v>
      </c>
      <c r="O117" s="30">
        <f t="shared" si="153"/>
        <v>0</v>
      </c>
      <c r="P117" s="28">
        <f>SUMIFS(JU!$H$1063:$H$5007,JU!$F$1063:$F$5007,WS!$A117)</f>
        <v>0</v>
      </c>
      <c r="Q117" s="29">
        <f>SUMIFS(JU!$K$1063:$K$5007,JU!$I$1063:$I$5007,WS!$A117)</f>
        <v>0</v>
      </c>
      <c r="R117" s="30">
        <f t="shared" si="156"/>
        <v>0</v>
      </c>
      <c r="S117" s="28">
        <f>SUMIFS(JU!$H$5107:$H$5107,JU!$F$5107:$F$5107,WS!$A117)</f>
        <v>0</v>
      </c>
      <c r="T117" s="29">
        <f>SUMIFS(JU!$K$5107:$K$5107,JU!$I$5107:$I$5107,WS!$A117)</f>
        <v>0</v>
      </c>
      <c r="U117" s="30">
        <f t="shared" si="157"/>
        <v>0</v>
      </c>
      <c r="V117" s="28">
        <f>SUMIFS(JU!$H$5107:$H$5107,JU!$F$5107:$F$5107,WS!$A117)</f>
        <v>0</v>
      </c>
      <c r="W117" s="29">
        <f>SUMIFS(JU!$K$5107:$K$5107,JU!$I$5107:$I$5107,WS!$A117)</f>
        <v>0</v>
      </c>
      <c r="X117" s="30">
        <f t="shared" si="158"/>
        <v>0</v>
      </c>
      <c r="Y117" s="28">
        <f>SUMIFS(JU!$H$5107:$H$5107,JU!$F$5107:$F$5107,WS!$A117)</f>
        <v>0</v>
      </c>
      <c r="Z117" s="29">
        <f>SUMIFS(JU!$K$5107:$K$5107,JU!$I$5107:$I$5107,WS!$A117)</f>
        <v>0</v>
      </c>
      <c r="AA117" s="30">
        <f t="shared" si="159"/>
        <v>0</v>
      </c>
      <c r="AB117" s="28">
        <f>SUMIFS(JU!$H$5107:$H$5107,JU!$F$5107:$F$5107,WS!$A117)</f>
        <v>0</v>
      </c>
      <c r="AC117" s="29">
        <f>SUMIFS(JU!$K$5107:$K$5107,JU!$I$5107:$I$5107,WS!$A117)</f>
        <v>0</v>
      </c>
      <c r="AD117" s="30">
        <f t="shared" si="160"/>
        <v>0</v>
      </c>
      <c r="AE117" s="28">
        <f>SUMIFS(JU!$H$5107:$H$5107,JU!$F$5107:$F$5107,WS!$A117)</f>
        <v>0</v>
      </c>
      <c r="AF117" s="29">
        <f>SUMIFS(JU!$K$5107:$K$5107,JU!$I$5107:$I$5107,WS!$A117)</f>
        <v>0</v>
      </c>
      <c r="AG117" s="30">
        <f t="shared" si="161"/>
        <v>0</v>
      </c>
      <c r="AH117" s="28">
        <f>SUMIFS(JU!$H$5107:$H$5107,JU!$F$5107:$F$5107,WS!$A117)</f>
        <v>0</v>
      </c>
      <c r="AI117" s="29">
        <f>SUMIFS(JU!$K$5107:$K$5107,JU!$I$5107:$I$5107,WS!$A117)</f>
        <v>0</v>
      </c>
      <c r="AJ117" s="30">
        <f t="shared" si="162"/>
        <v>0</v>
      </c>
      <c r="AK117" s="28">
        <f>SUMIFS(JU!$H$5107:$H$5107,JU!$F$5107:$F$5107,WS!$A117)</f>
        <v>0</v>
      </c>
      <c r="AL117" s="29">
        <f>SUMIFS(JU!$K$5107:$K$5107,JU!$I$5107:$I$5107,WS!$A117)</f>
        <v>0</v>
      </c>
      <c r="AM117" s="30">
        <f t="shared" si="163"/>
        <v>0</v>
      </c>
      <c r="AN117" s="275">
        <f t="shared" si="110"/>
        <v>0</v>
      </c>
      <c r="AP117" s="18">
        <f t="shared" si="111"/>
        <v>0</v>
      </c>
    </row>
    <row r="118" spans="1:42">
      <c r="A118" s="6">
        <v>6104</v>
      </c>
      <c r="B118" s="31" t="s">
        <v>147</v>
      </c>
      <c r="C118" s="32"/>
      <c r="D118" s="28">
        <f>SUMIFS(JU!$H$5:$H$178,JU!$F$5:$F$178,WS!$A118)</f>
        <v>0</v>
      </c>
      <c r="E118" s="29">
        <f>SUMIFS(JU!$K$5:$K$178,JU!$I$5:$I$178,WS!$A118)</f>
        <v>0</v>
      </c>
      <c r="F118" s="30">
        <f t="shared" si="154"/>
        <v>0</v>
      </c>
      <c r="G118" s="28">
        <f>SUMIFS(JU!$H$180:$H$440,JU!$F$180:$F$440,WS!$A118)</f>
        <v>0</v>
      </c>
      <c r="H118" s="29">
        <f>SUMIFS(JU!$K$180:$K$440,JU!$I$180:$I$440,WS!$A118)</f>
        <v>0</v>
      </c>
      <c r="I118" s="30">
        <f t="shared" si="155"/>
        <v>0</v>
      </c>
      <c r="J118" s="28">
        <f>SUMIFS(JU!$H$441:$H$695,JU!$F$441:$F$695,WS!$A118)</f>
        <v>0</v>
      </c>
      <c r="K118" s="29">
        <f>SUMIFS(JU!$K$441:$K$695,JU!$I$441:$I$695,WS!$A118)</f>
        <v>0</v>
      </c>
      <c r="L118" s="30">
        <f t="shared" si="152"/>
        <v>0</v>
      </c>
      <c r="M118" s="28">
        <f>SUMIFS(JU!$H$696:$H$1062,JU!$F$696:$F$1062,$A118)</f>
        <v>0</v>
      </c>
      <c r="N118" s="29">
        <f>SUMIFS(JU!$K$696:$K$1062,JU!$I$696:$I$1062,WS!$A118)</f>
        <v>0</v>
      </c>
      <c r="O118" s="30">
        <f t="shared" si="153"/>
        <v>0</v>
      </c>
      <c r="P118" s="28">
        <f>SUMIFS(JU!$H$1063:$H$5007,JU!$F$1063:$F$5007,WS!$A118)</f>
        <v>0</v>
      </c>
      <c r="Q118" s="29">
        <f>SUMIFS(JU!$K$1063:$K$5007,JU!$I$1063:$I$5007,WS!$A118)</f>
        <v>0</v>
      </c>
      <c r="R118" s="30">
        <f t="shared" si="156"/>
        <v>0</v>
      </c>
      <c r="S118" s="28">
        <f>SUMIFS(JU!$H$5107:$H$5107,JU!$F$5107:$F$5107,WS!$A118)</f>
        <v>0</v>
      </c>
      <c r="T118" s="29">
        <f>SUMIFS(JU!$K$5107:$K$5107,JU!$I$5107:$I$5107,WS!$A118)</f>
        <v>0</v>
      </c>
      <c r="U118" s="30">
        <f t="shared" si="157"/>
        <v>0</v>
      </c>
      <c r="V118" s="28">
        <f>SUMIFS(JU!$H$5107:$H$5107,JU!$F$5107:$F$5107,WS!$A118)</f>
        <v>0</v>
      </c>
      <c r="W118" s="29">
        <f>SUMIFS(JU!$K$5107:$K$5107,JU!$I$5107:$I$5107,WS!$A118)</f>
        <v>0</v>
      </c>
      <c r="X118" s="30">
        <f t="shared" si="158"/>
        <v>0</v>
      </c>
      <c r="Y118" s="28">
        <f>SUMIFS(JU!$H$5107:$H$5107,JU!$F$5107:$F$5107,WS!$A118)</f>
        <v>0</v>
      </c>
      <c r="Z118" s="29">
        <f>SUMIFS(JU!$K$5107:$K$5107,JU!$I$5107:$I$5107,WS!$A118)</f>
        <v>0</v>
      </c>
      <c r="AA118" s="30">
        <f t="shared" si="159"/>
        <v>0</v>
      </c>
      <c r="AB118" s="28">
        <f>SUMIFS(JU!$H$5107:$H$5107,JU!$F$5107:$F$5107,WS!$A118)</f>
        <v>0</v>
      </c>
      <c r="AC118" s="29">
        <f>SUMIFS(JU!$K$5107:$K$5107,JU!$I$5107:$I$5107,WS!$A118)</f>
        <v>0</v>
      </c>
      <c r="AD118" s="30">
        <f t="shared" si="160"/>
        <v>0</v>
      </c>
      <c r="AE118" s="28">
        <f>SUMIFS(JU!$H$5107:$H$5107,JU!$F$5107:$F$5107,WS!$A118)</f>
        <v>0</v>
      </c>
      <c r="AF118" s="29">
        <f>SUMIFS(JU!$K$5107:$K$5107,JU!$I$5107:$I$5107,WS!$A118)</f>
        <v>0</v>
      </c>
      <c r="AG118" s="30">
        <f t="shared" si="161"/>
        <v>0</v>
      </c>
      <c r="AH118" s="28">
        <f>SUMIFS(JU!$H$5107:$H$5107,JU!$F$5107:$F$5107,WS!$A118)</f>
        <v>0</v>
      </c>
      <c r="AI118" s="29">
        <f>SUMIFS(JU!$K$5107:$K$5107,JU!$I$5107:$I$5107,WS!$A118)</f>
        <v>0</v>
      </c>
      <c r="AJ118" s="30">
        <f t="shared" si="162"/>
        <v>0</v>
      </c>
      <c r="AK118" s="28">
        <f>SUMIFS(JU!$H$5107:$H$5107,JU!$F$5107:$F$5107,WS!$A118)</f>
        <v>0</v>
      </c>
      <c r="AL118" s="29">
        <f>SUMIFS(JU!$K$5107:$K$5107,JU!$I$5107:$I$5107,WS!$A118)</f>
        <v>0</v>
      </c>
      <c r="AM118" s="30">
        <f t="shared" si="163"/>
        <v>0</v>
      </c>
      <c r="AN118" s="275">
        <f t="shared" si="110"/>
        <v>0</v>
      </c>
      <c r="AP118" s="18">
        <f t="shared" si="111"/>
        <v>0</v>
      </c>
    </row>
    <row r="119" spans="1:42">
      <c r="A119" s="6">
        <v>6105</v>
      </c>
      <c r="B119" s="31" t="s">
        <v>148</v>
      </c>
      <c r="C119" s="32"/>
      <c r="D119" s="28">
        <f>SUMIFS(JU!$H$5:$H$178,JU!$F$5:$F$178,WS!$A119)</f>
        <v>0</v>
      </c>
      <c r="E119" s="29">
        <f>SUMIFS(JU!$K$5:$K$178,JU!$I$5:$I$178,WS!$A119)</f>
        <v>0</v>
      </c>
      <c r="F119" s="30">
        <f t="shared" si="154"/>
        <v>0</v>
      </c>
      <c r="G119" s="28">
        <f>SUMIFS(JU!$H$180:$H$440,JU!$F$180:$F$440,WS!$A119)</f>
        <v>1500000</v>
      </c>
      <c r="H119" s="29">
        <f>SUMIFS(JU!$K$180:$K$440,JU!$I$180:$I$440,WS!$A119)</f>
        <v>0</v>
      </c>
      <c r="I119" s="30">
        <f t="shared" si="155"/>
        <v>1500000</v>
      </c>
      <c r="J119" s="28">
        <f>SUMIFS(JU!$H$441:$H$695,JU!$F$441:$F$695,WS!$A119)</f>
        <v>871000</v>
      </c>
      <c r="K119" s="29">
        <f>SUMIFS(JU!$K$441:$K$695,JU!$I$441:$I$695,WS!$A119)</f>
        <v>0</v>
      </c>
      <c r="L119" s="30">
        <f t="shared" si="152"/>
        <v>871000</v>
      </c>
      <c r="M119" s="28">
        <f>SUMIFS(JU!$H$696:$H$1062,JU!$F$696:$F$1062,$A119)</f>
        <v>1285000</v>
      </c>
      <c r="N119" s="29">
        <f>SUMIFS(JU!$K$696:$K$1062,JU!$I$696:$I$1062,WS!$A119)</f>
        <v>140000</v>
      </c>
      <c r="O119" s="30">
        <f t="shared" si="153"/>
        <v>1145000</v>
      </c>
      <c r="P119" s="28">
        <f>SUMIFS(JU!$H$1063:$H$5007,JU!$F$1063:$F$5007,WS!$A119)</f>
        <v>3526000</v>
      </c>
      <c r="Q119" s="29">
        <f>SUMIFS(JU!$K$1063:$K$5007,JU!$I$1063:$I$5007,WS!$A119)</f>
        <v>0</v>
      </c>
      <c r="R119" s="30">
        <f t="shared" si="156"/>
        <v>3526000</v>
      </c>
      <c r="S119" s="28">
        <f>SUMIFS(JU!$H$5107:$H$5107,JU!$F$5107:$F$5107,WS!$A119)</f>
        <v>0</v>
      </c>
      <c r="T119" s="29">
        <f>SUMIFS(JU!$K$5107:$K$5107,JU!$I$5107:$I$5107,WS!$A119)</f>
        <v>0</v>
      </c>
      <c r="U119" s="30">
        <f t="shared" si="157"/>
        <v>0</v>
      </c>
      <c r="V119" s="28">
        <f>SUMIFS(JU!$H$5107:$H$5107,JU!$F$5107:$F$5107,WS!$A119)</f>
        <v>0</v>
      </c>
      <c r="W119" s="29">
        <f>SUMIFS(JU!$K$5107:$K$5107,JU!$I$5107:$I$5107,WS!$A119)</f>
        <v>0</v>
      </c>
      <c r="X119" s="30">
        <f t="shared" si="158"/>
        <v>0</v>
      </c>
      <c r="Y119" s="28">
        <f>SUMIFS(JU!$H$5107:$H$5107,JU!$F$5107:$F$5107,WS!$A119)</f>
        <v>0</v>
      </c>
      <c r="Z119" s="29">
        <f>SUMIFS(JU!$K$5107:$K$5107,JU!$I$5107:$I$5107,WS!$A119)</f>
        <v>0</v>
      </c>
      <c r="AA119" s="30">
        <f t="shared" si="159"/>
        <v>0</v>
      </c>
      <c r="AB119" s="28">
        <f>SUMIFS(JU!$H$5107:$H$5107,JU!$F$5107:$F$5107,WS!$A119)</f>
        <v>0</v>
      </c>
      <c r="AC119" s="29">
        <f>SUMIFS(JU!$K$5107:$K$5107,JU!$I$5107:$I$5107,WS!$A119)</f>
        <v>0</v>
      </c>
      <c r="AD119" s="30">
        <f t="shared" si="160"/>
        <v>0</v>
      </c>
      <c r="AE119" s="28">
        <f>SUMIFS(JU!$H$5107:$H$5107,JU!$F$5107:$F$5107,WS!$A119)</f>
        <v>0</v>
      </c>
      <c r="AF119" s="29">
        <f>SUMIFS(JU!$K$5107:$K$5107,JU!$I$5107:$I$5107,WS!$A119)</f>
        <v>0</v>
      </c>
      <c r="AG119" s="30">
        <f t="shared" si="161"/>
        <v>0</v>
      </c>
      <c r="AH119" s="28">
        <f>SUMIFS(JU!$H$5107:$H$5107,JU!$F$5107:$F$5107,WS!$A119)</f>
        <v>0</v>
      </c>
      <c r="AI119" s="29">
        <f>SUMIFS(JU!$K$5107:$K$5107,JU!$I$5107:$I$5107,WS!$A119)</f>
        <v>0</v>
      </c>
      <c r="AJ119" s="30">
        <f t="shared" si="162"/>
        <v>0</v>
      </c>
      <c r="AK119" s="28">
        <f>SUMIFS(JU!$H$5107:$H$5107,JU!$F$5107:$F$5107,WS!$A119)</f>
        <v>0</v>
      </c>
      <c r="AL119" s="29">
        <f>SUMIFS(JU!$K$5107:$K$5107,JU!$I$5107:$I$5107,WS!$A119)</f>
        <v>0</v>
      </c>
      <c r="AM119" s="30">
        <f t="shared" si="163"/>
        <v>0</v>
      </c>
      <c r="AN119" s="275">
        <f t="shared" si="110"/>
        <v>7042000</v>
      </c>
      <c r="AP119" s="18">
        <f t="shared" si="111"/>
        <v>7042000</v>
      </c>
    </row>
    <row r="120" spans="1:42">
      <c r="A120" s="6">
        <v>6106</v>
      </c>
      <c r="B120" s="31" t="s">
        <v>149</v>
      </c>
      <c r="C120" s="32"/>
      <c r="D120" s="28">
        <f>SUMIFS(JU!$H$5:$H$178,JU!$F$5:$F$178,WS!$A120)</f>
        <v>210721</v>
      </c>
      <c r="E120" s="29">
        <f>SUMIFS(JU!$K$5:$K$178,JU!$I$5:$I$178,WS!$A120)</f>
        <v>0</v>
      </c>
      <c r="F120" s="30">
        <f t="shared" si="154"/>
        <v>210721</v>
      </c>
      <c r="G120" s="28">
        <f>SUMIFS(JU!$H$180:$H$440,JU!$F$180:$F$440,WS!$A120)</f>
        <v>216450</v>
      </c>
      <c r="H120" s="29">
        <f>SUMIFS(JU!$K$180:$K$440,JU!$I$180:$I$440,WS!$A120)</f>
        <v>0</v>
      </c>
      <c r="I120" s="30">
        <f t="shared" si="155"/>
        <v>216450</v>
      </c>
      <c r="J120" s="28">
        <f>SUMIFS(JU!$H$441:$H$695,JU!$F$441:$F$695,WS!$A120)</f>
        <v>638250</v>
      </c>
      <c r="K120" s="29">
        <f>SUMIFS(JU!$K$441:$K$695,JU!$I$441:$I$695,WS!$A120)</f>
        <v>0</v>
      </c>
      <c r="L120" s="30">
        <f t="shared" si="152"/>
        <v>638250</v>
      </c>
      <c r="M120" s="28">
        <f>SUMIFS(JU!$H$696:$H$1062,JU!$F$696:$F$1062,$A120)</f>
        <v>638250</v>
      </c>
      <c r="N120" s="29">
        <f>SUMIFS(JU!$K$696:$K$1062,JU!$I$696:$I$1062,WS!$A120)</f>
        <v>0</v>
      </c>
      <c r="O120" s="30">
        <f t="shared" si="153"/>
        <v>638250</v>
      </c>
      <c r="P120" s="28">
        <f>SUMIFS(JU!$H$1063:$H$5007,JU!$F$1063:$F$5007,WS!$A120)</f>
        <v>638250</v>
      </c>
      <c r="Q120" s="29">
        <f>SUMIFS(JU!$K$1063:$K$5007,JU!$I$1063:$I$5007,WS!$A120)</f>
        <v>0</v>
      </c>
      <c r="R120" s="30">
        <f t="shared" si="156"/>
        <v>638250</v>
      </c>
      <c r="S120" s="28">
        <f>SUMIFS(JU!$H$5107:$H$5107,JU!$F$5107:$F$5107,WS!$A120)</f>
        <v>0</v>
      </c>
      <c r="T120" s="29">
        <f>SUMIFS(JU!$K$5107:$K$5107,JU!$I$5107:$I$5107,WS!$A120)</f>
        <v>0</v>
      </c>
      <c r="U120" s="30">
        <f t="shared" si="157"/>
        <v>0</v>
      </c>
      <c r="V120" s="28">
        <f>SUMIFS(JU!$H$5107:$H$5107,JU!$F$5107:$F$5107,WS!$A120)</f>
        <v>0</v>
      </c>
      <c r="W120" s="29">
        <f>SUMIFS(JU!$K$5107:$K$5107,JU!$I$5107:$I$5107,WS!$A120)</f>
        <v>0</v>
      </c>
      <c r="X120" s="30">
        <f t="shared" si="158"/>
        <v>0</v>
      </c>
      <c r="Y120" s="28">
        <f>SUMIFS(JU!$H$5107:$H$5107,JU!$F$5107:$F$5107,WS!$A120)</f>
        <v>0</v>
      </c>
      <c r="Z120" s="29">
        <f>SUMIFS(JU!$K$5107:$K$5107,JU!$I$5107:$I$5107,WS!$A120)</f>
        <v>0</v>
      </c>
      <c r="AA120" s="30">
        <f t="shared" si="159"/>
        <v>0</v>
      </c>
      <c r="AB120" s="28">
        <f>SUMIFS(JU!$H$5107:$H$5107,JU!$F$5107:$F$5107,WS!$A120)</f>
        <v>0</v>
      </c>
      <c r="AC120" s="29">
        <f>SUMIFS(JU!$K$5107:$K$5107,JU!$I$5107:$I$5107,WS!$A120)</f>
        <v>0</v>
      </c>
      <c r="AD120" s="30">
        <f t="shared" si="160"/>
        <v>0</v>
      </c>
      <c r="AE120" s="28">
        <f>SUMIFS(JU!$H$5107:$H$5107,JU!$F$5107:$F$5107,WS!$A120)</f>
        <v>0</v>
      </c>
      <c r="AF120" s="29">
        <f>SUMIFS(JU!$K$5107:$K$5107,JU!$I$5107:$I$5107,WS!$A120)</f>
        <v>0</v>
      </c>
      <c r="AG120" s="30">
        <f t="shared" si="161"/>
        <v>0</v>
      </c>
      <c r="AH120" s="28">
        <f>SUMIFS(JU!$H$5107:$H$5107,JU!$F$5107:$F$5107,WS!$A120)</f>
        <v>0</v>
      </c>
      <c r="AI120" s="29">
        <f>SUMIFS(JU!$K$5107:$K$5107,JU!$I$5107:$I$5107,WS!$A120)</f>
        <v>0</v>
      </c>
      <c r="AJ120" s="30">
        <f t="shared" si="162"/>
        <v>0</v>
      </c>
      <c r="AK120" s="28">
        <f>SUMIFS(JU!$H$5107:$H$5107,JU!$F$5107:$F$5107,WS!$A120)</f>
        <v>0</v>
      </c>
      <c r="AL120" s="29">
        <f>SUMIFS(JU!$K$5107:$K$5107,JU!$I$5107:$I$5107,WS!$A120)</f>
        <v>0</v>
      </c>
      <c r="AM120" s="30">
        <f t="shared" si="163"/>
        <v>0</v>
      </c>
      <c r="AN120" s="275">
        <f t="shared" si="110"/>
        <v>2341921</v>
      </c>
      <c r="AP120" s="18">
        <f t="shared" si="111"/>
        <v>2341921</v>
      </c>
    </row>
    <row r="121" spans="1:42">
      <c r="A121" s="6">
        <v>6107</v>
      </c>
      <c r="B121" s="31" t="s">
        <v>77</v>
      </c>
      <c r="C121" s="32"/>
      <c r="D121" s="28">
        <f>SUMIFS(JU!$H$5:$H$178,JU!$F$5:$F$178,WS!$A121)</f>
        <v>0</v>
      </c>
      <c r="E121" s="29">
        <f>SUMIFS(JU!$K$5:$K$178,JU!$I$5:$I$178,WS!$A121)</f>
        <v>0</v>
      </c>
      <c r="F121" s="30">
        <f t="shared" si="154"/>
        <v>0</v>
      </c>
      <c r="G121" s="28">
        <f>SUMIFS(JU!$H$180:$H$440,JU!$F$180:$F$440,WS!$A121)</f>
        <v>0</v>
      </c>
      <c r="H121" s="29">
        <f>SUMIFS(JU!$K$180:$K$440,JU!$I$180:$I$440,WS!$A121)</f>
        <v>0</v>
      </c>
      <c r="I121" s="30">
        <f t="shared" si="155"/>
        <v>0</v>
      </c>
      <c r="J121" s="28">
        <f>SUMIFS(JU!$H$441:$H$695,JU!$F$441:$F$695,WS!$A121)</f>
        <v>0</v>
      </c>
      <c r="K121" s="29">
        <f>SUMIFS(JU!$K$441:$K$695,JU!$I$441:$I$695,WS!$A121)</f>
        <v>0</v>
      </c>
      <c r="L121" s="30">
        <f t="shared" si="152"/>
        <v>0</v>
      </c>
      <c r="M121" s="28">
        <f>SUMIFS(JU!$H$696:$H$1062,JU!$F$696:$F$1062,$A121)</f>
        <v>0</v>
      </c>
      <c r="N121" s="29">
        <f>SUMIFS(JU!$K$696:$K$1062,JU!$I$696:$I$1062,WS!$A121)</f>
        <v>0</v>
      </c>
      <c r="O121" s="30">
        <f t="shared" si="153"/>
        <v>0</v>
      </c>
      <c r="P121" s="28">
        <f>SUMIFS(JU!$H$1063:$H$5007,JU!$F$1063:$F$5007,WS!$A121)</f>
        <v>0</v>
      </c>
      <c r="Q121" s="29">
        <f>SUMIFS(JU!$K$1063:$K$5007,JU!$I$1063:$I$5007,WS!$A121)</f>
        <v>0</v>
      </c>
      <c r="R121" s="30">
        <f t="shared" si="156"/>
        <v>0</v>
      </c>
      <c r="S121" s="28">
        <f>SUMIFS(JU!$H$5107:$H$5107,JU!$F$5107:$F$5107,WS!$A121)</f>
        <v>0</v>
      </c>
      <c r="T121" s="29">
        <f>SUMIFS(JU!$K$5107:$K$5107,JU!$I$5107:$I$5107,WS!$A121)</f>
        <v>0</v>
      </c>
      <c r="U121" s="30">
        <f t="shared" si="157"/>
        <v>0</v>
      </c>
      <c r="V121" s="28">
        <f>SUMIFS(JU!$H$5107:$H$5107,JU!$F$5107:$F$5107,WS!$A121)</f>
        <v>0</v>
      </c>
      <c r="W121" s="29">
        <f>SUMIFS(JU!$K$5107:$K$5107,JU!$I$5107:$I$5107,WS!$A121)</f>
        <v>0</v>
      </c>
      <c r="X121" s="30">
        <f t="shared" si="158"/>
        <v>0</v>
      </c>
      <c r="Y121" s="28">
        <f>SUMIFS(JU!$H$5107:$H$5107,JU!$F$5107:$F$5107,WS!$A121)</f>
        <v>0</v>
      </c>
      <c r="Z121" s="29">
        <f>SUMIFS(JU!$K$5107:$K$5107,JU!$I$5107:$I$5107,WS!$A121)</f>
        <v>0</v>
      </c>
      <c r="AA121" s="30">
        <f t="shared" si="159"/>
        <v>0</v>
      </c>
      <c r="AB121" s="28">
        <f>SUMIFS(JU!$H$5107:$H$5107,JU!$F$5107:$F$5107,WS!$A121)</f>
        <v>0</v>
      </c>
      <c r="AC121" s="29">
        <f>SUMIFS(JU!$K$5107:$K$5107,JU!$I$5107:$I$5107,WS!$A121)</f>
        <v>0</v>
      </c>
      <c r="AD121" s="30">
        <f t="shared" si="160"/>
        <v>0</v>
      </c>
      <c r="AE121" s="28">
        <f>SUMIFS(JU!$H$5107:$H$5107,JU!$F$5107:$F$5107,WS!$A121)</f>
        <v>0</v>
      </c>
      <c r="AF121" s="29">
        <f>SUMIFS(JU!$K$5107:$K$5107,JU!$I$5107:$I$5107,WS!$A121)</f>
        <v>0</v>
      </c>
      <c r="AG121" s="30">
        <f t="shared" si="161"/>
        <v>0</v>
      </c>
      <c r="AH121" s="28">
        <f>SUMIFS(JU!$H$5107:$H$5107,JU!$F$5107:$F$5107,WS!$A121)</f>
        <v>0</v>
      </c>
      <c r="AI121" s="29">
        <f>SUMIFS(JU!$K$5107:$K$5107,JU!$I$5107:$I$5107,WS!$A121)</f>
        <v>0</v>
      </c>
      <c r="AJ121" s="30">
        <f t="shared" si="162"/>
        <v>0</v>
      </c>
      <c r="AK121" s="28">
        <f>SUMIFS(JU!$H$5107:$H$5107,JU!$F$5107:$F$5107,WS!$A121)</f>
        <v>0</v>
      </c>
      <c r="AL121" s="29">
        <f>SUMIFS(JU!$K$5107:$K$5107,JU!$I$5107:$I$5107,WS!$A121)</f>
        <v>0</v>
      </c>
      <c r="AM121" s="30">
        <f t="shared" si="163"/>
        <v>0</v>
      </c>
      <c r="AN121" s="275">
        <f t="shared" si="110"/>
        <v>0</v>
      </c>
      <c r="AP121" s="18">
        <f t="shared" si="111"/>
        <v>0</v>
      </c>
    </row>
    <row r="122" spans="1:42" s="37" customFormat="1">
      <c r="A122" s="6">
        <v>6108</v>
      </c>
      <c r="B122" s="31" t="s">
        <v>78</v>
      </c>
      <c r="C122" s="32"/>
      <c r="D122" s="28">
        <f>SUMIFS(JU!$H$5:$H$178,JU!$F$5:$F$178,WS!$A122)</f>
        <v>120000</v>
      </c>
      <c r="E122" s="29">
        <f>SUMIFS(JU!$K$5:$K$178,JU!$I$5:$I$178,WS!$A122)</f>
        <v>0</v>
      </c>
      <c r="F122" s="30">
        <f t="shared" si="154"/>
        <v>120000</v>
      </c>
      <c r="G122" s="28">
        <f>SUMIFS(JU!$H$180:$H$440,JU!$F$180:$F$440,WS!$A122)</f>
        <v>0</v>
      </c>
      <c r="H122" s="29">
        <f>SUMIFS(JU!$K$180:$K$440,JU!$I$180:$I$440,WS!$A122)</f>
        <v>0</v>
      </c>
      <c r="I122" s="30">
        <f t="shared" si="155"/>
        <v>0</v>
      </c>
      <c r="J122" s="28">
        <f>SUMIFS(JU!$H$441:$H$695,JU!$F$441:$F$695,WS!$A122)</f>
        <v>0</v>
      </c>
      <c r="K122" s="29">
        <f>SUMIFS(JU!$K$441:$K$695,JU!$I$441:$I$695,WS!$A122)</f>
        <v>0</v>
      </c>
      <c r="L122" s="30">
        <f t="shared" si="152"/>
        <v>0</v>
      </c>
      <c r="M122" s="28">
        <f>SUMIFS(JU!$H$696:$H$1062,JU!$F$696:$F$1062,$A122)</f>
        <v>0</v>
      </c>
      <c r="N122" s="29">
        <f>SUMIFS(JU!$K$696:$K$1062,JU!$I$696:$I$1062,WS!$A122)</f>
        <v>0</v>
      </c>
      <c r="O122" s="30">
        <f t="shared" si="153"/>
        <v>0</v>
      </c>
      <c r="P122" s="28">
        <f>SUMIFS(JU!$H$1063:$H$5007,JU!$F$1063:$F$5007,WS!$A122)</f>
        <v>0</v>
      </c>
      <c r="Q122" s="29">
        <f>SUMIFS(JU!$K$1063:$K$5007,JU!$I$1063:$I$5007,WS!$A122)</f>
        <v>0</v>
      </c>
      <c r="R122" s="30">
        <f t="shared" si="156"/>
        <v>0</v>
      </c>
      <c r="S122" s="28">
        <f>SUMIFS(JU!$H$5107:$H$5107,JU!$F$5107:$F$5107,WS!$A122)</f>
        <v>0</v>
      </c>
      <c r="T122" s="29">
        <f>SUMIFS(JU!$K$5107:$K$5107,JU!$I$5107:$I$5107,WS!$A122)</f>
        <v>0</v>
      </c>
      <c r="U122" s="30">
        <f t="shared" si="157"/>
        <v>0</v>
      </c>
      <c r="V122" s="28">
        <f>SUMIFS(JU!$H$5107:$H$5107,JU!$F$5107:$F$5107,WS!$A122)</f>
        <v>0</v>
      </c>
      <c r="W122" s="29">
        <f>SUMIFS(JU!$K$5107:$K$5107,JU!$I$5107:$I$5107,WS!$A122)</f>
        <v>0</v>
      </c>
      <c r="X122" s="30">
        <f t="shared" si="158"/>
        <v>0</v>
      </c>
      <c r="Y122" s="28">
        <f>SUMIFS(JU!$H$5107:$H$5107,JU!$F$5107:$F$5107,WS!$A122)</f>
        <v>0</v>
      </c>
      <c r="Z122" s="29">
        <f>SUMIFS(JU!$K$5107:$K$5107,JU!$I$5107:$I$5107,WS!$A122)</f>
        <v>0</v>
      </c>
      <c r="AA122" s="30">
        <f t="shared" si="159"/>
        <v>0</v>
      </c>
      <c r="AB122" s="28">
        <f>SUMIFS(JU!$H$5107:$H$5107,JU!$F$5107:$F$5107,WS!$A122)</f>
        <v>0</v>
      </c>
      <c r="AC122" s="29">
        <f>SUMIFS(JU!$K$5107:$K$5107,JU!$I$5107:$I$5107,WS!$A122)</f>
        <v>0</v>
      </c>
      <c r="AD122" s="30">
        <f t="shared" si="160"/>
        <v>0</v>
      </c>
      <c r="AE122" s="28">
        <f>SUMIFS(JU!$H$5107:$H$5107,JU!$F$5107:$F$5107,WS!$A122)</f>
        <v>0</v>
      </c>
      <c r="AF122" s="29">
        <f>SUMIFS(JU!$K$5107:$K$5107,JU!$I$5107:$I$5107,WS!$A122)</f>
        <v>0</v>
      </c>
      <c r="AG122" s="30">
        <f t="shared" si="161"/>
        <v>0</v>
      </c>
      <c r="AH122" s="28">
        <f>SUMIFS(JU!$H$5107:$H$5107,JU!$F$5107:$F$5107,WS!$A122)</f>
        <v>0</v>
      </c>
      <c r="AI122" s="29">
        <f>SUMIFS(JU!$K$5107:$K$5107,JU!$I$5107:$I$5107,WS!$A122)</f>
        <v>0</v>
      </c>
      <c r="AJ122" s="30">
        <f t="shared" si="162"/>
        <v>0</v>
      </c>
      <c r="AK122" s="28">
        <f>SUMIFS(JU!$H$5107:$H$5107,JU!$F$5107:$F$5107,WS!$A122)</f>
        <v>0</v>
      </c>
      <c r="AL122" s="29">
        <f>SUMIFS(JU!$K$5107:$K$5107,JU!$I$5107:$I$5107,WS!$A122)</f>
        <v>0</v>
      </c>
      <c r="AM122" s="30">
        <f t="shared" si="163"/>
        <v>0</v>
      </c>
      <c r="AN122" s="275">
        <f t="shared" si="110"/>
        <v>120000</v>
      </c>
      <c r="AP122" s="18">
        <f t="shared" si="111"/>
        <v>120000</v>
      </c>
    </row>
    <row r="123" spans="1:42">
      <c r="A123" s="6">
        <v>6109</v>
      </c>
      <c r="B123" s="31" t="s">
        <v>79</v>
      </c>
      <c r="C123" s="32"/>
      <c r="D123" s="28">
        <f>SUMIFS(JU!$H$5:$H$178,JU!$F$5:$F$178,WS!$A123)</f>
        <v>500000</v>
      </c>
      <c r="E123" s="29">
        <f>SUMIFS(JU!$K$5:$K$178,JU!$I$5:$I$178,WS!$A123)</f>
        <v>0</v>
      </c>
      <c r="F123" s="30">
        <f t="shared" si="154"/>
        <v>500000</v>
      </c>
      <c r="G123" s="28">
        <f>SUMIFS(JU!$H$180:$H$440,JU!$F$180:$F$440,WS!$A123)</f>
        <v>0</v>
      </c>
      <c r="H123" s="29">
        <f>SUMIFS(JU!$K$180:$K$440,JU!$I$180:$I$440,WS!$A123)</f>
        <v>0</v>
      </c>
      <c r="I123" s="30">
        <f t="shared" si="155"/>
        <v>0</v>
      </c>
      <c r="J123" s="28">
        <f>SUMIFS(JU!$H$441:$H$695,JU!$F$441:$F$695,WS!$A123)</f>
        <v>0</v>
      </c>
      <c r="K123" s="29">
        <f>SUMIFS(JU!$K$441:$K$695,JU!$I$441:$I$695,WS!$A123)</f>
        <v>0</v>
      </c>
      <c r="L123" s="30">
        <f t="shared" si="152"/>
        <v>0</v>
      </c>
      <c r="M123" s="28">
        <f>SUMIFS(JU!$H$696:$H$1062,JU!$F$696:$F$1062,$A123)</f>
        <v>0</v>
      </c>
      <c r="N123" s="29">
        <f>SUMIFS(JU!$K$696:$K$1062,JU!$I$696:$I$1062,WS!$A123)</f>
        <v>0</v>
      </c>
      <c r="O123" s="30">
        <f t="shared" si="153"/>
        <v>0</v>
      </c>
      <c r="P123" s="28">
        <f>SUMIFS(JU!$H$1063:$H$5007,JU!$F$1063:$F$5007,WS!$A123)</f>
        <v>200000</v>
      </c>
      <c r="Q123" s="29">
        <f>SUMIFS(JU!$K$1063:$K$5007,JU!$I$1063:$I$5007,WS!$A123)</f>
        <v>0</v>
      </c>
      <c r="R123" s="30">
        <f t="shared" si="156"/>
        <v>200000</v>
      </c>
      <c r="S123" s="28">
        <f>SUMIFS(JU!$H$5107:$H$5107,JU!$F$5107:$F$5107,WS!$A123)</f>
        <v>0</v>
      </c>
      <c r="T123" s="29">
        <f>SUMIFS(JU!$K$5107:$K$5107,JU!$I$5107:$I$5107,WS!$A123)</f>
        <v>0</v>
      </c>
      <c r="U123" s="30">
        <f t="shared" si="157"/>
        <v>0</v>
      </c>
      <c r="V123" s="28">
        <f>SUMIFS(JU!$H$5107:$H$5107,JU!$F$5107:$F$5107,WS!$A123)</f>
        <v>0</v>
      </c>
      <c r="W123" s="29">
        <f>SUMIFS(JU!$K$5107:$K$5107,JU!$I$5107:$I$5107,WS!$A123)</f>
        <v>0</v>
      </c>
      <c r="X123" s="30">
        <f t="shared" si="158"/>
        <v>0</v>
      </c>
      <c r="Y123" s="28">
        <f>SUMIFS(JU!$H$5107:$H$5107,JU!$F$5107:$F$5107,WS!$A123)</f>
        <v>0</v>
      </c>
      <c r="Z123" s="29">
        <f>SUMIFS(JU!$K$5107:$K$5107,JU!$I$5107:$I$5107,WS!$A123)</f>
        <v>0</v>
      </c>
      <c r="AA123" s="30">
        <f t="shared" si="159"/>
        <v>0</v>
      </c>
      <c r="AB123" s="28">
        <f>SUMIFS(JU!$H$5107:$H$5107,JU!$F$5107:$F$5107,WS!$A123)</f>
        <v>0</v>
      </c>
      <c r="AC123" s="29">
        <f>SUMIFS(JU!$K$5107:$K$5107,JU!$I$5107:$I$5107,WS!$A123)</f>
        <v>0</v>
      </c>
      <c r="AD123" s="30">
        <f t="shared" si="160"/>
        <v>0</v>
      </c>
      <c r="AE123" s="28">
        <f>SUMIFS(JU!$H$5107:$H$5107,JU!$F$5107:$F$5107,WS!$A123)</f>
        <v>0</v>
      </c>
      <c r="AF123" s="29">
        <f>SUMIFS(JU!$K$5107:$K$5107,JU!$I$5107:$I$5107,WS!$A123)</f>
        <v>0</v>
      </c>
      <c r="AG123" s="30">
        <f t="shared" si="161"/>
        <v>0</v>
      </c>
      <c r="AH123" s="28">
        <f>SUMIFS(JU!$H$5107:$H$5107,JU!$F$5107:$F$5107,WS!$A123)</f>
        <v>0</v>
      </c>
      <c r="AI123" s="29">
        <f>SUMIFS(JU!$K$5107:$K$5107,JU!$I$5107:$I$5107,WS!$A123)</f>
        <v>0</v>
      </c>
      <c r="AJ123" s="30">
        <f t="shared" si="162"/>
        <v>0</v>
      </c>
      <c r="AK123" s="28">
        <f>SUMIFS(JU!$H$5107:$H$5107,JU!$F$5107:$F$5107,WS!$A123)</f>
        <v>0</v>
      </c>
      <c r="AL123" s="29">
        <f>SUMIFS(JU!$K$5107:$K$5107,JU!$I$5107:$I$5107,WS!$A123)</f>
        <v>0</v>
      </c>
      <c r="AM123" s="30">
        <f t="shared" si="163"/>
        <v>0</v>
      </c>
      <c r="AN123" s="275">
        <f t="shared" si="110"/>
        <v>700000</v>
      </c>
      <c r="AP123" s="18">
        <f t="shared" si="111"/>
        <v>700000</v>
      </c>
    </row>
    <row r="124" spans="1:42">
      <c r="A124" s="6">
        <v>6110</v>
      </c>
      <c r="B124" s="31" t="s">
        <v>80</v>
      </c>
      <c r="C124" s="32"/>
      <c r="D124" s="28">
        <f>SUMIFS(JU!$H$5:$H$178,JU!$F$5:$F$178,WS!$A124)</f>
        <v>0</v>
      </c>
      <c r="E124" s="29">
        <f>SUMIFS(JU!$K$5:$K$178,JU!$I$5:$I$178,WS!$A124)</f>
        <v>0</v>
      </c>
      <c r="F124" s="30">
        <f t="shared" si="154"/>
        <v>0</v>
      </c>
      <c r="G124" s="28">
        <f>SUMIFS(JU!$H$180:$H$440,JU!$F$180:$F$440,WS!$A124)</f>
        <v>0</v>
      </c>
      <c r="H124" s="29">
        <f>SUMIFS(JU!$K$180:$K$440,JU!$I$180:$I$440,WS!$A124)</f>
        <v>0</v>
      </c>
      <c r="I124" s="30">
        <f t="shared" si="155"/>
        <v>0</v>
      </c>
      <c r="J124" s="28">
        <f>SUMIFS(JU!$H$441:$H$695,JU!$F$441:$F$695,WS!$A124)</f>
        <v>0</v>
      </c>
      <c r="K124" s="29">
        <f>SUMIFS(JU!$K$441:$K$695,JU!$I$441:$I$695,WS!$A124)</f>
        <v>0</v>
      </c>
      <c r="L124" s="30">
        <f t="shared" si="152"/>
        <v>0</v>
      </c>
      <c r="M124" s="28">
        <f>SUMIFS(JU!$H$696:$H$1062,JU!$F$696:$F$1062,$A124)</f>
        <v>0</v>
      </c>
      <c r="N124" s="29">
        <f>SUMIFS(JU!$K$696:$K$1062,JU!$I$696:$I$1062,WS!$A124)</f>
        <v>0</v>
      </c>
      <c r="O124" s="30">
        <f t="shared" si="153"/>
        <v>0</v>
      </c>
      <c r="P124" s="28">
        <f>SUMIFS(JU!$H$1063:$H$5007,JU!$F$1063:$F$5007,WS!$A124)</f>
        <v>0</v>
      </c>
      <c r="Q124" s="29">
        <f>SUMIFS(JU!$K$1063:$K$5007,JU!$I$1063:$I$5007,WS!$A124)</f>
        <v>0</v>
      </c>
      <c r="R124" s="30">
        <f t="shared" si="156"/>
        <v>0</v>
      </c>
      <c r="S124" s="28">
        <f>SUMIFS(JU!$H$5107:$H$5107,JU!$F$5107:$F$5107,WS!$A124)</f>
        <v>0</v>
      </c>
      <c r="T124" s="29">
        <f>SUMIFS(JU!$K$5107:$K$5107,JU!$I$5107:$I$5107,WS!$A124)</f>
        <v>0</v>
      </c>
      <c r="U124" s="30">
        <f t="shared" si="157"/>
        <v>0</v>
      </c>
      <c r="V124" s="28">
        <f>SUMIFS(JU!$H$5107:$H$5107,JU!$F$5107:$F$5107,WS!$A124)</f>
        <v>0</v>
      </c>
      <c r="W124" s="29">
        <f>SUMIFS(JU!$K$5107:$K$5107,JU!$I$5107:$I$5107,WS!$A124)</f>
        <v>0</v>
      </c>
      <c r="X124" s="30">
        <f t="shared" si="158"/>
        <v>0</v>
      </c>
      <c r="Y124" s="28">
        <f>SUMIFS(JU!$H$5107:$H$5107,JU!$F$5107:$F$5107,WS!$A124)</f>
        <v>0</v>
      </c>
      <c r="Z124" s="29">
        <f>SUMIFS(JU!$K$5107:$K$5107,JU!$I$5107:$I$5107,WS!$A124)</f>
        <v>0</v>
      </c>
      <c r="AA124" s="30">
        <f t="shared" si="159"/>
        <v>0</v>
      </c>
      <c r="AB124" s="28">
        <f>SUMIFS(JU!$H$5107:$H$5107,JU!$F$5107:$F$5107,WS!$A124)</f>
        <v>0</v>
      </c>
      <c r="AC124" s="29">
        <f>SUMIFS(JU!$K$5107:$K$5107,JU!$I$5107:$I$5107,WS!$A124)</f>
        <v>0</v>
      </c>
      <c r="AD124" s="30">
        <f t="shared" si="160"/>
        <v>0</v>
      </c>
      <c r="AE124" s="28">
        <f>SUMIFS(JU!$H$5107:$H$5107,JU!$F$5107:$F$5107,WS!$A124)</f>
        <v>0</v>
      </c>
      <c r="AF124" s="29">
        <f>SUMIFS(JU!$K$5107:$K$5107,JU!$I$5107:$I$5107,WS!$A124)</f>
        <v>0</v>
      </c>
      <c r="AG124" s="30">
        <f t="shared" si="161"/>
        <v>0</v>
      </c>
      <c r="AH124" s="28">
        <f>SUMIFS(JU!$H$5107:$H$5107,JU!$F$5107:$F$5107,WS!$A124)</f>
        <v>0</v>
      </c>
      <c r="AI124" s="29">
        <f>SUMIFS(JU!$K$5107:$K$5107,JU!$I$5107:$I$5107,WS!$A124)</f>
        <v>0</v>
      </c>
      <c r="AJ124" s="30">
        <f t="shared" si="162"/>
        <v>0</v>
      </c>
      <c r="AK124" s="28">
        <f>SUMIFS(JU!$H$5107:$H$5107,JU!$F$5107:$F$5107,WS!$A124)</f>
        <v>0</v>
      </c>
      <c r="AL124" s="29">
        <f>SUMIFS(JU!$K$5107:$K$5107,JU!$I$5107:$I$5107,WS!$A124)</f>
        <v>0</v>
      </c>
      <c r="AM124" s="30">
        <f t="shared" si="163"/>
        <v>0</v>
      </c>
      <c r="AN124" s="275">
        <f t="shared" si="110"/>
        <v>0</v>
      </c>
      <c r="AP124" s="18">
        <f t="shared" si="111"/>
        <v>0</v>
      </c>
    </row>
    <row r="125" spans="1:42">
      <c r="A125" s="6">
        <v>6111</v>
      </c>
      <c r="B125" s="31" t="s">
        <v>150</v>
      </c>
      <c r="C125" s="32"/>
      <c r="D125" s="28">
        <f>SUMIFS(JU!$H$5:$H$178,JU!$F$5:$F$178,WS!$A125)</f>
        <v>33932000</v>
      </c>
      <c r="E125" s="29">
        <f>SUMIFS(JU!$K$5:$K$178,JU!$I$5:$I$178,WS!$A125)</f>
        <v>0</v>
      </c>
      <c r="F125" s="30">
        <f t="shared" si="154"/>
        <v>33932000</v>
      </c>
      <c r="G125" s="28">
        <f>SUMIFS(JU!$H$180:$H$440,JU!$F$180:$F$440,WS!$A125)</f>
        <v>30000000</v>
      </c>
      <c r="H125" s="29">
        <f>SUMIFS(JU!$K$180:$K$440,JU!$I$180:$I$440,WS!$A125)</f>
        <v>0</v>
      </c>
      <c r="I125" s="30">
        <f t="shared" si="155"/>
        <v>30000000</v>
      </c>
      <c r="J125" s="28">
        <f>SUMIFS(JU!$H$441:$H$695,JU!$F$441:$F$695,WS!$A125)</f>
        <v>35000000</v>
      </c>
      <c r="K125" s="29">
        <f>SUMIFS(JU!$K$441:$K$695,JU!$I$441:$I$695,WS!$A125)</f>
        <v>0</v>
      </c>
      <c r="L125" s="30">
        <f t="shared" si="152"/>
        <v>35000000</v>
      </c>
      <c r="M125" s="28">
        <f>SUMIFS(JU!$H$696:$H$1062,JU!$F$696:$F$1062,$A125)</f>
        <v>53686000</v>
      </c>
      <c r="N125" s="29">
        <f>SUMIFS(JU!$K$696:$K$1062,JU!$I$696:$I$1062,WS!$A125)</f>
        <v>0</v>
      </c>
      <c r="O125" s="30">
        <f t="shared" si="153"/>
        <v>53686000</v>
      </c>
      <c r="P125" s="28">
        <f>SUMIFS(JU!$H$1063:$H$5007,JU!$F$1063:$F$5007,WS!$A125)</f>
        <v>36500000</v>
      </c>
      <c r="Q125" s="29">
        <f>SUMIFS(JU!$K$1063:$K$5007,JU!$I$1063:$I$5007,WS!$A125)</f>
        <v>0</v>
      </c>
      <c r="R125" s="30">
        <f t="shared" si="156"/>
        <v>36500000</v>
      </c>
      <c r="S125" s="28">
        <f>SUMIFS(JU!$H$5107:$H$5107,JU!$F$5107:$F$5107,WS!$A125)</f>
        <v>0</v>
      </c>
      <c r="T125" s="29">
        <f>SUMIFS(JU!$K$5107:$K$5107,JU!$I$5107:$I$5107,WS!$A125)</f>
        <v>0</v>
      </c>
      <c r="U125" s="30">
        <f t="shared" si="157"/>
        <v>0</v>
      </c>
      <c r="V125" s="28">
        <f>SUMIFS(JU!$H$5107:$H$5107,JU!$F$5107:$F$5107,WS!$A125)</f>
        <v>0</v>
      </c>
      <c r="W125" s="29">
        <f>SUMIFS(JU!$K$5107:$K$5107,JU!$I$5107:$I$5107,WS!$A125)</f>
        <v>0</v>
      </c>
      <c r="X125" s="30">
        <f t="shared" si="158"/>
        <v>0</v>
      </c>
      <c r="Y125" s="28">
        <f>SUMIFS(JU!$H$5107:$H$5107,JU!$F$5107:$F$5107,WS!$A125)</f>
        <v>0</v>
      </c>
      <c r="Z125" s="29">
        <f>SUMIFS(JU!$K$5107:$K$5107,JU!$I$5107:$I$5107,WS!$A125)</f>
        <v>0</v>
      </c>
      <c r="AA125" s="30">
        <f t="shared" si="159"/>
        <v>0</v>
      </c>
      <c r="AB125" s="28">
        <f>SUMIFS(JU!$H$5107:$H$5107,JU!$F$5107:$F$5107,WS!$A125)</f>
        <v>0</v>
      </c>
      <c r="AC125" s="29">
        <f>SUMIFS(JU!$K$5107:$K$5107,JU!$I$5107:$I$5107,WS!$A125)</f>
        <v>0</v>
      </c>
      <c r="AD125" s="30">
        <f t="shared" si="160"/>
        <v>0</v>
      </c>
      <c r="AE125" s="28">
        <f>SUMIFS(JU!$H$5107:$H$5107,JU!$F$5107:$F$5107,WS!$A125)</f>
        <v>0</v>
      </c>
      <c r="AF125" s="29">
        <f>SUMIFS(JU!$K$5107:$K$5107,JU!$I$5107:$I$5107,WS!$A125)</f>
        <v>0</v>
      </c>
      <c r="AG125" s="30">
        <f t="shared" si="161"/>
        <v>0</v>
      </c>
      <c r="AH125" s="28">
        <f>SUMIFS(JU!$H$5107:$H$5107,JU!$F$5107:$F$5107,WS!$A125)</f>
        <v>0</v>
      </c>
      <c r="AI125" s="29">
        <f>SUMIFS(JU!$K$5107:$K$5107,JU!$I$5107:$I$5107,WS!$A125)</f>
        <v>0</v>
      </c>
      <c r="AJ125" s="30">
        <f t="shared" si="162"/>
        <v>0</v>
      </c>
      <c r="AK125" s="28">
        <f>SUMIFS(JU!$H$5107:$H$5107,JU!$F$5107:$F$5107,WS!$A125)</f>
        <v>0</v>
      </c>
      <c r="AL125" s="29">
        <f>SUMIFS(JU!$K$5107:$K$5107,JU!$I$5107:$I$5107,WS!$A125)</f>
        <v>0</v>
      </c>
      <c r="AM125" s="30">
        <f t="shared" si="163"/>
        <v>0</v>
      </c>
      <c r="AN125" s="275">
        <f t="shared" si="110"/>
        <v>189118000</v>
      </c>
      <c r="AP125" s="18">
        <f t="shared" si="111"/>
        <v>189118000</v>
      </c>
    </row>
    <row r="126" spans="1:42">
      <c r="A126" s="6">
        <v>6112</v>
      </c>
      <c r="B126" s="31" t="s">
        <v>205</v>
      </c>
      <c r="C126" s="32"/>
      <c r="D126" s="28">
        <f>SUMIFS(JU!$H$5:$H$178,JU!$F$5:$F$178,WS!$A126)</f>
        <v>21616000</v>
      </c>
      <c r="E126" s="29">
        <f>SUMIFS(JU!$K$5:$K$178,JU!$I$5:$I$178,WS!$A126)</f>
        <v>150000</v>
      </c>
      <c r="F126" s="30">
        <f t="shared" si="154"/>
        <v>21466000</v>
      </c>
      <c r="G126" s="28">
        <f>SUMIFS(JU!$H$180:$H$440,JU!$F$180:$F$440,WS!$A126)</f>
        <v>5963198</v>
      </c>
      <c r="H126" s="29">
        <f>SUMIFS(JU!$K$180:$K$440,JU!$I$180:$I$440,WS!$A126)</f>
        <v>0</v>
      </c>
      <c r="I126" s="30">
        <f t="shared" si="155"/>
        <v>5963198</v>
      </c>
      <c r="J126" s="28">
        <f>SUMIFS(JU!$H$441:$H$695,JU!$F$441:$F$695,WS!$A126)</f>
        <v>7943146</v>
      </c>
      <c r="K126" s="29">
        <f>SUMIFS(JU!$K$441:$K$695,JU!$I$441:$I$695,WS!$A126)</f>
        <v>0</v>
      </c>
      <c r="L126" s="30">
        <f t="shared" si="152"/>
        <v>7943146</v>
      </c>
      <c r="M126" s="28">
        <f>SUMIFS(JU!$H$696:$H$1062,JU!$F$696:$F$1062,$A126)</f>
        <v>40691921</v>
      </c>
      <c r="N126" s="29">
        <f>SUMIFS(JU!$K$696:$K$1062,JU!$I$696:$I$1062,WS!$A126)</f>
        <v>5000000</v>
      </c>
      <c r="O126" s="30">
        <f t="shared" si="153"/>
        <v>35691921</v>
      </c>
      <c r="P126" s="28">
        <f>SUMIFS(JU!$H$1063:$H$5007,JU!$F$1063:$F$5007,WS!$A126)</f>
        <v>16607360</v>
      </c>
      <c r="Q126" s="29">
        <f>SUMIFS(JU!$K$1063:$K$5007,JU!$I$1063:$I$5007,WS!$A126)</f>
        <v>0</v>
      </c>
      <c r="R126" s="30">
        <f t="shared" si="156"/>
        <v>16607360</v>
      </c>
      <c r="S126" s="28">
        <f>SUMIFS(JU!$H$5107:$H$5107,JU!$F$5107:$F$5107,WS!$A126)</f>
        <v>0</v>
      </c>
      <c r="T126" s="29">
        <f>SUMIFS(JU!$K$5107:$K$5107,JU!$I$5107:$I$5107,WS!$A126)</f>
        <v>0</v>
      </c>
      <c r="U126" s="30">
        <f t="shared" si="157"/>
        <v>0</v>
      </c>
      <c r="V126" s="28">
        <f>SUMIFS(JU!$H$5107:$H$5107,JU!$F$5107:$F$5107,WS!$A126)</f>
        <v>0</v>
      </c>
      <c r="W126" s="29">
        <f>SUMIFS(JU!$K$5107:$K$5107,JU!$I$5107:$I$5107,WS!$A126)</f>
        <v>0</v>
      </c>
      <c r="X126" s="30">
        <f t="shared" si="158"/>
        <v>0</v>
      </c>
      <c r="Y126" s="28">
        <f>SUMIFS(JU!$H$5107:$H$5107,JU!$F$5107:$F$5107,WS!$A126)</f>
        <v>0</v>
      </c>
      <c r="Z126" s="29">
        <f>SUMIFS(JU!$K$5107:$K$5107,JU!$I$5107:$I$5107,WS!$A126)</f>
        <v>0</v>
      </c>
      <c r="AA126" s="30">
        <f t="shared" si="159"/>
        <v>0</v>
      </c>
      <c r="AB126" s="28">
        <f>SUMIFS(JU!$H$5107:$H$5107,JU!$F$5107:$F$5107,WS!$A126)</f>
        <v>0</v>
      </c>
      <c r="AC126" s="29">
        <f>SUMIFS(JU!$K$5107:$K$5107,JU!$I$5107:$I$5107,WS!$A126)</f>
        <v>0</v>
      </c>
      <c r="AD126" s="30">
        <f t="shared" si="160"/>
        <v>0</v>
      </c>
      <c r="AE126" s="28">
        <f>SUMIFS(JU!$H$5107:$H$5107,JU!$F$5107:$F$5107,WS!$A126)</f>
        <v>0</v>
      </c>
      <c r="AF126" s="29">
        <f>SUMIFS(JU!$K$5107:$K$5107,JU!$I$5107:$I$5107,WS!$A126)</f>
        <v>0</v>
      </c>
      <c r="AG126" s="30">
        <f t="shared" si="161"/>
        <v>0</v>
      </c>
      <c r="AH126" s="28">
        <f>SUMIFS(JU!$H$5107:$H$5107,JU!$F$5107:$F$5107,WS!$A126)</f>
        <v>0</v>
      </c>
      <c r="AI126" s="29">
        <f>SUMIFS(JU!$K$5107:$K$5107,JU!$I$5107:$I$5107,WS!$A126)</f>
        <v>0</v>
      </c>
      <c r="AJ126" s="30">
        <f t="shared" si="162"/>
        <v>0</v>
      </c>
      <c r="AK126" s="28">
        <f>SUMIFS(JU!$H$5107:$H$5107,JU!$F$5107:$F$5107,WS!$A126)</f>
        <v>0</v>
      </c>
      <c r="AL126" s="29">
        <f>SUMIFS(JU!$K$5107:$K$5107,JU!$I$5107:$I$5107,WS!$A126)</f>
        <v>0</v>
      </c>
      <c r="AM126" s="30">
        <f t="shared" si="163"/>
        <v>0</v>
      </c>
      <c r="AN126" s="275">
        <f t="shared" si="110"/>
        <v>87671625</v>
      </c>
      <c r="AP126" s="18">
        <f t="shared" si="111"/>
        <v>87671625</v>
      </c>
    </row>
    <row r="127" spans="1:42" s="37" customFormat="1">
      <c r="A127" s="287" t="s">
        <v>222</v>
      </c>
      <c r="B127" s="287"/>
      <c r="C127" s="38">
        <f>SUM(C115:C126)</f>
        <v>0</v>
      </c>
      <c r="D127" s="28">
        <f>SUMIFS(JU!$H$5:$H$178,JU!$F$5:$F$178,WS!$A127)</f>
        <v>0</v>
      </c>
      <c r="E127" s="29">
        <f>SUMIFS(JU!$K$5:$K$178,JU!$I$5:$I$178,WS!$A127)</f>
        <v>0</v>
      </c>
      <c r="F127" s="36">
        <f>SUM(F115:F126)</f>
        <v>94470997</v>
      </c>
      <c r="G127" s="28">
        <f>SUMIFS(JU!$H$180:$H$440,JU!$F$180:$F$440,WS!$A127)</f>
        <v>0</v>
      </c>
      <c r="H127" s="29">
        <f>SUMIFS(JU!$K$180:$K$440,JU!$I$180:$I$440,WS!$A127)</f>
        <v>0</v>
      </c>
      <c r="I127" s="36">
        <f>SUM(I115:I126)</f>
        <v>91697036</v>
      </c>
      <c r="J127" s="28">
        <f>SUMIFS(JU!$H$441:$H$695,JU!$F$441:$F$695,WS!$A127)</f>
        <v>0</v>
      </c>
      <c r="K127" s="29">
        <f>SUMIFS(JU!$K$441:$K$695,JU!$I$441:$I$695,WS!$A127)</f>
        <v>0</v>
      </c>
      <c r="L127" s="36">
        <f>SUM(L115:L126)</f>
        <v>80649286</v>
      </c>
      <c r="M127" s="28">
        <f>SUMIFS(JU!$H$696:$H$1062,JU!$F$696:$F$1062,$A127)</f>
        <v>0</v>
      </c>
      <c r="N127" s="29">
        <f>SUMIFS(JU!$K$696:$K$1062,JU!$I$696:$I$1062,WS!$A127)</f>
        <v>0</v>
      </c>
      <c r="O127" s="36">
        <f>SUM(O115:O126)</f>
        <v>129951135</v>
      </c>
      <c r="P127" s="28">
        <f>SUMIFS(JU!$H$1063:$H$5007,JU!$F$1063:$F$5007,WS!$A127)</f>
        <v>0</v>
      </c>
      <c r="Q127" s="29">
        <f>SUMIFS(JU!$K$1063:$K$5007,JU!$I$1063:$I$5007,WS!$A127)</f>
        <v>0</v>
      </c>
      <c r="R127" s="36">
        <f>SUM(R115:R126)</f>
        <v>120009138</v>
      </c>
      <c r="S127" s="28">
        <f>SUMIFS(JU!$H$5107:$H$5107,JU!$F$5107:$F$5107,WS!$A127)</f>
        <v>0</v>
      </c>
      <c r="T127" s="29">
        <f>SUMIFS(JU!$K$5107:$K$5107,JU!$I$5107:$I$5107,WS!$A127)</f>
        <v>0</v>
      </c>
      <c r="U127" s="36">
        <f>SUM(U115:U126)</f>
        <v>0</v>
      </c>
      <c r="V127" s="28">
        <f>SUMIFS(JU!$H$5107:$H$5107,JU!$F$5107:$F$5107,WS!$A127)</f>
        <v>0</v>
      </c>
      <c r="W127" s="29">
        <f>SUMIFS(JU!$K$5107:$K$5107,JU!$I$5107:$I$5107,WS!$A127)</f>
        <v>0</v>
      </c>
      <c r="X127" s="36">
        <f>SUM(X115:X126)</f>
        <v>0</v>
      </c>
      <c r="Y127" s="28">
        <f>SUMIFS(JU!$H$5107:$H$5107,JU!$F$5107:$F$5107,WS!$A127)</f>
        <v>0</v>
      </c>
      <c r="Z127" s="29">
        <f>SUMIFS(JU!$K$5107:$K$5107,JU!$I$5107:$I$5107,WS!$A127)</f>
        <v>0</v>
      </c>
      <c r="AA127" s="36">
        <f>SUM(AA115:AA126)</f>
        <v>0</v>
      </c>
      <c r="AB127" s="28">
        <f>SUMIFS(JU!$H$5107:$H$5107,JU!$F$5107:$F$5107,WS!$A127)</f>
        <v>0</v>
      </c>
      <c r="AC127" s="29">
        <f>SUMIFS(JU!$K$5107:$K$5107,JU!$I$5107:$I$5107,WS!$A127)</f>
        <v>0</v>
      </c>
      <c r="AD127" s="36">
        <f>SUM(AD115:AD126)</f>
        <v>0</v>
      </c>
      <c r="AE127" s="28">
        <f>SUMIFS(JU!$H$5107:$H$5107,JU!$F$5107:$F$5107,WS!$A127)</f>
        <v>0</v>
      </c>
      <c r="AF127" s="29">
        <f>SUMIFS(JU!$K$5107:$K$5107,JU!$I$5107:$I$5107,WS!$A127)</f>
        <v>0</v>
      </c>
      <c r="AG127" s="36">
        <f>SUM(AG115:AG126)</f>
        <v>0</v>
      </c>
      <c r="AH127" s="28">
        <f>SUMIFS(JU!$H$5107:$H$5107,JU!$F$5107:$F$5107,WS!$A127)</f>
        <v>0</v>
      </c>
      <c r="AI127" s="29">
        <f>SUMIFS(JU!$K$5107:$K$5107,JU!$I$5107:$I$5107,WS!$A127)</f>
        <v>0</v>
      </c>
      <c r="AJ127" s="36">
        <f t="shared" ref="AJ127" si="164">SUM(AJ115:AJ126)</f>
        <v>0</v>
      </c>
      <c r="AK127" s="28">
        <f>SUMIFS(JU!$H$5107:$H$5107,JU!$F$5107:$F$5107,WS!$A127)</f>
        <v>0</v>
      </c>
      <c r="AL127" s="29">
        <f>SUMIFS(JU!$K$5107:$K$5107,JU!$I$5107:$I$5107,WS!$A127)</f>
        <v>0</v>
      </c>
      <c r="AM127" s="36">
        <f t="shared" ref="AM127" si="165">SUM(AM115:AM126)</f>
        <v>0</v>
      </c>
      <c r="AN127" s="275">
        <f t="shared" si="110"/>
        <v>516777592</v>
      </c>
      <c r="AP127" s="18">
        <f t="shared" si="111"/>
        <v>516777592</v>
      </c>
    </row>
    <row r="128" spans="1:42" s="37" customFormat="1">
      <c r="A128" s="280" t="s">
        <v>107</v>
      </c>
      <c r="B128" s="280"/>
      <c r="C128" s="38"/>
      <c r="D128" s="28">
        <f>SUMIFS(JU!$H$5:$H$178,JU!$F$5:$F$178,WS!$A128)</f>
        <v>0</v>
      </c>
      <c r="E128" s="29">
        <f>SUMIFS(JU!$K$5:$K$178,JU!$I$5:$I$178,WS!$A128)</f>
        <v>0</v>
      </c>
      <c r="F128" s="36"/>
      <c r="G128" s="28">
        <f>SUMIFS(JU!$H$180:$H$440,JU!$F$180:$F$440,WS!$A128)</f>
        <v>0</v>
      </c>
      <c r="H128" s="29">
        <f>SUMIFS(JU!$K$180:$K$440,JU!$I$180:$I$440,WS!$A128)</f>
        <v>0</v>
      </c>
      <c r="I128" s="36"/>
      <c r="J128" s="28">
        <f>SUMIFS(JU!$H$441:$H$695,JU!$F$441:$F$695,WS!$A128)</f>
        <v>0</v>
      </c>
      <c r="K128" s="29">
        <f>SUMIFS(JU!$K$441:$K$695,JU!$I$441:$I$695,WS!$A128)</f>
        <v>0</v>
      </c>
      <c r="L128" s="36"/>
      <c r="M128" s="28">
        <f>SUMIFS(JU!$H$696:$H$1062,JU!$F$696:$F$1062,$A128)</f>
        <v>0</v>
      </c>
      <c r="N128" s="29">
        <f>SUMIFS(JU!$K$696:$K$1062,JU!$I$696:$I$1062,WS!$A128)</f>
        <v>0</v>
      </c>
      <c r="O128" s="36"/>
      <c r="P128" s="28">
        <f>SUMIFS(JU!$H$1063:$H$5007,JU!$F$1063:$F$5007,WS!$A128)</f>
        <v>0</v>
      </c>
      <c r="Q128" s="29">
        <f>SUMIFS(JU!$K$1063:$K$5007,JU!$I$1063:$I$5007,WS!$A128)</f>
        <v>0</v>
      </c>
      <c r="R128" s="36"/>
      <c r="S128" s="28">
        <f>SUMIFS(JU!$H$5107:$H$5107,JU!$F$5107:$F$5107,WS!$A128)</f>
        <v>0</v>
      </c>
      <c r="T128" s="29">
        <f>SUMIFS(JU!$K$5107:$K$5107,JU!$I$5107:$I$5107,WS!$A128)</f>
        <v>0</v>
      </c>
      <c r="U128" s="36"/>
      <c r="V128" s="28">
        <f>SUMIFS(JU!$H$5107:$H$5107,JU!$F$5107:$F$5107,WS!$A128)</f>
        <v>0</v>
      </c>
      <c r="W128" s="29">
        <f>SUMIFS(JU!$K$5107:$K$5107,JU!$I$5107:$I$5107,WS!$A128)</f>
        <v>0</v>
      </c>
      <c r="X128" s="36"/>
      <c r="Y128" s="28">
        <f>SUMIFS(JU!$H$5107:$H$5107,JU!$F$5107:$F$5107,WS!$A128)</f>
        <v>0</v>
      </c>
      <c r="Z128" s="29">
        <f>SUMIFS(JU!$K$5107:$K$5107,JU!$I$5107:$I$5107,WS!$A128)</f>
        <v>0</v>
      </c>
      <c r="AA128" s="36"/>
      <c r="AB128" s="28">
        <f>SUMIFS(JU!$H$5107:$H$5107,JU!$F$5107:$F$5107,WS!$A128)</f>
        <v>0</v>
      </c>
      <c r="AC128" s="29">
        <f>SUMIFS(JU!$K$5107:$K$5107,JU!$I$5107:$I$5107,WS!$A128)</f>
        <v>0</v>
      </c>
      <c r="AD128" s="36"/>
      <c r="AE128" s="28">
        <f>SUMIFS(JU!$H$5107:$H$5107,JU!$F$5107:$F$5107,WS!$A128)</f>
        <v>0</v>
      </c>
      <c r="AF128" s="29">
        <f>SUMIFS(JU!$K$5107:$K$5107,JU!$I$5107:$I$5107,WS!$A128)</f>
        <v>0</v>
      </c>
      <c r="AG128" s="36"/>
      <c r="AH128" s="28">
        <f>SUMIFS(JU!$H$5107:$H$5107,JU!$F$5107:$F$5107,WS!$A128)</f>
        <v>0</v>
      </c>
      <c r="AI128" s="29">
        <f>SUMIFS(JU!$K$5107:$K$5107,JU!$I$5107:$I$5107,WS!$A128)</f>
        <v>0</v>
      </c>
      <c r="AJ128" s="36"/>
      <c r="AK128" s="28">
        <f>SUMIFS(JU!$H$5107:$H$5107,JU!$F$5107:$F$5107,WS!$A128)</f>
        <v>0</v>
      </c>
      <c r="AL128" s="29">
        <f>SUMIFS(JU!$K$5107:$K$5107,JU!$I$5107:$I$5107,WS!$A128)</f>
        <v>0</v>
      </c>
      <c r="AM128" s="36"/>
      <c r="AN128" s="275">
        <f t="shared" si="110"/>
        <v>0</v>
      </c>
      <c r="AP128" s="18">
        <f t="shared" si="111"/>
        <v>0</v>
      </c>
    </row>
    <row r="129" spans="1:42">
      <c r="A129" s="6" t="s">
        <v>18</v>
      </c>
      <c r="B129" s="31" t="s">
        <v>81</v>
      </c>
      <c r="C129" s="32"/>
      <c r="D129" s="28">
        <f>SUMIFS(JU!$H$5:$H$178,JU!$F$5:$F$178,WS!$A129)</f>
        <v>2000000</v>
      </c>
      <c r="E129" s="29">
        <f>SUMIFS(JU!$K$5:$K$178,JU!$I$5:$I$178,WS!$A129)</f>
        <v>0</v>
      </c>
      <c r="F129" s="30">
        <f>D129-E129</f>
        <v>2000000</v>
      </c>
      <c r="G129" s="28">
        <f>SUMIFS(JU!$H$180:$H$440,JU!$F$180:$F$440,WS!$A129)</f>
        <v>4150000</v>
      </c>
      <c r="H129" s="29">
        <f>SUMIFS(JU!$K$180:$K$440,JU!$I$180:$I$440,WS!$A129)</f>
        <v>0</v>
      </c>
      <c r="I129" s="30">
        <f>G129-H129</f>
        <v>4150000</v>
      </c>
      <c r="J129" s="28">
        <f>SUMIFS(JU!$H$441:$H$695,JU!$F$441:$F$695,WS!$A129)</f>
        <v>3410000</v>
      </c>
      <c r="K129" s="29">
        <f>SUMIFS(JU!$K$441:$K$695,JU!$I$441:$I$695,WS!$A129)</f>
        <v>0</v>
      </c>
      <c r="L129" s="30">
        <f>J129-K129</f>
        <v>3410000</v>
      </c>
      <c r="M129" s="28">
        <f>SUMIFS(JU!$H$696:$H$1062,JU!$F$696:$F$1062,$A129)</f>
        <v>4854000</v>
      </c>
      <c r="N129" s="29">
        <f>SUMIFS(JU!$K$696:$K$1062,JU!$I$696:$I$1062,WS!$A129)</f>
        <v>0</v>
      </c>
      <c r="O129" s="30">
        <f>M129-N129</f>
        <v>4854000</v>
      </c>
      <c r="P129" s="28">
        <f>SUMIFS(JU!$H$1063:$H$5007,JU!$F$1063:$F$5007,WS!$A129)</f>
        <v>7150000</v>
      </c>
      <c r="Q129" s="29">
        <f>SUMIFS(JU!$K$1063:$K$5007,JU!$I$1063:$I$5007,WS!$A129)</f>
        <v>0</v>
      </c>
      <c r="R129" s="30">
        <f>P129-Q129</f>
        <v>7150000</v>
      </c>
      <c r="S129" s="28">
        <f>SUMIFS(JU!$H$5107:$H$5107,JU!$F$5107:$F$5107,WS!$A129)</f>
        <v>0</v>
      </c>
      <c r="T129" s="29">
        <f>SUMIFS(JU!$K$5107:$K$5107,JU!$I$5107:$I$5107,WS!$A129)</f>
        <v>0</v>
      </c>
      <c r="U129" s="30">
        <f>S129-T129</f>
        <v>0</v>
      </c>
      <c r="V129" s="28">
        <f>SUMIFS(JU!$H$5107:$H$5107,JU!$F$5107:$F$5107,WS!$A129)</f>
        <v>0</v>
      </c>
      <c r="W129" s="29">
        <f>SUMIFS(JU!$K$5107:$K$5107,JU!$I$5107:$I$5107,WS!$A129)</f>
        <v>0</v>
      </c>
      <c r="X129" s="30">
        <f>V129-W129</f>
        <v>0</v>
      </c>
      <c r="Y129" s="28">
        <f>SUMIFS(JU!$H$5107:$H$5107,JU!$F$5107:$F$5107,WS!$A129)</f>
        <v>0</v>
      </c>
      <c r="Z129" s="29">
        <f>SUMIFS(JU!$K$5107:$K$5107,JU!$I$5107:$I$5107,WS!$A129)</f>
        <v>0</v>
      </c>
      <c r="AA129" s="30">
        <f>Y129-Z129</f>
        <v>0</v>
      </c>
      <c r="AB129" s="28">
        <f>SUMIFS(JU!$H$5107:$H$5107,JU!$F$5107:$F$5107,WS!$A129)</f>
        <v>0</v>
      </c>
      <c r="AC129" s="29">
        <f>SUMIFS(JU!$K$5107:$K$5107,JU!$I$5107:$I$5107,WS!$A129)</f>
        <v>0</v>
      </c>
      <c r="AD129" s="30">
        <f>AB129-AC129</f>
        <v>0</v>
      </c>
      <c r="AE129" s="28">
        <f>SUMIFS(JU!$H$5107:$H$5107,JU!$F$5107:$F$5107,WS!$A129)</f>
        <v>0</v>
      </c>
      <c r="AF129" s="29">
        <f>SUMIFS(JU!$K$5107:$K$5107,JU!$I$5107:$I$5107,WS!$A129)</f>
        <v>0</v>
      </c>
      <c r="AG129" s="30">
        <f>AE129-AF129</f>
        <v>0</v>
      </c>
      <c r="AH129" s="28">
        <f>SUMIFS(JU!$H$5107:$H$5107,JU!$F$5107:$F$5107,WS!$A129)</f>
        <v>0</v>
      </c>
      <c r="AI129" s="29">
        <f>SUMIFS(JU!$K$5107:$K$5107,JU!$I$5107:$I$5107,WS!$A129)</f>
        <v>0</v>
      </c>
      <c r="AJ129" s="30">
        <f>AH129-AI129</f>
        <v>0</v>
      </c>
      <c r="AK129" s="28">
        <f>SUMIFS(JU!$H$5107:$H$5107,JU!$F$5107:$F$5107,WS!$A129)</f>
        <v>0</v>
      </c>
      <c r="AL129" s="29">
        <f>SUMIFS(JU!$K$5107:$K$5107,JU!$I$5107:$I$5107,WS!$A129)</f>
        <v>0</v>
      </c>
      <c r="AM129" s="30">
        <f>AK129-AL129</f>
        <v>0</v>
      </c>
      <c r="AN129" s="275">
        <f t="shared" si="110"/>
        <v>21564000</v>
      </c>
      <c r="AP129" s="18">
        <f t="shared" si="111"/>
        <v>21564000</v>
      </c>
    </row>
    <row r="130" spans="1:42">
      <c r="A130" s="6" t="s">
        <v>19</v>
      </c>
      <c r="B130" s="31" t="s">
        <v>82</v>
      </c>
      <c r="C130" s="32"/>
      <c r="D130" s="28">
        <f>SUMIFS(JU!$H$5:$H$178,JU!$F$5:$F$178,WS!$A130)</f>
        <v>0</v>
      </c>
      <c r="E130" s="29">
        <f>SUMIFS(JU!$K$5:$K$178,JU!$I$5:$I$178,WS!$A130)</f>
        <v>0</v>
      </c>
      <c r="F130" s="30">
        <f t="shared" ref="F130:F132" si="166">D130-E130</f>
        <v>0</v>
      </c>
      <c r="G130" s="28">
        <f>SUMIFS(JU!$H$180:$H$440,JU!$F$180:$F$440,WS!$A130)</f>
        <v>0</v>
      </c>
      <c r="H130" s="29">
        <f>SUMIFS(JU!$K$180:$K$440,JU!$I$180:$I$440,WS!$A130)</f>
        <v>0</v>
      </c>
      <c r="I130" s="30">
        <f t="shared" ref="I130:I132" si="167">G130-H130</f>
        <v>0</v>
      </c>
      <c r="J130" s="28">
        <f>SUMIFS(JU!$H$441:$H$695,JU!$F$441:$F$695,WS!$A130)</f>
        <v>0</v>
      </c>
      <c r="K130" s="29">
        <f>SUMIFS(JU!$K$441:$K$695,JU!$I$441:$I$695,WS!$A130)</f>
        <v>0</v>
      </c>
      <c r="L130" s="30">
        <f>J130-K130</f>
        <v>0</v>
      </c>
      <c r="M130" s="28">
        <f>SUMIFS(JU!$H$696:$H$1062,JU!$F$696:$F$1062,$A130)</f>
        <v>0</v>
      </c>
      <c r="N130" s="29">
        <f>SUMIFS(JU!$K$696:$K$1062,JU!$I$696:$I$1062,WS!$A130)</f>
        <v>0</v>
      </c>
      <c r="O130" s="30">
        <f>M130-N130</f>
        <v>0</v>
      </c>
      <c r="P130" s="28">
        <f>SUMIFS(JU!$H$1063:$H$5007,JU!$F$1063:$F$5007,WS!$A130)</f>
        <v>0</v>
      </c>
      <c r="Q130" s="29">
        <f>SUMIFS(JU!$K$1063:$K$5007,JU!$I$1063:$I$5007,WS!$A130)</f>
        <v>0</v>
      </c>
      <c r="R130" s="30">
        <f t="shared" ref="R130:R132" si="168">P130-Q130</f>
        <v>0</v>
      </c>
      <c r="S130" s="28">
        <f>SUMIFS(JU!$H$5107:$H$5107,JU!$F$5107:$F$5107,WS!$A130)</f>
        <v>0</v>
      </c>
      <c r="T130" s="29">
        <f>SUMIFS(JU!$K$5107:$K$5107,JU!$I$5107:$I$5107,WS!$A130)</f>
        <v>0</v>
      </c>
      <c r="U130" s="30">
        <f t="shared" ref="U130:U132" si="169">S130-T130</f>
        <v>0</v>
      </c>
      <c r="V130" s="28">
        <f>SUMIFS(JU!$H$5107:$H$5107,JU!$F$5107:$F$5107,WS!$A130)</f>
        <v>0</v>
      </c>
      <c r="W130" s="29">
        <f>SUMIFS(JU!$K$5107:$K$5107,JU!$I$5107:$I$5107,WS!$A130)</f>
        <v>0</v>
      </c>
      <c r="X130" s="30">
        <f t="shared" ref="X130:X132" si="170">V130-W130</f>
        <v>0</v>
      </c>
      <c r="Y130" s="28">
        <f>SUMIFS(JU!$H$5107:$H$5107,JU!$F$5107:$F$5107,WS!$A130)</f>
        <v>0</v>
      </c>
      <c r="Z130" s="29">
        <f>SUMIFS(JU!$K$5107:$K$5107,JU!$I$5107:$I$5107,WS!$A130)</f>
        <v>0</v>
      </c>
      <c r="AA130" s="30">
        <f t="shared" ref="AA130:AA132" si="171">Y130-Z130</f>
        <v>0</v>
      </c>
      <c r="AB130" s="28">
        <f>SUMIFS(JU!$H$5107:$H$5107,JU!$F$5107:$F$5107,WS!$A130)</f>
        <v>0</v>
      </c>
      <c r="AC130" s="29">
        <f>SUMIFS(JU!$K$5107:$K$5107,JU!$I$5107:$I$5107,WS!$A130)</f>
        <v>0</v>
      </c>
      <c r="AD130" s="30">
        <f t="shared" ref="AD130:AD132" si="172">AB130-AC130</f>
        <v>0</v>
      </c>
      <c r="AE130" s="28">
        <f>SUMIFS(JU!$H$5107:$H$5107,JU!$F$5107:$F$5107,WS!$A130)</f>
        <v>0</v>
      </c>
      <c r="AF130" s="29">
        <f>SUMIFS(JU!$K$5107:$K$5107,JU!$I$5107:$I$5107,WS!$A130)</f>
        <v>0</v>
      </c>
      <c r="AG130" s="30">
        <f t="shared" ref="AG130:AG132" si="173">AE130-AF130</f>
        <v>0</v>
      </c>
      <c r="AH130" s="28">
        <f>SUMIFS(JU!$H$5107:$H$5107,JU!$F$5107:$F$5107,WS!$A130)</f>
        <v>0</v>
      </c>
      <c r="AI130" s="29">
        <f>SUMIFS(JU!$K$5107:$K$5107,JU!$I$5107:$I$5107,WS!$A130)</f>
        <v>0</v>
      </c>
      <c r="AJ130" s="30">
        <f t="shared" ref="AJ130:AJ132" si="174">AH130-AI130</f>
        <v>0</v>
      </c>
      <c r="AK130" s="28">
        <f>SUMIFS(JU!$H$5107:$H$5107,JU!$F$5107:$F$5107,WS!$A130)</f>
        <v>0</v>
      </c>
      <c r="AL130" s="29">
        <f>SUMIFS(JU!$K$5107:$K$5107,JU!$I$5107:$I$5107,WS!$A130)</f>
        <v>0</v>
      </c>
      <c r="AM130" s="30">
        <f t="shared" ref="AM130:AM132" si="175">AK130-AL130</f>
        <v>0</v>
      </c>
      <c r="AN130" s="275">
        <f t="shared" si="110"/>
        <v>0</v>
      </c>
      <c r="AP130" s="18">
        <f t="shared" si="111"/>
        <v>0</v>
      </c>
    </row>
    <row r="131" spans="1:42">
      <c r="A131" s="6" t="s">
        <v>20</v>
      </c>
      <c r="B131" s="31" t="s">
        <v>83</v>
      </c>
      <c r="C131" s="32"/>
      <c r="D131" s="28">
        <f>SUMIFS(JU!$H$5:$H$178,JU!$F$5:$F$178,WS!$A131)</f>
        <v>0</v>
      </c>
      <c r="E131" s="29">
        <f>SUMIFS(JU!$K$5:$K$178,JU!$I$5:$I$178,WS!$A131)</f>
        <v>0</v>
      </c>
      <c r="F131" s="30">
        <f t="shared" si="166"/>
        <v>0</v>
      </c>
      <c r="G131" s="28">
        <f>SUMIFS(JU!$H$180:$H$440,JU!$F$180:$F$440,WS!$A131)</f>
        <v>0</v>
      </c>
      <c r="H131" s="29">
        <f>SUMIFS(JU!$K$180:$K$440,JU!$I$180:$I$440,WS!$A131)</f>
        <v>0</v>
      </c>
      <c r="I131" s="30">
        <f t="shared" si="167"/>
        <v>0</v>
      </c>
      <c r="J131" s="28">
        <f>SUMIFS(JU!$H$441:$H$695,JU!$F$441:$F$695,WS!$A131)</f>
        <v>0</v>
      </c>
      <c r="K131" s="29">
        <f>SUMIFS(JU!$K$441:$K$695,JU!$I$441:$I$695,WS!$A131)</f>
        <v>0</v>
      </c>
      <c r="L131" s="30">
        <f>J131-K131</f>
        <v>0</v>
      </c>
      <c r="M131" s="28">
        <f>SUMIFS(JU!$H$696:$H$1062,JU!$F$696:$F$1062,$A131)</f>
        <v>0</v>
      </c>
      <c r="N131" s="29">
        <f>SUMIFS(JU!$K$696:$K$1062,JU!$I$696:$I$1062,WS!$A131)</f>
        <v>0</v>
      </c>
      <c r="O131" s="30">
        <f>M131-N131</f>
        <v>0</v>
      </c>
      <c r="P131" s="28">
        <f>SUMIFS(JU!$H$1063:$H$5007,JU!$F$1063:$F$5007,WS!$A131)</f>
        <v>0</v>
      </c>
      <c r="Q131" s="29">
        <f>SUMIFS(JU!$K$1063:$K$5007,JU!$I$1063:$I$5007,WS!$A131)</f>
        <v>0</v>
      </c>
      <c r="R131" s="30">
        <f t="shared" si="168"/>
        <v>0</v>
      </c>
      <c r="S131" s="28">
        <f>SUMIFS(JU!$H$5107:$H$5107,JU!$F$5107:$F$5107,WS!$A131)</f>
        <v>0</v>
      </c>
      <c r="T131" s="29">
        <f>SUMIFS(JU!$K$5107:$K$5107,JU!$I$5107:$I$5107,WS!$A131)</f>
        <v>0</v>
      </c>
      <c r="U131" s="30">
        <f t="shared" si="169"/>
        <v>0</v>
      </c>
      <c r="V131" s="28">
        <f>SUMIFS(JU!$H$5107:$H$5107,JU!$F$5107:$F$5107,WS!$A131)</f>
        <v>0</v>
      </c>
      <c r="W131" s="29">
        <f>SUMIFS(JU!$K$5107:$K$5107,JU!$I$5107:$I$5107,WS!$A131)</f>
        <v>0</v>
      </c>
      <c r="X131" s="30">
        <f t="shared" si="170"/>
        <v>0</v>
      </c>
      <c r="Y131" s="28">
        <f>SUMIFS(JU!$H$5107:$H$5107,JU!$F$5107:$F$5107,WS!$A131)</f>
        <v>0</v>
      </c>
      <c r="Z131" s="29">
        <f>SUMIFS(JU!$K$5107:$K$5107,JU!$I$5107:$I$5107,WS!$A131)</f>
        <v>0</v>
      </c>
      <c r="AA131" s="30">
        <f t="shared" si="171"/>
        <v>0</v>
      </c>
      <c r="AB131" s="28">
        <f>SUMIFS(JU!$H$5107:$H$5107,JU!$F$5107:$F$5107,WS!$A131)</f>
        <v>0</v>
      </c>
      <c r="AC131" s="29">
        <f>SUMIFS(JU!$K$5107:$K$5107,JU!$I$5107:$I$5107,WS!$A131)</f>
        <v>0</v>
      </c>
      <c r="AD131" s="30">
        <f t="shared" si="172"/>
        <v>0</v>
      </c>
      <c r="AE131" s="28">
        <f>SUMIFS(JU!$H$5107:$H$5107,JU!$F$5107:$F$5107,WS!$A131)</f>
        <v>0</v>
      </c>
      <c r="AF131" s="29">
        <f>SUMIFS(JU!$K$5107:$K$5107,JU!$I$5107:$I$5107,WS!$A131)</f>
        <v>0</v>
      </c>
      <c r="AG131" s="30">
        <f t="shared" si="173"/>
        <v>0</v>
      </c>
      <c r="AH131" s="28">
        <f>SUMIFS(JU!$H$5107:$H$5107,JU!$F$5107:$F$5107,WS!$A131)</f>
        <v>0</v>
      </c>
      <c r="AI131" s="29">
        <f>SUMIFS(JU!$K$5107:$K$5107,JU!$I$5107:$I$5107,WS!$A131)</f>
        <v>0</v>
      </c>
      <c r="AJ131" s="30">
        <f t="shared" si="174"/>
        <v>0</v>
      </c>
      <c r="AK131" s="28">
        <f>SUMIFS(JU!$H$5107:$H$5107,JU!$F$5107:$F$5107,WS!$A131)</f>
        <v>0</v>
      </c>
      <c r="AL131" s="29">
        <f>SUMIFS(JU!$K$5107:$K$5107,JU!$I$5107:$I$5107,WS!$A131)</f>
        <v>0</v>
      </c>
      <c r="AM131" s="30">
        <f t="shared" si="175"/>
        <v>0</v>
      </c>
      <c r="AN131" s="275">
        <f t="shared" si="110"/>
        <v>0</v>
      </c>
      <c r="AP131" s="18">
        <f t="shared" si="111"/>
        <v>0</v>
      </c>
    </row>
    <row r="132" spans="1:42">
      <c r="A132" s="6" t="s">
        <v>21</v>
      </c>
      <c r="B132" s="31" t="s">
        <v>84</v>
      </c>
      <c r="C132" s="32"/>
      <c r="D132" s="28">
        <f>SUMIFS(JU!$H$5:$H$178,JU!$F$5:$F$178,WS!$A132)</f>
        <v>3730000</v>
      </c>
      <c r="E132" s="29">
        <f>SUMIFS(JU!$K$5:$K$178,JU!$I$5:$I$178,WS!$A132)</f>
        <v>0</v>
      </c>
      <c r="F132" s="30">
        <f t="shared" si="166"/>
        <v>3730000</v>
      </c>
      <c r="G132" s="28">
        <f>SUMIFS(JU!$H$180:$H$440,JU!$F$180:$F$440,WS!$A132)</f>
        <v>4777000</v>
      </c>
      <c r="H132" s="29">
        <f>SUMIFS(JU!$K$180:$K$440,JU!$I$180:$I$440,WS!$A132)</f>
        <v>0</v>
      </c>
      <c r="I132" s="30">
        <f t="shared" si="167"/>
        <v>4777000</v>
      </c>
      <c r="J132" s="28">
        <f>SUMIFS(JU!$H$441:$H$695,JU!$F$441:$F$695,WS!$A132)</f>
        <v>0</v>
      </c>
      <c r="K132" s="29">
        <f>SUMIFS(JU!$K$441:$K$695,JU!$I$441:$I$695,WS!$A132)</f>
        <v>0</v>
      </c>
      <c r="L132" s="30">
        <f>J132-K132</f>
        <v>0</v>
      </c>
      <c r="M132" s="28">
        <f>SUMIFS(JU!$H$696:$H$1062,JU!$F$696:$F$1062,$A132)</f>
        <v>0</v>
      </c>
      <c r="N132" s="29">
        <f>SUMIFS(JU!$K$696:$K$1062,JU!$I$696:$I$1062,WS!$A132)</f>
        <v>0</v>
      </c>
      <c r="O132" s="30">
        <f>M132-N132</f>
        <v>0</v>
      </c>
      <c r="P132" s="28">
        <f>SUMIFS(JU!$H$1063:$H$5007,JU!$F$1063:$F$5007,WS!$A132)</f>
        <v>1750000</v>
      </c>
      <c r="Q132" s="29">
        <f>SUMIFS(JU!$K$1063:$K$5007,JU!$I$1063:$I$5007,WS!$A132)</f>
        <v>0</v>
      </c>
      <c r="R132" s="30">
        <f t="shared" si="168"/>
        <v>1750000</v>
      </c>
      <c r="S132" s="28">
        <f>SUMIFS(JU!$H$5107:$H$5107,JU!$F$5107:$F$5107,WS!$A132)</f>
        <v>0</v>
      </c>
      <c r="T132" s="29">
        <f>SUMIFS(JU!$K$5107:$K$5107,JU!$I$5107:$I$5107,WS!$A132)</f>
        <v>0</v>
      </c>
      <c r="U132" s="30">
        <f t="shared" si="169"/>
        <v>0</v>
      </c>
      <c r="V132" s="28">
        <f>SUMIFS(JU!$H$5107:$H$5107,JU!$F$5107:$F$5107,WS!$A132)</f>
        <v>0</v>
      </c>
      <c r="W132" s="29">
        <f>SUMIFS(JU!$K$5107:$K$5107,JU!$I$5107:$I$5107,WS!$A132)</f>
        <v>0</v>
      </c>
      <c r="X132" s="30">
        <f t="shared" si="170"/>
        <v>0</v>
      </c>
      <c r="Y132" s="28">
        <f>SUMIFS(JU!$H$5107:$H$5107,JU!$F$5107:$F$5107,WS!$A132)</f>
        <v>0</v>
      </c>
      <c r="Z132" s="29">
        <f>SUMIFS(JU!$K$5107:$K$5107,JU!$I$5107:$I$5107,WS!$A132)</f>
        <v>0</v>
      </c>
      <c r="AA132" s="30">
        <f t="shared" si="171"/>
        <v>0</v>
      </c>
      <c r="AB132" s="28">
        <f>SUMIFS(JU!$H$5107:$H$5107,JU!$F$5107:$F$5107,WS!$A132)</f>
        <v>0</v>
      </c>
      <c r="AC132" s="29">
        <f>SUMIFS(JU!$K$5107:$K$5107,JU!$I$5107:$I$5107,WS!$A132)</f>
        <v>0</v>
      </c>
      <c r="AD132" s="30">
        <f t="shared" si="172"/>
        <v>0</v>
      </c>
      <c r="AE132" s="28">
        <f>SUMIFS(JU!$H$5107:$H$5107,JU!$F$5107:$F$5107,WS!$A132)</f>
        <v>0</v>
      </c>
      <c r="AF132" s="29">
        <f>SUMIFS(JU!$K$5107:$K$5107,JU!$I$5107:$I$5107,WS!$A132)</f>
        <v>0</v>
      </c>
      <c r="AG132" s="30">
        <f t="shared" si="173"/>
        <v>0</v>
      </c>
      <c r="AH132" s="28">
        <f>SUMIFS(JU!$H$5107:$H$5107,JU!$F$5107:$F$5107,WS!$A132)</f>
        <v>0</v>
      </c>
      <c r="AI132" s="29">
        <f>SUMIFS(JU!$K$5107:$K$5107,JU!$I$5107:$I$5107,WS!$A132)</f>
        <v>0</v>
      </c>
      <c r="AJ132" s="30">
        <f t="shared" si="174"/>
        <v>0</v>
      </c>
      <c r="AK132" s="28">
        <f>SUMIFS(JU!$H$5107:$H$5107,JU!$F$5107:$F$5107,WS!$A132)</f>
        <v>0</v>
      </c>
      <c r="AL132" s="29">
        <f>SUMIFS(JU!$K$5107:$K$5107,JU!$I$5107:$I$5107,WS!$A132)</f>
        <v>0</v>
      </c>
      <c r="AM132" s="30">
        <f t="shared" si="175"/>
        <v>0</v>
      </c>
      <c r="AN132" s="275">
        <f t="shared" si="110"/>
        <v>10257000</v>
      </c>
      <c r="AP132" s="18">
        <f t="shared" si="111"/>
        <v>10257000</v>
      </c>
    </row>
    <row r="133" spans="1:42" s="37" customFormat="1">
      <c r="A133" s="287" t="s">
        <v>223</v>
      </c>
      <c r="B133" s="287"/>
      <c r="C133" s="38">
        <f>SUM(C129:C132)</f>
        <v>0</v>
      </c>
      <c r="D133" s="28">
        <f>SUMIFS(JU!$H$5:$H$178,JU!$F$5:$F$178,WS!$A133)</f>
        <v>0</v>
      </c>
      <c r="E133" s="29">
        <f>SUMIFS(JU!$K$5:$K$178,JU!$I$5:$I$178,WS!$A133)</f>
        <v>0</v>
      </c>
      <c r="F133" s="38">
        <f>SUM(F129:F132)</f>
        <v>5730000</v>
      </c>
      <c r="G133" s="28">
        <f>SUMIFS(JU!$H$180:$H$440,JU!$F$180:$F$440,WS!$A133)</f>
        <v>0</v>
      </c>
      <c r="H133" s="29">
        <f>SUMIFS(JU!$K$180:$K$440,JU!$I$180:$I$440,WS!$A133)</f>
        <v>0</v>
      </c>
      <c r="I133" s="38">
        <f>SUM(I129:I132)</f>
        <v>8927000</v>
      </c>
      <c r="J133" s="28">
        <f>SUMIFS(JU!$H$441:$H$695,JU!$F$441:$F$695,WS!$A133)</f>
        <v>0</v>
      </c>
      <c r="K133" s="29">
        <f>SUMIFS(JU!$K$441:$K$695,JU!$I$441:$I$695,WS!$A133)</f>
        <v>0</v>
      </c>
      <c r="L133" s="38">
        <f>SUM(L129:L132)</f>
        <v>3410000</v>
      </c>
      <c r="M133" s="28">
        <f>SUMIFS(JU!$H$696:$H$1062,JU!$F$696:$F$1062,$A133)</f>
        <v>0</v>
      </c>
      <c r="N133" s="29">
        <f>SUMIFS(JU!$K$696:$K$1062,JU!$I$696:$I$1062,WS!$A133)</f>
        <v>0</v>
      </c>
      <c r="O133" s="38">
        <f>SUM(O129:O132)</f>
        <v>4854000</v>
      </c>
      <c r="P133" s="28">
        <f>SUMIFS(JU!$H$1063:$H$5007,JU!$F$1063:$F$5007,WS!$A133)</f>
        <v>0</v>
      </c>
      <c r="Q133" s="29">
        <f>SUMIFS(JU!$K$1063:$K$5007,JU!$I$1063:$I$5007,WS!$A133)</f>
        <v>0</v>
      </c>
      <c r="R133" s="38">
        <f>SUM(R129:R132)</f>
        <v>8900000</v>
      </c>
      <c r="S133" s="28">
        <f>SUMIFS(JU!$H$5107:$H$5107,JU!$F$5107:$F$5107,WS!$A133)</f>
        <v>0</v>
      </c>
      <c r="T133" s="29">
        <f>SUMIFS(JU!$K$5107:$K$5107,JU!$I$5107:$I$5107,WS!$A133)</f>
        <v>0</v>
      </c>
      <c r="U133" s="38">
        <f>SUM(U129:U132)</f>
        <v>0</v>
      </c>
      <c r="V133" s="28">
        <f>SUMIFS(JU!$H$5107:$H$5107,JU!$F$5107:$F$5107,WS!$A133)</f>
        <v>0</v>
      </c>
      <c r="W133" s="29">
        <f>SUMIFS(JU!$K$5107:$K$5107,JU!$I$5107:$I$5107,WS!$A133)</f>
        <v>0</v>
      </c>
      <c r="X133" s="38">
        <f>SUM(X129:X132)</f>
        <v>0</v>
      </c>
      <c r="Y133" s="28">
        <f>SUMIFS(JU!$H$5107:$H$5107,JU!$F$5107:$F$5107,WS!$A133)</f>
        <v>0</v>
      </c>
      <c r="Z133" s="29">
        <f>SUMIFS(JU!$K$5107:$K$5107,JU!$I$5107:$I$5107,WS!$A133)</f>
        <v>0</v>
      </c>
      <c r="AA133" s="38">
        <f>SUM(AA129:AA132)</f>
        <v>0</v>
      </c>
      <c r="AB133" s="28">
        <f>SUMIFS(JU!$H$5107:$H$5107,JU!$F$5107:$F$5107,WS!$A133)</f>
        <v>0</v>
      </c>
      <c r="AC133" s="29">
        <f>SUMIFS(JU!$K$5107:$K$5107,JU!$I$5107:$I$5107,WS!$A133)</f>
        <v>0</v>
      </c>
      <c r="AD133" s="38">
        <f>SUM(AD129:AD132)</f>
        <v>0</v>
      </c>
      <c r="AE133" s="28">
        <f>SUMIFS(JU!$H$5107:$H$5107,JU!$F$5107:$F$5107,WS!$A133)</f>
        <v>0</v>
      </c>
      <c r="AF133" s="29">
        <f>SUMIFS(JU!$K$5107:$K$5107,JU!$I$5107:$I$5107,WS!$A133)</f>
        <v>0</v>
      </c>
      <c r="AG133" s="38">
        <f>SUM(AG129:AG132)</f>
        <v>0</v>
      </c>
      <c r="AH133" s="28">
        <f>SUMIFS(JU!$H$5107:$H$5107,JU!$F$5107:$F$5107,WS!$A133)</f>
        <v>0</v>
      </c>
      <c r="AI133" s="29">
        <f>SUMIFS(JU!$K$5107:$K$5107,JU!$I$5107:$I$5107,WS!$A133)</f>
        <v>0</v>
      </c>
      <c r="AJ133" s="38">
        <f t="shared" ref="AJ133" si="176">SUM(AJ129:AJ132)</f>
        <v>0</v>
      </c>
      <c r="AK133" s="28">
        <f>SUMIFS(JU!$H$5107:$H$5107,JU!$F$5107:$F$5107,WS!$A133)</f>
        <v>0</v>
      </c>
      <c r="AL133" s="29">
        <f>SUMIFS(JU!$K$5107:$K$5107,JU!$I$5107:$I$5107,WS!$A133)</f>
        <v>0</v>
      </c>
      <c r="AM133" s="38">
        <f t="shared" ref="AM133" si="177">SUM(AM129:AM132)</f>
        <v>0</v>
      </c>
      <c r="AN133" s="275">
        <f t="shared" si="110"/>
        <v>31821000</v>
      </c>
      <c r="AP133" s="18">
        <f t="shared" si="111"/>
        <v>31821000</v>
      </c>
    </row>
    <row r="134" spans="1:42" s="37" customFormat="1">
      <c r="A134" s="280" t="s">
        <v>108</v>
      </c>
      <c r="B134" s="280"/>
      <c r="C134" s="38"/>
      <c r="D134" s="28">
        <f>SUMIFS(JU!$H$5:$H$178,JU!$F$5:$F$178,WS!$A134)</f>
        <v>0</v>
      </c>
      <c r="E134" s="29">
        <f>SUMIFS(JU!$K$5:$K$178,JU!$I$5:$I$178,WS!$A134)</f>
        <v>0</v>
      </c>
      <c r="F134" s="36"/>
      <c r="G134" s="28">
        <f>SUMIFS(JU!$H$180:$H$440,JU!$F$180:$F$440,WS!$A134)</f>
        <v>0</v>
      </c>
      <c r="H134" s="29">
        <f>SUMIFS(JU!$K$180:$K$440,JU!$I$180:$I$440,WS!$A134)</f>
        <v>0</v>
      </c>
      <c r="I134" s="36"/>
      <c r="J134" s="28">
        <f>SUMIFS(JU!$H$441:$H$695,JU!$F$441:$F$695,WS!$A134)</f>
        <v>0</v>
      </c>
      <c r="K134" s="29">
        <f>SUMIFS(JU!$K$441:$K$695,JU!$I$441:$I$695,WS!$A134)</f>
        <v>0</v>
      </c>
      <c r="L134" s="36"/>
      <c r="M134" s="28">
        <f>SUMIFS(JU!$H$696:$H$1062,JU!$F$696:$F$1062,$A134)</f>
        <v>0</v>
      </c>
      <c r="N134" s="29">
        <f>SUMIFS(JU!$K$696:$K$1062,JU!$I$696:$I$1062,WS!$A134)</f>
        <v>0</v>
      </c>
      <c r="O134" s="36"/>
      <c r="P134" s="28">
        <f>SUMIFS(JU!$H$1063:$H$5007,JU!$F$1063:$F$5007,WS!$A134)</f>
        <v>0</v>
      </c>
      <c r="Q134" s="29">
        <f>SUMIFS(JU!$K$1063:$K$5007,JU!$I$1063:$I$5007,WS!$A134)</f>
        <v>0</v>
      </c>
      <c r="R134" s="36"/>
      <c r="S134" s="28">
        <f>SUMIFS(JU!$H$5107:$H$5107,JU!$F$5107:$F$5107,WS!$A134)</f>
        <v>0</v>
      </c>
      <c r="T134" s="29">
        <f>SUMIFS(JU!$K$5107:$K$5107,JU!$I$5107:$I$5107,WS!$A134)</f>
        <v>0</v>
      </c>
      <c r="U134" s="36"/>
      <c r="V134" s="28">
        <f>SUMIFS(JU!$H$5107:$H$5107,JU!$F$5107:$F$5107,WS!$A134)</f>
        <v>0</v>
      </c>
      <c r="W134" s="29">
        <f>SUMIFS(JU!$K$5107:$K$5107,JU!$I$5107:$I$5107,WS!$A134)</f>
        <v>0</v>
      </c>
      <c r="X134" s="36"/>
      <c r="Y134" s="28">
        <f>SUMIFS(JU!$H$5107:$H$5107,JU!$F$5107:$F$5107,WS!$A134)</f>
        <v>0</v>
      </c>
      <c r="Z134" s="29">
        <f>SUMIFS(JU!$K$5107:$K$5107,JU!$I$5107:$I$5107,WS!$A134)</f>
        <v>0</v>
      </c>
      <c r="AA134" s="36"/>
      <c r="AB134" s="28">
        <f>SUMIFS(JU!$H$5107:$H$5107,JU!$F$5107:$F$5107,WS!$A134)</f>
        <v>0</v>
      </c>
      <c r="AC134" s="29">
        <f>SUMIFS(JU!$K$5107:$K$5107,JU!$I$5107:$I$5107,WS!$A134)</f>
        <v>0</v>
      </c>
      <c r="AD134" s="36"/>
      <c r="AE134" s="28">
        <f>SUMIFS(JU!$H$5107:$H$5107,JU!$F$5107:$F$5107,WS!$A134)</f>
        <v>0</v>
      </c>
      <c r="AF134" s="29">
        <f>SUMIFS(JU!$K$5107:$K$5107,JU!$I$5107:$I$5107,WS!$A134)</f>
        <v>0</v>
      </c>
      <c r="AG134" s="36"/>
      <c r="AH134" s="28">
        <f>SUMIFS(JU!$H$5107:$H$5107,JU!$F$5107:$F$5107,WS!$A134)</f>
        <v>0</v>
      </c>
      <c r="AI134" s="29">
        <f>SUMIFS(JU!$K$5107:$K$5107,JU!$I$5107:$I$5107,WS!$A134)</f>
        <v>0</v>
      </c>
      <c r="AJ134" s="36"/>
      <c r="AK134" s="28">
        <f>SUMIFS(JU!$H$5107:$H$5107,JU!$F$5107:$F$5107,WS!$A134)</f>
        <v>0</v>
      </c>
      <c r="AL134" s="29">
        <f>SUMIFS(JU!$K$5107:$K$5107,JU!$I$5107:$I$5107,WS!$A134)</f>
        <v>0</v>
      </c>
      <c r="AM134" s="36"/>
      <c r="AN134" s="275">
        <f t="shared" si="110"/>
        <v>0</v>
      </c>
      <c r="AP134" s="18">
        <f t="shared" si="111"/>
        <v>0</v>
      </c>
    </row>
    <row r="135" spans="1:42">
      <c r="A135" s="6" t="s">
        <v>22</v>
      </c>
      <c r="B135" s="31" t="s">
        <v>85</v>
      </c>
      <c r="C135" s="32"/>
      <c r="D135" s="28">
        <f>SUMIFS(JU!$H$5:$H$178,JU!$F$5:$F$178,WS!$A135)</f>
        <v>0</v>
      </c>
      <c r="E135" s="29">
        <f>SUMIFS(JU!$K$5:$K$178,JU!$I$5:$I$178,WS!$A135)</f>
        <v>0</v>
      </c>
      <c r="F135" s="30">
        <f>D135-E135</f>
        <v>0</v>
      </c>
      <c r="G135" s="28">
        <f>SUMIFS(JU!$H$180:$H$440,JU!$F$180:$F$440,WS!$A135)</f>
        <v>365250000</v>
      </c>
      <c r="H135" s="29">
        <f>SUMIFS(JU!$K$180:$K$440,JU!$I$180:$I$440,WS!$A135)</f>
        <v>0</v>
      </c>
      <c r="I135" s="30">
        <f>G135-H135</f>
        <v>365250000</v>
      </c>
      <c r="J135" s="28">
        <f>SUMIFS(JU!$H$441:$H$695,JU!$F$441:$F$695,WS!$A135)</f>
        <v>0</v>
      </c>
      <c r="K135" s="29">
        <f>SUMIFS(JU!$K$441:$K$695,JU!$I$441:$I$695,WS!$A135)</f>
        <v>0</v>
      </c>
      <c r="L135" s="30">
        <f>J135-K135</f>
        <v>0</v>
      </c>
      <c r="M135" s="28">
        <f>SUMIFS(JU!$H$696:$H$1062,JU!$F$696:$F$1062,$A135)</f>
        <v>17600000</v>
      </c>
      <c r="N135" s="29">
        <f>SUMIFS(JU!$K$696:$K$1062,JU!$I$696:$I$1062,WS!$A135)</f>
        <v>0</v>
      </c>
      <c r="O135" s="30">
        <f>M135-N135</f>
        <v>17600000</v>
      </c>
      <c r="P135" s="28">
        <f>SUMIFS(JU!$H$1063:$H$5007,JU!$F$1063:$F$5007,WS!$A135)</f>
        <v>13650000</v>
      </c>
      <c r="Q135" s="29">
        <f>SUMIFS(JU!$K$1063:$K$5007,JU!$I$1063:$I$5007,WS!$A135)</f>
        <v>0</v>
      </c>
      <c r="R135" s="30">
        <f>P135-Q135</f>
        <v>13650000</v>
      </c>
      <c r="S135" s="28">
        <f>SUMIFS(JU!$H$5107:$H$5107,JU!$F$5107:$F$5107,WS!$A135)</f>
        <v>0</v>
      </c>
      <c r="T135" s="29">
        <f>SUMIFS(JU!$K$5107:$K$5107,JU!$I$5107:$I$5107,WS!$A135)</f>
        <v>0</v>
      </c>
      <c r="U135" s="30">
        <f>S135-T135</f>
        <v>0</v>
      </c>
      <c r="V135" s="28">
        <f>SUMIFS(JU!$H$5107:$H$5107,JU!$F$5107:$F$5107,WS!$A135)</f>
        <v>0</v>
      </c>
      <c r="W135" s="29">
        <f>SUMIFS(JU!$K$5107:$K$5107,JU!$I$5107:$I$5107,WS!$A135)</f>
        <v>0</v>
      </c>
      <c r="X135" s="30">
        <f>V135-W135</f>
        <v>0</v>
      </c>
      <c r="Y135" s="28">
        <f>SUMIFS(JU!$H$5107:$H$5107,JU!$F$5107:$F$5107,WS!$A135)</f>
        <v>0</v>
      </c>
      <c r="Z135" s="29">
        <f>SUMIFS(JU!$K$5107:$K$5107,JU!$I$5107:$I$5107,WS!$A135)</f>
        <v>0</v>
      </c>
      <c r="AA135" s="30">
        <f>Y135-Z135</f>
        <v>0</v>
      </c>
      <c r="AB135" s="28">
        <f>SUMIFS(JU!$H$5107:$H$5107,JU!$F$5107:$F$5107,WS!$A135)</f>
        <v>0</v>
      </c>
      <c r="AC135" s="29">
        <f>SUMIFS(JU!$K$5107:$K$5107,JU!$I$5107:$I$5107,WS!$A135)</f>
        <v>0</v>
      </c>
      <c r="AD135" s="30">
        <f>AB135-AC135</f>
        <v>0</v>
      </c>
      <c r="AE135" s="28">
        <f>SUMIFS(JU!$H$5107:$H$5107,JU!$F$5107:$F$5107,WS!$A135)</f>
        <v>0</v>
      </c>
      <c r="AF135" s="29">
        <f>SUMIFS(JU!$K$5107:$K$5107,JU!$I$5107:$I$5107,WS!$A135)</f>
        <v>0</v>
      </c>
      <c r="AG135" s="30">
        <f>AE135-AF135</f>
        <v>0</v>
      </c>
      <c r="AH135" s="28">
        <f>SUMIFS(JU!$H$5107:$H$5107,JU!$F$5107:$F$5107,WS!$A135)</f>
        <v>0</v>
      </c>
      <c r="AI135" s="29">
        <f>SUMIFS(JU!$K$5107:$K$5107,JU!$I$5107:$I$5107,WS!$A135)</f>
        <v>0</v>
      </c>
      <c r="AJ135" s="30">
        <f>AH135-AI135</f>
        <v>0</v>
      </c>
      <c r="AK135" s="28">
        <f>SUMIFS(JU!$H$5107:$H$5107,JU!$F$5107:$F$5107,WS!$A135)</f>
        <v>0</v>
      </c>
      <c r="AL135" s="29">
        <f>SUMIFS(JU!$K$5107:$K$5107,JU!$I$5107:$I$5107,WS!$A135)</f>
        <v>0</v>
      </c>
      <c r="AM135" s="30">
        <f>AK135-AL135</f>
        <v>0</v>
      </c>
      <c r="AN135" s="275">
        <f t="shared" si="110"/>
        <v>396500000</v>
      </c>
      <c r="AP135" s="18">
        <f t="shared" si="111"/>
        <v>396500000</v>
      </c>
    </row>
    <row r="136" spans="1:42">
      <c r="A136" s="6" t="s">
        <v>23</v>
      </c>
      <c r="B136" s="31" t="s">
        <v>86</v>
      </c>
      <c r="C136" s="32"/>
      <c r="D136" s="28">
        <f>SUMIFS(JU!$H$5:$H$178,JU!$F$5:$F$178,WS!$A136)</f>
        <v>0</v>
      </c>
      <c r="E136" s="29">
        <f>SUMIFS(JU!$K$5:$K$178,JU!$I$5:$I$178,WS!$A136)</f>
        <v>0</v>
      </c>
      <c r="F136" s="30">
        <f t="shared" ref="F136:F137" si="178">D136-E136</f>
        <v>0</v>
      </c>
      <c r="G136" s="28">
        <f>SUMIFS(JU!$H$180:$H$440,JU!$F$180:$F$440,WS!$A136)</f>
        <v>0</v>
      </c>
      <c r="H136" s="29">
        <f>SUMIFS(JU!$K$180:$K$440,JU!$I$180:$I$440,WS!$A136)</f>
        <v>0</v>
      </c>
      <c r="I136" s="30">
        <f t="shared" ref="I136:I137" si="179">G136-H136</f>
        <v>0</v>
      </c>
      <c r="J136" s="28">
        <f>SUMIFS(JU!$H$441:$H$695,JU!$F$441:$F$695,WS!$A136)</f>
        <v>0</v>
      </c>
      <c r="K136" s="29">
        <f>SUMIFS(JU!$K$441:$K$695,JU!$I$441:$I$695,WS!$A136)</f>
        <v>0</v>
      </c>
      <c r="L136" s="30">
        <f>J136-K136</f>
        <v>0</v>
      </c>
      <c r="M136" s="28">
        <f>SUMIFS(JU!$H$696:$H$1062,JU!$F$696:$F$1062,$A136)</f>
        <v>0</v>
      </c>
      <c r="N136" s="29">
        <f>SUMIFS(JU!$K$696:$K$1062,JU!$I$696:$I$1062,WS!$A136)</f>
        <v>0</v>
      </c>
      <c r="O136" s="30">
        <f>M136-N136</f>
        <v>0</v>
      </c>
      <c r="P136" s="28">
        <f>SUMIFS(JU!$H$1063:$H$5007,JU!$F$1063:$F$5007,WS!$A136)</f>
        <v>0</v>
      </c>
      <c r="Q136" s="29">
        <f>SUMIFS(JU!$K$1063:$K$5007,JU!$I$1063:$I$5007,WS!$A136)</f>
        <v>0</v>
      </c>
      <c r="R136" s="30">
        <f t="shared" ref="R136:R137" si="180">P136-Q136</f>
        <v>0</v>
      </c>
      <c r="S136" s="28">
        <f>SUMIFS(JU!$H$5107:$H$5107,JU!$F$5107:$F$5107,WS!$A136)</f>
        <v>0</v>
      </c>
      <c r="T136" s="29">
        <f>SUMIFS(JU!$K$5107:$K$5107,JU!$I$5107:$I$5107,WS!$A136)</f>
        <v>0</v>
      </c>
      <c r="U136" s="30">
        <f t="shared" ref="U136:U137" si="181">S136-T136</f>
        <v>0</v>
      </c>
      <c r="V136" s="28">
        <f>SUMIFS(JU!$H$5107:$H$5107,JU!$F$5107:$F$5107,WS!$A136)</f>
        <v>0</v>
      </c>
      <c r="W136" s="29">
        <f>SUMIFS(JU!$K$5107:$K$5107,JU!$I$5107:$I$5107,WS!$A136)</f>
        <v>0</v>
      </c>
      <c r="X136" s="30">
        <f t="shared" ref="X136:X137" si="182">V136-W136</f>
        <v>0</v>
      </c>
      <c r="Y136" s="28">
        <f>SUMIFS(JU!$H$5107:$H$5107,JU!$F$5107:$F$5107,WS!$A136)</f>
        <v>0</v>
      </c>
      <c r="Z136" s="29">
        <f>SUMIFS(JU!$K$5107:$K$5107,JU!$I$5107:$I$5107,WS!$A136)</f>
        <v>0</v>
      </c>
      <c r="AA136" s="30">
        <f t="shared" ref="AA136:AA137" si="183">Y136-Z136</f>
        <v>0</v>
      </c>
      <c r="AB136" s="28">
        <f>SUMIFS(JU!$H$5107:$H$5107,JU!$F$5107:$F$5107,WS!$A136)</f>
        <v>0</v>
      </c>
      <c r="AC136" s="29">
        <f>SUMIFS(JU!$K$5107:$K$5107,JU!$I$5107:$I$5107,WS!$A136)</f>
        <v>0</v>
      </c>
      <c r="AD136" s="30">
        <f t="shared" ref="AD136:AD137" si="184">AB136-AC136</f>
        <v>0</v>
      </c>
      <c r="AE136" s="28">
        <f>SUMIFS(JU!$H$5107:$H$5107,JU!$F$5107:$F$5107,WS!$A136)</f>
        <v>0</v>
      </c>
      <c r="AF136" s="29">
        <f>SUMIFS(JU!$K$5107:$K$5107,JU!$I$5107:$I$5107,WS!$A136)</f>
        <v>0</v>
      </c>
      <c r="AG136" s="30">
        <f t="shared" ref="AG136:AG137" si="185">AE136-AF136</f>
        <v>0</v>
      </c>
      <c r="AH136" s="28">
        <f>SUMIFS(JU!$H$5107:$H$5107,JU!$F$5107:$F$5107,WS!$A136)</f>
        <v>0</v>
      </c>
      <c r="AI136" s="29">
        <f>SUMIFS(JU!$K$5107:$K$5107,JU!$I$5107:$I$5107,WS!$A136)</f>
        <v>0</v>
      </c>
      <c r="AJ136" s="30">
        <f t="shared" ref="AJ136:AJ137" si="186">AH136-AI136</f>
        <v>0</v>
      </c>
      <c r="AK136" s="28">
        <f>SUMIFS(JU!$H$5107:$H$5107,JU!$F$5107:$F$5107,WS!$A136)</f>
        <v>0</v>
      </c>
      <c r="AL136" s="29">
        <f>SUMIFS(JU!$K$5107:$K$5107,JU!$I$5107:$I$5107,WS!$A136)</f>
        <v>0</v>
      </c>
      <c r="AM136" s="30">
        <f t="shared" ref="AM136:AM137" si="187">AK136-AL136</f>
        <v>0</v>
      </c>
      <c r="AN136" s="275">
        <f t="shared" si="110"/>
        <v>0</v>
      </c>
      <c r="AP136" s="18">
        <f t="shared" si="111"/>
        <v>0</v>
      </c>
    </row>
    <row r="137" spans="1:42">
      <c r="A137" s="6" t="s">
        <v>24</v>
      </c>
      <c r="B137" s="31" t="s">
        <v>87</v>
      </c>
      <c r="C137" s="32"/>
      <c r="D137" s="28">
        <f>SUMIFS(JU!$H$5:$H$178,JU!$F$5:$F$178,WS!$A137)</f>
        <v>48300</v>
      </c>
      <c r="E137" s="29">
        <f>SUMIFS(JU!$K$5:$K$178,JU!$I$5:$I$178,WS!$A137)</f>
        <v>0</v>
      </c>
      <c r="F137" s="30">
        <f t="shared" si="178"/>
        <v>48300</v>
      </c>
      <c r="G137" s="28">
        <f>SUMIFS(JU!$H$180:$H$440,JU!$F$180:$F$440,WS!$A137)</f>
        <v>2646529</v>
      </c>
      <c r="H137" s="29">
        <f>SUMIFS(JU!$K$180:$K$440,JU!$I$180:$I$440,WS!$A137)</f>
        <v>0</v>
      </c>
      <c r="I137" s="30">
        <f t="shared" si="179"/>
        <v>2646529</v>
      </c>
      <c r="J137" s="28">
        <f>SUMIFS(JU!$H$441:$H$695,JU!$F$441:$F$695,WS!$A137)</f>
        <v>108600</v>
      </c>
      <c r="K137" s="29">
        <f>SUMIFS(JU!$K$441:$K$695,JU!$I$441:$I$695,WS!$A137)</f>
        <v>0</v>
      </c>
      <c r="L137" s="30">
        <f>J137-K137</f>
        <v>108600</v>
      </c>
      <c r="M137" s="28">
        <f>SUMIFS(JU!$H$696:$H$1062,JU!$F$696:$F$1062,$A137)</f>
        <v>32043600</v>
      </c>
      <c r="N137" s="29">
        <f>SUMIFS(JU!$K$696:$K$1062,JU!$I$696:$I$1062,WS!$A137)</f>
        <v>0</v>
      </c>
      <c r="O137" s="30">
        <f>M137-N137</f>
        <v>32043600</v>
      </c>
      <c r="P137" s="28">
        <f>SUMIFS(JU!$H$1063:$H$5007,JU!$F$1063:$F$5007,WS!$A137)</f>
        <v>176600</v>
      </c>
      <c r="Q137" s="29">
        <f>SUMIFS(JU!$K$1063:$K$5007,JU!$I$1063:$I$5007,WS!$A137)</f>
        <v>0</v>
      </c>
      <c r="R137" s="30">
        <f t="shared" si="180"/>
        <v>176600</v>
      </c>
      <c r="S137" s="28">
        <f>SUMIFS(JU!$H$5107:$H$5107,JU!$F$5107:$F$5107,WS!$A137)</f>
        <v>0</v>
      </c>
      <c r="T137" s="29">
        <f>SUMIFS(JU!$K$5107:$K$5107,JU!$I$5107:$I$5107,WS!$A137)</f>
        <v>0</v>
      </c>
      <c r="U137" s="30">
        <f t="shared" si="181"/>
        <v>0</v>
      </c>
      <c r="V137" s="28">
        <f>SUMIFS(JU!$H$5107:$H$5107,JU!$F$5107:$F$5107,WS!$A137)</f>
        <v>0</v>
      </c>
      <c r="W137" s="29">
        <f>SUMIFS(JU!$K$5107:$K$5107,JU!$I$5107:$I$5107,WS!$A137)</f>
        <v>0</v>
      </c>
      <c r="X137" s="30">
        <f t="shared" si="182"/>
        <v>0</v>
      </c>
      <c r="Y137" s="28">
        <f>SUMIFS(JU!$H$5107:$H$5107,JU!$F$5107:$F$5107,WS!$A137)</f>
        <v>0</v>
      </c>
      <c r="Z137" s="29">
        <f>SUMIFS(JU!$K$5107:$K$5107,JU!$I$5107:$I$5107,WS!$A137)</f>
        <v>0</v>
      </c>
      <c r="AA137" s="30">
        <f t="shared" si="183"/>
        <v>0</v>
      </c>
      <c r="AB137" s="28">
        <f>SUMIFS(JU!$H$5107:$H$5107,JU!$F$5107:$F$5107,WS!$A137)</f>
        <v>0</v>
      </c>
      <c r="AC137" s="29">
        <f>SUMIFS(JU!$K$5107:$K$5107,JU!$I$5107:$I$5107,WS!$A137)</f>
        <v>0</v>
      </c>
      <c r="AD137" s="30">
        <f t="shared" si="184"/>
        <v>0</v>
      </c>
      <c r="AE137" s="28">
        <f>SUMIFS(JU!$H$5107:$H$5107,JU!$F$5107:$F$5107,WS!$A137)</f>
        <v>0</v>
      </c>
      <c r="AF137" s="29">
        <f>SUMIFS(JU!$K$5107:$K$5107,JU!$I$5107:$I$5107,WS!$A137)</f>
        <v>0</v>
      </c>
      <c r="AG137" s="30">
        <f t="shared" si="185"/>
        <v>0</v>
      </c>
      <c r="AH137" s="28">
        <f>SUMIFS(JU!$H$5107:$H$5107,JU!$F$5107:$F$5107,WS!$A137)</f>
        <v>0</v>
      </c>
      <c r="AI137" s="29">
        <f>SUMIFS(JU!$K$5107:$K$5107,JU!$I$5107:$I$5107,WS!$A137)</f>
        <v>0</v>
      </c>
      <c r="AJ137" s="30">
        <f t="shared" si="186"/>
        <v>0</v>
      </c>
      <c r="AK137" s="28">
        <f>SUMIFS(JU!$H$5107:$H$5107,JU!$F$5107:$F$5107,WS!$A137)</f>
        <v>0</v>
      </c>
      <c r="AL137" s="29">
        <f>SUMIFS(JU!$K$5107:$K$5107,JU!$I$5107:$I$5107,WS!$A137)</f>
        <v>0</v>
      </c>
      <c r="AM137" s="30">
        <f t="shared" si="187"/>
        <v>0</v>
      </c>
      <c r="AN137" s="275">
        <f t="shared" si="110"/>
        <v>35023629</v>
      </c>
      <c r="AP137" s="18">
        <f t="shared" si="111"/>
        <v>35023629</v>
      </c>
    </row>
    <row r="138" spans="1:42" s="37" customFormat="1">
      <c r="A138" s="287" t="s">
        <v>238</v>
      </c>
      <c r="B138" s="287"/>
      <c r="C138" s="38">
        <f>SUM(C135:C137)</f>
        <v>0</v>
      </c>
      <c r="D138" s="28">
        <f>SUMIFS(JU!$H$5:$H$178,JU!$F$5:$F$178,WS!$A138)</f>
        <v>0</v>
      </c>
      <c r="E138" s="29">
        <f>SUMIFS(JU!$K$5:$K$178,JU!$I$5:$I$178,WS!$A138)</f>
        <v>0</v>
      </c>
      <c r="F138" s="38">
        <f>SUM(F135:F137)</f>
        <v>48300</v>
      </c>
      <c r="G138" s="28">
        <f>SUMIFS(JU!$H$180:$H$440,JU!$F$180:$F$440,WS!$A138)</f>
        <v>0</v>
      </c>
      <c r="H138" s="29">
        <f>SUMIFS(JU!$K$180:$K$440,JU!$I$180:$I$440,WS!$A138)</f>
        <v>0</v>
      </c>
      <c r="I138" s="38">
        <f>SUM(I135:I137)</f>
        <v>367896529</v>
      </c>
      <c r="J138" s="28">
        <f>SUMIFS(JU!$H$441:$H$695,JU!$F$441:$F$695,WS!$A138)</f>
        <v>0</v>
      </c>
      <c r="K138" s="29">
        <f>SUMIFS(JU!$K$441:$K$695,JU!$I$441:$I$695,WS!$A138)</f>
        <v>0</v>
      </c>
      <c r="L138" s="38">
        <f>SUM(L135:L137)</f>
        <v>108600</v>
      </c>
      <c r="M138" s="28">
        <f>SUMIFS(JU!$H$696:$H$1062,JU!$F$696:$F$1062,$A138)</f>
        <v>0</v>
      </c>
      <c r="N138" s="29">
        <f>SUMIFS(JU!$K$696:$K$1062,JU!$I$696:$I$1062,WS!$A138)</f>
        <v>0</v>
      </c>
      <c r="O138" s="38">
        <f>SUM(O135:O137)</f>
        <v>49643600</v>
      </c>
      <c r="P138" s="28">
        <f>SUMIFS(JU!$H$1063:$H$5007,JU!$F$1063:$F$5007,WS!$A138)</f>
        <v>0</v>
      </c>
      <c r="Q138" s="29">
        <f>SUMIFS(JU!$K$1063:$K$5007,JU!$I$1063:$I$5007,WS!$A138)</f>
        <v>0</v>
      </c>
      <c r="R138" s="38">
        <f>SUM(R135:R137)</f>
        <v>13826600</v>
      </c>
      <c r="S138" s="28">
        <f>SUMIFS(JU!$H$5107:$H$5107,JU!$F$5107:$F$5107,WS!$A138)</f>
        <v>0</v>
      </c>
      <c r="T138" s="29">
        <f>SUMIFS(JU!$K$5107:$K$5107,JU!$I$5107:$I$5107,WS!$A138)</f>
        <v>0</v>
      </c>
      <c r="U138" s="38">
        <f>SUM(U135:U137)</f>
        <v>0</v>
      </c>
      <c r="V138" s="28">
        <f>SUMIFS(JU!$H$5107:$H$5107,JU!$F$5107:$F$5107,WS!$A138)</f>
        <v>0</v>
      </c>
      <c r="W138" s="29">
        <f>SUMIFS(JU!$K$5107:$K$5107,JU!$I$5107:$I$5107,WS!$A138)</f>
        <v>0</v>
      </c>
      <c r="X138" s="38">
        <f>SUM(X135:X137)</f>
        <v>0</v>
      </c>
      <c r="Y138" s="28">
        <f>SUMIFS(JU!$H$5107:$H$5107,JU!$F$5107:$F$5107,WS!$A138)</f>
        <v>0</v>
      </c>
      <c r="Z138" s="29">
        <f>SUMIFS(JU!$K$5107:$K$5107,JU!$I$5107:$I$5107,WS!$A138)</f>
        <v>0</v>
      </c>
      <c r="AA138" s="38">
        <f>SUM(AA135:AA137)</f>
        <v>0</v>
      </c>
      <c r="AB138" s="28">
        <f>SUMIFS(JU!$H$5107:$H$5107,JU!$F$5107:$F$5107,WS!$A138)</f>
        <v>0</v>
      </c>
      <c r="AC138" s="29">
        <f>SUMIFS(JU!$K$5107:$K$5107,JU!$I$5107:$I$5107,WS!$A138)</f>
        <v>0</v>
      </c>
      <c r="AD138" s="38">
        <f>SUM(AD135:AD137)</f>
        <v>0</v>
      </c>
      <c r="AE138" s="28">
        <f>SUMIFS(JU!$H$5107:$H$5107,JU!$F$5107:$F$5107,WS!$A138)</f>
        <v>0</v>
      </c>
      <c r="AF138" s="29">
        <f>SUMIFS(JU!$K$5107:$K$5107,JU!$I$5107:$I$5107,WS!$A138)</f>
        <v>0</v>
      </c>
      <c r="AG138" s="38">
        <f>SUM(AG135:AG137)</f>
        <v>0</v>
      </c>
      <c r="AH138" s="28">
        <f>SUMIFS(JU!$H$5107:$H$5107,JU!$F$5107:$F$5107,WS!$A138)</f>
        <v>0</v>
      </c>
      <c r="AI138" s="29">
        <f>SUMIFS(JU!$K$5107:$K$5107,JU!$I$5107:$I$5107,WS!$A138)</f>
        <v>0</v>
      </c>
      <c r="AJ138" s="38">
        <f t="shared" ref="AJ138" si="188">SUM(AJ135:AJ137)</f>
        <v>0</v>
      </c>
      <c r="AK138" s="28">
        <f>SUMIFS(JU!$H$5107:$H$5107,JU!$F$5107:$F$5107,WS!$A138)</f>
        <v>0</v>
      </c>
      <c r="AL138" s="29">
        <f>SUMIFS(JU!$K$5107:$K$5107,JU!$I$5107:$I$5107,WS!$A138)</f>
        <v>0</v>
      </c>
      <c r="AM138" s="38">
        <f t="shared" ref="AM138" si="189">SUM(AM135:AM137)</f>
        <v>0</v>
      </c>
      <c r="AN138" s="275">
        <f t="shared" si="110"/>
        <v>431523629</v>
      </c>
      <c r="AP138" s="18">
        <f t="shared" si="111"/>
        <v>431523629</v>
      </c>
    </row>
    <row r="139" spans="1:42" s="37" customFormat="1">
      <c r="A139" s="282" t="s">
        <v>151</v>
      </c>
      <c r="B139" s="283"/>
      <c r="C139" s="38"/>
      <c r="D139" s="28">
        <f>SUMIFS(JU!$H$5:$H$178,JU!$F$5:$F$178,WS!$A139)</f>
        <v>0</v>
      </c>
      <c r="E139" s="29">
        <f>SUMIFS(JU!$K$5:$K$178,JU!$I$5:$I$178,WS!$A139)</f>
        <v>0</v>
      </c>
      <c r="F139" s="36"/>
      <c r="G139" s="28">
        <f>SUMIFS(JU!$H$180:$H$440,JU!$F$180:$F$440,WS!$A139)</f>
        <v>0</v>
      </c>
      <c r="H139" s="29">
        <f>SUMIFS(JU!$K$180:$K$440,JU!$I$180:$I$440,WS!$A139)</f>
        <v>0</v>
      </c>
      <c r="I139" s="36"/>
      <c r="J139" s="28">
        <f>SUMIFS(JU!$H$441:$H$695,JU!$F$441:$F$695,WS!$A139)</f>
        <v>0</v>
      </c>
      <c r="K139" s="29">
        <f>SUMIFS(JU!$K$441:$K$695,JU!$I$441:$I$695,WS!$A139)</f>
        <v>0</v>
      </c>
      <c r="L139" s="36"/>
      <c r="M139" s="28">
        <f>SUMIFS(JU!$H$696:$H$1062,JU!$F$696:$F$1062,$A139)</f>
        <v>0</v>
      </c>
      <c r="N139" s="29">
        <f>SUMIFS(JU!$K$696:$K$1062,JU!$I$696:$I$1062,WS!$A139)</f>
        <v>0</v>
      </c>
      <c r="O139" s="36"/>
      <c r="P139" s="28">
        <f>SUMIFS(JU!$H$1063:$H$5007,JU!$F$1063:$F$5007,WS!$A139)</f>
        <v>0</v>
      </c>
      <c r="Q139" s="29">
        <f>SUMIFS(JU!$K$1063:$K$5007,JU!$I$1063:$I$5007,WS!$A139)</f>
        <v>0</v>
      </c>
      <c r="R139" s="36"/>
      <c r="S139" s="28">
        <f>SUMIFS(JU!$H$5107:$H$5107,JU!$F$5107:$F$5107,WS!$A139)</f>
        <v>0</v>
      </c>
      <c r="T139" s="29">
        <f>SUMIFS(JU!$K$5107:$K$5107,JU!$I$5107:$I$5107,WS!$A139)</f>
        <v>0</v>
      </c>
      <c r="U139" s="36"/>
      <c r="V139" s="28">
        <f>SUMIFS(JU!$H$5107:$H$5107,JU!$F$5107:$F$5107,WS!$A139)</f>
        <v>0</v>
      </c>
      <c r="W139" s="29">
        <f>SUMIFS(JU!$K$5107:$K$5107,JU!$I$5107:$I$5107,WS!$A139)</f>
        <v>0</v>
      </c>
      <c r="X139" s="36"/>
      <c r="Y139" s="28">
        <f>SUMIFS(JU!$H$5107:$H$5107,JU!$F$5107:$F$5107,WS!$A139)</f>
        <v>0</v>
      </c>
      <c r="Z139" s="29">
        <f>SUMIFS(JU!$K$5107:$K$5107,JU!$I$5107:$I$5107,WS!$A139)</f>
        <v>0</v>
      </c>
      <c r="AA139" s="36"/>
      <c r="AB139" s="28">
        <f>SUMIFS(JU!$H$5107:$H$5107,JU!$F$5107:$F$5107,WS!$A139)</f>
        <v>0</v>
      </c>
      <c r="AC139" s="29">
        <f>SUMIFS(JU!$K$5107:$K$5107,JU!$I$5107:$I$5107,WS!$A139)</f>
        <v>0</v>
      </c>
      <c r="AD139" s="36"/>
      <c r="AE139" s="28">
        <f>SUMIFS(JU!$H$5107:$H$5107,JU!$F$5107:$F$5107,WS!$A139)</f>
        <v>0</v>
      </c>
      <c r="AF139" s="29">
        <f>SUMIFS(JU!$K$5107:$K$5107,JU!$I$5107:$I$5107,WS!$A139)</f>
        <v>0</v>
      </c>
      <c r="AG139" s="36"/>
      <c r="AH139" s="28">
        <f>SUMIFS(JU!$H$5107:$H$5107,JU!$F$5107:$F$5107,WS!$A139)</f>
        <v>0</v>
      </c>
      <c r="AI139" s="29">
        <f>SUMIFS(JU!$K$5107:$K$5107,JU!$I$5107:$I$5107,WS!$A139)</f>
        <v>0</v>
      </c>
      <c r="AJ139" s="36"/>
      <c r="AK139" s="28">
        <f>SUMIFS(JU!$H$5107:$H$5107,JU!$F$5107:$F$5107,WS!$A139)</f>
        <v>0</v>
      </c>
      <c r="AL139" s="29">
        <f>SUMIFS(JU!$K$5107:$K$5107,JU!$I$5107:$I$5107,WS!$A139)</f>
        <v>0</v>
      </c>
      <c r="AM139" s="36"/>
      <c r="AN139" s="275">
        <f t="shared" si="110"/>
        <v>0</v>
      </c>
      <c r="AP139" s="18">
        <f t="shared" si="111"/>
        <v>0</v>
      </c>
    </row>
    <row r="140" spans="1:42" s="37" customFormat="1">
      <c r="A140" s="8">
        <v>6401</v>
      </c>
      <c r="B140" s="41" t="s">
        <v>89</v>
      </c>
      <c r="C140" s="32"/>
      <c r="D140" s="28">
        <f>SUMIFS(JU!$H$5:$H$178,JU!$F$5:$F$178,WS!$A140)</f>
        <v>0</v>
      </c>
      <c r="E140" s="29">
        <f>SUMIFS(JU!$K$5:$K$178,JU!$I$5:$I$178,WS!$A140)</f>
        <v>0</v>
      </c>
      <c r="F140" s="30">
        <f>D140-E140</f>
        <v>0</v>
      </c>
      <c r="G140" s="28">
        <f>SUMIFS(JU!$H$180:$H$440,JU!$F$180:$F$440,WS!$A140)</f>
        <v>0</v>
      </c>
      <c r="H140" s="29">
        <f>SUMIFS(JU!$K$180:$K$440,JU!$I$180:$I$440,WS!$A140)</f>
        <v>0</v>
      </c>
      <c r="I140" s="30">
        <f>G140-H140</f>
        <v>0</v>
      </c>
      <c r="J140" s="28">
        <f>SUMIFS(JU!$H$441:$H$695,JU!$F$441:$F$695,WS!$A140)</f>
        <v>0</v>
      </c>
      <c r="K140" s="29">
        <f>SUMIFS(JU!$K$441:$K$695,JU!$I$441:$I$695,WS!$A140)</f>
        <v>0</v>
      </c>
      <c r="L140" s="30">
        <f>J140-K140</f>
        <v>0</v>
      </c>
      <c r="M140" s="28">
        <f>SUMIFS(JU!$H$696:$H$1062,JU!$F$696:$F$1062,$A140)</f>
        <v>0</v>
      </c>
      <c r="N140" s="29">
        <f>SUMIFS(JU!$K$696:$K$1062,JU!$I$696:$I$1062,WS!$A140)</f>
        <v>0</v>
      </c>
      <c r="O140" s="30">
        <f>M140-N140</f>
        <v>0</v>
      </c>
      <c r="P140" s="28">
        <f>SUMIFS(JU!$H$1063:$H$5007,JU!$F$1063:$F$5007,WS!$A140)</f>
        <v>0</v>
      </c>
      <c r="Q140" s="29">
        <f>SUMIFS(JU!$K$1063:$K$5007,JU!$I$1063:$I$5007,WS!$A140)</f>
        <v>0</v>
      </c>
      <c r="R140" s="30">
        <f>P140-Q140</f>
        <v>0</v>
      </c>
      <c r="S140" s="28">
        <f>SUMIFS(JU!$H$5107:$H$5107,JU!$F$5107:$F$5107,WS!$A140)</f>
        <v>0</v>
      </c>
      <c r="T140" s="29">
        <f>SUMIFS(JU!$K$5107:$K$5107,JU!$I$5107:$I$5107,WS!$A140)</f>
        <v>0</v>
      </c>
      <c r="U140" s="30">
        <f>S140-T140</f>
        <v>0</v>
      </c>
      <c r="V140" s="28">
        <f>SUMIFS(JU!$H$5107:$H$5107,JU!$F$5107:$F$5107,WS!$A140)</f>
        <v>0</v>
      </c>
      <c r="W140" s="29">
        <f>SUMIFS(JU!$K$5107:$K$5107,JU!$I$5107:$I$5107,WS!$A140)</f>
        <v>0</v>
      </c>
      <c r="X140" s="30">
        <f>V140-W140</f>
        <v>0</v>
      </c>
      <c r="Y140" s="28">
        <f>SUMIFS(JU!$H$5107:$H$5107,JU!$F$5107:$F$5107,WS!$A140)</f>
        <v>0</v>
      </c>
      <c r="Z140" s="29">
        <f>SUMIFS(JU!$K$5107:$K$5107,JU!$I$5107:$I$5107,WS!$A140)</f>
        <v>0</v>
      </c>
      <c r="AA140" s="30">
        <f>Y140-Z140</f>
        <v>0</v>
      </c>
      <c r="AB140" s="28">
        <f>SUMIFS(JU!$H$5107:$H$5107,JU!$F$5107:$F$5107,WS!$A140)</f>
        <v>0</v>
      </c>
      <c r="AC140" s="29">
        <f>SUMIFS(JU!$K$5107:$K$5107,JU!$I$5107:$I$5107,WS!$A140)</f>
        <v>0</v>
      </c>
      <c r="AD140" s="30">
        <f>AB140-AC140</f>
        <v>0</v>
      </c>
      <c r="AE140" s="28">
        <f>SUMIFS(JU!$H$5107:$H$5107,JU!$F$5107:$F$5107,WS!$A140)</f>
        <v>0</v>
      </c>
      <c r="AF140" s="29">
        <f>SUMIFS(JU!$K$5107:$K$5107,JU!$I$5107:$I$5107,WS!$A140)</f>
        <v>0</v>
      </c>
      <c r="AG140" s="30">
        <f>AE140-AF140</f>
        <v>0</v>
      </c>
      <c r="AH140" s="28">
        <f>SUMIFS(JU!$H$5107:$H$5107,JU!$F$5107:$F$5107,WS!$A140)</f>
        <v>0</v>
      </c>
      <c r="AI140" s="29">
        <f>SUMIFS(JU!$K$5107:$K$5107,JU!$I$5107:$I$5107,WS!$A140)</f>
        <v>0</v>
      </c>
      <c r="AJ140" s="30">
        <f>AH140-AI140</f>
        <v>0</v>
      </c>
      <c r="AK140" s="28">
        <f>SUMIFS(JU!$H$5107:$H$5107,JU!$F$5107:$F$5107,WS!$A140)</f>
        <v>0</v>
      </c>
      <c r="AL140" s="29">
        <f>SUMIFS(JU!$K$5107:$K$5107,JU!$I$5107:$I$5107,WS!$A140)</f>
        <v>0</v>
      </c>
      <c r="AM140" s="30">
        <f>AK140-AL140</f>
        <v>0</v>
      </c>
      <c r="AN140" s="275">
        <f t="shared" si="110"/>
        <v>0</v>
      </c>
      <c r="AP140" s="18">
        <f t="shared" si="111"/>
        <v>0</v>
      </c>
    </row>
    <row r="141" spans="1:42">
      <c r="A141" s="8">
        <v>6402</v>
      </c>
      <c r="B141" s="41" t="s">
        <v>90</v>
      </c>
      <c r="C141" s="32"/>
      <c r="D141" s="28">
        <f>SUMIFS(JU!$H$5:$H$178,JU!$F$5:$F$178,WS!$A141)</f>
        <v>1800000</v>
      </c>
      <c r="E141" s="29">
        <f>SUMIFS(JU!$K$5:$K$178,JU!$I$5:$I$178,WS!$A141)</f>
        <v>0</v>
      </c>
      <c r="F141" s="30">
        <f t="shared" ref="F141:F142" si="190">D141-E141</f>
        <v>1800000</v>
      </c>
      <c r="G141" s="28">
        <f>SUMIFS(JU!$H$180:$H$440,JU!$F$180:$F$440,WS!$A141)</f>
        <v>5530000</v>
      </c>
      <c r="H141" s="29">
        <f>SUMIFS(JU!$K$180:$K$440,JU!$I$180:$I$440,WS!$A141)</f>
        <v>0</v>
      </c>
      <c r="I141" s="30">
        <f t="shared" ref="I141:I142" si="191">G141-H141</f>
        <v>5530000</v>
      </c>
      <c r="J141" s="28">
        <f>SUMIFS(JU!$H$441:$H$695,JU!$F$441:$F$695,WS!$A141)</f>
        <v>75474000</v>
      </c>
      <c r="K141" s="29">
        <f>SUMIFS(JU!$K$441:$K$695,JU!$I$441:$I$695,WS!$A141)</f>
        <v>0</v>
      </c>
      <c r="L141" s="30">
        <f>J141-K141</f>
        <v>75474000</v>
      </c>
      <c r="M141" s="28">
        <f>SUMIFS(JU!$H$696:$H$1062,JU!$F$696:$F$1062,$A141)</f>
        <v>1500000</v>
      </c>
      <c r="N141" s="29">
        <f>SUMIFS(JU!$K$696:$K$1062,JU!$I$696:$I$1062,WS!$A141)</f>
        <v>0</v>
      </c>
      <c r="O141" s="30">
        <f>M141-N141</f>
        <v>1500000</v>
      </c>
      <c r="P141" s="28">
        <f>SUMIFS(JU!$H$1063:$H$5007,JU!$F$1063:$F$5007,WS!$A141)</f>
        <v>22100000</v>
      </c>
      <c r="Q141" s="29">
        <f>SUMIFS(JU!$K$1063:$K$5007,JU!$I$1063:$I$5007,WS!$A141)</f>
        <v>0</v>
      </c>
      <c r="R141" s="30">
        <f t="shared" ref="R141:R142" si="192">P141-Q141</f>
        <v>22100000</v>
      </c>
      <c r="S141" s="28">
        <f>SUMIFS(JU!$H$5107:$H$5107,JU!$F$5107:$F$5107,WS!$A141)</f>
        <v>0</v>
      </c>
      <c r="T141" s="29">
        <f>SUMIFS(JU!$K$5107:$K$5107,JU!$I$5107:$I$5107,WS!$A141)</f>
        <v>0</v>
      </c>
      <c r="U141" s="30">
        <f t="shared" ref="U141:U142" si="193">S141-T141</f>
        <v>0</v>
      </c>
      <c r="V141" s="28">
        <f>SUMIFS(JU!$H$5107:$H$5107,JU!$F$5107:$F$5107,WS!$A141)</f>
        <v>0</v>
      </c>
      <c r="W141" s="29">
        <f>SUMIFS(JU!$K$5107:$K$5107,JU!$I$5107:$I$5107,WS!$A141)</f>
        <v>0</v>
      </c>
      <c r="X141" s="30">
        <f t="shared" ref="X141:X142" si="194">V141-W141</f>
        <v>0</v>
      </c>
      <c r="Y141" s="28">
        <f>SUMIFS(JU!$H$5107:$H$5107,JU!$F$5107:$F$5107,WS!$A141)</f>
        <v>0</v>
      </c>
      <c r="Z141" s="29">
        <f>SUMIFS(JU!$K$5107:$K$5107,JU!$I$5107:$I$5107,WS!$A141)</f>
        <v>0</v>
      </c>
      <c r="AA141" s="30">
        <f t="shared" ref="AA141:AA142" si="195">Y141-Z141</f>
        <v>0</v>
      </c>
      <c r="AB141" s="28">
        <f>SUMIFS(JU!$H$5107:$H$5107,JU!$F$5107:$F$5107,WS!$A141)</f>
        <v>0</v>
      </c>
      <c r="AC141" s="29">
        <f>SUMIFS(JU!$K$5107:$K$5107,JU!$I$5107:$I$5107,WS!$A141)</f>
        <v>0</v>
      </c>
      <c r="AD141" s="30">
        <f t="shared" ref="AD141:AD142" si="196">AB141-AC141</f>
        <v>0</v>
      </c>
      <c r="AE141" s="28">
        <f>SUMIFS(JU!$H$5107:$H$5107,JU!$F$5107:$F$5107,WS!$A141)</f>
        <v>0</v>
      </c>
      <c r="AF141" s="29">
        <f>SUMIFS(JU!$K$5107:$K$5107,JU!$I$5107:$I$5107,WS!$A141)</f>
        <v>0</v>
      </c>
      <c r="AG141" s="30">
        <f t="shared" ref="AG141:AG142" si="197">AE141-AF141</f>
        <v>0</v>
      </c>
      <c r="AH141" s="28">
        <f>SUMIFS(JU!$H$5107:$H$5107,JU!$F$5107:$F$5107,WS!$A141)</f>
        <v>0</v>
      </c>
      <c r="AI141" s="29">
        <f>SUMIFS(JU!$K$5107:$K$5107,JU!$I$5107:$I$5107,WS!$A141)</f>
        <v>0</v>
      </c>
      <c r="AJ141" s="30">
        <f t="shared" ref="AJ141:AJ142" si="198">AH141-AI141</f>
        <v>0</v>
      </c>
      <c r="AK141" s="28">
        <f>SUMIFS(JU!$H$5107:$H$5107,JU!$F$5107:$F$5107,WS!$A141)</f>
        <v>0</v>
      </c>
      <c r="AL141" s="29">
        <f>SUMIFS(JU!$K$5107:$K$5107,JU!$I$5107:$I$5107,WS!$A141)</f>
        <v>0</v>
      </c>
      <c r="AM141" s="30">
        <f t="shared" ref="AM141:AM142" si="199">AK141-AL141</f>
        <v>0</v>
      </c>
      <c r="AN141" s="275">
        <f t="shared" si="110"/>
        <v>106404000</v>
      </c>
      <c r="AP141" s="18">
        <f t="shared" si="111"/>
        <v>106404000</v>
      </c>
    </row>
    <row r="142" spans="1:42">
      <c r="A142" s="8">
        <v>6403</v>
      </c>
      <c r="B142" s="41" t="s">
        <v>92</v>
      </c>
      <c r="C142" s="32"/>
      <c r="D142" s="28">
        <f>SUMIFS(JU!$H$5:$H$178,JU!$F$5:$F$178,WS!$A142)</f>
        <v>0</v>
      </c>
      <c r="E142" s="29">
        <f>SUMIFS(JU!$K$5:$K$178,JU!$I$5:$I$178,WS!$A142)</f>
        <v>0</v>
      </c>
      <c r="F142" s="30">
        <f t="shared" si="190"/>
        <v>0</v>
      </c>
      <c r="G142" s="28">
        <f>SUMIFS(JU!$H$180:$H$440,JU!$F$180:$F$440,WS!$A142)</f>
        <v>0</v>
      </c>
      <c r="H142" s="29">
        <f>SUMIFS(JU!$K$180:$K$440,JU!$I$180:$I$440,WS!$A142)</f>
        <v>0</v>
      </c>
      <c r="I142" s="30">
        <f t="shared" si="191"/>
        <v>0</v>
      </c>
      <c r="J142" s="28">
        <f>SUMIFS(JU!$H$441:$H$695,JU!$F$441:$F$695,WS!$A142)</f>
        <v>0</v>
      </c>
      <c r="K142" s="29">
        <f>SUMIFS(JU!$K$441:$K$695,JU!$I$441:$I$695,WS!$A142)</f>
        <v>0</v>
      </c>
      <c r="L142" s="30">
        <f>J142-K142</f>
        <v>0</v>
      </c>
      <c r="M142" s="28">
        <f>SUMIFS(JU!$H$696:$H$1062,JU!$F$696:$F$1062,$A142)</f>
        <v>0</v>
      </c>
      <c r="N142" s="29">
        <f>SUMIFS(JU!$K$696:$K$1062,JU!$I$696:$I$1062,WS!$A142)</f>
        <v>0</v>
      </c>
      <c r="O142" s="30">
        <f>M142-N142</f>
        <v>0</v>
      </c>
      <c r="P142" s="28">
        <f>SUMIFS(JU!$H$1063:$H$5007,JU!$F$1063:$F$5007,WS!$A142)</f>
        <v>0</v>
      </c>
      <c r="Q142" s="29">
        <f>SUMIFS(JU!$K$1063:$K$5007,JU!$I$1063:$I$5007,WS!$A142)</f>
        <v>0</v>
      </c>
      <c r="R142" s="30">
        <f t="shared" si="192"/>
        <v>0</v>
      </c>
      <c r="S142" s="28">
        <f>SUMIFS(JU!$H$5107:$H$5107,JU!$F$5107:$F$5107,WS!$A142)</f>
        <v>0</v>
      </c>
      <c r="T142" s="29">
        <f>SUMIFS(JU!$K$5107:$K$5107,JU!$I$5107:$I$5107,WS!$A142)</f>
        <v>0</v>
      </c>
      <c r="U142" s="30">
        <f t="shared" si="193"/>
        <v>0</v>
      </c>
      <c r="V142" s="28">
        <f>SUMIFS(JU!$H$5107:$H$5107,JU!$F$5107:$F$5107,WS!$A142)</f>
        <v>0</v>
      </c>
      <c r="W142" s="29">
        <f>SUMIFS(JU!$K$5107:$K$5107,JU!$I$5107:$I$5107,WS!$A142)</f>
        <v>0</v>
      </c>
      <c r="X142" s="30">
        <f t="shared" si="194"/>
        <v>0</v>
      </c>
      <c r="Y142" s="28">
        <f>SUMIFS(JU!$H$5107:$H$5107,JU!$F$5107:$F$5107,WS!$A142)</f>
        <v>0</v>
      </c>
      <c r="Z142" s="29">
        <f>SUMIFS(JU!$K$5107:$K$5107,JU!$I$5107:$I$5107,WS!$A142)</f>
        <v>0</v>
      </c>
      <c r="AA142" s="30">
        <f t="shared" si="195"/>
        <v>0</v>
      </c>
      <c r="AB142" s="28">
        <f>SUMIFS(JU!$H$5107:$H$5107,JU!$F$5107:$F$5107,WS!$A142)</f>
        <v>0</v>
      </c>
      <c r="AC142" s="29">
        <f>SUMIFS(JU!$K$5107:$K$5107,JU!$I$5107:$I$5107,WS!$A142)</f>
        <v>0</v>
      </c>
      <c r="AD142" s="30">
        <f t="shared" si="196"/>
        <v>0</v>
      </c>
      <c r="AE142" s="28">
        <f>SUMIFS(JU!$H$5107:$H$5107,JU!$F$5107:$F$5107,WS!$A142)</f>
        <v>0</v>
      </c>
      <c r="AF142" s="29">
        <f>SUMIFS(JU!$K$5107:$K$5107,JU!$I$5107:$I$5107,WS!$A142)</f>
        <v>0</v>
      </c>
      <c r="AG142" s="30">
        <f t="shared" si="197"/>
        <v>0</v>
      </c>
      <c r="AH142" s="28">
        <f>SUMIFS(JU!$H$5107:$H$5107,JU!$F$5107:$F$5107,WS!$A142)</f>
        <v>0</v>
      </c>
      <c r="AI142" s="29">
        <f>SUMIFS(JU!$K$5107:$K$5107,JU!$I$5107:$I$5107,WS!$A142)</f>
        <v>0</v>
      </c>
      <c r="AJ142" s="30">
        <f t="shared" si="198"/>
        <v>0</v>
      </c>
      <c r="AK142" s="28">
        <f>SUMIFS(JU!$H$5107:$H$5107,JU!$F$5107:$F$5107,WS!$A142)</f>
        <v>0</v>
      </c>
      <c r="AL142" s="29">
        <f>SUMIFS(JU!$K$5107:$K$5107,JU!$I$5107:$I$5107,WS!$A142)</f>
        <v>0</v>
      </c>
      <c r="AM142" s="30">
        <f t="shared" si="199"/>
        <v>0</v>
      </c>
      <c r="AN142" s="275">
        <f t="shared" si="110"/>
        <v>0</v>
      </c>
      <c r="AP142" s="18">
        <f t="shared" si="111"/>
        <v>0</v>
      </c>
    </row>
    <row r="143" spans="1:42" s="37" customFormat="1">
      <c r="A143" s="287" t="s">
        <v>239</v>
      </c>
      <c r="B143" s="287"/>
      <c r="C143" s="38">
        <f>SUM(C140:C142)</f>
        <v>0</v>
      </c>
      <c r="D143" s="28">
        <f>SUMIFS(JU!$H$5:$H$178,JU!$F$5:$F$178,WS!$A143)</f>
        <v>0</v>
      </c>
      <c r="E143" s="29">
        <f>SUMIFS(JU!$K$5:$K$178,JU!$I$5:$I$178,WS!$A143)</f>
        <v>0</v>
      </c>
      <c r="F143" s="36">
        <f>SUM(F140:F142)</f>
        <v>1800000</v>
      </c>
      <c r="G143" s="28">
        <f>SUMIFS(JU!$H$180:$H$440,JU!$F$180:$F$440,WS!$A143)</f>
        <v>0</v>
      </c>
      <c r="H143" s="29">
        <f>SUMIFS(JU!$K$180:$K$440,JU!$I$180:$I$440,WS!$A143)</f>
        <v>0</v>
      </c>
      <c r="I143" s="36">
        <f>SUM(I140:I142)</f>
        <v>5530000</v>
      </c>
      <c r="J143" s="28">
        <f>SUMIFS(JU!$H$441:$H$695,JU!$F$441:$F$695,WS!$A143)</f>
        <v>0</v>
      </c>
      <c r="K143" s="29">
        <f>SUMIFS(JU!$K$441:$K$695,JU!$I$441:$I$695,WS!$A143)</f>
        <v>0</v>
      </c>
      <c r="L143" s="36">
        <f>SUM(L140:L142)</f>
        <v>75474000</v>
      </c>
      <c r="M143" s="28">
        <f>SUMIFS(JU!$H$696:$H$1062,JU!$F$696:$F$1062,$A143)</f>
        <v>0</v>
      </c>
      <c r="N143" s="29">
        <f>SUMIFS(JU!$K$696:$K$1062,JU!$I$696:$I$1062,WS!$A143)</f>
        <v>0</v>
      </c>
      <c r="O143" s="36">
        <f>SUM(O140:O142)</f>
        <v>1500000</v>
      </c>
      <c r="P143" s="28">
        <f>SUMIFS(JU!$H$1063:$H$5007,JU!$F$1063:$F$5007,WS!$A143)</f>
        <v>0</v>
      </c>
      <c r="Q143" s="29">
        <f>SUMIFS(JU!$K$1063:$K$5007,JU!$I$1063:$I$5007,WS!$A143)</f>
        <v>0</v>
      </c>
      <c r="R143" s="36">
        <f>SUM(R140:R142)</f>
        <v>22100000</v>
      </c>
      <c r="S143" s="28">
        <f>SUMIFS(JU!$H$5107:$H$5107,JU!$F$5107:$F$5107,WS!$A143)</f>
        <v>0</v>
      </c>
      <c r="T143" s="29">
        <f>SUMIFS(JU!$K$5107:$K$5107,JU!$I$5107:$I$5107,WS!$A143)</f>
        <v>0</v>
      </c>
      <c r="U143" s="36">
        <f>SUM(U140:U142)</f>
        <v>0</v>
      </c>
      <c r="V143" s="28">
        <f>SUMIFS(JU!$H$5107:$H$5107,JU!$F$5107:$F$5107,WS!$A143)</f>
        <v>0</v>
      </c>
      <c r="W143" s="29">
        <f>SUMIFS(JU!$K$5107:$K$5107,JU!$I$5107:$I$5107,WS!$A143)</f>
        <v>0</v>
      </c>
      <c r="X143" s="36">
        <f>SUM(X140:X142)</f>
        <v>0</v>
      </c>
      <c r="Y143" s="28">
        <f>SUMIFS(JU!$H$5107:$H$5107,JU!$F$5107:$F$5107,WS!$A143)</f>
        <v>0</v>
      </c>
      <c r="Z143" s="29">
        <f>SUMIFS(JU!$K$5107:$K$5107,JU!$I$5107:$I$5107,WS!$A143)</f>
        <v>0</v>
      </c>
      <c r="AA143" s="36">
        <f>SUM(AA140:AA142)</f>
        <v>0</v>
      </c>
      <c r="AB143" s="28">
        <f>SUMIFS(JU!$H$5107:$H$5107,JU!$F$5107:$F$5107,WS!$A143)</f>
        <v>0</v>
      </c>
      <c r="AC143" s="29">
        <f>SUMIFS(JU!$K$5107:$K$5107,JU!$I$5107:$I$5107,WS!$A143)</f>
        <v>0</v>
      </c>
      <c r="AD143" s="36">
        <f>SUM(AD140:AD142)</f>
        <v>0</v>
      </c>
      <c r="AE143" s="28">
        <f>SUMIFS(JU!$H$5107:$H$5107,JU!$F$5107:$F$5107,WS!$A143)</f>
        <v>0</v>
      </c>
      <c r="AF143" s="29">
        <f>SUMIFS(JU!$K$5107:$K$5107,JU!$I$5107:$I$5107,WS!$A143)</f>
        <v>0</v>
      </c>
      <c r="AG143" s="36">
        <f>SUM(AG140:AG142)</f>
        <v>0</v>
      </c>
      <c r="AH143" s="28">
        <f>SUMIFS(JU!$H$5107:$H$5107,JU!$F$5107:$F$5107,WS!$A143)</f>
        <v>0</v>
      </c>
      <c r="AI143" s="29">
        <f>SUMIFS(JU!$K$5107:$K$5107,JU!$I$5107:$I$5107,WS!$A143)</f>
        <v>0</v>
      </c>
      <c r="AJ143" s="36">
        <f t="shared" ref="AJ143" si="200">SUM(AJ140:AJ142)</f>
        <v>0</v>
      </c>
      <c r="AK143" s="28">
        <f>SUMIFS(JU!$H$5107:$H$5107,JU!$F$5107:$F$5107,WS!$A143)</f>
        <v>0</v>
      </c>
      <c r="AL143" s="29">
        <f>SUMIFS(JU!$K$5107:$K$5107,JU!$I$5107:$I$5107,WS!$A143)</f>
        <v>0</v>
      </c>
      <c r="AM143" s="36">
        <f t="shared" ref="AM143" si="201">SUM(AM140:AM142)</f>
        <v>0</v>
      </c>
      <c r="AN143" s="275">
        <f t="shared" si="110"/>
        <v>106404000</v>
      </c>
      <c r="AP143" s="18">
        <f t="shared" si="111"/>
        <v>106404000</v>
      </c>
    </row>
    <row r="144" spans="1:42" s="37" customFormat="1">
      <c r="A144" s="280" t="s">
        <v>109</v>
      </c>
      <c r="B144" s="280"/>
      <c r="C144" s="38"/>
      <c r="D144" s="28">
        <f>SUMIFS(JU!$H$5:$H$178,JU!$F$5:$F$178,WS!$A144)</f>
        <v>0</v>
      </c>
      <c r="E144" s="29">
        <f>SUMIFS(JU!$K$5:$K$178,JU!$I$5:$I$178,WS!$A144)</f>
        <v>0</v>
      </c>
      <c r="F144" s="36"/>
      <c r="G144" s="28">
        <f>SUMIFS(JU!$H$180:$H$440,JU!$F$180:$F$440,WS!$A144)</f>
        <v>0</v>
      </c>
      <c r="H144" s="29">
        <f>SUMIFS(JU!$K$180:$K$440,JU!$I$180:$I$440,WS!$A144)</f>
        <v>0</v>
      </c>
      <c r="I144" s="36"/>
      <c r="J144" s="28">
        <f>SUMIFS(JU!$H$441:$H$695,JU!$F$441:$F$695,WS!$A144)</f>
        <v>0</v>
      </c>
      <c r="K144" s="29">
        <f>SUMIFS(JU!$K$441:$K$695,JU!$I$441:$I$695,WS!$A144)</f>
        <v>0</v>
      </c>
      <c r="L144" s="36"/>
      <c r="M144" s="28">
        <f>SUMIFS(JU!$H$696:$H$1062,JU!$F$696:$F$1062,$A144)</f>
        <v>0</v>
      </c>
      <c r="N144" s="29">
        <f>SUMIFS(JU!$K$696:$K$1062,JU!$I$696:$I$1062,WS!$A144)</f>
        <v>0</v>
      </c>
      <c r="O144" s="36"/>
      <c r="P144" s="28">
        <f>SUMIFS(JU!$H$1063:$H$5007,JU!$F$1063:$F$5007,WS!$A144)</f>
        <v>0</v>
      </c>
      <c r="Q144" s="29">
        <f>SUMIFS(JU!$K$1063:$K$5007,JU!$I$1063:$I$5007,WS!$A144)</f>
        <v>0</v>
      </c>
      <c r="R144" s="36"/>
      <c r="S144" s="28">
        <f>SUMIFS(JU!$H$5107:$H$5107,JU!$F$5107:$F$5107,WS!$A144)</f>
        <v>0</v>
      </c>
      <c r="T144" s="29">
        <f>SUMIFS(JU!$K$5107:$K$5107,JU!$I$5107:$I$5107,WS!$A144)</f>
        <v>0</v>
      </c>
      <c r="U144" s="36"/>
      <c r="V144" s="28">
        <f>SUMIFS(JU!$H$5107:$H$5107,JU!$F$5107:$F$5107,WS!$A144)</f>
        <v>0</v>
      </c>
      <c r="W144" s="29">
        <f>SUMIFS(JU!$K$5107:$K$5107,JU!$I$5107:$I$5107,WS!$A144)</f>
        <v>0</v>
      </c>
      <c r="X144" s="36"/>
      <c r="Y144" s="28">
        <f>SUMIFS(JU!$H$5107:$H$5107,JU!$F$5107:$F$5107,WS!$A144)</f>
        <v>0</v>
      </c>
      <c r="Z144" s="29">
        <f>SUMIFS(JU!$K$5107:$K$5107,JU!$I$5107:$I$5107,WS!$A144)</f>
        <v>0</v>
      </c>
      <c r="AA144" s="36"/>
      <c r="AB144" s="28">
        <f>SUMIFS(JU!$H$5107:$H$5107,JU!$F$5107:$F$5107,WS!$A144)</f>
        <v>0</v>
      </c>
      <c r="AC144" s="29">
        <f>SUMIFS(JU!$K$5107:$K$5107,JU!$I$5107:$I$5107,WS!$A144)</f>
        <v>0</v>
      </c>
      <c r="AD144" s="36"/>
      <c r="AE144" s="28">
        <f>SUMIFS(JU!$H$5107:$H$5107,JU!$F$5107:$F$5107,WS!$A144)</f>
        <v>0</v>
      </c>
      <c r="AF144" s="29">
        <f>SUMIFS(JU!$K$5107:$K$5107,JU!$I$5107:$I$5107,WS!$A144)</f>
        <v>0</v>
      </c>
      <c r="AG144" s="36"/>
      <c r="AH144" s="28">
        <f>SUMIFS(JU!$H$5107:$H$5107,JU!$F$5107:$F$5107,WS!$A144)</f>
        <v>0</v>
      </c>
      <c r="AI144" s="29">
        <f>SUMIFS(JU!$K$5107:$K$5107,JU!$I$5107:$I$5107,WS!$A144)</f>
        <v>0</v>
      </c>
      <c r="AJ144" s="36"/>
      <c r="AK144" s="28">
        <f>SUMIFS(JU!$H$5107:$H$5107,JU!$F$5107:$F$5107,WS!$A144)</f>
        <v>0</v>
      </c>
      <c r="AL144" s="29">
        <f>SUMIFS(JU!$K$5107:$K$5107,JU!$I$5107:$I$5107,WS!$A144)</f>
        <v>0</v>
      </c>
      <c r="AM144" s="36"/>
      <c r="AN144" s="275">
        <f t="shared" si="110"/>
        <v>0</v>
      </c>
      <c r="AP144" s="18">
        <f t="shared" si="111"/>
        <v>0</v>
      </c>
    </row>
    <row r="145" spans="1:42">
      <c r="A145" s="6">
        <v>7101</v>
      </c>
      <c r="B145" s="31" t="s">
        <v>93</v>
      </c>
      <c r="C145" s="32"/>
      <c r="D145" s="28">
        <f>SUMIFS(JU!$H$5:$H$178,JU!$F$5:$F$178,WS!$A145)</f>
        <v>1730000</v>
      </c>
      <c r="E145" s="29">
        <f>SUMIFS(JU!$K$5:$K$178,JU!$I$5:$I$178,WS!$A145)</f>
        <v>0</v>
      </c>
      <c r="F145" s="30">
        <f>D145-E145</f>
        <v>1730000</v>
      </c>
      <c r="G145" s="28">
        <f>SUMIFS(JU!$H$180:$H$440,JU!$F$180:$F$440,WS!$A145)</f>
        <v>16965000</v>
      </c>
      <c r="H145" s="29">
        <f>SUMIFS(JU!$K$180:$K$440,JU!$I$180:$I$440,WS!$A145)</f>
        <v>0</v>
      </c>
      <c r="I145" s="30">
        <f>G145-H145</f>
        <v>16965000</v>
      </c>
      <c r="J145" s="28">
        <f>SUMIFS(JU!$H$441:$H$695,JU!$F$441:$F$695,WS!$A145)</f>
        <v>11190000</v>
      </c>
      <c r="K145" s="29">
        <f>SUMIFS(JU!$K$441:$K$695,JU!$I$441:$I$695,WS!$A145)</f>
        <v>0</v>
      </c>
      <c r="L145" s="30">
        <f>J145-K145</f>
        <v>11190000</v>
      </c>
      <c r="M145" s="28">
        <f>SUMIFS(JU!$H$696:$H$1062,JU!$F$696:$F$1062,$A145)</f>
        <v>20760000</v>
      </c>
      <c r="N145" s="29">
        <f>SUMIFS(JU!$K$696:$K$1062,JU!$I$696:$I$1062,WS!$A145)</f>
        <v>0</v>
      </c>
      <c r="O145" s="30">
        <f>M145-N145</f>
        <v>20760000</v>
      </c>
      <c r="P145" s="28">
        <f>SUMIFS(JU!$H$1063:$H$5007,JU!$F$1063:$F$5007,WS!$A145)</f>
        <v>76654750</v>
      </c>
      <c r="Q145" s="29">
        <f>SUMIFS(JU!$K$1063:$K$5007,JU!$I$1063:$I$5007,WS!$A145)</f>
        <v>0</v>
      </c>
      <c r="R145" s="30">
        <f>P145-Q145</f>
        <v>76654750</v>
      </c>
      <c r="S145" s="28">
        <f>SUMIFS(JU!$H$5107:$H$5107,JU!$F$5107:$F$5107,WS!$A145)</f>
        <v>0</v>
      </c>
      <c r="T145" s="29">
        <f>SUMIFS(JU!$K$5107:$K$5107,JU!$I$5107:$I$5107,WS!$A145)</f>
        <v>0</v>
      </c>
      <c r="U145" s="30">
        <f>S145-T145</f>
        <v>0</v>
      </c>
      <c r="V145" s="28">
        <f>SUMIFS(JU!$H$5107:$H$5107,JU!$F$5107:$F$5107,WS!$A145)</f>
        <v>0</v>
      </c>
      <c r="W145" s="29">
        <f>SUMIFS(JU!$K$5107:$K$5107,JU!$I$5107:$I$5107,WS!$A145)</f>
        <v>0</v>
      </c>
      <c r="X145" s="30">
        <f>V145-W145</f>
        <v>0</v>
      </c>
      <c r="Y145" s="28">
        <f>SUMIFS(JU!$H$5107:$H$5107,JU!$F$5107:$F$5107,WS!$A145)</f>
        <v>0</v>
      </c>
      <c r="Z145" s="29">
        <f>SUMIFS(JU!$K$5107:$K$5107,JU!$I$5107:$I$5107,WS!$A145)</f>
        <v>0</v>
      </c>
      <c r="AA145" s="30">
        <f>Y145-Z145</f>
        <v>0</v>
      </c>
      <c r="AB145" s="28">
        <f>SUMIFS(JU!$H$5107:$H$5107,JU!$F$5107:$F$5107,WS!$A145)</f>
        <v>0</v>
      </c>
      <c r="AC145" s="29">
        <f>SUMIFS(JU!$K$5107:$K$5107,JU!$I$5107:$I$5107,WS!$A145)</f>
        <v>0</v>
      </c>
      <c r="AD145" s="30">
        <f>AB145-AC145</f>
        <v>0</v>
      </c>
      <c r="AE145" s="28">
        <f>SUMIFS(JU!$H$5107:$H$5107,JU!$F$5107:$F$5107,WS!$A145)</f>
        <v>0</v>
      </c>
      <c r="AF145" s="29">
        <f>SUMIFS(JU!$K$5107:$K$5107,JU!$I$5107:$I$5107,WS!$A145)</f>
        <v>0</v>
      </c>
      <c r="AG145" s="30">
        <f>AE145-AF145</f>
        <v>0</v>
      </c>
      <c r="AH145" s="28">
        <f>SUMIFS(JU!$H$5107:$H$5107,JU!$F$5107:$F$5107,WS!$A145)</f>
        <v>0</v>
      </c>
      <c r="AI145" s="29">
        <f>SUMIFS(JU!$K$5107:$K$5107,JU!$I$5107:$I$5107,WS!$A145)</f>
        <v>0</v>
      </c>
      <c r="AJ145" s="30">
        <f>AH145-AI145</f>
        <v>0</v>
      </c>
      <c r="AK145" s="28">
        <f>SUMIFS(JU!$H$5107:$H$5107,JU!$F$5107:$F$5107,WS!$A145)</f>
        <v>0</v>
      </c>
      <c r="AL145" s="29">
        <f>SUMIFS(JU!$K$5107:$K$5107,JU!$I$5107:$I$5107,WS!$A145)</f>
        <v>0</v>
      </c>
      <c r="AM145" s="30">
        <f>AK145-AL145</f>
        <v>0</v>
      </c>
      <c r="AN145" s="275">
        <f t="shared" si="110"/>
        <v>127299750</v>
      </c>
      <c r="AP145" s="18">
        <f t="shared" si="111"/>
        <v>127299750</v>
      </c>
    </row>
    <row r="146" spans="1:42" s="37" customFormat="1">
      <c r="A146" s="6">
        <v>7102</v>
      </c>
      <c r="B146" s="31" t="s">
        <v>94</v>
      </c>
      <c r="C146" s="32"/>
      <c r="D146" s="28">
        <f>SUMIFS(JU!$H$5:$H$178,JU!$F$5:$F$178,WS!$A146)</f>
        <v>0</v>
      </c>
      <c r="E146" s="29">
        <f>SUMIFS(JU!$K$5:$K$178,JU!$I$5:$I$178,WS!$A146)</f>
        <v>0</v>
      </c>
      <c r="F146" s="30">
        <f t="shared" ref="F146:F148" si="202">D146-E146</f>
        <v>0</v>
      </c>
      <c r="G146" s="28">
        <f>SUMIFS(JU!$H$180:$H$440,JU!$F$180:$F$440,WS!$A146)</f>
        <v>0</v>
      </c>
      <c r="H146" s="29">
        <f>SUMIFS(JU!$K$180:$K$440,JU!$I$180:$I$440,WS!$A146)</f>
        <v>0</v>
      </c>
      <c r="I146" s="30">
        <f t="shared" ref="I146:I148" si="203">G146-H146</f>
        <v>0</v>
      </c>
      <c r="J146" s="28">
        <f>SUMIFS(JU!$H$441:$H$695,JU!$F$441:$F$695,WS!$A146)</f>
        <v>0</v>
      </c>
      <c r="K146" s="29">
        <f>SUMIFS(JU!$K$441:$K$695,JU!$I$441:$I$695,WS!$A146)</f>
        <v>0</v>
      </c>
      <c r="L146" s="30">
        <f>J146-K146</f>
        <v>0</v>
      </c>
      <c r="M146" s="28">
        <f>SUMIFS(JU!$H$696:$H$1062,JU!$F$696:$F$1062,$A146)</f>
        <v>0</v>
      </c>
      <c r="N146" s="29">
        <f>SUMIFS(JU!$K$696:$K$1062,JU!$I$696:$I$1062,WS!$A146)</f>
        <v>0</v>
      </c>
      <c r="O146" s="30">
        <f>M146-N146</f>
        <v>0</v>
      </c>
      <c r="P146" s="28">
        <f>SUMIFS(JU!$H$1063:$H$5007,JU!$F$1063:$F$5007,WS!$A146)</f>
        <v>0</v>
      </c>
      <c r="Q146" s="29">
        <f>SUMIFS(JU!$K$1063:$K$5007,JU!$I$1063:$I$5007,WS!$A146)</f>
        <v>0</v>
      </c>
      <c r="R146" s="30">
        <f t="shared" ref="R146:R148" si="204">P146-Q146</f>
        <v>0</v>
      </c>
      <c r="S146" s="28">
        <f>SUMIFS(JU!$H$5107:$H$5107,JU!$F$5107:$F$5107,WS!$A146)</f>
        <v>0</v>
      </c>
      <c r="T146" s="29">
        <f>SUMIFS(JU!$K$5107:$K$5107,JU!$I$5107:$I$5107,WS!$A146)</f>
        <v>0</v>
      </c>
      <c r="U146" s="30">
        <f t="shared" ref="U146:U148" si="205">S146-T146</f>
        <v>0</v>
      </c>
      <c r="V146" s="28">
        <f>SUMIFS(JU!$H$5107:$H$5107,JU!$F$5107:$F$5107,WS!$A146)</f>
        <v>0</v>
      </c>
      <c r="W146" s="29">
        <f>SUMIFS(JU!$K$5107:$K$5107,JU!$I$5107:$I$5107,WS!$A146)</f>
        <v>0</v>
      </c>
      <c r="X146" s="30">
        <f t="shared" ref="X146:X148" si="206">V146-W146</f>
        <v>0</v>
      </c>
      <c r="Y146" s="28">
        <f>SUMIFS(JU!$H$5107:$H$5107,JU!$F$5107:$F$5107,WS!$A146)</f>
        <v>0</v>
      </c>
      <c r="Z146" s="29">
        <f>SUMIFS(JU!$K$5107:$K$5107,JU!$I$5107:$I$5107,WS!$A146)</f>
        <v>0</v>
      </c>
      <c r="AA146" s="30">
        <f t="shared" ref="AA146:AA148" si="207">Y146-Z146</f>
        <v>0</v>
      </c>
      <c r="AB146" s="28">
        <f>SUMIFS(JU!$H$5107:$H$5107,JU!$F$5107:$F$5107,WS!$A146)</f>
        <v>0</v>
      </c>
      <c r="AC146" s="29">
        <f>SUMIFS(JU!$K$5107:$K$5107,JU!$I$5107:$I$5107,WS!$A146)</f>
        <v>0</v>
      </c>
      <c r="AD146" s="30">
        <f t="shared" ref="AD146:AD148" si="208">AB146-AC146</f>
        <v>0</v>
      </c>
      <c r="AE146" s="28">
        <f>SUMIFS(JU!$H$5107:$H$5107,JU!$F$5107:$F$5107,WS!$A146)</f>
        <v>0</v>
      </c>
      <c r="AF146" s="29">
        <f>SUMIFS(JU!$K$5107:$K$5107,JU!$I$5107:$I$5107,WS!$A146)</f>
        <v>0</v>
      </c>
      <c r="AG146" s="30">
        <f t="shared" ref="AG146:AG148" si="209">AE146-AF146</f>
        <v>0</v>
      </c>
      <c r="AH146" s="28">
        <f>SUMIFS(JU!$H$5107:$H$5107,JU!$F$5107:$F$5107,WS!$A146)</f>
        <v>0</v>
      </c>
      <c r="AI146" s="29">
        <f>SUMIFS(JU!$K$5107:$K$5107,JU!$I$5107:$I$5107,WS!$A146)</f>
        <v>0</v>
      </c>
      <c r="AJ146" s="30">
        <f t="shared" ref="AJ146:AJ148" si="210">AH146-AI146</f>
        <v>0</v>
      </c>
      <c r="AK146" s="28">
        <f>SUMIFS(JU!$H$5107:$H$5107,JU!$F$5107:$F$5107,WS!$A146)</f>
        <v>0</v>
      </c>
      <c r="AL146" s="29">
        <f>SUMIFS(JU!$K$5107:$K$5107,JU!$I$5107:$I$5107,WS!$A146)</f>
        <v>0</v>
      </c>
      <c r="AM146" s="30">
        <f t="shared" ref="AM146:AM148" si="211">AK146-AL146</f>
        <v>0</v>
      </c>
      <c r="AN146" s="275">
        <f t="shared" ref="AN146:AN150" si="212">F146+I146+L146+O146+R146+U146+X146+AA146+AD146+AG146+AJ146+AM146</f>
        <v>0</v>
      </c>
      <c r="AP146" s="18">
        <f t="shared" ref="AP146:AP150" si="213">AG146+AD146+AA146+X146+U146+R146+O146+L146+I146+F146</f>
        <v>0</v>
      </c>
    </row>
    <row r="147" spans="1:42">
      <c r="A147" s="6">
        <v>7103</v>
      </c>
      <c r="B147" s="31" t="s">
        <v>95</v>
      </c>
      <c r="C147" s="32"/>
      <c r="D147" s="28">
        <f>SUMIFS(JU!$H$5:$H$178,JU!$F$5:$F$178,WS!$A147)</f>
        <v>2173337</v>
      </c>
      <c r="E147" s="29">
        <f>SUMIFS(JU!$K$5:$K$178,JU!$I$5:$I$178,WS!$A147)</f>
        <v>0</v>
      </c>
      <c r="F147" s="30">
        <f t="shared" si="202"/>
        <v>2173337</v>
      </c>
      <c r="G147" s="28">
        <f>SUMIFS(JU!$H$180:$H$440,JU!$F$180:$F$440,WS!$A147)</f>
        <v>427532</v>
      </c>
      <c r="H147" s="29">
        <f>SUMIFS(JU!$K$180:$K$440,JU!$I$180:$I$440,WS!$A147)</f>
        <v>0</v>
      </c>
      <c r="I147" s="30">
        <f t="shared" si="203"/>
        <v>427532</v>
      </c>
      <c r="J147" s="28">
        <f>SUMIFS(JU!$H$441:$H$695,JU!$F$441:$F$695,WS!$A147)</f>
        <v>0</v>
      </c>
      <c r="K147" s="29">
        <f>SUMIFS(JU!$K$441:$K$695,JU!$I$441:$I$695,WS!$A147)</f>
        <v>0</v>
      </c>
      <c r="L147" s="30">
        <f>J147-K147</f>
        <v>0</v>
      </c>
      <c r="M147" s="28">
        <f>SUMIFS(JU!$H$696:$H$1062,JU!$F$696:$F$1062,$A147)</f>
        <v>0</v>
      </c>
      <c r="N147" s="29">
        <f>SUMIFS(JU!$K$696:$K$1062,JU!$I$696:$I$1062,WS!$A147)</f>
        <v>0</v>
      </c>
      <c r="O147" s="30">
        <f>M147-N147</f>
        <v>0</v>
      </c>
      <c r="P147" s="28">
        <f>SUMIFS(JU!$H$1063:$H$5007,JU!$F$1063:$F$5007,WS!$A147)</f>
        <v>848340</v>
      </c>
      <c r="Q147" s="29">
        <f>SUMIFS(JU!$K$1063:$K$5007,JU!$I$1063:$I$5007,WS!$A147)</f>
        <v>0</v>
      </c>
      <c r="R147" s="30">
        <f t="shared" si="204"/>
        <v>848340</v>
      </c>
      <c r="S147" s="28">
        <f>SUMIFS(JU!$H$5107:$H$5107,JU!$F$5107:$F$5107,WS!$A147)</f>
        <v>0</v>
      </c>
      <c r="T147" s="29">
        <f>SUMIFS(JU!$K$5107:$K$5107,JU!$I$5107:$I$5107,WS!$A147)</f>
        <v>0</v>
      </c>
      <c r="U147" s="30">
        <f t="shared" si="205"/>
        <v>0</v>
      </c>
      <c r="V147" s="28">
        <f>SUMIFS(JU!$H$5107:$H$5107,JU!$F$5107:$F$5107,WS!$A147)</f>
        <v>0</v>
      </c>
      <c r="W147" s="29">
        <f>SUMIFS(JU!$K$5107:$K$5107,JU!$I$5107:$I$5107,WS!$A147)</f>
        <v>0</v>
      </c>
      <c r="X147" s="30">
        <f t="shared" si="206"/>
        <v>0</v>
      </c>
      <c r="Y147" s="28">
        <f>SUMIFS(JU!$H$5107:$H$5107,JU!$F$5107:$F$5107,WS!$A147)</f>
        <v>0</v>
      </c>
      <c r="Z147" s="29">
        <f>SUMIFS(JU!$K$5107:$K$5107,JU!$I$5107:$I$5107,WS!$A147)</f>
        <v>0</v>
      </c>
      <c r="AA147" s="30">
        <f t="shared" si="207"/>
        <v>0</v>
      </c>
      <c r="AB147" s="28">
        <f>SUMIFS(JU!$H$5107:$H$5107,JU!$F$5107:$F$5107,WS!$A147)</f>
        <v>0</v>
      </c>
      <c r="AC147" s="29">
        <f>SUMIFS(JU!$K$5107:$K$5107,JU!$I$5107:$I$5107,WS!$A147)</f>
        <v>0</v>
      </c>
      <c r="AD147" s="30">
        <f t="shared" si="208"/>
        <v>0</v>
      </c>
      <c r="AE147" s="28">
        <f>SUMIFS(JU!$H$5107:$H$5107,JU!$F$5107:$F$5107,WS!$A147)</f>
        <v>0</v>
      </c>
      <c r="AF147" s="29">
        <f>SUMIFS(JU!$K$5107:$K$5107,JU!$I$5107:$I$5107,WS!$A147)</f>
        <v>0</v>
      </c>
      <c r="AG147" s="30">
        <f t="shared" si="209"/>
        <v>0</v>
      </c>
      <c r="AH147" s="28">
        <f>SUMIFS(JU!$H$5107:$H$5107,JU!$F$5107:$F$5107,WS!$A147)</f>
        <v>0</v>
      </c>
      <c r="AI147" s="29">
        <f>SUMIFS(JU!$K$5107:$K$5107,JU!$I$5107:$I$5107,WS!$A147)</f>
        <v>0</v>
      </c>
      <c r="AJ147" s="30">
        <f t="shared" si="210"/>
        <v>0</v>
      </c>
      <c r="AK147" s="28">
        <f>SUMIFS(JU!$H$5107:$H$5107,JU!$F$5107:$F$5107,WS!$A147)</f>
        <v>0</v>
      </c>
      <c r="AL147" s="29">
        <f>SUMIFS(JU!$K$5107:$K$5107,JU!$I$5107:$I$5107,WS!$A147)</f>
        <v>0</v>
      </c>
      <c r="AM147" s="30">
        <f t="shared" si="211"/>
        <v>0</v>
      </c>
      <c r="AN147" s="275">
        <f t="shared" si="212"/>
        <v>3449209</v>
      </c>
      <c r="AP147" s="18">
        <f t="shared" si="213"/>
        <v>3449209</v>
      </c>
    </row>
    <row r="148" spans="1:42">
      <c r="A148" s="6">
        <v>7104</v>
      </c>
      <c r="B148" s="31" t="s">
        <v>181</v>
      </c>
      <c r="C148" s="32"/>
      <c r="D148" s="28">
        <f>SUMIFS(JU!$H$5:$H$178,JU!$F$5:$F$178,WS!$A148)</f>
        <v>10250000</v>
      </c>
      <c r="E148" s="29">
        <f>SUMIFS(JU!$K$5:$K$178,JU!$I$5:$I$178,WS!$A148)</f>
        <v>0</v>
      </c>
      <c r="F148" s="30">
        <f t="shared" si="202"/>
        <v>10250000</v>
      </c>
      <c r="G148" s="28">
        <f>SUMIFS(JU!$H$180:$H$440,JU!$F$180:$F$440,WS!$A148)</f>
        <v>5250000</v>
      </c>
      <c r="H148" s="29">
        <f>SUMIFS(JU!$K$180:$K$440,JU!$I$180:$I$440,WS!$A148)</f>
        <v>0</v>
      </c>
      <c r="I148" s="30">
        <f t="shared" si="203"/>
        <v>5250000</v>
      </c>
      <c r="J148" s="28">
        <f>SUMIFS(JU!$H$441:$H$695,JU!$F$441:$F$695,WS!$A148)</f>
        <v>0</v>
      </c>
      <c r="K148" s="29">
        <f>SUMIFS(JU!$K$441:$K$695,JU!$I$441:$I$695,WS!$A148)</f>
        <v>0</v>
      </c>
      <c r="L148" s="30">
        <f>J148-K148</f>
        <v>0</v>
      </c>
      <c r="M148" s="28">
        <f>SUMIFS(JU!$H$696:$H$1062,JU!$F$696:$F$1062,$A148)</f>
        <v>0</v>
      </c>
      <c r="N148" s="29">
        <f>SUMIFS(JU!$K$696:$K$1062,JU!$I$696:$I$1062,WS!$A148)</f>
        <v>0</v>
      </c>
      <c r="O148" s="30">
        <f>M148-N148</f>
        <v>0</v>
      </c>
      <c r="P148" s="28">
        <f>SUMIFS(JU!$H$1063:$H$5007,JU!$F$1063:$F$5007,WS!$A148)</f>
        <v>0</v>
      </c>
      <c r="Q148" s="29">
        <f>SUMIFS(JU!$K$1063:$K$5007,JU!$I$1063:$I$5007,WS!$A148)</f>
        <v>0</v>
      </c>
      <c r="R148" s="30">
        <f t="shared" si="204"/>
        <v>0</v>
      </c>
      <c r="S148" s="28">
        <f>SUMIFS(JU!$H$5107:$H$5107,JU!$F$5107:$F$5107,WS!$A148)</f>
        <v>0</v>
      </c>
      <c r="T148" s="29">
        <f>SUMIFS(JU!$K$5107:$K$5107,JU!$I$5107:$I$5107,WS!$A148)</f>
        <v>0</v>
      </c>
      <c r="U148" s="30">
        <f t="shared" si="205"/>
        <v>0</v>
      </c>
      <c r="V148" s="28">
        <f>SUMIFS(JU!$H$5107:$H$5107,JU!$F$5107:$F$5107,WS!$A148)</f>
        <v>0</v>
      </c>
      <c r="W148" s="29">
        <f>SUMIFS(JU!$K$5107:$K$5107,JU!$I$5107:$I$5107,WS!$A148)</f>
        <v>0</v>
      </c>
      <c r="X148" s="30">
        <f t="shared" si="206"/>
        <v>0</v>
      </c>
      <c r="Y148" s="28">
        <f>SUMIFS(JU!$H$5107:$H$5107,JU!$F$5107:$F$5107,WS!$A148)</f>
        <v>0</v>
      </c>
      <c r="Z148" s="29">
        <f>SUMIFS(JU!$K$5107:$K$5107,JU!$I$5107:$I$5107,WS!$A148)</f>
        <v>0</v>
      </c>
      <c r="AA148" s="30">
        <f t="shared" si="207"/>
        <v>0</v>
      </c>
      <c r="AB148" s="28">
        <f>SUMIFS(JU!$H$5107:$H$5107,JU!$F$5107:$F$5107,WS!$A148)</f>
        <v>0</v>
      </c>
      <c r="AC148" s="29">
        <f>SUMIFS(JU!$K$5107:$K$5107,JU!$I$5107:$I$5107,WS!$A148)</f>
        <v>0</v>
      </c>
      <c r="AD148" s="30">
        <f t="shared" si="208"/>
        <v>0</v>
      </c>
      <c r="AE148" s="28">
        <f>SUMIFS(JU!$H$5107:$H$5107,JU!$F$5107:$F$5107,WS!$A148)</f>
        <v>0</v>
      </c>
      <c r="AF148" s="29">
        <f>SUMIFS(JU!$K$5107:$K$5107,JU!$I$5107:$I$5107,WS!$A148)</f>
        <v>0</v>
      </c>
      <c r="AG148" s="30">
        <f t="shared" si="209"/>
        <v>0</v>
      </c>
      <c r="AH148" s="28">
        <f>SUMIFS(JU!$H$5107:$H$5107,JU!$F$5107:$F$5107,WS!$A148)</f>
        <v>0</v>
      </c>
      <c r="AI148" s="29">
        <f>SUMIFS(JU!$K$5107:$K$5107,JU!$I$5107:$I$5107,WS!$A148)</f>
        <v>0</v>
      </c>
      <c r="AJ148" s="30">
        <f t="shared" si="210"/>
        <v>0</v>
      </c>
      <c r="AK148" s="28">
        <f>SUMIFS(JU!$H$5107:$H$5107,JU!$F$5107:$F$5107,WS!$A148)</f>
        <v>0</v>
      </c>
      <c r="AL148" s="29">
        <f>SUMIFS(JU!$K$5107:$K$5107,JU!$I$5107:$I$5107,WS!$A148)</f>
        <v>0</v>
      </c>
      <c r="AM148" s="30">
        <f t="shared" si="211"/>
        <v>0</v>
      </c>
      <c r="AN148" s="275">
        <f t="shared" si="212"/>
        <v>15500000</v>
      </c>
      <c r="AP148" s="18">
        <f t="shared" si="213"/>
        <v>15500000</v>
      </c>
    </row>
    <row r="149" spans="1:42" s="37" customFormat="1">
      <c r="A149" s="287" t="s">
        <v>240</v>
      </c>
      <c r="B149" s="287"/>
      <c r="C149" s="38">
        <f>SUM(C145:C148)</f>
        <v>0</v>
      </c>
      <c r="D149" s="28">
        <f>SUMIFS(JU!$H$9:$H$284,JU!$F$9:$F$284,WS!$A149)</f>
        <v>0</v>
      </c>
      <c r="E149" s="29">
        <f>SUMIFS(JU!$K$9:$K$284,JU!$I$9:$I$284,WS!$A149)</f>
        <v>0</v>
      </c>
      <c r="F149" s="36">
        <f>SUM(F145:F148)</f>
        <v>14153337</v>
      </c>
      <c r="G149" s="28">
        <f>SUMIFS(JU!$H$285:$H$2915,JU!$F$285:$F$2915,WS!$A149)</f>
        <v>0</v>
      </c>
      <c r="H149" s="29">
        <f>SUMIFS(JU!$K$285:$K$2915,JU!$I$285:$I$2915,WS!$A149)</f>
        <v>0</v>
      </c>
      <c r="I149" s="36">
        <f>SUM(I145:I148)</f>
        <v>22642532</v>
      </c>
      <c r="J149" s="28">
        <f>SUMIFS(JU!$H$442:$H$5107,JU!$F$442:$F$5107,WS!$A149)</f>
        <v>0</v>
      </c>
      <c r="K149" s="29">
        <f>SUMIFS(JU!$K$442:$K$5107,JU!$I$442:$I$5107,WS!$A149)</f>
        <v>0</v>
      </c>
      <c r="L149" s="36">
        <f>SUM(L145:L148)</f>
        <v>11190000</v>
      </c>
      <c r="M149" s="28">
        <f>SUMIFS(JU!$H$411:$H$648,JU!$F$411:$F$648,WS!$A149)</f>
        <v>0</v>
      </c>
      <c r="N149" s="29">
        <f>SUMIFS(JU!$K$411:$K$648,JU!$I$411:$I$648,WS!$A149)</f>
        <v>0</v>
      </c>
      <c r="O149" s="36">
        <f>SUM(O145:O148)</f>
        <v>20760000</v>
      </c>
      <c r="P149" s="28">
        <f>SUMIFS(JU!$H$649:$H$1047,JU!$F$649:$F$1047,WS!$A149)</f>
        <v>0</v>
      </c>
      <c r="Q149" s="29">
        <f>SUMIFS(JU!$K$649:$K$1047,JU!$I$649:$I$1047,WS!$A149)</f>
        <v>0</v>
      </c>
      <c r="R149" s="36">
        <f>SUM(R145:R148)</f>
        <v>77503090</v>
      </c>
      <c r="S149" s="28">
        <f>SUMIFS(JU!$H$649:$H$1047,JU!$F$649:$F$1047,WS!$A149)</f>
        <v>0</v>
      </c>
      <c r="T149" s="29">
        <f>SUMIFS(JU!$K$649:$K$1047,JU!$I$649:$I$1047,WS!$A149)</f>
        <v>0</v>
      </c>
      <c r="U149" s="36">
        <f>SUM(U145:U148)</f>
        <v>0</v>
      </c>
      <c r="V149" s="28">
        <f>SUMIFS(JU!$H$649:$H$1047,JU!$F$649:$F$1047,WS!$A149)</f>
        <v>0</v>
      </c>
      <c r="W149" s="29">
        <f>SUMIFS(JU!$K$649:$K$1047,JU!$I$649:$I$1047,WS!$A149)</f>
        <v>0</v>
      </c>
      <c r="X149" s="36">
        <f>SUM(X145:X148)</f>
        <v>0</v>
      </c>
      <c r="Y149" s="28">
        <f>SUMIFS(JU!$H$649:$H$1047,JU!$F$649:$F$1047,WS!$A149)</f>
        <v>0</v>
      </c>
      <c r="Z149" s="29">
        <f>SUMIFS(JU!$K$649:$K$1047,JU!$I$649:$I$1047,WS!$A149)</f>
        <v>0</v>
      </c>
      <c r="AA149" s="36">
        <f>SUM(AA145:AA148)</f>
        <v>0</v>
      </c>
      <c r="AB149" s="28">
        <f>SUMIFS(JU!$H$649:$H$1047,JU!$F$649:$F$1047,WS!$A149)</f>
        <v>0</v>
      </c>
      <c r="AC149" s="29">
        <f>SUMIFS(JU!$K$649:$K$1047,JU!$I$649:$I$1047,WS!$A149)</f>
        <v>0</v>
      </c>
      <c r="AD149" s="36">
        <f>SUM(AD145:AD148)</f>
        <v>0</v>
      </c>
      <c r="AE149" s="28">
        <f>SUMIFS(JU!$H$649:$H$1047,JU!$F$649:$F$1047,WS!$A149)</f>
        <v>0</v>
      </c>
      <c r="AF149" s="29">
        <f>SUMIFS(JU!$K$649:$K$1047,JU!$I$649:$I$1047,WS!$A149)</f>
        <v>0</v>
      </c>
      <c r="AG149" s="36">
        <f>SUM(AG145:AG148)</f>
        <v>0</v>
      </c>
      <c r="AH149" s="28">
        <f>SUMIFS(JU!$H$649:$H$1047,JU!$F$649:$F$1047,WS!$A149)</f>
        <v>0</v>
      </c>
      <c r="AI149" s="29">
        <f>SUMIFS(JU!$K$649:$K$1047,JU!$I$649:$I$1047,WS!$A149)</f>
        <v>0</v>
      </c>
      <c r="AJ149" s="36">
        <f t="shared" ref="AJ149" si="214">SUM(AJ145:AJ148)</f>
        <v>0</v>
      </c>
      <c r="AK149" s="28">
        <f>SUMIFS(JU!$H$649:$H$1047,JU!$F$649:$F$1047,WS!$A149)</f>
        <v>0</v>
      </c>
      <c r="AL149" s="29">
        <f>SUMIFS(JU!$K$649:$K$1047,JU!$I$649:$I$1047,WS!$A149)</f>
        <v>0</v>
      </c>
      <c r="AM149" s="36">
        <f t="shared" ref="AM149" si="215">SUM(AM145:AM148)</f>
        <v>0</v>
      </c>
      <c r="AN149" s="275">
        <f t="shared" si="212"/>
        <v>146248959</v>
      </c>
      <c r="AP149" s="18">
        <f t="shared" si="213"/>
        <v>146248959</v>
      </c>
    </row>
    <row r="150" spans="1:42" s="37" customFormat="1">
      <c r="A150" s="287" t="s">
        <v>226</v>
      </c>
      <c r="B150" s="287"/>
      <c r="C150" s="38">
        <f>C113+C127+C133+C138+C143+C149</f>
        <v>0</v>
      </c>
      <c r="D150" s="28">
        <f>SUMIFS(JU!$H$9:$H$284,JU!$F$9:$F$284,WS!$A150)</f>
        <v>0</v>
      </c>
      <c r="E150" s="29">
        <f>SUMIFS(JU!$K$9:$K$284,JU!$I$9:$I$284,WS!$A150)</f>
        <v>0</v>
      </c>
      <c r="F150" s="38">
        <f>F113+F127+F133+F138+F143+F149</f>
        <v>177760634</v>
      </c>
      <c r="G150" s="28">
        <f>SUMIFS(JU!$H$285:$H$2915,JU!$F$285:$F$2915,WS!$A150)</f>
        <v>0</v>
      </c>
      <c r="H150" s="29">
        <f>SUMIFS(JU!$K$285:$K$2915,JU!$I$285:$I$2915,WS!$A150)</f>
        <v>0</v>
      </c>
      <c r="I150" s="38">
        <f>I113+I127+I133+I138+I143+I149</f>
        <v>809896097</v>
      </c>
      <c r="J150" s="28">
        <f>SUMIFS(JU!$H$442:$H$5107,JU!$F$442:$F$5107,WS!$A150)</f>
        <v>0</v>
      </c>
      <c r="K150" s="29">
        <f>SUMIFS(JU!$K$442:$K$5107,JU!$I$442:$I$5107,WS!$A150)</f>
        <v>0</v>
      </c>
      <c r="L150" s="38">
        <f>L113+L127+L133+L138+L143+L149</f>
        <v>420588886</v>
      </c>
      <c r="M150" s="28">
        <f>SUMIFS(JU!$H$411:$H$648,JU!$F$411:$F$648,WS!$A150)</f>
        <v>0</v>
      </c>
      <c r="N150" s="29">
        <f>SUMIFS(JU!$K$411:$K$648,JU!$I$411:$I$648,WS!$A150)</f>
        <v>0</v>
      </c>
      <c r="O150" s="38">
        <f>O113+O127+O133+O138+O143+O149</f>
        <v>1077421735</v>
      </c>
      <c r="P150" s="28">
        <f>SUMIFS(JU!$H$649:$H$1047,JU!$F$649:$F$1047,WS!$A150)</f>
        <v>0</v>
      </c>
      <c r="Q150" s="29">
        <f>SUMIFS(JU!$K$649:$K$1047,JU!$I$649:$I$1047,WS!$A150)</f>
        <v>0</v>
      </c>
      <c r="R150" s="38">
        <f>R113+R127+R133+R138+R143+R149</f>
        <v>1256295828</v>
      </c>
      <c r="S150" s="28">
        <f>SUMIFS(JU!$H$649:$H$1047,JU!$F$649:$F$1047,WS!$A150)</f>
        <v>0</v>
      </c>
      <c r="T150" s="29">
        <f>SUMIFS(JU!$K$649:$K$1047,JU!$I$649:$I$1047,WS!$A150)</f>
        <v>0</v>
      </c>
      <c r="U150" s="38">
        <f>U113+U127+U133+U138+U143+U149</f>
        <v>0</v>
      </c>
      <c r="V150" s="28">
        <f>SUMIFS(JU!$H$649:$H$1047,JU!$F$649:$F$1047,WS!$A150)</f>
        <v>0</v>
      </c>
      <c r="W150" s="29">
        <f>SUMIFS(JU!$K$649:$K$1047,JU!$I$649:$I$1047,WS!$A150)</f>
        <v>0</v>
      </c>
      <c r="X150" s="38">
        <f>X113+X127+X133+X138+X143+X149</f>
        <v>0</v>
      </c>
      <c r="Y150" s="28">
        <f>SUMIFS(JU!$H$649:$H$1047,JU!$F$649:$F$1047,WS!$A150)</f>
        <v>0</v>
      </c>
      <c r="Z150" s="29">
        <f>SUMIFS(JU!$K$649:$K$1047,JU!$I$649:$I$1047,WS!$A150)</f>
        <v>0</v>
      </c>
      <c r="AA150" s="38">
        <f>AA113+AA127+AA133+AA138+AA143+AA149</f>
        <v>0</v>
      </c>
      <c r="AB150" s="28">
        <f>SUMIFS(JU!$H$649:$H$1047,JU!$F$649:$F$1047,WS!$A150)</f>
        <v>0</v>
      </c>
      <c r="AC150" s="29">
        <f>SUMIFS(JU!$K$649:$K$1047,JU!$I$649:$I$1047,WS!$A150)</f>
        <v>0</v>
      </c>
      <c r="AD150" s="38">
        <f>AD113+AD127+AD133+AD138+AD143+AD149</f>
        <v>0</v>
      </c>
      <c r="AE150" s="28">
        <f>SUMIFS(JU!$H$649:$H$1047,JU!$F$649:$F$1047,WS!$A150)</f>
        <v>0</v>
      </c>
      <c r="AF150" s="29">
        <f>SUMIFS(JU!$K$649:$K$1047,JU!$I$649:$I$1047,WS!$A150)</f>
        <v>0</v>
      </c>
      <c r="AG150" s="38">
        <f>AG113+AG127+AG133+AG138+AG143+AG149</f>
        <v>0</v>
      </c>
      <c r="AH150" s="28">
        <f>SUMIFS(JU!$H$649:$H$1047,JU!$F$649:$F$1047,WS!$A150)</f>
        <v>0</v>
      </c>
      <c r="AI150" s="29">
        <f>SUMIFS(JU!$K$649:$K$1047,JU!$I$649:$I$1047,WS!$A150)</f>
        <v>0</v>
      </c>
      <c r="AJ150" s="38">
        <f t="shared" ref="AJ150" si="216">AJ113+AJ127+AJ133+AJ138+AJ143+AJ149</f>
        <v>0</v>
      </c>
      <c r="AK150" s="28">
        <f>SUMIFS(JU!$H$649:$H$1047,JU!$F$649:$F$1047,WS!$A150)</f>
        <v>0</v>
      </c>
      <c r="AL150" s="29">
        <f>SUMIFS(JU!$K$649:$K$1047,JU!$I$649:$I$1047,WS!$A150)</f>
        <v>0</v>
      </c>
      <c r="AM150" s="38">
        <f t="shared" ref="AM150" si="217">AM113+AM127+AM133+AM138+AM143+AM149</f>
        <v>0</v>
      </c>
      <c r="AN150" s="275">
        <f t="shared" si="212"/>
        <v>3741963180</v>
      </c>
      <c r="AP150" s="18">
        <f t="shared" si="213"/>
        <v>3741963180</v>
      </c>
    </row>
    <row r="151" spans="1:42">
      <c r="AN151" s="34">
        <f>AN150-SUM(D150:AG150)</f>
        <v>0</v>
      </c>
    </row>
    <row r="152" spans="1:42">
      <c r="AN152" s="34">
        <f>150000*29</f>
        <v>4350000</v>
      </c>
    </row>
    <row r="153" spans="1:42">
      <c r="AN153" s="34">
        <v>240000000</v>
      </c>
    </row>
  </sheetData>
  <mergeCells count="61">
    <mergeCell ref="A18:B18"/>
    <mergeCell ref="A53:B53"/>
    <mergeCell ref="A114:B114"/>
    <mergeCell ref="A91:B91"/>
    <mergeCell ref="A101:B101"/>
    <mergeCell ref="A99:B99"/>
    <mergeCell ref="A77:B77"/>
    <mergeCell ref="A71:B71"/>
    <mergeCell ref="A127:B127"/>
    <mergeCell ref="A38:B38"/>
    <mergeCell ref="A37:B37"/>
    <mergeCell ref="A133:B133"/>
    <mergeCell ref="A69:B69"/>
    <mergeCell ref="A78:B78"/>
    <mergeCell ref="A92:B92"/>
    <mergeCell ref="A128:B128"/>
    <mergeCell ref="R5:R6"/>
    <mergeCell ref="F5:F6"/>
    <mergeCell ref="AG5:AG6"/>
    <mergeCell ref="G5:H5"/>
    <mergeCell ref="M5:N5"/>
    <mergeCell ref="AD5:AD6"/>
    <mergeCell ref="AE5:AF5"/>
    <mergeCell ref="P5:Q5"/>
    <mergeCell ref="AB5:AC5"/>
    <mergeCell ref="X5:X6"/>
    <mergeCell ref="U5:U6"/>
    <mergeCell ref="Y5:Z5"/>
    <mergeCell ref="V5:W5"/>
    <mergeCell ref="A144:B144"/>
    <mergeCell ref="A150:B150"/>
    <mergeCell ref="A100:B100"/>
    <mergeCell ref="A149:B149"/>
    <mergeCell ref="J5:K5"/>
    <mergeCell ref="C5:C6"/>
    <mergeCell ref="B5:B6"/>
    <mergeCell ref="A28:B28"/>
    <mergeCell ref="A143:B143"/>
    <mergeCell ref="A138:B138"/>
    <mergeCell ref="A62:B62"/>
    <mergeCell ref="A134:B134"/>
    <mergeCell ref="I5:I6"/>
    <mergeCell ref="A5:A6"/>
    <mergeCell ref="A7:B7"/>
    <mergeCell ref="A36:B36"/>
    <mergeCell ref="AM5:AM6"/>
    <mergeCell ref="O5:O6"/>
    <mergeCell ref="A139:B139"/>
    <mergeCell ref="A51:B51"/>
    <mergeCell ref="A52:B52"/>
    <mergeCell ref="A63:B63"/>
    <mergeCell ref="A70:B70"/>
    <mergeCell ref="A80:B80"/>
    <mergeCell ref="A113:B113"/>
    <mergeCell ref="D5:E5"/>
    <mergeCell ref="AA5:AA6"/>
    <mergeCell ref="AK5:AL5"/>
    <mergeCell ref="AH5:AI5"/>
    <mergeCell ref="L5:L6"/>
    <mergeCell ref="AJ5:AJ6"/>
    <mergeCell ref="S5:T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3073"/>
  <sheetViews>
    <sheetView zoomScale="70" zoomScaleNormal="70" workbookViewId="0">
      <pane xSplit="1" ySplit="4" topLeftCell="B1255" activePane="bottomRight" state="frozen"/>
      <selection pane="topRight"/>
      <selection pane="bottomLeft"/>
      <selection pane="bottomRight" activeCell="D1439" sqref="D1439"/>
    </sheetView>
  </sheetViews>
  <sheetFormatPr defaultColWidth="10" defaultRowHeight="14.5"/>
  <cols>
    <col min="1" max="1" width="1.54296875" customWidth="1"/>
    <col min="2" max="2" width="10.6328125" style="214" customWidth="1"/>
    <col min="3" max="3" width="3.1796875" style="211" customWidth="1"/>
    <col min="4" max="4" width="45.54296875" customWidth="1"/>
    <col min="5" max="5" width="7.81640625" hidden="1" customWidth="1"/>
    <col min="6" max="6" width="8.453125" customWidth="1"/>
    <col min="7" max="7" width="16.08984375" customWidth="1"/>
    <col min="8" max="8" width="15.1796875" style="216" customWidth="1"/>
    <col min="9" max="9" width="8.453125" customWidth="1"/>
    <col min="10" max="10" width="17.1796875" customWidth="1"/>
    <col min="11" max="11" width="14.6328125" customWidth="1"/>
    <col min="12" max="12" width="11.1796875" bestFit="1" customWidth="1"/>
    <col min="13" max="13" width="15.1796875" customWidth="1"/>
  </cols>
  <sheetData>
    <row r="1" spans="1:11">
      <c r="D1" s="229" t="s">
        <v>561</v>
      </c>
      <c r="H1"/>
    </row>
    <row r="2" spans="1:11" s="42" customFormat="1">
      <c r="B2" s="295" t="s">
        <v>116</v>
      </c>
      <c r="C2" s="296" t="s">
        <v>117</v>
      </c>
      <c r="D2" s="294" t="s">
        <v>112</v>
      </c>
      <c r="E2" s="44"/>
      <c r="F2" s="294" t="s">
        <v>114</v>
      </c>
      <c r="G2" s="294"/>
      <c r="H2" s="294"/>
      <c r="I2" s="294" t="s">
        <v>115</v>
      </c>
      <c r="J2" s="294"/>
      <c r="K2" s="294"/>
    </row>
    <row r="3" spans="1:11" s="42" customFormat="1">
      <c r="B3" s="295"/>
      <c r="C3" s="296"/>
      <c r="D3" s="294"/>
      <c r="E3" s="44"/>
      <c r="F3" s="43" t="s">
        <v>113</v>
      </c>
      <c r="G3" s="43" t="s">
        <v>1</v>
      </c>
      <c r="H3" s="45" t="s">
        <v>118</v>
      </c>
      <c r="I3" s="43" t="s">
        <v>113</v>
      </c>
      <c r="J3" s="43" t="s">
        <v>1</v>
      </c>
      <c r="K3" s="45" t="s">
        <v>118</v>
      </c>
    </row>
    <row r="4" spans="1:11" s="42" customFormat="1" ht="5.25" customHeight="1">
      <c r="B4" s="46"/>
      <c r="C4" s="210"/>
      <c r="D4" s="47"/>
      <c r="E4" s="48"/>
      <c r="F4" s="47"/>
      <c r="G4" s="47"/>
      <c r="H4" s="216"/>
      <c r="I4" s="47"/>
      <c r="J4" s="47"/>
      <c r="K4" s="49"/>
    </row>
    <row r="5" spans="1:11" hidden="1">
      <c r="A5" s="50"/>
      <c r="B5" s="215">
        <v>46023</v>
      </c>
      <c r="D5" s="254" t="s">
        <v>546</v>
      </c>
      <c r="F5" s="52" t="str">
        <f>IF(G5="","",INDEX(COA!$A$4:$A$123,MATCH(JU!$G5,COA!$B$4:$B$123,0)))</f>
        <v>2204</v>
      </c>
      <c r="G5" t="s">
        <v>196</v>
      </c>
      <c r="H5" s="216">
        <v>15000000</v>
      </c>
      <c r="I5" s="52">
        <f>IF(J5="","",INDEX(COA!$A$4:$A$123,MATCH(JU!$J5,COA!$B$4:$B$123,0)))</f>
        <v>4102</v>
      </c>
      <c r="J5" t="s">
        <v>62</v>
      </c>
      <c r="K5" s="34">
        <f t="shared" ref="K5" si="0">IF(H5="","",H5)</f>
        <v>15000000</v>
      </c>
    </row>
    <row r="6" spans="1:11" hidden="1">
      <c r="A6" s="50"/>
      <c r="B6" s="215">
        <v>46023</v>
      </c>
      <c r="D6" s="254" t="s">
        <v>547</v>
      </c>
      <c r="F6" s="52">
        <f>IF(G6="","",INDEX(COA!$A$4:$A$123,MATCH(JU!$G6,COA!$B$4:$B$123,0)))</f>
        <v>4102</v>
      </c>
      <c r="G6" t="s">
        <v>62</v>
      </c>
      <c r="H6" s="216">
        <v>55000000</v>
      </c>
      <c r="I6" s="52" t="str">
        <f>IF(J6="","",INDEX(COA!$A$4:$A$123,MATCH(JU!$J6,COA!$B$4:$B$123,0)))</f>
        <v>2204</v>
      </c>
      <c r="J6" t="s">
        <v>196</v>
      </c>
      <c r="K6" s="34">
        <f t="shared" ref="K6" si="1">IF(H6="","",H6)</f>
        <v>55000000</v>
      </c>
    </row>
    <row r="7" spans="1:11" hidden="1">
      <c r="A7" s="50"/>
      <c r="B7" s="215">
        <v>46023</v>
      </c>
      <c r="D7" s="254" t="s">
        <v>548</v>
      </c>
      <c r="F7" s="52">
        <f>IF(G7="","",INDEX(COA!$A$4:$A$123,MATCH(JU!$G7,COA!$B$4:$B$123,0)))</f>
        <v>4102</v>
      </c>
      <c r="G7" t="s">
        <v>62</v>
      </c>
      <c r="H7" s="216">
        <v>8000000</v>
      </c>
      <c r="I7" s="52" t="str">
        <f>IF(J7="","",INDEX(COA!$A$4:$A$123,MATCH(JU!$J7,COA!$B$4:$B$123,0)))</f>
        <v>2204</v>
      </c>
      <c r="J7" t="s">
        <v>196</v>
      </c>
      <c r="K7" s="34">
        <f t="shared" ref="K7" si="2">IF(H7="","",H7)</f>
        <v>8000000</v>
      </c>
    </row>
    <row r="8" spans="1:11" hidden="1">
      <c r="A8" s="50"/>
      <c r="B8" s="215"/>
      <c r="D8" s="254"/>
      <c r="F8" s="52"/>
      <c r="I8" s="52"/>
      <c r="K8" s="34"/>
    </row>
    <row r="9" spans="1:11" hidden="1">
      <c r="A9" s="50" t="str">
        <f>IF(G9="BRI 568","Terima Uang Masuk atas ","By. Biaya ")</f>
        <v xml:space="preserve">Terima Uang Masuk atas </v>
      </c>
      <c r="B9" s="215">
        <v>46023</v>
      </c>
      <c r="D9" s="256" t="s">
        <v>417</v>
      </c>
      <c r="F9" s="52">
        <f>IF(G9="","",INDEX(COA!$A$4:$A$123,MATCH(JU!$G9,COA!$B$4:$B$123,0)))</f>
        <v>1103</v>
      </c>
      <c r="G9" t="s">
        <v>154</v>
      </c>
      <c r="H9" s="216">
        <v>100000000</v>
      </c>
      <c r="I9" s="52">
        <f>IF(J9="","",INDEX(COA!$A$4:$A$123,MATCH(JU!$J9,COA!$B$4:$B$123,0)))</f>
        <v>1202</v>
      </c>
      <c r="J9" t="s">
        <v>27</v>
      </c>
      <c r="K9" s="34">
        <f t="shared" ref="K9:K71" si="3">IF(H9="","",H9)</f>
        <v>100000000</v>
      </c>
    </row>
    <row r="10" spans="1:11" hidden="1">
      <c r="A10" s="50" t="str">
        <f t="shared" ref="A10:A73" si="4">IF(G10="BRI 568","Terima Uang Masuk atas ","By. Biaya ")</f>
        <v xml:space="preserve">Terima Uang Masuk atas </v>
      </c>
      <c r="B10" s="215">
        <v>46023</v>
      </c>
      <c r="D10" s="256" t="s">
        <v>417</v>
      </c>
      <c r="F10" s="52">
        <f>IF(G10="","",INDEX(COA!$A$4:$A$123,MATCH(JU!$G10,COA!$B$4:$B$123,0)))</f>
        <v>1103</v>
      </c>
      <c r="G10" t="s">
        <v>154</v>
      </c>
      <c r="H10" s="216">
        <v>100000000</v>
      </c>
      <c r="I10" s="52">
        <f>IF(J10="","",INDEX(COA!$A$4:$A$123,MATCH(JU!$J10,COA!$B$4:$B$123,0)))</f>
        <v>1202</v>
      </c>
      <c r="J10" t="s">
        <v>27</v>
      </c>
      <c r="K10" s="34">
        <f t="shared" si="3"/>
        <v>100000000</v>
      </c>
    </row>
    <row r="11" spans="1:11" hidden="1">
      <c r="A11" s="50" t="str">
        <f t="shared" si="4"/>
        <v xml:space="preserve">Terima Uang Masuk atas </v>
      </c>
      <c r="B11" s="215">
        <v>46023</v>
      </c>
      <c r="D11" s="256" t="s">
        <v>417</v>
      </c>
      <c r="F11" s="52">
        <f>IF(G11="","",INDEX(COA!$A$4:$A$123,MATCH(JU!$G11,COA!$B$4:$B$123,0)))</f>
        <v>1103</v>
      </c>
      <c r="G11" t="s">
        <v>154</v>
      </c>
      <c r="H11" s="216">
        <v>50000000</v>
      </c>
      <c r="I11" s="52">
        <f>IF(J11="","",INDEX(COA!$A$4:$A$123,MATCH(JU!$J11,COA!$B$4:$B$123,0)))</f>
        <v>1202</v>
      </c>
      <c r="J11" t="s">
        <v>27</v>
      </c>
      <c r="K11" s="34">
        <f t="shared" si="3"/>
        <v>50000000</v>
      </c>
    </row>
    <row r="12" spans="1:11" hidden="1">
      <c r="A12" s="50" t="str">
        <f t="shared" si="4"/>
        <v xml:space="preserve">By. Biaya </v>
      </c>
      <c r="B12" s="215">
        <v>46023</v>
      </c>
      <c r="C12" s="211" t="s">
        <v>562</v>
      </c>
      <c r="D12" s="51" t="s">
        <v>648</v>
      </c>
      <c r="F12" s="52">
        <f>IF(G12="","",INDEX(COA!$A$4:$A$123,MATCH(JU!$G12,COA!$B$4:$B$123,0)))</f>
        <v>6101</v>
      </c>
      <c r="G12" t="s">
        <v>75</v>
      </c>
      <c r="H12" s="216">
        <v>18850000</v>
      </c>
      <c r="I12" s="52">
        <f>IF(J12="","",INDEX(COA!$A$4:$A$123,MATCH(JU!$J12,COA!$B$4:$B$123,0)))</f>
        <v>1103</v>
      </c>
      <c r="J12" t="s">
        <v>154</v>
      </c>
      <c r="K12" s="34">
        <f t="shared" si="3"/>
        <v>18850000</v>
      </c>
    </row>
    <row r="13" spans="1:11" hidden="1">
      <c r="A13" s="50" t="str">
        <f t="shared" si="4"/>
        <v xml:space="preserve">By. Biaya </v>
      </c>
      <c r="B13" s="215">
        <v>46023</v>
      </c>
      <c r="C13" s="211" t="s">
        <v>563</v>
      </c>
      <c r="D13" s="51" t="s">
        <v>649</v>
      </c>
      <c r="F13" s="52">
        <f>IF(G13="","",INDEX(COA!$A$4:$A$123,MATCH(JU!$G13,COA!$B$4:$B$123,0)))</f>
        <v>6101</v>
      </c>
      <c r="G13" t="s">
        <v>75</v>
      </c>
      <c r="H13" s="216">
        <v>1700000</v>
      </c>
      <c r="I13" s="52">
        <f>IF(J13="","",INDEX(COA!$A$4:$A$123,MATCH(JU!$J13,COA!$B$4:$B$123,0)))</f>
        <v>1103</v>
      </c>
      <c r="J13" t="s">
        <v>154</v>
      </c>
      <c r="K13" s="34">
        <f t="shared" si="3"/>
        <v>1700000</v>
      </c>
    </row>
    <row r="14" spans="1:11" hidden="1">
      <c r="A14" s="50" t="str">
        <f t="shared" si="4"/>
        <v xml:space="preserve">By. Biaya </v>
      </c>
      <c r="B14" s="215">
        <v>46023</v>
      </c>
      <c r="C14" s="211" t="s">
        <v>564</v>
      </c>
      <c r="D14" s="51" t="s">
        <v>650</v>
      </c>
      <c r="F14" s="52">
        <f>IF(G14="","",INDEX(COA!$A$4:$A$123,MATCH(JU!$G14,COA!$B$4:$B$123,0)))</f>
        <v>6101</v>
      </c>
      <c r="G14" t="s">
        <v>75</v>
      </c>
      <c r="H14" s="216">
        <v>7000000</v>
      </c>
      <c r="I14" s="52">
        <f>IF(J14="","",INDEX(COA!$A$4:$A$123,MATCH(JU!$J14,COA!$B$4:$B$123,0)))</f>
        <v>1103</v>
      </c>
      <c r="J14" t="s">
        <v>154</v>
      </c>
      <c r="K14" s="34">
        <f t="shared" si="3"/>
        <v>7000000</v>
      </c>
    </row>
    <row r="15" spans="1:11" hidden="1">
      <c r="A15" s="50" t="str">
        <f t="shared" si="4"/>
        <v xml:space="preserve">By. Biaya </v>
      </c>
      <c r="B15" s="215">
        <v>46023</v>
      </c>
      <c r="C15" s="211" t="s">
        <v>565</v>
      </c>
      <c r="D15" s="51" t="s">
        <v>651</v>
      </c>
      <c r="F15" s="52">
        <f>IF(G15="","",INDEX(COA!$A$4:$A$123,MATCH(JU!$G15,COA!$B$4:$B$123,0)))</f>
        <v>6101</v>
      </c>
      <c r="G15" t="s">
        <v>75</v>
      </c>
      <c r="H15" s="216">
        <v>5000000</v>
      </c>
      <c r="I15" s="52">
        <f>IF(J15="","",INDEX(COA!$A$4:$A$123,MATCH(JU!$J15,COA!$B$4:$B$123,0)))</f>
        <v>1103</v>
      </c>
      <c r="J15" t="s">
        <v>154</v>
      </c>
      <c r="K15" s="34">
        <f t="shared" si="3"/>
        <v>5000000</v>
      </c>
    </row>
    <row r="16" spans="1:11" hidden="1">
      <c r="A16" s="50" t="str">
        <f t="shared" si="4"/>
        <v xml:space="preserve">By. Biaya </v>
      </c>
      <c r="B16" s="215">
        <v>46023</v>
      </c>
      <c r="C16" s="211" t="s">
        <v>305</v>
      </c>
      <c r="D16" s="51" t="s">
        <v>333</v>
      </c>
      <c r="F16" s="52" t="str">
        <f>IF(G16="","",INDEX(COA!$A$4:$A$123,MATCH(JU!$G16,COA!$B$4:$B$123,0)))</f>
        <v>6303</v>
      </c>
      <c r="G16" t="s">
        <v>87</v>
      </c>
      <c r="H16" s="216">
        <v>6500</v>
      </c>
      <c r="I16" s="52">
        <f>IF(J16="","",INDEX(COA!$A$4:$A$123,MATCH(JU!$J16,COA!$B$4:$B$123,0)))</f>
        <v>1103</v>
      </c>
      <c r="J16" t="s">
        <v>154</v>
      </c>
      <c r="K16" s="34">
        <f t="shared" si="3"/>
        <v>6500</v>
      </c>
    </row>
    <row r="17" spans="1:12" hidden="1">
      <c r="A17" s="50" t="str">
        <f t="shared" si="4"/>
        <v xml:space="preserve">By. Biaya </v>
      </c>
      <c r="B17" s="215">
        <v>46023</v>
      </c>
      <c r="C17" s="211" t="s">
        <v>566</v>
      </c>
      <c r="D17" s="51" t="s">
        <v>652</v>
      </c>
      <c r="F17" s="52">
        <f>IF(G17="","",INDEX(COA!$A$4:$A$123,MATCH(JU!$G17,COA!$B$4:$B$123,0)))</f>
        <v>6111</v>
      </c>
      <c r="G17" t="s">
        <v>150</v>
      </c>
      <c r="H17" s="216">
        <v>30000000</v>
      </c>
      <c r="I17" s="52">
        <f>IF(J17="","",INDEX(COA!$A$4:$A$123,MATCH(JU!$J17,COA!$B$4:$B$123,0)))</f>
        <v>1103</v>
      </c>
      <c r="J17" t="s">
        <v>154</v>
      </c>
      <c r="K17" s="34">
        <f t="shared" si="3"/>
        <v>30000000</v>
      </c>
    </row>
    <row r="18" spans="1:12" hidden="1">
      <c r="A18" s="50" t="str">
        <f t="shared" si="4"/>
        <v xml:space="preserve">By. Biaya </v>
      </c>
      <c r="B18" s="215">
        <v>46023</v>
      </c>
      <c r="C18" s="211" t="s">
        <v>305</v>
      </c>
      <c r="D18" s="51" t="s">
        <v>333</v>
      </c>
      <c r="F18" s="52" t="str">
        <f>IF(G18="","",INDEX(COA!$A$4:$A$123,MATCH(JU!$G18,COA!$B$4:$B$123,0)))</f>
        <v>6303</v>
      </c>
      <c r="G18" t="s">
        <v>87</v>
      </c>
      <c r="H18" s="216">
        <v>6500</v>
      </c>
      <c r="I18" s="52">
        <f>IF(J18="","",INDEX(COA!$A$4:$A$123,MATCH(JU!$J18,COA!$B$4:$B$123,0)))</f>
        <v>1103</v>
      </c>
      <c r="J18" t="s">
        <v>154</v>
      </c>
      <c r="K18" s="34">
        <f t="shared" si="3"/>
        <v>6500</v>
      </c>
    </row>
    <row r="19" spans="1:12" hidden="1">
      <c r="A19" s="50" t="str">
        <f t="shared" si="4"/>
        <v xml:space="preserve">By. Biaya </v>
      </c>
      <c r="B19" s="215">
        <v>46023</v>
      </c>
      <c r="C19" s="211" t="s">
        <v>567</v>
      </c>
      <c r="D19" s="51" t="s">
        <v>653</v>
      </c>
      <c r="F19" s="52">
        <f>IF(G19="","",INDEX(COA!$A$4:$A$123,MATCH(JU!$G19,COA!$B$4:$B$123,0)))</f>
        <v>5109</v>
      </c>
      <c r="G19" s="229" t="s">
        <v>73</v>
      </c>
      <c r="H19" s="216">
        <v>2000000</v>
      </c>
      <c r="I19" s="52">
        <f>IF(J19="","",INDEX(COA!$A$4:$A$123,MATCH(JU!$J19,COA!$B$4:$B$123,0)))</f>
        <v>1103</v>
      </c>
      <c r="J19" t="s">
        <v>154</v>
      </c>
      <c r="K19" s="34">
        <f t="shared" si="3"/>
        <v>2000000</v>
      </c>
    </row>
    <row r="20" spans="1:12" hidden="1">
      <c r="A20" s="50" t="str">
        <f t="shared" si="4"/>
        <v xml:space="preserve">By. Biaya </v>
      </c>
      <c r="B20" s="215">
        <v>46024</v>
      </c>
      <c r="C20" s="211" t="s">
        <v>568</v>
      </c>
      <c r="D20" s="51" t="s">
        <v>654</v>
      </c>
      <c r="F20" s="52">
        <f>IF(G20="","",INDEX(COA!$A$4:$A$123,MATCH(JU!$G20,COA!$B$4:$B$123,0)))</f>
        <v>5109</v>
      </c>
      <c r="G20" s="229" t="s">
        <v>73</v>
      </c>
      <c r="H20" s="216">
        <v>1000000</v>
      </c>
      <c r="I20" s="52">
        <f>IF(J20="","",INDEX(COA!$A$4:$A$123,MATCH(JU!$J20,COA!$B$4:$B$123,0)))</f>
        <v>1103</v>
      </c>
      <c r="J20" t="s">
        <v>154</v>
      </c>
      <c r="K20" s="34">
        <f t="shared" si="3"/>
        <v>1000000</v>
      </c>
    </row>
    <row r="21" spans="1:12" hidden="1">
      <c r="A21" s="50" t="str">
        <f t="shared" si="4"/>
        <v xml:space="preserve">Terima Uang Masuk atas </v>
      </c>
      <c r="B21" s="215">
        <v>46024</v>
      </c>
      <c r="C21" s="211" t="s">
        <v>569</v>
      </c>
      <c r="D21" s="51" t="s">
        <v>693</v>
      </c>
      <c r="F21" s="52">
        <f>IF(G21="","",INDEX(COA!$A$4:$A$123,MATCH(JU!$G21,COA!$B$4:$B$123,0)))</f>
        <v>1103</v>
      </c>
      <c r="G21" t="s">
        <v>154</v>
      </c>
      <c r="H21" s="216">
        <v>2500000</v>
      </c>
      <c r="I21" s="52">
        <f>IF(J21="","",INDEX(COA!$A$4:$A$123,MATCH(JU!$J21,COA!$B$4:$B$123,0)))</f>
        <v>1204</v>
      </c>
      <c r="J21" t="s">
        <v>28</v>
      </c>
      <c r="K21" s="34">
        <f t="shared" si="3"/>
        <v>2500000</v>
      </c>
    </row>
    <row r="22" spans="1:12" hidden="1">
      <c r="A22" s="50" t="str">
        <f t="shared" si="4"/>
        <v xml:space="preserve">Terima Uang Masuk atas </v>
      </c>
      <c r="B22" s="215">
        <v>46024</v>
      </c>
      <c r="D22" s="256" t="s">
        <v>417</v>
      </c>
      <c r="F22" s="52">
        <f>IF(G22="","",INDEX(COA!$A$4:$A$123,MATCH(JU!$G22,COA!$B$4:$B$123,0)))</f>
        <v>1103</v>
      </c>
      <c r="G22" t="s">
        <v>154</v>
      </c>
      <c r="H22" s="216">
        <v>100000000</v>
      </c>
      <c r="I22" s="52">
        <f>IF(J22="","",INDEX(COA!$A$4:$A$123,MATCH(JU!$J22,COA!$B$4:$B$123,0)))</f>
        <v>1202</v>
      </c>
      <c r="J22" t="s">
        <v>27</v>
      </c>
      <c r="K22" s="34">
        <f t="shared" si="3"/>
        <v>100000000</v>
      </c>
    </row>
    <row r="23" spans="1:12" hidden="1">
      <c r="A23" s="50" t="str">
        <f t="shared" si="4"/>
        <v xml:space="preserve">Terima Uang Masuk atas </v>
      </c>
      <c r="B23" s="215">
        <v>46024</v>
      </c>
      <c r="D23" s="256" t="s">
        <v>417</v>
      </c>
      <c r="F23" s="52">
        <f>IF(G23="","",INDEX(COA!$A$4:$A$123,MATCH(JU!$G23,COA!$B$4:$B$123,0)))</f>
        <v>1103</v>
      </c>
      <c r="G23" t="s">
        <v>154</v>
      </c>
      <c r="H23" s="216">
        <v>50000000</v>
      </c>
      <c r="I23" s="52">
        <f>IF(J23="","",INDEX(COA!$A$4:$A$123,MATCH(JU!$J23,COA!$B$4:$B$123,0)))</f>
        <v>1202</v>
      </c>
      <c r="J23" t="s">
        <v>27</v>
      </c>
      <c r="K23" s="34">
        <f t="shared" si="3"/>
        <v>50000000</v>
      </c>
    </row>
    <row r="24" spans="1:12" s="53" customFormat="1" hidden="1">
      <c r="A24" s="50" t="str">
        <f t="shared" si="4"/>
        <v xml:space="preserve">Terima Uang Masuk atas </v>
      </c>
      <c r="B24" s="215">
        <v>46026</v>
      </c>
      <c r="C24" s="212" t="s">
        <v>570</v>
      </c>
      <c r="D24" s="51" t="s">
        <v>655</v>
      </c>
      <c r="E24" s="54"/>
      <c r="F24" s="52">
        <f>IF(G24="","",INDEX(COA!$A$4:$A$123,MATCH(JU!$G24,COA!$B$4:$B$123,0)))</f>
        <v>1103</v>
      </c>
      <c r="G24" t="s">
        <v>154</v>
      </c>
      <c r="H24" s="216">
        <v>10000000</v>
      </c>
      <c r="I24" s="52">
        <f>IF(J24="","",INDEX(COA!$A$4:$A$123,MATCH(JU!$J24,COA!$B$4:$B$123,0)))</f>
        <v>1202</v>
      </c>
      <c r="J24" t="s">
        <v>27</v>
      </c>
      <c r="K24" s="34">
        <f t="shared" si="3"/>
        <v>10000000</v>
      </c>
      <c r="L24"/>
    </row>
    <row r="25" spans="1:12">
      <c r="A25" s="50" t="str">
        <f t="shared" si="4"/>
        <v xml:space="preserve">By. Biaya </v>
      </c>
      <c r="B25" s="215">
        <v>46026</v>
      </c>
      <c r="C25" s="211" t="s">
        <v>571</v>
      </c>
      <c r="D25" s="51" t="s">
        <v>656</v>
      </c>
      <c r="F25" s="52">
        <f>IF(G25="","",INDEX(COA!$A$4:$A$123,MATCH(JU!$G25,COA!$B$4:$B$123,0)))</f>
        <v>1302</v>
      </c>
      <c r="G25" t="s">
        <v>31</v>
      </c>
      <c r="H25" s="216">
        <v>3000000</v>
      </c>
      <c r="I25" s="52">
        <f>IF(J25="","",INDEX(COA!$A$4:$A$123,MATCH(JU!$J25,COA!$B$4:$B$123,0)))</f>
        <v>1103</v>
      </c>
      <c r="J25" t="s">
        <v>154</v>
      </c>
      <c r="K25" s="34">
        <f t="shared" si="3"/>
        <v>3000000</v>
      </c>
    </row>
    <row r="26" spans="1:12">
      <c r="A26" s="50" t="str">
        <f t="shared" si="4"/>
        <v xml:space="preserve">By. Biaya </v>
      </c>
      <c r="B26" s="215">
        <v>46026</v>
      </c>
      <c r="C26" s="211" t="s">
        <v>572</v>
      </c>
      <c r="D26" s="51" t="s">
        <v>657</v>
      </c>
      <c r="F26" s="52">
        <f>IF(G26="","",INDEX(COA!$A$4:$A$123,MATCH(JU!$G26,COA!$B$4:$B$123,0)))</f>
        <v>1302</v>
      </c>
      <c r="G26" t="s">
        <v>31</v>
      </c>
      <c r="H26" s="216">
        <v>7000000</v>
      </c>
      <c r="I26" s="52">
        <f>IF(J26="","",INDEX(COA!$A$4:$A$123,MATCH(JU!$J26,COA!$B$4:$B$123,0)))</f>
        <v>1103</v>
      </c>
      <c r="J26" t="s">
        <v>154</v>
      </c>
      <c r="K26" s="34">
        <f t="shared" si="3"/>
        <v>7000000</v>
      </c>
    </row>
    <row r="27" spans="1:12" hidden="1">
      <c r="A27" s="50" t="str">
        <f t="shared" si="4"/>
        <v xml:space="preserve">Terima Uang Masuk atas </v>
      </c>
      <c r="B27" s="215">
        <v>46026</v>
      </c>
      <c r="C27" s="211" t="s">
        <v>573</v>
      </c>
      <c r="D27" s="51" t="s">
        <v>658</v>
      </c>
      <c r="F27" s="52">
        <f>IF(G27="","",INDEX(COA!$A$4:$A$123,MATCH(JU!$G27,COA!$B$4:$B$123,0)))</f>
        <v>1103</v>
      </c>
      <c r="G27" t="s">
        <v>154</v>
      </c>
      <c r="H27" s="216">
        <v>32000000</v>
      </c>
      <c r="I27" s="52">
        <f>IF(J27="","",INDEX(COA!$A$4:$A$123,MATCH(JU!$J27,COA!$B$4:$B$123,0)))</f>
        <v>1202</v>
      </c>
      <c r="J27" t="s">
        <v>27</v>
      </c>
      <c r="K27" s="34">
        <f t="shared" si="3"/>
        <v>32000000</v>
      </c>
    </row>
    <row r="28" spans="1:12" hidden="1">
      <c r="A28" s="50" t="str">
        <f t="shared" si="4"/>
        <v xml:space="preserve">Terima Uang Masuk atas </v>
      </c>
      <c r="B28" s="215">
        <v>46027</v>
      </c>
      <c r="C28" s="211" t="s">
        <v>574</v>
      </c>
      <c r="D28" s="51" t="s">
        <v>659</v>
      </c>
      <c r="F28" s="52">
        <f>IF(G28="","",INDEX(COA!$A$4:$A$123,MATCH(JU!$G28,COA!$B$4:$B$123,0)))</f>
        <v>1103</v>
      </c>
      <c r="G28" t="s">
        <v>154</v>
      </c>
      <c r="H28" s="216">
        <v>150000</v>
      </c>
      <c r="I28" s="52">
        <f>IF(J28="","",INDEX(COA!$A$4:$A$123,MATCH(JU!$J28,COA!$B$4:$B$123,0)))</f>
        <v>6112</v>
      </c>
      <c r="J28" t="s">
        <v>205</v>
      </c>
      <c r="K28" s="34">
        <f t="shared" si="3"/>
        <v>150000</v>
      </c>
    </row>
    <row r="29" spans="1:12" hidden="1">
      <c r="A29" s="50" t="str">
        <f t="shared" si="4"/>
        <v xml:space="preserve">By. Biaya </v>
      </c>
      <c r="B29" s="215">
        <v>46027</v>
      </c>
      <c r="C29" s="211" t="s">
        <v>575</v>
      </c>
      <c r="D29" s="51" t="s">
        <v>660</v>
      </c>
      <c r="F29" s="52">
        <f>IF(G29="","",INDEX(COA!$A$4:$A$123,MATCH(JU!$G29,COA!$B$4:$B$123,0)))</f>
        <v>6112</v>
      </c>
      <c r="G29" t="s">
        <v>205</v>
      </c>
      <c r="H29" s="216">
        <v>6622000</v>
      </c>
      <c r="I29" s="52">
        <f>IF(J29="","",INDEX(COA!$A$4:$A$123,MATCH(JU!$J29,COA!$B$4:$B$123,0)))</f>
        <v>1103</v>
      </c>
      <c r="J29" t="s">
        <v>154</v>
      </c>
      <c r="K29" s="34">
        <f t="shared" si="3"/>
        <v>6622000</v>
      </c>
    </row>
    <row r="30" spans="1:12" hidden="1">
      <c r="A30" s="50" t="str">
        <f t="shared" si="4"/>
        <v xml:space="preserve">By. Biaya </v>
      </c>
      <c r="B30" s="215">
        <v>46027</v>
      </c>
      <c r="C30" s="211" t="s">
        <v>576</v>
      </c>
      <c r="D30" s="51" t="s">
        <v>661</v>
      </c>
      <c r="F30" s="52">
        <f>IF(G30="","",INDEX(COA!$A$4:$A$123,MATCH(JU!$G30,COA!$B$4:$B$123,0)))</f>
        <v>6112</v>
      </c>
      <c r="G30" t="s">
        <v>205</v>
      </c>
      <c r="H30" s="216">
        <v>100000</v>
      </c>
      <c r="I30" s="52">
        <f>IF(J30="","",INDEX(COA!$A$4:$A$123,MATCH(JU!$J30,COA!$B$4:$B$123,0)))</f>
        <v>1103</v>
      </c>
      <c r="J30" t="s">
        <v>154</v>
      </c>
      <c r="K30" s="34">
        <f t="shared" si="3"/>
        <v>100000</v>
      </c>
    </row>
    <row r="31" spans="1:12" hidden="1">
      <c r="A31" s="50" t="str">
        <f t="shared" si="4"/>
        <v xml:space="preserve">By. Biaya </v>
      </c>
      <c r="B31" s="215">
        <v>46027</v>
      </c>
      <c r="C31" s="211" t="s">
        <v>577</v>
      </c>
      <c r="D31" s="51" t="s">
        <v>662</v>
      </c>
      <c r="F31" s="52">
        <f>IF(G31="","",INDEX(COA!$A$4:$A$123,MATCH(JU!$G31,COA!$B$4:$B$123,0)))</f>
        <v>6112</v>
      </c>
      <c r="G31" t="s">
        <v>205</v>
      </c>
      <c r="H31" s="216">
        <v>100000</v>
      </c>
      <c r="I31" s="52">
        <f>IF(J31="","",INDEX(COA!$A$4:$A$123,MATCH(JU!$J31,COA!$B$4:$B$123,0)))</f>
        <v>1103</v>
      </c>
      <c r="J31" t="s">
        <v>154</v>
      </c>
      <c r="K31" s="34">
        <f t="shared" si="3"/>
        <v>100000</v>
      </c>
    </row>
    <row r="32" spans="1:12" hidden="1">
      <c r="A32" s="50" t="str">
        <f t="shared" si="4"/>
        <v xml:space="preserve">By. Biaya </v>
      </c>
      <c r="B32" s="215">
        <v>46027</v>
      </c>
      <c r="C32" s="211" t="s">
        <v>578</v>
      </c>
      <c r="D32" s="51" t="s">
        <v>663</v>
      </c>
      <c r="F32" s="52">
        <f>IF(G32="","",INDEX(COA!$A$4:$A$123,MATCH(JU!$G32,COA!$B$4:$B$123,0)))</f>
        <v>6112</v>
      </c>
      <c r="G32" t="s">
        <v>205</v>
      </c>
      <c r="H32" s="216">
        <v>50000</v>
      </c>
      <c r="I32" s="52">
        <f>IF(J32="","",INDEX(COA!$A$4:$A$123,MATCH(JU!$J32,COA!$B$4:$B$123,0)))</f>
        <v>1103</v>
      </c>
      <c r="J32" t="s">
        <v>154</v>
      </c>
      <c r="K32" s="34">
        <f t="shared" si="3"/>
        <v>50000</v>
      </c>
    </row>
    <row r="33" spans="1:11" hidden="1">
      <c r="A33" s="50" t="str">
        <f t="shared" si="4"/>
        <v xml:space="preserve">Terima Uang Masuk atas </v>
      </c>
      <c r="B33" s="215">
        <v>46027</v>
      </c>
      <c r="C33" s="211" t="s">
        <v>579</v>
      </c>
      <c r="D33" s="51" t="s">
        <v>664</v>
      </c>
      <c r="F33" s="52">
        <f>IF(G33="","",INDEX(COA!$A$4:$A$123,MATCH(JU!$G33,COA!$B$4:$B$123,0)))</f>
        <v>1103</v>
      </c>
      <c r="G33" t="s">
        <v>154</v>
      </c>
      <c r="H33" s="216">
        <v>5000000</v>
      </c>
      <c r="I33" s="52">
        <f>IF(J33="","",INDEX(COA!$A$4:$A$123,MATCH(JU!$J33,COA!$B$4:$B$123,0)))</f>
        <v>4102</v>
      </c>
      <c r="J33" t="s">
        <v>62</v>
      </c>
      <c r="K33" s="34">
        <f t="shared" si="3"/>
        <v>5000000</v>
      </c>
    </row>
    <row r="34" spans="1:11" hidden="1">
      <c r="A34" s="50" t="str">
        <f t="shared" si="4"/>
        <v xml:space="preserve">Terima Uang Masuk atas </v>
      </c>
      <c r="B34" s="215">
        <v>46027</v>
      </c>
      <c r="C34" s="211" t="s">
        <v>580</v>
      </c>
      <c r="D34" s="51" t="s">
        <v>665</v>
      </c>
      <c r="F34" s="52">
        <f>IF(G34="","",INDEX(COA!$A$4:$A$123,MATCH(JU!$G34,COA!$B$4:$B$123,0)))</f>
        <v>1103</v>
      </c>
      <c r="G34" t="s">
        <v>154</v>
      </c>
      <c r="H34" s="216">
        <v>5000000</v>
      </c>
      <c r="I34" s="52">
        <f>IF(J34="","",INDEX(COA!$A$4:$A$123,MATCH(JU!$J34,COA!$B$4:$B$123,0)))</f>
        <v>4102</v>
      </c>
      <c r="J34" t="s">
        <v>62</v>
      </c>
      <c r="K34" s="34">
        <f t="shared" si="3"/>
        <v>5000000</v>
      </c>
    </row>
    <row r="35" spans="1:11" hidden="1">
      <c r="A35" s="50" t="str">
        <f t="shared" si="4"/>
        <v xml:space="preserve">Terima Uang Masuk atas </v>
      </c>
      <c r="B35" s="215">
        <v>46027</v>
      </c>
      <c r="C35" s="211" t="s">
        <v>581</v>
      </c>
      <c r="D35" s="51" t="s">
        <v>666</v>
      </c>
      <c r="F35" s="52">
        <f>IF(G35="","",INDEX(COA!$A$4:$A$123,MATCH(JU!$G35,COA!$B$4:$B$123,0)))</f>
        <v>1103</v>
      </c>
      <c r="G35" t="s">
        <v>154</v>
      </c>
      <c r="H35" s="216">
        <v>5000000</v>
      </c>
      <c r="I35" s="52">
        <f>IF(J35="","",INDEX(COA!$A$4:$A$123,MATCH(JU!$J35,COA!$B$4:$B$123,0)))</f>
        <v>4102</v>
      </c>
      <c r="J35" t="s">
        <v>62</v>
      </c>
      <c r="K35" s="34">
        <f t="shared" si="3"/>
        <v>5000000</v>
      </c>
    </row>
    <row r="36" spans="1:11" hidden="1">
      <c r="A36" s="50" t="str">
        <f t="shared" si="4"/>
        <v xml:space="preserve">Terima Uang Masuk atas </v>
      </c>
      <c r="B36" s="215">
        <v>46027</v>
      </c>
      <c r="C36" s="211" t="s">
        <v>582</v>
      </c>
      <c r="D36" s="51" t="s">
        <v>667</v>
      </c>
      <c r="F36" s="52">
        <f>IF(G36="","",INDEX(COA!$A$4:$A$123,MATCH(JU!$G36,COA!$B$4:$B$123,0)))</f>
        <v>1103</v>
      </c>
      <c r="G36" t="s">
        <v>154</v>
      </c>
      <c r="H36" s="216">
        <v>5000000</v>
      </c>
      <c r="I36" s="52">
        <f>IF(J36="","",INDEX(COA!$A$4:$A$123,MATCH(JU!$J36,COA!$B$4:$B$123,0)))</f>
        <v>4102</v>
      </c>
      <c r="J36" t="s">
        <v>62</v>
      </c>
      <c r="K36" s="34">
        <f t="shared" si="3"/>
        <v>5000000</v>
      </c>
    </row>
    <row r="37" spans="1:11" hidden="1">
      <c r="A37" s="50" t="str">
        <f t="shared" si="4"/>
        <v xml:space="preserve">Terima Uang Masuk atas </v>
      </c>
      <c r="B37" s="215">
        <v>46027</v>
      </c>
      <c r="C37" s="211" t="s">
        <v>583</v>
      </c>
      <c r="D37" s="51" t="s">
        <v>668</v>
      </c>
      <c r="F37" s="52">
        <f>IF(G37="","",INDEX(COA!$A$4:$A$123,MATCH(JU!$G37,COA!$B$4:$B$123,0)))</f>
        <v>1103</v>
      </c>
      <c r="G37" t="s">
        <v>154</v>
      </c>
      <c r="H37" s="216">
        <v>5000000</v>
      </c>
      <c r="I37" s="52">
        <f>IF(J37="","",INDEX(COA!$A$4:$A$123,MATCH(JU!$J37,COA!$B$4:$B$123,0)))</f>
        <v>4102</v>
      </c>
      <c r="J37" t="s">
        <v>62</v>
      </c>
      <c r="K37" s="34">
        <f t="shared" si="3"/>
        <v>5000000</v>
      </c>
    </row>
    <row r="38" spans="1:11" hidden="1">
      <c r="A38" s="50" t="str">
        <f t="shared" si="4"/>
        <v xml:space="preserve">Terima Uang Masuk atas </v>
      </c>
      <c r="B38" s="215">
        <v>46027</v>
      </c>
      <c r="C38" s="211" t="s">
        <v>584</v>
      </c>
      <c r="D38" s="51" t="s">
        <v>669</v>
      </c>
      <c r="F38" s="52">
        <f>IF(G38="","",INDEX(COA!$A$4:$A$123,MATCH(JU!$G38,COA!$B$4:$B$123,0)))</f>
        <v>1103</v>
      </c>
      <c r="G38" t="s">
        <v>154</v>
      </c>
      <c r="H38" s="216">
        <v>5000000</v>
      </c>
      <c r="I38" s="52">
        <f>IF(J38="","",INDEX(COA!$A$4:$A$123,MATCH(JU!$J38,COA!$B$4:$B$123,0)))</f>
        <v>4102</v>
      </c>
      <c r="J38" t="s">
        <v>62</v>
      </c>
      <c r="K38" s="34">
        <f t="shared" si="3"/>
        <v>5000000</v>
      </c>
    </row>
    <row r="39" spans="1:11" hidden="1">
      <c r="A39" s="50" t="str">
        <f t="shared" si="4"/>
        <v xml:space="preserve">Terima Uang Masuk atas </v>
      </c>
      <c r="B39" s="215">
        <v>46027</v>
      </c>
      <c r="C39" s="211" t="s">
        <v>585</v>
      </c>
      <c r="D39" s="51" t="s">
        <v>670</v>
      </c>
      <c r="F39" s="52">
        <f>IF(G39="","",INDEX(COA!$A$4:$A$123,MATCH(JU!$G39,COA!$B$4:$B$123,0)))</f>
        <v>1103</v>
      </c>
      <c r="G39" t="s">
        <v>154</v>
      </c>
      <c r="H39" s="216">
        <v>5000000</v>
      </c>
      <c r="I39" s="52">
        <f>IF(J39="","",INDEX(COA!$A$4:$A$123,MATCH(JU!$J39,COA!$B$4:$B$123,0)))</f>
        <v>4102</v>
      </c>
      <c r="J39" t="s">
        <v>62</v>
      </c>
      <c r="K39" s="34">
        <f t="shared" si="3"/>
        <v>5000000</v>
      </c>
    </row>
    <row r="40" spans="1:11" hidden="1">
      <c r="A40" s="50" t="str">
        <f t="shared" si="4"/>
        <v xml:space="preserve">By. Biaya </v>
      </c>
      <c r="B40" s="215">
        <v>46027</v>
      </c>
      <c r="C40" s="211" t="s">
        <v>586</v>
      </c>
      <c r="D40" s="256" t="s">
        <v>671</v>
      </c>
      <c r="F40" s="52">
        <f>IF(G40="","",INDEX(COA!$A$4:$A$123,MATCH(JU!$G40,COA!$B$4:$B$123,0)))</f>
        <v>1203</v>
      </c>
      <c r="G40" t="s">
        <v>140</v>
      </c>
      <c r="H40" s="216">
        <v>7500000</v>
      </c>
      <c r="I40" s="52">
        <f>IF(J40="","",INDEX(COA!$A$4:$A$123,MATCH(JU!$J40,COA!$B$4:$B$123,0)))</f>
        <v>1103</v>
      </c>
      <c r="J40" t="s">
        <v>154</v>
      </c>
      <c r="K40" s="34">
        <f t="shared" si="3"/>
        <v>7500000</v>
      </c>
    </row>
    <row r="41" spans="1:11" hidden="1">
      <c r="A41" s="50" t="str">
        <f t="shared" si="4"/>
        <v xml:space="preserve">By. Biaya </v>
      </c>
      <c r="B41" s="215">
        <v>46027</v>
      </c>
      <c r="C41" s="211" t="s">
        <v>305</v>
      </c>
      <c r="D41" s="51" t="s">
        <v>333</v>
      </c>
      <c r="F41" s="52" t="str">
        <f>IF(G41="","",INDEX(COA!$A$4:$A$123,MATCH(JU!$G41,COA!$B$4:$B$123,0)))</f>
        <v>6303</v>
      </c>
      <c r="G41" t="s">
        <v>87</v>
      </c>
      <c r="H41" s="216">
        <v>2500</v>
      </c>
      <c r="I41" s="52">
        <f>IF(J41="","",INDEX(COA!$A$4:$A$123,MATCH(JU!$J41,COA!$B$4:$B$123,0)))</f>
        <v>1103</v>
      </c>
      <c r="J41" t="s">
        <v>154</v>
      </c>
      <c r="K41" s="34">
        <f t="shared" si="3"/>
        <v>2500</v>
      </c>
    </row>
    <row r="42" spans="1:11" hidden="1">
      <c r="A42" s="50" t="str">
        <f t="shared" si="4"/>
        <v xml:space="preserve">By. Biaya </v>
      </c>
      <c r="B42" s="215">
        <v>46027</v>
      </c>
      <c r="C42" s="211" t="s">
        <v>587</v>
      </c>
      <c r="D42" s="51" t="s">
        <v>694</v>
      </c>
      <c r="F42" s="52">
        <f>IF(G42="","",INDEX(COA!$A$4:$A$123,MATCH(JU!$G42,COA!$B$4:$B$123,0)))</f>
        <v>1203</v>
      </c>
      <c r="G42" t="s">
        <v>140</v>
      </c>
      <c r="H42" s="216">
        <v>52487500</v>
      </c>
      <c r="I42" s="52">
        <f>IF(J42="","",INDEX(COA!$A$4:$A$123,MATCH(JU!$J42,COA!$B$4:$B$123,0)))</f>
        <v>1103</v>
      </c>
      <c r="J42" t="s">
        <v>154</v>
      </c>
      <c r="K42" s="34">
        <f t="shared" si="3"/>
        <v>52487500</v>
      </c>
    </row>
    <row r="43" spans="1:11" hidden="1">
      <c r="A43" s="50" t="str">
        <f t="shared" si="4"/>
        <v xml:space="preserve">By. Biaya </v>
      </c>
      <c r="B43" s="215">
        <v>46028</v>
      </c>
      <c r="C43" s="211" t="s">
        <v>588</v>
      </c>
      <c r="D43" s="51" t="s">
        <v>672</v>
      </c>
      <c r="F43" s="52">
        <f>IF(G43="","",INDEX(COA!$A$4:$A$123,MATCH(JU!$G43,COA!$B$4:$B$123,0)))</f>
        <v>1302</v>
      </c>
      <c r="G43" t="s">
        <v>31</v>
      </c>
      <c r="H43" s="216">
        <v>2700000</v>
      </c>
      <c r="I43" s="52">
        <f>IF(J43="","",INDEX(COA!$A$4:$A$123,MATCH(JU!$J43,COA!$B$4:$B$123,0)))</f>
        <v>1103</v>
      </c>
      <c r="J43" t="s">
        <v>154</v>
      </c>
      <c r="K43" s="34">
        <f t="shared" si="3"/>
        <v>2700000</v>
      </c>
    </row>
    <row r="44" spans="1:11" hidden="1">
      <c r="A44" s="50" t="str">
        <f t="shared" si="4"/>
        <v xml:space="preserve">Terima Uang Masuk atas </v>
      </c>
      <c r="B44" s="215">
        <v>46028</v>
      </c>
      <c r="C44" s="211" t="s">
        <v>589</v>
      </c>
      <c r="D44" s="51" t="s">
        <v>673</v>
      </c>
      <c r="F44" s="52">
        <f>IF(G44="","",INDEX(COA!$A$4:$A$123,MATCH(JU!$G44,COA!$B$4:$B$123,0)))</f>
        <v>1103</v>
      </c>
      <c r="G44" t="s">
        <v>154</v>
      </c>
      <c r="H44" s="216">
        <v>5000000</v>
      </c>
      <c r="I44" s="52">
        <f>IF(J44="","",INDEX(COA!$A$4:$A$123,MATCH(JU!$J44,COA!$B$4:$B$123,0)))</f>
        <v>4102</v>
      </c>
      <c r="J44" t="s">
        <v>62</v>
      </c>
      <c r="K44" s="34">
        <f t="shared" si="3"/>
        <v>5000000</v>
      </c>
    </row>
    <row r="45" spans="1:11" hidden="1">
      <c r="A45" s="50" t="str">
        <f t="shared" si="4"/>
        <v xml:space="preserve">By. Biaya </v>
      </c>
      <c r="B45" s="215">
        <v>46028</v>
      </c>
      <c r="C45" s="211" t="s">
        <v>590</v>
      </c>
      <c r="D45" s="51" t="s">
        <v>674</v>
      </c>
      <c r="F45" s="52">
        <f>IF(G45="","",INDEX(COA!$A$4:$A$123,MATCH(JU!$G45,COA!$B$4:$B$123,0)))</f>
        <v>1302</v>
      </c>
      <c r="G45" t="s">
        <v>31</v>
      </c>
      <c r="H45" s="216">
        <v>200000</v>
      </c>
      <c r="I45" s="52">
        <f>IF(J45="","",INDEX(COA!$A$4:$A$123,MATCH(JU!$J45,COA!$B$4:$B$123,0)))</f>
        <v>1103</v>
      </c>
      <c r="J45" t="s">
        <v>154</v>
      </c>
      <c r="K45" s="34">
        <f t="shared" si="3"/>
        <v>200000</v>
      </c>
    </row>
    <row r="46" spans="1:11" hidden="1">
      <c r="A46" s="50" t="str">
        <f t="shared" si="4"/>
        <v xml:space="preserve">By. Biaya </v>
      </c>
      <c r="B46" s="215">
        <v>46028</v>
      </c>
      <c r="C46" s="211" t="s">
        <v>591</v>
      </c>
      <c r="D46" s="51" t="s">
        <v>675</v>
      </c>
      <c r="F46" s="52">
        <f>IF(G46="","",INDEX(COA!$A$4:$A$123,MATCH(JU!$G46,COA!$B$4:$B$123,0)))</f>
        <v>1302</v>
      </c>
      <c r="G46" t="s">
        <v>31</v>
      </c>
      <c r="H46" s="216">
        <v>1570000</v>
      </c>
      <c r="I46" s="52">
        <f>IF(J46="","",INDEX(COA!$A$4:$A$123,MATCH(JU!$J46,COA!$B$4:$B$123,0)))</f>
        <v>1103</v>
      </c>
      <c r="J46" t="s">
        <v>154</v>
      </c>
      <c r="K46" s="34">
        <f t="shared" si="3"/>
        <v>1570000</v>
      </c>
    </row>
    <row r="47" spans="1:11" hidden="1">
      <c r="A47" s="50" t="str">
        <f t="shared" si="4"/>
        <v xml:space="preserve">By. Biaya </v>
      </c>
      <c r="B47" s="215">
        <v>46028</v>
      </c>
      <c r="C47" s="211" t="s">
        <v>592</v>
      </c>
      <c r="D47" s="51" t="s">
        <v>676</v>
      </c>
      <c r="F47" s="52">
        <f>IF(G47="","",INDEX(COA!$A$4:$A$123,MATCH(JU!$G47,COA!$B$4:$B$123,0)))</f>
        <v>1302</v>
      </c>
      <c r="G47" t="s">
        <v>31</v>
      </c>
      <c r="H47" s="216">
        <v>10416200</v>
      </c>
      <c r="I47" s="52">
        <f>IF(J47="","",INDEX(COA!$A$4:$A$123,MATCH(JU!$J47,COA!$B$4:$B$123,0)))</f>
        <v>1103</v>
      </c>
      <c r="J47" t="s">
        <v>154</v>
      </c>
      <c r="K47" s="34">
        <f t="shared" si="3"/>
        <v>10416200</v>
      </c>
    </row>
    <row r="48" spans="1:11" hidden="1">
      <c r="A48" s="50" t="str">
        <f t="shared" si="4"/>
        <v xml:space="preserve">Terima Uang Masuk atas </v>
      </c>
      <c r="B48" s="215">
        <v>46028</v>
      </c>
      <c r="C48" s="211" t="s">
        <v>593</v>
      </c>
      <c r="D48" s="51" t="s">
        <v>2301</v>
      </c>
      <c r="F48" s="52">
        <f>IF(G48="","",INDEX(COA!$A$4:$A$123,MATCH(JU!$G48,COA!$B$4:$B$123,0)))</f>
        <v>1103</v>
      </c>
      <c r="G48" t="s">
        <v>154</v>
      </c>
      <c r="H48" s="216">
        <v>20000000</v>
      </c>
      <c r="I48" s="52">
        <f>IF(J48="","",INDEX(COA!$A$4:$A$123,MATCH(JU!$J48,COA!$B$4:$B$123,0)))</f>
        <v>1202</v>
      </c>
      <c r="J48" t="s">
        <v>27</v>
      </c>
      <c r="K48" s="34">
        <f t="shared" si="3"/>
        <v>20000000</v>
      </c>
    </row>
    <row r="49" spans="1:11" hidden="1">
      <c r="A49" s="50" t="str">
        <f t="shared" si="4"/>
        <v xml:space="preserve">By. Biaya </v>
      </c>
      <c r="B49" s="215">
        <v>46028</v>
      </c>
      <c r="C49" s="211" t="s">
        <v>594</v>
      </c>
      <c r="D49" s="51" t="s">
        <v>677</v>
      </c>
      <c r="F49" s="52">
        <f>IF(G49="","",INDEX(COA!$A$4:$A$123,MATCH(JU!$G49,COA!$B$4:$B$123,0)))</f>
        <v>1302</v>
      </c>
      <c r="G49" t="s">
        <v>31</v>
      </c>
      <c r="H49" s="216">
        <v>6928000</v>
      </c>
      <c r="I49" s="52">
        <f>IF(J49="","",INDEX(COA!$A$4:$A$123,MATCH(JU!$J49,COA!$B$4:$B$123,0)))</f>
        <v>1103</v>
      </c>
      <c r="J49" t="s">
        <v>154</v>
      </c>
      <c r="K49" s="34">
        <f t="shared" si="3"/>
        <v>6928000</v>
      </c>
    </row>
    <row r="50" spans="1:11" hidden="1">
      <c r="A50" s="50" t="str">
        <f t="shared" si="4"/>
        <v xml:space="preserve">Terima Uang Masuk atas </v>
      </c>
      <c r="B50" s="215">
        <v>46028</v>
      </c>
      <c r="C50" s="211" t="s">
        <v>595</v>
      </c>
      <c r="D50" s="51" t="s">
        <v>678</v>
      </c>
      <c r="F50" s="52">
        <f>IF(G50="","",INDEX(COA!$A$4:$A$123,MATCH(JU!$G50,COA!$B$4:$B$123,0)))</f>
        <v>1103</v>
      </c>
      <c r="G50" t="s">
        <v>154</v>
      </c>
      <c r="H50" s="216">
        <v>8000000</v>
      </c>
      <c r="I50" s="52">
        <f>IF(J50="","",INDEX(COA!$A$4:$A$123,MATCH(JU!$J50,COA!$B$4:$B$123,0)))</f>
        <v>1202</v>
      </c>
      <c r="J50" t="s">
        <v>27</v>
      </c>
      <c r="K50" s="34">
        <f t="shared" si="3"/>
        <v>8000000</v>
      </c>
    </row>
    <row r="51" spans="1:11" hidden="1">
      <c r="A51" s="50" t="str">
        <f t="shared" si="4"/>
        <v xml:space="preserve">By. Biaya </v>
      </c>
      <c r="B51" s="215">
        <v>46028</v>
      </c>
      <c r="C51" s="211" t="s">
        <v>596</v>
      </c>
      <c r="D51" s="51" t="s">
        <v>679</v>
      </c>
      <c r="F51" s="52">
        <f>IF(G51="","",INDEX(COA!$A$4:$A$123,MATCH(JU!$G51,COA!$B$4:$B$123,0)))</f>
        <v>1302</v>
      </c>
      <c r="G51" t="s">
        <v>31</v>
      </c>
      <c r="H51" s="216">
        <v>25000000</v>
      </c>
      <c r="I51" s="52">
        <f>IF(J51="","",INDEX(COA!$A$4:$A$123,MATCH(JU!$J51,COA!$B$4:$B$123,0)))</f>
        <v>1103</v>
      </c>
      <c r="J51" t="s">
        <v>154</v>
      </c>
      <c r="K51" s="34">
        <f t="shared" si="3"/>
        <v>25000000</v>
      </c>
    </row>
    <row r="52" spans="1:11" hidden="1">
      <c r="A52" s="50" t="str">
        <f t="shared" si="4"/>
        <v xml:space="preserve">By. Biaya </v>
      </c>
      <c r="B52" s="215">
        <v>46028</v>
      </c>
      <c r="C52" s="211" t="s">
        <v>597</v>
      </c>
      <c r="D52" s="51" t="s">
        <v>680</v>
      </c>
      <c r="F52" s="52">
        <f>IF(G52="","",INDEX(COA!$A$4:$A$123,MATCH(JU!$G52,COA!$B$4:$B$123,0)))</f>
        <v>6112</v>
      </c>
      <c r="G52" t="s">
        <v>205</v>
      </c>
      <c r="H52" s="216">
        <v>6000000</v>
      </c>
      <c r="I52" s="52">
        <f>IF(J52="","",INDEX(COA!$A$4:$A$123,MATCH(JU!$J52,COA!$B$4:$B$123,0)))</f>
        <v>1103</v>
      </c>
      <c r="J52" t="s">
        <v>154</v>
      </c>
      <c r="K52" s="34">
        <f t="shared" si="3"/>
        <v>6000000</v>
      </c>
    </row>
    <row r="53" spans="1:11" hidden="1">
      <c r="A53" s="50" t="str">
        <f t="shared" si="4"/>
        <v xml:space="preserve">By. Biaya </v>
      </c>
      <c r="B53" s="215">
        <v>46028</v>
      </c>
      <c r="C53" s="211" t="s">
        <v>598</v>
      </c>
      <c r="D53" s="51" t="s">
        <v>681</v>
      </c>
      <c r="F53" s="52">
        <f>IF(G53="","",INDEX(COA!$A$4:$A$123,MATCH(JU!$G53,COA!$B$4:$B$123,0)))</f>
        <v>6112</v>
      </c>
      <c r="G53" t="s">
        <v>205</v>
      </c>
      <c r="H53" s="216">
        <v>8500000</v>
      </c>
      <c r="I53" s="52">
        <f>IF(J53="","",INDEX(COA!$A$4:$A$123,MATCH(JU!$J53,COA!$B$4:$B$123,0)))</f>
        <v>1103</v>
      </c>
      <c r="J53" t="s">
        <v>154</v>
      </c>
      <c r="K53" s="34">
        <f t="shared" si="3"/>
        <v>8500000</v>
      </c>
    </row>
    <row r="54" spans="1:11" hidden="1">
      <c r="A54" s="50" t="str">
        <f t="shared" si="4"/>
        <v xml:space="preserve">By. Biaya </v>
      </c>
      <c r="B54" s="215">
        <v>46028</v>
      </c>
      <c r="C54" s="211" t="s">
        <v>599</v>
      </c>
      <c r="D54" s="51" t="s">
        <v>682</v>
      </c>
      <c r="F54" s="52">
        <f>IF(G54="","",INDEX(COA!$A$4:$A$123,MATCH(JU!$G54,COA!$B$4:$B$123,0)))</f>
        <v>6112</v>
      </c>
      <c r="G54" t="s">
        <v>205</v>
      </c>
      <c r="H54" s="216">
        <v>96000</v>
      </c>
      <c r="I54" s="52">
        <f>IF(J54="","",INDEX(COA!$A$4:$A$123,MATCH(JU!$J54,COA!$B$4:$B$123,0)))</f>
        <v>1103</v>
      </c>
      <c r="J54" t="s">
        <v>154</v>
      </c>
      <c r="K54" s="34">
        <f t="shared" si="3"/>
        <v>96000</v>
      </c>
    </row>
    <row r="55" spans="1:11" hidden="1">
      <c r="A55" s="50" t="str">
        <f t="shared" si="4"/>
        <v xml:space="preserve">By. Biaya </v>
      </c>
      <c r="B55" s="215">
        <v>46028</v>
      </c>
      <c r="C55" s="211" t="s">
        <v>600</v>
      </c>
      <c r="D55" s="51" t="s">
        <v>683</v>
      </c>
      <c r="F55" s="52">
        <f>IF(G55="","",INDEX(COA!$A$4:$A$123,MATCH(JU!$G55,COA!$B$4:$B$123,0)))</f>
        <v>6108</v>
      </c>
      <c r="G55" t="s">
        <v>78</v>
      </c>
      <c r="H55" s="216">
        <v>120000</v>
      </c>
      <c r="I55" s="52">
        <f>IF(J55="","",INDEX(COA!$A$4:$A$123,MATCH(JU!$J55,COA!$B$4:$B$123,0)))</f>
        <v>1103</v>
      </c>
      <c r="J55" t="s">
        <v>154</v>
      </c>
      <c r="K55" s="34">
        <f t="shared" si="3"/>
        <v>120000</v>
      </c>
    </row>
    <row r="56" spans="1:11" hidden="1">
      <c r="A56" s="50" t="str">
        <f t="shared" si="4"/>
        <v xml:space="preserve">By. Biaya </v>
      </c>
      <c r="B56" s="215">
        <v>46029</v>
      </c>
      <c r="C56" s="211" t="s">
        <v>601</v>
      </c>
      <c r="D56" s="51" t="s">
        <v>684</v>
      </c>
      <c r="F56" s="52">
        <f>IF(G56="","",INDEX(COA!$A$4:$A$123,MATCH(JU!$G56,COA!$B$4:$B$123,0)))</f>
        <v>1302</v>
      </c>
      <c r="G56" t="s">
        <v>31</v>
      </c>
      <c r="H56" s="216">
        <v>3000000</v>
      </c>
      <c r="I56" s="52">
        <f>IF(J56="","",INDEX(COA!$A$4:$A$123,MATCH(JU!$J56,COA!$B$4:$B$123,0)))</f>
        <v>1103</v>
      </c>
      <c r="J56" t="s">
        <v>154</v>
      </c>
      <c r="K56" s="34">
        <f t="shared" si="3"/>
        <v>3000000</v>
      </c>
    </row>
    <row r="57" spans="1:11" hidden="1">
      <c r="A57" s="50" t="str">
        <f t="shared" si="4"/>
        <v xml:space="preserve">By. Biaya </v>
      </c>
      <c r="B57" s="215">
        <v>46029</v>
      </c>
      <c r="C57" s="211" t="s">
        <v>602</v>
      </c>
      <c r="D57" s="51" t="s">
        <v>685</v>
      </c>
      <c r="F57" s="52">
        <f>IF(G57="","",INDEX(COA!$A$4:$A$123,MATCH(JU!$G57,COA!$B$4:$B$123,0)))</f>
        <v>1302</v>
      </c>
      <c r="G57" t="s">
        <v>31</v>
      </c>
      <c r="H57" s="216">
        <v>750000</v>
      </c>
      <c r="I57" s="52">
        <f>IF(J57="","",INDEX(COA!$A$4:$A$123,MATCH(JU!$J57,COA!$B$4:$B$123,0)))</f>
        <v>1103</v>
      </c>
      <c r="J57" t="s">
        <v>154</v>
      </c>
      <c r="K57" s="34">
        <f t="shared" si="3"/>
        <v>750000</v>
      </c>
    </row>
    <row r="58" spans="1:11" hidden="1">
      <c r="A58" s="50" t="str">
        <f t="shared" si="4"/>
        <v xml:space="preserve">Terima Uang Masuk atas </v>
      </c>
      <c r="B58" s="215">
        <v>46029</v>
      </c>
      <c r="C58" s="211" t="s">
        <v>603</v>
      </c>
      <c r="D58" s="51" t="s">
        <v>686</v>
      </c>
      <c r="F58" s="52">
        <f>IF(G58="","",INDEX(COA!$A$4:$A$123,MATCH(JU!$G58,COA!$B$4:$B$123,0)))</f>
        <v>1103</v>
      </c>
      <c r="G58" t="s">
        <v>154</v>
      </c>
      <c r="H58" s="216">
        <v>5000000</v>
      </c>
      <c r="I58" s="52">
        <f>IF(J58="","",INDEX(COA!$A$4:$A$123,MATCH(JU!$J58,COA!$B$4:$B$123,0)))</f>
        <v>4102</v>
      </c>
      <c r="J58" t="s">
        <v>62</v>
      </c>
      <c r="K58" s="34">
        <f t="shared" si="3"/>
        <v>5000000</v>
      </c>
    </row>
    <row r="59" spans="1:11" hidden="1">
      <c r="A59" s="50" t="str">
        <f t="shared" si="4"/>
        <v xml:space="preserve">By. Biaya </v>
      </c>
      <c r="B59" s="215">
        <v>46030</v>
      </c>
      <c r="C59" s="211" t="s">
        <v>604</v>
      </c>
      <c r="D59" s="51" t="s">
        <v>687</v>
      </c>
      <c r="F59" s="52">
        <f>IF(G59="","",INDEX(COA!$A$4:$A$123,MATCH(JU!$G59,COA!$B$4:$B$123,0)))</f>
        <v>1302</v>
      </c>
      <c r="G59" t="s">
        <v>31</v>
      </c>
      <c r="H59" s="216">
        <v>457040</v>
      </c>
      <c r="I59" s="52">
        <f>IF(J59="","",INDEX(COA!$A$4:$A$123,MATCH(JU!$J59,COA!$B$4:$B$123,0)))</f>
        <v>1103</v>
      </c>
      <c r="J59" t="s">
        <v>154</v>
      </c>
      <c r="K59" s="34">
        <f t="shared" si="3"/>
        <v>457040</v>
      </c>
    </row>
    <row r="60" spans="1:11" hidden="1">
      <c r="A60" s="50" t="str">
        <f t="shared" si="4"/>
        <v xml:space="preserve">Terima Uang Masuk atas </v>
      </c>
      <c r="B60" s="215">
        <v>46030</v>
      </c>
      <c r="C60" s="211" t="s">
        <v>605</v>
      </c>
      <c r="D60" s="51" t="s">
        <v>688</v>
      </c>
      <c r="F60" s="52">
        <f>IF(G60="","",INDEX(COA!$A$4:$A$123,MATCH(JU!$G60,COA!$B$4:$B$123,0)))</f>
        <v>1103</v>
      </c>
      <c r="G60" t="s">
        <v>154</v>
      </c>
      <c r="H60" s="216">
        <v>5000000</v>
      </c>
      <c r="I60" s="52">
        <f>IF(J60="","",INDEX(COA!$A$4:$A$123,MATCH(JU!$J60,COA!$B$4:$B$123,0)))</f>
        <v>4102</v>
      </c>
      <c r="J60" t="s">
        <v>62</v>
      </c>
      <c r="K60" s="34">
        <f t="shared" si="3"/>
        <v>5000000</v>
      </c>
    </row>
    <row r="61" spans="1:11" hidden="1">
      <c r="A61" s="50" t="str">
        <f t="shared" si="4"/>
        <v xml:space="preserve">By. Biaya </v>
      </c>
      <c r="B61" s="215">
        <v>46030</v>
      </c>
      <c r="C61" s="211" t="s">
        <v>606</v>
      </c>
      <c r="D61" s="51" t="s">
        <v>689</v>
      </c>
      <c r="F61" s="52">
        <f>IF(G61="","",INDEX(COA!$A$4:$A$123,MATCH(JU!$G61,COA!$B$4:$B$123,0)))</f>
        <v>6101</v>
      </c>
      <c r="G61" t="s">
        <v>75</v>
      </c>
      <c r="H61" s="216">
        <v>3192276</v>
      </c>
      <c r="I61" s="52">
        <f>IF(J61="","",INDEX(COA!$A$4:$A$123,MATCH(JU!$J61,COA!$B$4:$B$123,0)))</f>
        <v>1103</v>
      </c>
      <c r="J61" t="s">
        <v>154</v>
      </c>
      <c r="K61" s="34">
        <f t="shared" si="3"/>
        <v>3192276</v>
      </c>
    </row>
    <row r="62" spans="1:11" hidden="1">
      <c r="A62" s="50" t="str">
        <f t="shared" si="4"/>
        <v xml:space="preserve">By. Biaya </v>
      </c>
      <c r="B62" s="215">
        <v>46030</v>
      </c>
      <c r="C62" s="211" t="s">
        <v>607</v>
      </c>
      <c r="D62" s="51" t="s">
        <v>690</v>
      </c>
      <c r="F62" s="52">
        <f>IF(G62="","",INDEX(COA!$A$4:$A$123,MATCH(JU!$G62,COA!$B$4:$B$123,0)))</f>
        <v>1302</v>
      </c>
      <c r="G62" t="s">
        <v>31</v>
      </c>
      <c r="H62" s="216">
        <v>92000</v>
      </c>
      <c r="I62" s="52">
        <f>IF(J62="","",INDEX(COA!$A$4:$A$123,MATCH(JU!$J62,COA!$B$4:$B$123,0)))</f>
        <v>1103</v>
      </c>
      <c r="J62" t="s">
        <v>154</v>
      </c>
      <c r="K62" s="34">
        <f t="shared" si="3"/>
        <v>92000</v>
      </c>
    </row>
    <row r="63" spans="1:11" hidden="1">
      <c r="A63" s="50" t="str">
        <f t="shared" si="4"/>
        <v xml:space="preserve">Terima Uang Masuk atas </v>
      </c>
      <c r="B63" s="215">
        <v>46030</v>
      </c>
      <c r="C63" s="211" t="s">
        <v>608</v>
      </c>
      <c r="D63" s="51" t="s">
        <v>691</v>
      </c>
      <c r="F63" s="52">
        <f>IF(G63="","",INDEX(COA!$A$4:$A$123,MATCH(JU!$G63,COA!$B$4:$B$123,0)))</f>
        <v>1103</v>
      </c>
      <c r="G63" t="s">
        <v>154</v>
      </c>
      <c r="H63" s="216">
        <v>50000000</v>
      </c>
      <c r="I63" s="52">
        <f>IF(J63="","",INDEX(COA!$A$4:$A$123,MATCH(JU!$J63,COA!$B$4:$B$123,0)))</f>
        <v>1204</v>
      </c>
      <c r="J63" t="s">
        <v>28</v>
      </c>
      <c r="K63" s="34">
        <f t="shared" si="3"/>
        <v>50000000</v>
      </c>
    </row>
    <row r="64" spans="1:11" hidden="1">
      <c r="A64" s="50" t="str">
        <f t="shared" si="4"/>
        <v xml:space="preserve">Terima Uang Masuk atas </v>
      </c>
      <c r="B64" s="215">
        <v>46030</v>
      </c>
      <c r="C64" s="211" t="s">
        <v>609</v>
      </c>
      <c r="D64" s="51" t="s">
        <v>692</v>
      </c>
      <c r="F64" s="52">
        <f>IF(G64="","",INDEX(COA!$A$4:$A$123,MATCH(JU!$G64,COA!$B$4:$B$123,0)))</f>
        <v>1103</v>
      </c>
      <c r="G64" t="s">
        <v>154</v>
      </c>
      <c r="H64" s="216">
        <v>52487500</v>
      </c>
      <c r="I64" s="52">
        <f>IF(J64="","",INDEX(COA!$A$4:$A$123,MATCH(JU!$J64,COA!$B$4:$B$123,0)))</f>
        <v>1203</v>
      </c>
      <c r="J64" t="s">
        <v>140</v>
      </c>
      <c r="K64" s="34">
        <f t="shared" si="3"/>
        <v>52487500</v>
      </c>
    </row>
    <row r="65" spans="1:13" hidden="1">
      <c r="A65" s="50" t="str">
        <f t="shared" si="4"/>
        <v xml:space="preserve">By. Biaya </v>
      </c>
      <c r="B65" s="215">
        <v>46031</v>
      </c>
      <c r="D65" s="256" t="s">
        <v>399</v>
      </c>
      <c r="F65" s="52">
        <f>IF(G65="","",INDEX(COA!$A$4:$A$123,MATCH(JU!$G65,COA!$B$4:$B$123,0)))</f>
        <v>1202</v>
      </c>
      <c r="G65" t="s">
        <v>27</v>
      </c>
      <c r="H65" s="216">
        <v>53000000</v>
      </c>
      <c r="I65" s="52">
        <f>IF(J65="","",INDEX(COA!$A$4:$A$123,MATCH(JU!$J65,COA!$B$4:$B$123,0)))</f>
        <v>1103</v>
      </c>
      <c r="J65" t="s">
        <v>154</v>
      </c>
      <c r="K65" s="34">
        <f t="shared" si="3"/>
        <v>53000000</v>
      </c>
    </row>
    <row r="66" spans="1:13" hidden="1">
      <c r="A66" s="50" t="str">
        <f t="shared" si="4"/>
        <v xml:space="preserve">By. Biaya </v>
      </c>
      <c r="B66" s="215">
        <v>46031</v>
      </c>
      <c r="C66" s="211" t="s">
        <v>305</v>
      </c>
      <c r="D66" s="51" t="s">
        <v>333</v>
      </c>
      <c r="F66" s="52" t="str">
        <f>IF(G66="","",INDEX(COA!$A$4:$A$123,MATCH(JU!$G66,COA!$B$4:$B$123,0)))</f>
        <v>6303</v>
      </c>
      <c r="G66" t="s">
        <v>87</v>
      </c>
      <c r="H66" s="216">
        <v>6500</v>
      </c>
      <c r="I66" s="52">
        <f>IF(J66="","",INDEX(COA!$A$4:$A$123,MATCH(JU!$J66,COA!$B$4:$B$123,0)))</f>
        <v>1103</v>
      </c>
      <c r="J66" t="s">
        <v>154</v>
      </c>
      <c r="K66" s="34">
        <f t="shared" si="3"/>
        <v>6500</v>
      </c>
    </row>
    <row r="67" spans="1:13" hidden="1">
      <c r="A67" s="50" t="str">
        <f t="shared" si="4"/>
        <v xml:space="preserve">By. Biaya </v>
      </c>
      <c r="B67" s="215">
        <v>46031</v>
      </c>
      <c r="C67" s="211" t="s">
        <v>610</v>
      </c>
      <c r="D67" s="51" t="s">
        <v>695</v>
      </c>
      <c r="F67" s="52" t="str">
        <f>IF(G67="","",INDEX(COA!$A$4:$A$123,MATCH(JU!$G67,COA!$B$4:$B$123,0)))</f>
        <v>6201</v>
      </c>
      <c r="G67" t="s">
        <v>81</v>
      </c>
      <c r="H67" s="216">
        <v>1000000</v>
      </c>
      <c r="I67" s="52">
        <f>IF(J67="","",INDEX(COA!$A$4:$A$123,MATCH(JU!$J67,COA!$B$4:$B$123,0)))</f>
        <v>1103</v>
      </c>
      <c r="J67" t="s">
        <v>154</v>
      </c>
      <c r="K67" s="34">
        <f t="shared" si="3"/>
        <v>1000000</v>
      </c>
    </row>
    <row r="68" spans="1:13" hidden="1">
      <c r="A68" s="50" t="str">
        <f t="shared" si="4"/>
        <v xml:space="preserve">By. Biaya </v>
      </c>
      <c r="B68" s="215">
        <v>46031</v>
      </c>
      <c r="C68" s="211" t="s">
        <v>305</v>
      </c>
      <c r="D68" s="51" t="s">
        <v>333</v>
      </c>
      <c r="F68" s="52" t="str">
        <f>IF(G68="","",INDEX(COA!$A$4:$A$123,MATCH(JU!$G68,COA!$B$4:$B$123,0)))</f>
        <v>6303</v>
      </c>
      <c r="G68" t="s">
        <v>87</v>
      </c>
      <c r="H68" s="216">
        <v>2500</v>
      </c>
      <c r="I68" s="52">
        <f>IF(J68="","",INDEX(COA!$A$4:$A$123,MATCH(JU!$J68,COA!$B$4:$B$123,0)))</f>
        <v>1103</v>
      </c>
      <c r="J68" t="s">
        <v>154</v>
      </c>
      <c r="K68" s="34">
        <f t="shared" si="3"/>
        <v>2500</v>
      </c>
    </row>
    <row r="69" spans="1:13" hidden="1">
      <c r="A69" s="50" t="str">
        <f t="shared" si="4"/>
        <v xml:space="preserve">By. Biaya </v>
      </c>
      <c r="B69" s="215">
        <v>46031</v>
      </c>
      <c r="C69" s="211" t="s">
        <v>611</v>
      </c>
      <c r="D69" s="51" t="s">
        <v>696</v>
      </c>
      <c r="F69" s="52">
        <f>IF(G69="","",INDEX(COA!$A$4:$A$123,MATCH(JU!$G69,COA!$B$4:$B$123,0)))</f>
        <v>1302</v>
      </c>
      <c r="G69" s="229" t="s">
        <v>31</v>
      </c>
      <c r="H69" s="216">
        <v>2300000</v>
      </c>
      <c r="I69" s="52">
        <f>IF(J69="","",INDEX(COA!$A$4:$A$123,MATCH(JU!$J69,COA!$B$4:$B$123,0)))</f>
        <v>1103</v>
      </c>
      <c r="J69" t="s">
        <v>154</v>
      </c>
      <c r="K69" s="34">
        <f t="shared" si="3"/>
        <v>2300000</v>
      </c>
    </row>
    <row r="70" spans="1:13" hidden="1">
      <c r="A70" s="50" t="str">
        <f t="shared" si="4"/>
        <v xml:space="preserve">By. Biaya </v>
      </c>
      <c r="B70" s="215">
        <v>46031</v>
      </c>
      <c r="C70" s="211" t="s">
        <v>612</v>
      </c>
      <c r="D70" s="51" t="s">
        <v>697</v>
      </c>
      <c r="F70" s="52">
        <f>IF(G70="","",INDEX(COA!$A$4:$A$123,MATCH(JU!$G70,COA!$B$4:$B$123,0)))</f>
        <v>1302</v>
      </c>
      <c r="G70" t="s">
        <v>31</v>
      </c>
      <c r="H70" s="216">
        <v>200000</v>
      </c>
      <c r="I70" s="52">
        <f>IF(J70="","",INDEX(COA!$A$4:$A$123,MATCH(JU!$J70,COA!$B$4:$B$123,0)))</f>
        <v>1103</v>
      </c>
      <c r="J70" t="s">
        <v>154</v>
      </c>
      <c r="K70" s="34">
        <f t="shared" si="3"/>
        <v>200000</v>
      </c>
    </row>
    <row r="71" spans="1:13" hidden="1">
      <c r="A71" s="50" t="str">
        <f t="shared" si="4"/>
        <v xml:space="preserve">Terima Uang Masuk atas </v>
      </c>
      <c r="B71" s="215">
        <v>46031</v>
      </c>
      <c r="C71" s="211" t="s">
        <v>613</v>
      </c>
      <c r="D71" s="51" t="s">
        <v>698</v>
      </c>
      <c r="F71" s="52">
        <f>IF(G71="","",INDEX(COA!$A$4:$A$123,MATCH(JU!$G71,COA!$B$4:$B$123,0)))</f>
        <v>1103</v>
      </c>
      <c r="G71" t="s">
        <v>154</v>
      </c>
      <c r="H71" s="216">
        <v>5000000</v>
      </c>
      <c r="I71" s="52">
        <f>IF(J71="","",INDEX(COA!$A$4:$A$123,MATCH(JU!$J71,COA!$B$4:$B$123,0)))</f>
        <v>4102</v>
      </c>
      <c r="J71" t="s">
        <v>62</v>
      </c>
      <c r="K71" s="34">
        <f t="shared" si="3"/>
        <v>5000000</v>
      </c>
    </row>
    <row r="72" spans="1:13" hidden="1">
      <c r="A72" s="50" t="str">
        <f t="shared" si="4"/>
        <v xml:space="preserve">By. Biaya </v>
      </c>
      <c r="B72" s="215">
        <v>46034</v>
      </c>
      <c r="C72" s="211" t="s">
        <v>612</v>
      </c>
      <c r="D72" s="51" t="s">
        <v>697</v>
      </c>
      <c r="F72" s="52">
        <f>IF(G72="","",INDEX(COA!$A$4:$A$123,MATCH(JU!$G72,COA!$B$4:$B$123,0)))</f>
        <v>1302</v>
      </c>
      <c r="G72" s="229" t="s">
        <v>31</v>
      </c>
      <c r="H72" s="216">
        <v>850000</v>
      </c>
      <c r="I72" s="52">
        <f>IF(J72="","",INDEX(COA!$A$4:$A$123,MATCH(JU!$J72,COA!$B$4:$B$123,0)))</f>
        <v>1103</v>
      </c>
      <c r="J72" t="s">
        <v>154</v>
      </c>
      <c r="K72" s="34">
        <f t="shared" ref="K72:K135" si="5">IF(H72="","",H72)</f>
        <v>850000</v>
      </c>
    </row>
    <row r="73" spans="1:13" hidden="1">
      <c r="A73" s="50" t="str">
        <f t="shared" si="4"/>
        <v xml:space="preserve">By. Biaya </v>
      </c>
      <c r="B73" s="215">
        <v>46034</v>
      </c>
      <c r="C73" s="211" t="s">
        <v>614</v>
      </c>
      <c r="D73" s="51" t="s">
        <v>699</v>
      </c>
      <c r="F73" s="52">
        <f>IF(G73="","",INDEX(COA!$A$4:$A$123,MATCH(JU!$G73,COA!$B$4:$B$123,0)))</f>
        <v>5107</v>
      </c>
      <c r="G73" t="s">
        <v>71</v>
      </c>
      <c r="H73" s="216">
        <v>5150000</v>
      </c>
      <c r="I73" s="52">
        <f>IF(J73="","",INDEX(COA!$A$4:$A$123,MATCH(JU!$J73,COA!$B$4:$B$123,0)))</f>
        <v>1103</v>
      </c>
      <c r="J73" t="s">
        <v>154</v>
      </c>
      <c r="K73" s="34">
        <f t="shared" si="5"/>
        <v>5150000</v>
      </c>
    </row>
    <row r="74" spans="1:13" hidden="1">
      <c r="A74" s="50" t="str">
        <f t="shared" ref="A74:A140" si="6">IF(G74="BRI 568","Terima Uang Masuk atas ","By. Biaya ")</f>
        <v xml:space="preserve">By. Biaya </v>
      </c>
      <c r="B74" s="215">
        <v>46034</v>
      </c>
      <c r="C74" s="211" t="s">
        <v>615</v>
      </c>
      <c r="D74" s="51" t="s">
        <v>700</v>
      </c>
      <c r="F74" s="52">
        <f>IF(G74="","",INDEX(COA!$A$4:$A$123,MATCH(JU!$G74,COA!$B$4:$B$123,0)))</f>
        <v>1302</v>
      </c>
      <c r="G74" t="s">
        <v>31</v>
      </c>
      <c r="H74" s="216">
        <v>300000</v>
      </c>
      <c r="I74" s="52">
        <f>IF(J74="","",INDEX(COA!$A$4:$A$123,MATCH(JU!$J74,COA!$B$4:$B$123,0)))</f>
        <v>1103</v>
      </c>
      <c r="J74" t="s">
        <v>154</v>
      </c>
      <c r="K74" s="34">
        <f t="shared" si="5"/>
        <v>300000</v>
      </c>
    </row>
    <row r="75" spans="1:13" hidden="1">
      <c r="A75" s="50" t="str">
        <f t="shared" si="6"/>
        <v xml:space="preserve">By. Biaya </v>
      </c>
      <c r="B75" s="215">
        <v>46034</v>
      </c>
      <c r="C75" s="211" t="s">
        <v>616</v>
      </c>
      <c r="D75" s="51" t="s">
        <v>2302</v>
      </c>
      <c r="F75" s="52">
        <f>IF(G75="","",INDEX(COA!$A$4:$A$123,MATCH(JU!$G75,COA!$B$4:$B$123,0)))</f>
        <v>1302</v>
      </c>
      <c r="G75" t="s">
        <v>31</v>
      </c>
      <c r="H75" s="216">
        <v>4650000</v>
      </c>
      <c r="I75" s="52">
        <f>IF(J75="","",INDEX(COA!$A$4:$A$123,MATCH(JU!$J75,COA!$B$4:$B$123,0)))</f>
        <v>1103</v>
      </c>
      <c r="J75" t="s">
        <v>154</v>
      </c>
      <c r="K75" s="34">
        <f t="shared" si="5"/>
        <v>4650000</v>
      </c>
    </row>
    <row r="76" spans="1:13" hidden="1">
      <c r="A76" s="50" t="str">
        <f t="shared" si="6"/>
        <v xml:space="preserve">By. Biaya </v>
      </c>
      <c r="B76" s="215">
        <v>46034</v>
      </c>
      <c r="C76" s="211" t="s">
        <v>617</v>
      </c>
      <c r="D76" s="51" t="s">
        <v>701</v>
      </c>
      <c r="F76" s="52">
        <f>IF(G76="","",INDEX(COA!$A$4:$A$123,MATCH(JU!$G76,COA!$B$4:$B$123,0)))</f>
        <v>6402</v>
      </c>
      <c r="G76" t="s">
        <v>90</v>
      </c>
      <c r="H76" s="216">
        <v>500000</v>
      </c>
      <c r="I76" s="52">
        <f>IF(J76="","",INDEX(COA!$A$4:$A$123,MATCH(JU!$J76,COA!$B$4:$B$123,0)))</f>
        <v>1103</v>
      </c>
      <c r="J76" t="s">
        <v>154</v>
      </c>
      <c r="K76" s="34">
        <f t="shared" si="5"/>
        <v>500000</v>
      </c>
    </row>
    <row r="77" spans="1:13" hidden="1">
      <c r="A77" s="50" t="str">
        <f t="shared" si="6"/>
        <v xml:space="preserve">By. Biaya </v>
      </c>
      <c r="B77" s="215">
        <v>46034</v>
      </c>
      <c r="C77" s="211" t="s">
        <v>618</v>
      </c>
      <c r="D77" s="51" t="s">
        <v>2303</v>
      </c>
      <c r="F77" s="52">
        <f>IF(G77="","",INDEX(COA!$A$4:$A$123,MATCH(JU!$G77,COA!$B$4:$B$123,0)))</f>
        <v>7101</v>
      </c>
      <c r="G77" t="s">
        <v>93</v>
      </c>
      <c r="H77" s="216">
        <v>1730000</v>
      </c>
      <c r="I77" s="52">
        <f>IF(J77="","",INDEX(COA!$A$4:$A$123,MATCH(JU!$J77,COA!$B$4:$B$123,0)))</f>
        <v>1103</v>
      </c>
      <c r="J77" t="s">
        <v>154</v>
      </c>
      <c r="K77" s="34">
        <f t="shared" si="5"/>
        <v>1730000</v>
      </c>
      <c r="L77" s="18"/>
      <c r="M77" s="34">
        <v>8</v>
      </c>
    </row>
    <row r="78" spans="1:13" hidden="1">
      <c r="A78" s="50" t="str">
        <f t="shared" si="6"/>
        <v xml:space="preserve">By. Biaya </v>
      </c>
      <c r="B78" s="215">
        <v>46034</v>
      </c>
      <c r="C78" s="211" t="s">
        <v>619</v>
      </c>
      <c r="D78" s="51" t="s">
        <v>702</v>
      </c>
      <c r="F78" s="52">
        <f>IF(G78="","",INDEX(COA!$A$4:$A$123,MATCH(JU!$G78,COA!$B$4:$B$123,0)))</f>
        <v>7103</v>
      </c>
      <c r="G78" t="s">
        <v>95</v>
      </c>
      <c r="H78" s="216">
        <v>2041605</v>
      </c>
      <c r="I78" s="52">
        <f>IF(J78="","",INDEX(COA!$A$4:$A$123,MATCH(JU!$J78,COA!$B$4:$B$123,0)))</f>
        <v>1103</v>
      </c>
      <c r="J78" t="s">
        <v>154</v>
      </c>
      <c r="K78" s="34">
        <f t="shared" si="5"/>
        <v>2041605</v>
      </c>
      <c r="L78" s="18"/>
      <c r="M78" s="34">
        <v>19</v>
      </c>
    </row>
    <row r="79" spans="1:13" hidden="1">
      <c r="A79" s="50" t="str">
        <f t="shared" si="6"/>
        <v xml:space="preserve">By. Biaya </v>
      </c>
      <c r="B79" s="215">
        <v>46034</v>
      </c>
      <c r="C79" s="211" t="s">
        <v>620</v>
      </c>
      <c r="D79" s="51" t="s">
        <v>703</v>
      </c>
      <c r="F79" s="52">
        <f>IF(G79="","",INDEX(COA!$A$4:$A$123,MATCH(JU!$G79,COA!$B$4:$B$123,0)))</f>
        <v>6109</v>
      </c>
      <c r="G79" t="s">
        <v>79</v>
      </c>
      <c r="H79" s="216">
        <v>500000</v>
      </c>
      <c r="I79" s="52">
        <f>IF(J79="","",INDEX(COA!$A$4:$A$123,MATCH(JU!$J79,COA!$B$4:$B$123,0)))</f>
        <v>1103</v>
      </c>
      <c r="J79" t="s">
        <v>154</v>
      </c>
      <c r="K79" s="34">
        <f t="shared" si="5"/>
        <v>500000</v>
      </c>
      <c r="L79" s="18"/>
      <c r="M79" s="34">
        <v>18</v>
      </c>
    </row>
    <row r="80" spans="1:13" hidden="1">
      <c r="A80" s="50" t="str">
        <f t="shared" si="6"/>
        <v xml:space="preserve">Terima Uang Masuk atas </v>
      </c>
      <c r="B80" s="215">
        <v>46034</v>
      </c>
      <c r="C80" s="211" t="s">
        <v>621</v>
      </c>
      <c r="D80" s="51" t="s">
        <v>704</v>
      </c>
      <c r="F80" s="52">
        <f>IF(G80="","",INDEX(COA!$A$4:$A$123,MATCH(JU!$G80,COA!$B$4:$B$123,0)))</f>
        <v>1103</v>
      </c>
      <c r="G80" t="s">
        <v>154</v>
      </c>
      <c r="H80" s="216">
        <v>5000000</v>
      </c>
      <c r="I80" s="52">
        <f>IF(J80="","",INDEX(COA!$A$4:$A$123,MATCH(JU!$J80,COA!$B$4:$B$123,0)))</f>
        <v>4102</v>
      </c>
      <c r="J80" t="s">
        <v>62</v>
      </c>
      <c r="K80" s="34">
        <f t="shared" si="5"/>
        <v>5000000</v>
      </c>
      <c r="L80" s="18"/>
      <c r="M80" s="34">
        <v>8</v>
      </c>
    </row>
    <row r="81" spans="1:13" hidden="1">
      <c r="A81" s="50" t="str">
        <f t="shared" si="6"/>
        <v xml:space="preserve">By. Biaya </v>
      </c>
      <c r="B81" s="215">
        <v>46034</v>
      </c>
      <c r="C81" s="211" t="s">
        <v>622</v>
      </c>
      <c r="D81" s="51" t="s">
        <v>705</v>
      </c>
      <c r="F81" s="52">
        <f>IF(G81="","",INDEX(COA!$A$4:$A$123,MATCH(JU!$G81,COA!$B$4:$B$123,0)))</f>
        <v>5107</v>
      </c>
      <c r="G81" t="s">
        <v>71</v>
      </c>
      <c r="H81" s="216">
        <v>75000</v>
      </c>
      <c r="I81" s="52">
        <f>IF(J81="","",INDEX(COA!$A$4:$A$123,MATCH(JU!$J81,COA!$B$4:$B$123,0)))</f>
        <v>1103</v>
      </c>
      <c r="J81" t="s">
        <v>154</v>
      </c>
      <c r="K81" s="34">
        <f t="shared" si="5"/>
        <v>75000</v>
      </c>
      <c r="L81" s="18"/>
      <c r="M81" s="34">
        <v>8</v>
      </c>
    </row>
    <row r="82" spans="1:13" hidden="1">
      <c r="A82" s="50" t="str">
        <f t="shared" si="6"/>
        <v xml:space="preserve">By. Biaya </v>
      </c>
      <c r="B82" s="215">
        <v>46034</v>
      </c>
      <c r="C82" s="211" t="s">
        <v>623</v>
      </c>
      <c r="D82" s="51" t="s">
        <v>706</v>
      </c>
      <c r="F82" s="52">
        <f>IF(G82="","",INDEX(COA!$A$4:$A$123,MATCH(JU!$G82,COA!$B$4:$B$123,0)))</f>
        <v>1302</v>
      </c>
      <c r="G82" t="s">
        <v>31</v>
      </c>
      <c r="H82" s="216">
        <v>25000000</v>
      </c>
      <c r="I82" s="52">
        <f>IF(J82="","",INDEX(COA!$A$4:$A$123,MATCH(JU!$J82,COA!$B$4:$B$123,0)))</f>
        <v>1103</v>
      </c>
      <c r="J82" t="s">
        <v>154</v>
      </c>
      <c r="K82" s="34">
        <f t="shared" si="5"/>
        <v>25000000</v>
      </c>
      <c r="L82" s="18"/>
      <c r="M82" s="34">
        <v>26</v>
      </c>
    </row>
    <row r="83" spans="1:13" hidden="1">
      <c r="A83" s="50" t="str">
        <f t="shared" si="6"/>
        <v xml:space="preserve">By. Biaya </v>
      </c>
      <c r="B83" s="215">
        <v>46034</v>
      </c>
      <c r="C83" s="211" t="s">
        <v>624</v>
      </c>
      <c r="D83" s="51" t="s">
        <v>709</v>
      </c>
      <c r="F83" s="52">
        <f>IF(G83="","",INDEX(COA!$A$4:$A$123,MATCH(JU!$G83,COA!$B$4:$B$123,0)))</f>
        <v>4102</v>
      </c>
      <c r="G83" t="s">
        <v>62</v>
      </c>
      <c r="H83" s="216">
        <v>5000000</v>
      </c>
      <c r="I83" s="52">
        <f>IF(J83="","",INDEX(COA!$A$4:$A$123,MATCH(JU!$J83,COA!$B$4:$B$123,0)))</f>
        <v>1103</v>
      </c>
      <c r="J83" t="s">
        <v>154</v>
      </c>
      <c r="K83" s="34">
        <f t="shared" si="5"/>
        <v>5000000</v>
      </c>
      <c r="L83" s="18"/>
      <c r="M83" s="34">
        <v>23</v>
      </c>
    </row>
    <row r="84" spans="1:13" hidden="1">
      <c r="A84" s="50" t="str">
        <f t="shared" si="6"/>
        <v xml:space="preserve">By. Biaya </v>
      </c>
      <c r="B84" s="215">
        <v>46035</v>
      </c>
      <c r="C84" s="211" t="s">
        <v>625</v>
      </c>
      <c r="D84" s="51" t="s">
        <v>707</v>
      </c>
      <c r="F84" s="52">
        <f>IF(G84="","",INDEX(COA!$A$4:$A$123,MATCH(JU!$G84,COA!$B$4:$B$123,0)))</f>
        <v>5108</v>
      </c>
      <c r="G84" t="s">
        <v>72</v>
      </c>
      <c r="H84" s="216">
        <v>1418000</v>
      </c>
      <c r="I84" s="52">
        <f>IF(J84="","",INDEX(COA!$A$4:$A$123,MATCH(JU!$J84,COA!$B$4:$B$123,0)))</f>
        <v>1103</v>
      </c>
      <c r="J84" t="s">
        <v>154</v>
      </c>
      <c r="K84" s="34">
        <f t="shared" si="5"/>
        <v>1418000</v>
      </c>
      <c r="L84" s="18"/>
      <c r="M84" s="34">
        <v>20</v>
      </c>
    </row>
    <row r="85" spans="1:13" hidden="1">
      <c r="A85" s="50" t="str">
        <f t="shared" si="6"/>
        <v xml:space="preserve">By. Biaya </v>
      </c>
      <c r="B85" s="215">
        <v>46035</v>
      </c>
      <c r="C85" s="211" t="s">
        <v>626</v>
      </c>
      <c r="D85" s="51" t="s">
        <v>708</v>
      </c>
      <c r="F85" s="52">
        <f>IF(G85="","",INDEX(COA!$A$4:$A$123,MATCH(JU!$G85,COA!$B$4:$B$123,0)))</f>
        <v>1302</v>
      </c>
      <c r="G85" t="s">
        <v>31</v>
      </c>
      <c r="H85" s="216">
        <v>3000000</v>
      </c>
      <c r="I85" s="52">
        <f>IF(J85="","",INDEX(COA!$A$4:$A$123,MATCH(JU!$J85,COA!$B$4:$B$123,0)))</f>
        <v>1103</v>
      </c>
      <c r="J85" t="s">
        <v>154</v>
      </c>
      <c r="K85" s="34">
        <f t="shared" si="5"/>
        <v>3000000</v>
      </c>
      <c r="L85" s="18"/>
      <c r="M85" s="34">
        <v>6</v>
      </c>
    </row>
    <row r="86" spans="1:13" hidden="1">
      <c r="A86" s="50" t="str">
        <f t="shared" si="6"/>
        <v xml:space="preserve">By. Biaya </v>
      </c>
      <c r="B86" s="215">
        <v>46035</v>
      </c>
      <c r="C86" s="211" t="s">
        <v>710</v>
      </c>
      <c r="D86" s="51" t="s">
        <v>711</v>
      </c>
      <c r="F86" s="52">
        <f>IF(G86="","",INDEX(COA!$A$4:$A$123,MATCH(JU!$G86,COA!$B$4:$B$123,0)))</f>
        <v>1204</v>
      </c>
      <c r="G86" t="s">
        <v>28</v>
      </c>
      <c r="H86" s="216">
        <v>25000000</v>
      </c>
      <c r="I86" s="52">
        <f>IF(J86="","",INDEX(COA!$A$4:$A$123,MATCH(JU!$J86,COA!$B$4:$B$123,0)))</f>
        <v>1103</v>
      </c>
      <c r="J86" t="s">
        <v>154</v>
      </c>
      <c r="K86" s="34">
        <f t="shared" si="5"/>
        <v>25000000</v>
      </c>
      <c r="L86" s="18"/>
      <c r="M86" s="34">
        <v>8</v>
      </c>
    </row>
    <row r="87" spans="1:13" hidden="1">
      <c r="A87" s="50" t="str">
        <f t="shared" si="6"/>
        <v xml:space="preserve">By. Biaya </v>
      </c>
      <c r="B87" s="215">
        <v>46035</v>
      </c>
      <c r="C87" s="211" t="s">
        <v>305</v>
      </c>
      <c r="D87" s="51" t="s">
        <v>333</v>
      </c>
      <c r="F87" s="52" t="str">
        <f>IF(G87="","",INDEX(COA!$A$4:$A$123,MATCH(JU!$G87,COA!$B$4:$B$123,0)))</f>
        <v>6303</v>
      </c>
      <c r="G87" t="s">
        <v>87</v>
      </c>
      <c r="H87" s="216">
        <v>6500</v>
      </c>
      <c r="I87" s="52">
        <f>IF(J87="","",INDEX(COA!$A$4:$A$123,MATCH(JU!$J87,COA!$B$4:$B$123,0)))</f>
        <v>1103</v>
      </c>
      <c r="J87" t="s">
        <v>154</v>
      </c>
      <c r="K87" s="34">
        <f t="shared" si="5"/>
        <v>6500</v>
      </c>
      <c r="L87" s="18"/>
      <c r="M87" s="34">
        <v>18</v>
      </c>
    </row>
    <row r="88" spans="1:13" hidden="1">
      <c r="A88" s="50" t="str">
        <f t="shared" ref="A88" si="7">IF(G88="BRI 568","Terima Uang Masuk atas ","By. Biaya ")</f>
        <v xml:space="preserve">By. Biaya </v>
      </c>
      <c r="B88" s="215">
        <v>46035</v>
      </c>
      <c r="C88" s="211" t="s">
        <v>627</v>
      </c>
      <c r="D88" s="51" t="s">
        <v>2338</v>
      </c>
      <c r="F88" s="52">
        <f>IF(G88="","",INDEX(COA!$A$4:$A$123,MATCH(JU!$G88,COA!$B$4:$B$123,0)))</f>
        <v>1301</v>
      </c>
      <c r="G88" t="s">
        <v>30</v>
      </c>
      <c r="H88" s="216">
        <v>95000000</v>
      </c>
      <c r="I88" s="52" t="str">
        <f>IF(J88="","",INDEX(COA!$A$4:$A$123,MATCH(JU!$J88,COA!$B$4:$B$123,0)))</f>
        <v>2101</v>
      </c>
      <c r="J88" t="s">
        <v>45</v>
      </c>
      <c r="K88" s="34">
        <f t="shared" ref="K88" si="8">IF(H88="","",H88)</f>
        <v>95000000</v>
      </c>
      <c r="L88" s="18"/>
      <c r="M88" s="34">
        <v>7</v>
      </c>
    </row>
    <row r="89" spans="1:13" hidden="1">
      <c r="A89" s="50" t="str">
        <f t="shared" si="6"/>
        <v xml:space="preserve">By. Biaya </v>
      </c>
      <c r="B89" s="215">
        <v>46035</v>
      </c>
      <c r="C89" s="211" t="s">
        <v>627</v>
      </c>
      <c r="D89" s="51" t="s">
        <v>712</v>
      </c>
      <c r="F89" s="52" t="str">
        <f>IF(G89="","",INDEX(COA!$A$4:$A$123,MATCH(JU!$G89,COA!$B$4:$B$123,0)))</f>
        <v>2101</v>
      </c>
      <c r="G89" t="s">
        <v>45</v>
      </c>
      <c r="H89" s="216">
        <v>10000000</v>
      </c>
      <c r="I89" s="52">
        <f>IF(J89="","",INDEX(COA!$A$4:$A$123,MATCH(JU!$J89,COA!$B$4:$B$123,0)))</f>
        <v>1103</v>
      </c>
      <c r="J89" t="s">
        <v>154</v>
      </c>
      <c r="K89" s="34">
        <f t="shared" si="5"/>
        <v>10000000</v>
      </c>
      <c r="L89" s="18"/>
      <c r="M89" s="34">
        <v>7</v>
      </c>
    </row>
    <row r="90" spans="1:13" hidden="1">
      <c r="A90" s="50" t="str">
        <f t="shared" si="6"/>
        <v xml:space="preserve">Terima Uang Masuk atas </v>
      </c>
      <c r="B90" s="215">
        <v>46035</v>
      </c>
      <c r="C90" s="211" t="s">
        <v>628</v>
      </c>
      <c r="D90" s="51" t="s">
        <v>713</v>
      </c>
      <c r="F90" s="52">
        <f>IF(G90="","",INDEX(COA!$A$4:$A$123,MATCH(JU!$G90,COA!$B$4:$B$123,0)))</f>
        <v>1103</v>
      </c>
      <c r="G90" t="s">
        <v>154</v>
      </c>
      <c r="H90" s="216">
        <v>5000000</v>
      </c>
      <c r="I90" s="52">
        <f>IF(J90="","",INDEX(COA!$A$4:$A$123,MATCH(JU!$J90,COA!$B$4:$B$123,0)))</f>
        <v>4102</v>
      </c>
      <c r="J90" t="s">
        <v>62</v>
      </c>
      <c r="K90" s="34">
        <f t="shared" si="5"/>
        <v>5000000</v>
      </c>
      <c r="L90" s="18"/>
      <c r="M90" s="34">
        <v>18</v>
      </c>
    </row>
    <row r="91" spans="1:13" hidden="1">
      <c r="A91" s="50" t="str">
        <f t="shared" si="6"/>
        <v xml:space="preserve">Terima Uang Masuk atas </v>
      </c>
      <c r="B91" s="215">
        <v>46035</v>
      </c>
      <c r="C91" s="211" t="s">
        <v>584</v>
      </c>
      <c r="D91" s="51" t="s">
        <v>669</v>
      </c>
      <c r="F91" s="52">
        <f>IF(G91="","",INDEX(COA!$A$4:$A$123,MATCH(JU!$G91,COA!$B$4:$B$123,0)))</f>
        <v>1103</v>
      </c>
      <c r="G91" t="s">
        <v>154</v>
      </c>
      <c r="H91" s="216">
        <v>5000000</v>
      </c>
      <c r="I91" s="52">
        <f>IF(J91="","",INDEX(COA!$A$4:$A$123,MATCH(JU!$J91,COA!$B$4:$B$123,0)))</f>
        <v>4102</v>
      </c>
      <c r="J91" t="s">
        <v>62</v>
      </c>
      <c r="K91" s="34">
        <f t="shared" si="5"/>
        <v>5000000</v>
      </c>
      <c r="L91" s="18"/>
      <c r="M91" s="34">
        <v>16</v>
      </c>
    </row>
    <row r="92" spans="1:13" hidden="1">
      <c r="A92" s="50" t="str">
        <f t="shared" si="6"/>
        <v xml:space="preserve">Terima Uang Masuk atas </v>
      </c>
      <c r="B92" s="215">
        <v>46035</v>
      </c>
      <c r="C92" s="211" t="s">
        <v>603</v>
      </c>
      <c r="D92" s="51" t="s">
        <v>686</v>
      </c>
      <c r="F92" s="52">
        <f>IF(G92="","",INDEX(COA!$A$4:$A$123,MATCH(JU!$G92,COA!$B$4:$B$123,0)))</f>
        <v>1103</v>
      </c>
      <c r="G92" t="s">
        <v>154</v>
      </c>
      <c r="H92" s="216">
        <v>5000000</v>
      </c>
      <c r="I92" s="52">
        <f>IF(J92="","",INDEX(COA!$A$4:$A$123,MATCH(JU!$J92,COA!$B$4:$B$123,0)))</f>
        <v>4102</v>
      </c>
      <c r="J92" t="s">
        <v>62</v>
      </c>
      <c r="K92" s="34">
        <f t="shared" si="5"/>
        <v>5000000</v>
      </c>
      <c r="L92" s="18"/>
      <c r="M92" s="34">
        <v>48</v>
      </c>
    </row>
    <row r="93" spans="1:13" hidden="1">
      <c r="A93" s="50" t="str">
        <f t="shared" si="6"/>
        <v xml:space="preserve">Terima Uang Masuk atas </v>
      </c>
      <c r="B93" s="215">
        <v>46035</v>
      </c>
      <c r="C93" s="211" t="s">
        <v>629</v>
      </c>
      <c r="D93" s="51" t="s">
        <v>714</v>
      </c>
      <c r="F93" s="52">
        <f>IF(G93="","",INDEX(COA!$A$4:$A$123,MATCH(JU!$G93,COA!$B$4:$B$123,0)))</f>
        <v>1103</v>
      </c>
      <c r="G93" t="s">
        <v>154</v>
      </c>
      <c r="H93" s="216">
        <v>5000000</v>
      </c>
      <c r="I93" s="52">
        <f>IF(J93="","",INDEX(COA!$A$4:$A$123,MATCH(JU!$J93,COA!$B$4:$B$123,0)))</f>
        <v>4102</v>
      </c>
      <c r="J93" t="s">
        <v>62</v>
      </c>
      <c r="K93" s="34">
        <f t="shared" si="5"/>
        <v>5000000</v>
      </c>
      <c r="L93" s="18"/>
      <c r="M93" s="34">
        <v>41</v>
      </c>
    </row>
    <row r="94" spans="1:13" hidden="1">
      <c r="A94" s="50" t="str">
        <f t="shared" si="6"/>
        <v xml:space="preserve">By. Biaya </v>
      </c>
      <c r="B94" s="215">
        <v>46036</v>
      </c>
      <c r="C94" s="211" t="s">
        <v>630</v>
      </c>
      <c r="D94" s="51" t="s">
        <v>715</v>
      </c>
      <c r="F94" s="52">
        <f>IF(G94="","",INDEX(COA!$A$4:$A$123,MATCH(JU!$G94,COA!$B$4:$B$123,0)))</f>
        <v>6106</v>
      </c>
      <c r="G94" t="s">
        <v>149</v>
      </c>
      <c r="H94" s="216">
        <v>210721</v>
      </c>
      <c r="I94" s="52">
        <f>IF(J94="","",INDEX(COA!$A$4:$A$123,MATCH(JU!$J94,COA!$B$4:$B$123,0)))</f>
        <v>1103</v>
      </c>
      <c r="J94" t="s">
        <v>154</v>
      </c>
      <c r="K94" s="34">
        <f t="shared" si="5"/>
        <v>210721</v>
      </c>
      <c r="L94" s="18"/>
      <c r="M94" s="34">
        <v>41</v>
      </c>
    </row>
    <row r="95" spans="1:13" hidden="1">
      <c r="A95" s="50" t="str">
        <f t="shared" si="6"/>
        <v xml:space="preserve">By. Biaya </v>
      </c>
      <c r="B95" s="215">
        <v>46036</v>
      </c>
      <c r="C95" s="211" t="s">
        <v>305</v>
      </c>
      <c r="D95" s="51" t="s">
        <v>333</v>
      </c>
      <c r="F95" s="52" t="str">
        <f>IF(G95="","",INDEX(COA!$A$4:$A$123,MATCH(JU!$G95,COA!$B$4:$B$123,0)))</f>
        <v>6303</v>
      </c>
      <c r="G95" t="s">
        <v>87</v>
      </c>
      <c r="H95" s="216">
        <v>2800</v>
      </c>
      <c r="I95" s="52">
        <f>IF(J95="","",INDEX(COA!$A$4:$A$123,MATCH(JU!$J95,COA!$B$4:$B$123,0)))</f>
        <v>1103</v>
      </c>
      <c r="J95" t="s">
        <v>154</v>
      </c>
      <c r="K95" s="34">
        <f t="shared" si="5"/>
        <v>2800</v>
      </c>
      <c r="L95" s="18"/>
      <c r="M95" s="34">
        <v>8</v>
      </c>
    </row>
    <row r="96" spans="1:13" hidden="1">
      <c r="A96" s="50" t="str">
        <f t="shared" si="6"/>
        <v xml:space="preserve">By. Biaya </v>
      </c>
      <c r="B96" s="215">
        <v>46036</v>
      </c>
      <c r="C96" s="211" t="s">
        <v>631</v>
      </c>
      <c r="D96" s="51" t="s">
        <v>716</v>
      </c>
      <c r="F96" s="52">
        <f>IF(G96="","",INDEX(COA!$A$4:$A$123,MATCH(JU!$G96,COA!$B$4:$B$123,0)))</f>
        <v>6402</v>
      </c>
      <c r="G96" t="s">
        <v>90</v>
      </c>
      <c r="H96" s="216">
        <v>1200000</v>
      </c>
      <c r="I96" s="52">
        <f>IF(J96="","",INDEX(COA!$A$4:$A$123,MATCH(JU!$J96,COA!$B$4:$B$123,0)))</f>
        <v>1103</v>
      </c>
      <c r="J96" t="s">
        <v>154</v>
      </c>
      <c r="K96" s="34">
        <f t="shared" si="5"/>
        <v>1200000</v>
      </c>
      <c r="L96" s="18"/>
      <c r="M96" s="34">
        <v>3</v>
      </c>
    </row>
    <row r="97" spans="1:13" hidden="1">
      <c r="A97" s="50" t="str">
        <f t="shared" si="6"/>
        <v xml:space="preserve">By. Biaya </v>
      </c>
      <c r="B97" s="215">
        <v>46037</v>
      </c>
      <c r="C97" s="211" t="s">
        <v>632</v>
      </c>
      <c r="D97" s="51" t="s">
        <v>717</v>
      </c>
      <c r="F97" s="52" t="str">
        <f>IF(G97="","",INDEX(COA!$A$4:$A$123,MATCH(JU!$G97,COA!$B$4:$B$123,0)))</f>
        <v>6204</v>
      </c>
      <c r="G97" t="s">
        <v>84</v>
      </c>
      <c r="H97" s="216">
        <v>3730000</v>
      </c>
      <c r="I97" s="52">
        <f>IF(J97="","",INDEX(COA!$A$4:$A$123,MATCH(JU!$J97,COA!$B$4:$B$123,0)))</f>
        <v>1103</v>
      </c>
      <c r="J97" t="s">
        <v>154</v>
      </c>
      <c r="K97" s="34">
        <f t="shared" si="5"/>
        <v>3730000</v>
      </c>
      <c r="L97" s="18"/>
      <c r="M97" s="34">
        <v>10</v>
      </c>
    </row>
    <row r="98" spans="1:13" hidden="1">
      <c r="A98" s="50" t="str">
        <f t="shared" si="6"/>
        <v xml:space="preserve">By. Biaya </v>
      </c>
      <c r="B98" s="215">
        <v>46037</v>
      </c>
      <c r="C98" s="211" t="s">
        <v>633</v>
      </c>
      <c r="D98" s="51" t="s">
        <v>2304</v>
      </c>
      <c r="F98" s="52">
        <f>IF(G98="","",INDEX(COA!$A$4:$A$123,MATCH(JU!$G98,COA!$B$4:$B$123,0)))</f>
        <v>1301</v>
      </c>
      <c r="G98" t="s">
        <v>30</v>
      </c>
      <c r="H98" s="216">
        <v>23717</v>
      </c>
      <c r="I98" s="52">
        <f>IF(J98="","",INDEX(COA!$A$4:$A$123,MATCH(JU!$J98,COA!$B$4:$B$123,0)))</f>
        <v>1103</v>
      </c>
      <c r="J98" t="s">
        <v>154</v>
      </c>
      <c r="K98" s="34">
        <f t="shared" si="5"/>
        <v>23717</v>
      </c>
      <c r="L98" s="18"/>
      <c r="M98" s="34">
        <v>10</v>
      </c>
    </row>
    <row r="99" spans="1:13" hidden="1">
      <c r="A99" s="50" t="str">
        <f t="shared" si="6"/>
        <v xml:space="preserve">By. Biaya </v>
      </c>
      <c r="B99" s="215">
        <v>46037</v>
      </c>
      <c r="C99" s="211" t="s">
        <v>634</v>
      </c>
      <c r="D99" s="51" t="s">
        <v>718</v>
      </c>
      <c r="F99" s="52">
        <f>IF(G99="","",INDEX(COA!$A$4:$A$123,MATCH(JU!$G99,COA!$B$4:$B$123,0)))</f>
        <v>5107</v>
      </c>
      <c r="G99" t="s">
        <v>71</v>
      </c>
      <c r="H99" s="216">
        <v>500000</v>
      </c>
      <c r="I99" s="52">
        <f>IF(J99="","",INDEX(COA!$A$4:$A$123,MATCH(JU!$J99,COA!$B$4:$B$123,0)))</f>
        <v>1103</v>
      </c>
      <c r="J99" t="s">
        <v>154</v>
      </c>
      <c r="K99" s="34">
        <f t="shared" si="5"/>
        <v>500000</v>
      </c>
      <c r="L99" s="18"/>
      <c r="M99" s="34">
        <v>10</v>
      </c>
    </row>
    <row r="100" spans="1:13" hidden="1">
      <c r="A100" s="50" t="str">
        <f t="shared" si="6"/>
        <v xml:space="preserve">By. Biaya </v>
      </c>
      <c r="B100" s="215">
        <v>46037</v>
      </c>
      <c r="C100" s="211" t="s">
        <v>635</v>
      </c>
      <c r="D100" s="51" t="s">
        <v>719</v>
      </c>
      <c r="F100" s="52">
        <f>IF(G100="","",INDEX(COA!$A$4:$A$123,MATCH(JU!$G100,COA!$B$4:$B$123,0)))</f>
        <v>6101</v>
      </c>
      <c r="G100" t="s">
        <v>75</v>
      </c>
      <c r="H100" s="216">
        <v>2500000</v>
      </c>
      <c r="I100" s="52">
        <f>IF(J100="","",INDEX(COA!$A$4:$A$123,MATCH(JU!$J100,COA!$B$4:$B$123,0)))</f>
        <v>1103</v>
      </c>
      <c r="J100" t="s">
        <v>154</v>
      </c>
      <c r="K100" s="34">
        <f t="shared" si="5"/>
        <v>2500000</v>
      </c>
      <c r="L100" s="18"/>
      <c r="M100" s="34">
        <v>8</v>
      </c>
    </row>
    <row r="101" spans="1:13" hidden="1">
      <c r="A101" s="50" t="str">
        <f t="shared" si="6"/>
        <v xml:space="preserve">Terima Uang Masuk atas </v>
      </c>
      <c r="B101" s="215">
        <v>46038</v>
      </c>
      <c r="C101" s="211" t="s">
        <v>636</v>
      </c>
      <c r="D101" s="51" t="s">
        <v>720</v>
      </c>
      <c r="F101" s="52">
        <f>IF(G101="","",INDEX(COA!$A$4:$A$123,MATCH(JU!$G101,COA!$B$4:$B$123,0)))</f>
        <v>1103</v>
      </c>
      <c r="G101" t="s">
        <v>154</v>
      </c>
      <c r="H101" s="216">
        <v>400000</v>
      </c>
      <c r="I101" s="52">
        <f>IF(J101="","",INDEX(COA!$A$4:$A$123,MATCH(JU!$J101,COA!$B$4:$B$123,0)))</f>
        <v>1202</v>
      </c>
      <c r="J101" t="s">
        <v>27</v>
      </c>
      <c r="K101" s="34">
        <f t="shared" si="5"/>
        <v>400000</v>
      </c>
      <c r="L101" s="18"/>
      <c r="M101" s="34">
        <v>25</v>
      </c>
    </row>
    <row r="102" spans="1:13" hidden="1">
      <c r="A102" s="50" t="str">
        <f t="shared" si="6"/>
        <v xml:space="preserve">Terima Uang Masuk atas </v>
      </c>
      <c r="B102" s="215">
        <v>46038</v>
      </c>
      <c r="C102" s="211" t="s">
        <v>637</v>
      </c>
      <c r="D102" s="51" t="s">
        <v>721</v>
      </c>
      <c r="F102" s="52">
        <f>IF(G102="","",INDEX(COA!$A$4:$A$123,MATCH(JU!$G102,COA!$B$4:$B$123,0)))</f>
        <v>1103</v>
      </c>
      <c r="G102" t="s">
        <v>154</v>
      </c>
      <c r="H102" s="216">
        <v>8000000</v>
      </c>
      <c r="I102" s="52" t="str">
        <f>IF(J102="","",INDEX(COA!$A$4:$A$123,MATCH(JU!$J102,COA!$B$4:$B$123,0)))</f>
        <v>2107</v>
      </c>
      <c r="J102" t="s">
        <v>50</v>
      </c>
      <c r="K102" s="34">
        <f t="shared" si="5"/>
        <v>8000000</v>
      </c>
      <c r="L102" s="18"/>
      <c r="M102" s="34">
        <v>22</v>
      </c>
    </row>
    <row r="103" spans="1:13" hidden="1">
      <c r="A103" s="50" t="str">
        <f t="shared" si="6"/>
        <v xml:space="preserve">Terima Uang Masuk atas </v>
      </c>
      <c r="B103" s="215">
        <v>46038</v>
      </c>
      <c r="C103" s="211" t="s">
        <v>638</v>
      </c>
      <c r="D103" s="51" t="s">
        <v>722</v>
      </c>
      <c r="F103" s="52">
        <f>IF(G103="","",INDEX(COA!$A$4:$A$123,MATCH(JU!$G103,COA!$B$4:$B$123,0)))</f>
        <v>1103</v>
      </c>
      <c r="G103" t="s">
        <v>154</v>
      </c>
      <c r="H103" s="216">
        <v>8000000</v>
      </c>
      <c r="I103" s="52">
        <f>IF(J103="","",INDEX(COA!$A$4:$A$123,MATCH(JU!$J103,COA!$B$4:$B$123,0)))</f>
        <v>4102</v>
      </c>
      <c r="J103" t="s">
        <v>62</v>
      </c>
      <c r="K103" s="34">
        <f t="shared" si="5"/>
        <v>8000000</v>
      </c>
      <c r="L103" s="18"/>
      <c r="M103" s="34">
        <v>20</v>
      </c>
    </row>
    <row r="104" spans="1:13" hidden="1">
      <c r="A104" s="50" t="str">
        <f t="shared" si="6"/>
        <v xml:space="preserve">By. Biaya </v>
      </c>
      <c r="B104" s="215">
        <v>46038</v>
      </c>
      <c r="C104" s="211" t="s">
        <v>639</v>
      </c>
      <c r="D104" s="51" t="s">
        <v>723</v>
      </c>
      <c r="F104" s="52">
        <f>IF(G104="","",INDEX(COA!$A$4:$A$123,MATCH(JU!$G104,COA!$B$4:$B$123,0)))</f>
        <v>4102</v>
      </c>
      <c r="G104" t="s">
        <v>62</v>
      </c>
      <c r="H104" s="216">
        <v>3000000</v>
      </c>
      <c r="I104" s="52">
        <f>IF(J104="","",INDEX(COA!$A$4:$A$123,MATCH(JU!$J104,COA!$B$4:$B$123,0)))</f>
        <v>1103</v>
      </c>
      <c r="J104" t="s">
        <v>154</v>
      </c>
      <c r="K104" s="34">
        <f t="shared" si="5"/>
        <v>3000000</v>
      </c>
      <c r="L104" s="18"/>
      <c r="M104" s="34">
        <v>8</v>
      </c>
    </row>
    <row r="105" spans="1:13" hidden="1">
      <c r="A105" s="50" t="str">
        <f t="shared" si="6"/>
        <v xml:space="preserve">By. Biaya </v>
      </c>
      <c r="B105" s="215">
        <v>46038</v>
      </c>
      <c r="C105" s="211" t="s">
        <v>640</v>
      </c>
      <c r="D105" s="51" t="s">
        <v>724</v>
      </c>
      <c r="F105" s="52" t="str">
        <f>IF(G105="","",INDEX(COA!$A$4:$A$123,MATCH(JU!$G105,COA!$B$4:$B$123,0)))</f>
        <v>2107</v>
      </c>
      <c r="G105" t="s">
        <v>50</v>
      </c>
      <c r="H105" s="216">
        <v>8000000</v>
      </c>
      <c r="I105" s="52">
        <f>IF(J105="","",INDEX(COA!$A$4:$A$123,MATCH(JU!$J105,COA!$B$4:$B$123,0)))</f>
        <v>1103</v>
      </c>
      <c r="J105" t="s">
        <v>154</v>
      </c>
      <c r="K105" s="34">
        <f t="shared" si="5"/>
        <v>8000000</v>
      </c>
      <c r="L105" s="18"/>
      <c r="M105" s="34">
        <v>8</v>
      </c>
    </row>
    <row r="106" spans="1:13" hidden="1">
      <c r="A106" s="50" t="str">
        <f t="shared" si="6"/>
        <v xml:space="preserve">By. Biaya </v>
      </c>
      <c r="B106" s="215">
        <v>46041</v>
      </c>
      <c r="C106" s="211" t="s">
        <v>641</v>
      </c>
      <c r="D106" s="51" t="s">
        <v>725</v>
      </c>
      <c r="F106" s="52">
        <f>IF(G106="","",INDEX(COA!$A$4:$A$123,MATCH(JU!$G106,COA!$B$4:$B$123,0)))</f>
        <v>1302</v>
      </c>
      <c r="G106" t="s">
        <v>31</v>
      </c>
      <c r="H106" s="216">
        <v>2250000</v>
      </c>
      <c r="I106" s="52">
        <f>IF(J106="","",INDEX(COA!$A$4:$A$123,MATCH(JU!$J106,COA!$B$4:$B$123,0)))</f>
        <v>1103</v>
      </c>
      <c r="J106" t="s">
        <v>154</v>
      </c>
      <c r="K106" s="34">
        <f t="shared" si="5"/>
        <v>2250000</v>
      </c>
      <c r="L106" s="18"/>
      <c r="M106">
        <v>9</v>
      </c>
    </row>
    <row r="107" spans="1:13" hidden="1">
      <c r="A107" s="50" t="str">
        <f t="shared" si="6"/>
        <v xml:space="preserve">By. Biaya </v>
      </c>
      <c r="B107" s="215">
        <v>46041</v>
      </c>
      <c r="C107" s="211" t="s">
        <v>642</v>
      </c>
      <c r="D107" s="51" t="s">
        <v>726</v>
      </c>
      <c r="F107" s="52">
        <f>IF(G107="","",INDEX(COA!$A$4:$A$123,MATCH(JU!$G107,COA!$B$4:$B$123,0)))</f>
        <v>1302</v>
      </c>
      <c r="G107" t="s">
        <v>31</v>
      </c>
      <c r="H107" s="216">
        <v>1800000</v>
      </c>
      <c r="I107" s="52">
        <f>IF(J107="","",INDEX(COA!$A$4:$A$123,MATCH(JU!$J107,COA!$B$4:$B$123,0)))</f>
        <v>1103</v>
      </c>
      <c r="J107" t="s">
        <v>154</v>
      </c>
      <c r="K107" s="34">
        <f t="shared" si="5"/>
        <v>1800000</v>
      </c>
      <c r="L107" s="18"/>
      <c r="M107">
        <v>9</v>
      </c>
    </row>
    <row r="108" spans="1:13" hidden="1">
      <c r="A108" s="50" t="str">
        <f t="shared" si="6"/>
        <v xml:space="preserve">By. Biaya </v>
      </c>
      <c r="B108" s="215">
        <v>46041</v>
      </c>
      <c r="C108" s="211" t="s">
        <v>643</v>
      </c>
      <c r="D108" s="51" t="s">
        <v>730</v>
      </c>
      <c r="F108" s="52">
        <f>IF(G108="","",INDEX(COA!$A$4:$A$123,MATCH(JU!$G108,COA!$B$4:$B$123,0)))</f>
        <v>1203</v>
      </c>
      <c r="G108" t="s">
        <v>140</v>
      </c>
      <c r="H108" s="216">
        <v>50000000</v>
      </c>
      <c r="I108" s="52">
        <f>IF(J108="","",INDEX(COA!$A$4:$A$123,MATCH(JU!$J108,COA!$B$4:$B$123,0)))</f>
        <v>1103</v>
      </c>
      <c r="J108" t="s">
        <v>154</v>
      </c>
      <c r="K108" s="34">
        <f t="shared" si="5"/>
        <v>50000000</v>
      </c>
      <c r="L108" s="18"/>
      <c r="M108">
        <v>28</v>
      </c>
    </row>
    <row r="109" spans="1:13" hidden="1">
      <c r="A109" s="50" t="str">
        <f t="shared" si="6"/>
        <v xml:space="preserve">By. Biaya </v>
      </c>
      <c r="B109" s="215">
        <v>46041</v>
      </c>
      <c r="C109" s="211" t="s">
        <v>644</v>
      </c>
      <c r="D109" s="51" t="s">
        <v>727</v>
      </c>
      <c r="F109" s="52">
        <f>IF(G109="","",INDEX(COA!$A$4:$A$123,MATCH(JU!$G109,COA!$B$4:$B$123,0)))</f>
        <v>5107</v>
      </c>
      <c r="G109" t="s">
        <v>71</v>
      </c>
      <c r="H109" s="216">
        <v>20500000</v>
      </c>
      <c r="I109" s="52">
        <f>IF(J109="","",INDEX(COA!$A$4:$A$123,MATCH(JU!$J109,COA!$B$4:$B$123,0)))</f>
        <v>1103</v>
      </c>
      <c r="J109" t="s">
        <v>154</v>
      </c>
      <c r="K109" s="34">
        <f t="shared" si="5"/>
        <v>20500000</v>
      </c>
      <c r="L109" s="18"/>
      <c r="M109">
        <v>8</v>
      </c>
    </row>
    <row r="110" spans="1:13" hidden="1">
      <c r="A110" s="50" t="str">
        <f t="shared" si="6"/>
        <v xml:space="preserve">By. Biaya </v>
      </c>
      <c r="B110" s="215">
        <v>46041</v>
      </c>
      <c r="C110" s="211" t="s">
        <v>645</v>
      </c>
      <c r="D110" s="51" t="s">
        <v>728</v>
      </c>
      <c r="F110" s="52">
        <f>IF(G110="","",INDEX(COA!$A$4:$A$123,MATCH(JU!$G110,COA!$B$4:$B$123,0)))</f>
        <v>1302</v>
      </c>
      <c r="G110" t="s">
        <v>31</v>
      </c>
      <c r="H110" s="216">
        <v>25000000</v>
      </c>
      <c r="I110" s="52">
        <f>IF(J110="","",INDEX(COA!$A$4:$A$123,MATCH(JU!$J110,COA!$B$4:$B$123,0)))</f>
        <v>1103</v>
      </c>
      <c r="J110" t="s">
        <v>154</v>
      </c>
      <c r="K110" s="34">
        <f t="shared" si="5"/>
        <v>25000000</v>
      </c>
      <c r="L110" s="18"/>
      <c r="M110">
        <v>26</v>
      </c>
    </row>
    <row r="111" spans="1:13" hidden="1">
      <c r="A111" s="50" t="str">
        <f t="shared" si="6"/>
        <v xml:space="preserve">Terima Uang Masuk atas </v>
      </c>
      <c r="B111" s="215">
        <v>46042</v>
      </c>
      <c r="C111" s="211" t="s">
        <v>646</v>
      </c>
      <c r="D111" s="51" t="s">
        <v>2305</v>
      </c>
      <c r="F111" s="52">
        <f>IF(G111="","",INDEX(COA!$A$4:$A$123,MATCH(JU!$G111,COA!$B$4:$B$123,0)))</f>
        <v>1103</v>
      </c>
      <c r="G111" t="s">
        <v>154</v>
      </c>
      <c r="H111" s="216">
        <v>25950000</v>
      </c>
      <c r="I111" s="52">
        <f>IF(J111="","",INDEX(COA!$A$4:$A$123,MATCH(JU!$J111,COA!$B$4:$B$123,0)))</f>
        <v>1202</v>
      </c>
      <c r="J111" t="s">
        <v>27</v>
      </c>
      <c r="K111" s="34">
        <f t="shared" si="5"/>
        <v>25950000</v>
      </c>
      <c r="L111" s="18"/>
      <c r="M111">
        <v>20</v>
      </c>
    </row>
    <row r="112" spans="1:13" hidden="1">
      <c r="A112" s="50" t="str">
        <f t="shared" si="6"/>
        <v xml:space="preserve">By. Biaya </v>
      </c>
      <c r="B112" s="215">
        <v>46042</v>
      </c>
      <c r="C112" s="211" t="s">
        <v>647</v>
      </c>
      <c r="D112" s="51" t="s">
        <v>729</v>
      </c>
      <c r="F112" s="52" t="str">
        <f>IF(G112="","",INDEX(COA!$A$4:$A$123,MATCH(JU!$G112,COA!$B$4:$B$123,0)))</f>
        <v>6201</v>
      </c>
      <c r="G112" t="s">
        <v>81</v>
      </c>
      <c r="H112" s="216">
        <v>1000000</v>
      </c>
      <c r="I112" s="52">
        <f>IF(J112="","",INDEX(COA!$A$4:$A$123,MATCH(JU!$J112,COA!$B$4:$B$123,0)))</f>
        <v>1103</v>
      </c>
      <c r="J112" t="s">
        <v>154</v>
      </c>
      <c r="K112" s="34">
        <f t="shared" si="5"/>
        <v>1000000</v>
      </c>
      <c r="L112" s="18"/>
      <c r="M112">
        <v>22</v>
      </c>
    </row>
    <row r="113" spans="1:13" hidden="1">
      <c r="A113" s="50" t="str">
        <f t="shared" si="6"/>
        <v xml:space="preserve">By. Biaya </v>
      </c>
      <c r="B113" s="215">
        <v>46042</v>
      </c>
      <c r="C113" s="211" t="s">
        <v>305</v>
      </c>
      <c r="D113" s="51" t="s">
        <v>333</v>
      </c>
      <c r="F113" s="52" t="str">
        <f>IF(G113="","",INDEX(COA!$A$4:$A$123,MATCH(JU!$G113,COA!$B$4:$B$123,0)))</f>
        <v>6303</v>
      </c>
      <c r="G113" t="s">
        <v>87</v>
      </c>
      <c r="H113" s="216">
        <v>2500</v>
      </c>
      <c r="I113" s="52">
        <f>IF(J113="","",INDEX(COA!$A$4:$A$123,MATCH(JU!$J113,COA!$B$4:$B$123,0)))</f>
        <v>1103</v>
      </c>
      <c r="J113" t="s">
        <v>154</v>
      </c>
      <c r="K113" s="34">
        <f t="shared" si="5"/>
        <v>2500</v>
      </c>
      <c r="L113" s="18"/>
      <c r="M113">
        <v>7</v>
      </c>
    </row>
    <row r="114" spans="1:13" hidden="1">
      <c r="A114" s="50" t="str">
        <f t="shared" si="6"/>
        <v xml:space="preserve">Terima Uang Masuk atas </v>
      </c>
      <c r="B114" s="215">
        <v>46042</v>
      </c>
      <c r="D114" s="256" t="s">
        <v>286</v>
      </c>
      <c r="F114" s="52">
        <f>IF(G114="","",INDEX(COA!$A$4:$A$123,MATCH(JU!$G114,COA!$B$4:$B$123,0)))</f>
        <v>1103</v>
      </c>
      <c r="G114" t="s">
        <v>154</v>
      </c>
      <c r="H114" s="216">
        <v>259094</v>
      </c>
      <c r="I114" s="52" t="str">
        <f>IF(J114="","",INDEX(COA!$A$4:$A$123,MATCH(JU!$J114,COA!$B$4:$B$123,0)))</f>
        <v>2101</v>
      </c>
      <c r="J114" t="s">
        <v>45</v>
      </c>
      <c r="K114" s="34">
        <f t="shared" si="5"/>
        <v>259094</v>
      </c>
      <c r="L114" s="18"/>
      <c r="M114" s="34"/>
    </row>
    <row r="115" spans="1:13" hidden="1">
      <c r="A115" s="50" t="str">
        <f t="shared" si="6"/>
        <v xml:space="preserve">By. Biaya </v>
      </c>
      <c r="B115" s="215">
        <v>46042</v>
      </c>
      <c r="D115" s="256" t="s">
        <v>287</v>
      </c>
      <c r="F115" s="52">
        <f>IF(G115="","",INDEX(COA!$A$4:$A$123,MATCH(JU!$G115,COA!$B$4:$B$123,0)))</f>
        <v>1302</v>
      </c>
      <c r="G115" t="s">
        <v>31</v>
      </c>
      <c r="H115" s="216">
        <v>51819</v>
      </c>
      <c r="I115" s="52">
        <f>IF(J115="","",INDEX(COA!$A$4:$A$123,MATCH(JU!$J115,COA!$B$4:$B$123,0)))</f>
        <v>1103</v>
      </c>
      <c r="J115" t="s">
        <v>154</v>
      </c>
      <c r="K115" s="34">
        <f t="shared" si="5"/>
        <v>51819</v>
      </c>
      <c r="L115" s="18"/>
      <c r="M115" s="34"/>
    </row>
    <row r="116" spans="1:13">
      <c r="A116" s="50" t="str">
        <f t="shared" si="6"/>
        <v xml:space="preserve">By. Biaya </v>
      </c>
      <c r="B116" s="215">
        <v>46043</v>
      </c>
      <c r="C116" s="211" t="s">
        <v>763</v>
      </c>
      <c r="D116" s="51" t="s">
        <v>764</v>
      </c>
      <c r="F116" s="52">
        <f>IF(G116="","",INDEX(COA!$A$4:$A$123,MATCH(JU!$G116,COA!$B$4:$B$123,0)))</f>
        <v>1302</v>
      </c>
      <c r="G116" t="s">
        <v>31</v>
      </c>
      <c r="H116" s="216">
        <v>14500000</v>
      </c>
      <c r="I116" s="52">
        <f>IF(J116="","",INDEX(COA!$A$4:$A$123,MATCH(JU!$J116,COA!$B$4:$B$123,0)))</f>
        <v>1103</v>
      </c>
      <c r="J116" t="s">
        <v>154</v>
      </c>
      <c r="K116" s="34">
        <f t="shared" si="5"/>
        <v>14500000</v>
      </c>
      <c r="L116" s="18"/>
      <c r="M116" s="34"/>
    </row>
    <row r="117" spans="1:13">
      <c r="A117" s="50" t="str">
        <f t="shared" si="6"/>
        <v xml:space="preserve">By. Biaya </v>
      </c>
      <c r="B117" s="215">
        <v>46043</v>
      </c>
      <c r="C117" s="211" t="s">
        <v>731</v>
      </c>
      <c r="D117" s="51" t="s">
        <v>765</v>
      </c>
      <c r="F117" s="52">
        <f>IF(G117="","",INDEX(COA!$A$4:$A$123,MATCH(JU!$G117,COA!$B$4:$B$123,0)))</f>
        <v>1302</v>
      </c>
      <c r="G117" t="s">
        <v>31</v>
      </c>
      <c r="H117" s="216">
        <v>5000000</v>
      </c>
      <c r="I117" s="52">
        <f>IF(J117="","",INDEX(COA!$A$4:$A$123,MATCH(JU!$J117,COA!$B$4:$B$123,0)))</f>
        <v>1103</v>
      </c>
      <c r="J117" t="s">
        <v>154</v>
      </c>
      <c r="K117" s="34">
        <f t="shared" si="5"/>
        <v>5000000</v>
      </c>
      <c r="L117" s="18"/>
      <c r="M117" s="34">
        <v>9</v>
      </c>
    </row>
    <row r="118" spans="1:13" hidden="1">
      <c r="A118" s="50" t="str">
        <f t="shared" si="6"/>
        <v xml:space="preserve">By. Biaya </v>
      </c>
      <c r="B118" s="215">
        <v>46043</v>
      </c>
      <c r="C118" s="211" t="s">
        <v>732</v>
      </c>
      <c r="D118" s="51" t="s">
        <v>766</v>
      </c>
      <c r="F118" s="52">
        <f>IF(G118="","",INDEX(COA!$A$4:$A$123,MATCH(JU!$G118,COA!$B$4:$B$123,0)))</f>
        <v>1302</v>
      </c>
      <c r="G118" t="s">
        <v>31</v>
      </c>
      <c r="H118" s="216">
        <v>510000</v>
      </c>
      <c r="I118" s="52">
        <f>IF(J118="","",INDEX(COA!$A$4:$A$123,MATCH(JU!$J118,COA!$B$4:$B$123,0)))</f>
        <v>1103</v>
      </c>
      <c r="J118" t="s">
        <v>154</v>
      </c>
      <c r="K118" s="34">
        <f t="shared" si="5"/>
        <v>510000</v>
      </c>
      <c r="L118" s="18"/>
      <c r="M118" s="34">
        <v>9</v>
      </c>
    </row>
    <row r="119" spans="1:13">
      <c r="A119" s="50" t="str">
        <f t="shared" si="6"/>
        <v xml:space="preserve">By. Biaya </v>
      </c>
      <c r="B119" s="215">
        <v>46043</v>
      </c>
      <c r="C119" s="211" t="s">
        <v>733</v>
      </c>
      <c r="D119" s="51" t="s">
        <v>767</v>
      </c>
      <c r="F119" s="52">
        <f>IF(G119="","",INDEX(COA!$A$4:$A$123,MATCH(JU!$G119,COA!$B$4:$B$123,0)))</f>
        <v>1302</v>
      </c>
      <c r="G119" t="s">
        <v>31</v>
      </c>
      <c r="H119" s="216">
        <v>4350000</v>
      </c>
      <c r="I119" s="52">
        <f>IF(J119="","",INDEX(COA!$A$4:$A$123,MATCH(JU!$J119,COA!$B$4:$B$123,0)))</f>
        <v>1103</v>
      </c>
      <c r="J119" t="s">
        <v>154</v>
      </c>
      <c r="K119" s="34">
        <f t="shared" si="5"/>
        <v>4350000</v>
      </c>
      <c r="L119" s="18"/>
      <c r="M119" s="34">
        <v>28</v>
      </c>
    </row>
    <row r="120" spans="1:13" hidden="1">
      <c r="A120" s="50" t="str">
        <f t="shared" si="6"/>
        <v xml:space="preserve">By. Biaya </v>
      </c>
      <c r="B120" s="215">
        <v>46043</v>
      </c>
      <c r="C120" s="211" t="s">
        <v>734</v>
      </c>
      <c r="D120" s="51" t="s">
        <v>768</v>
      </c>
      <c r="F120" s="52">
        <f>IF(G120="","",INDEX(COA!$A$4:$A$123,MATCH(JU!$G120,COA!$B$4:$B$123,0)))</f>
        <v>6112</v>
      </c>
      <c r="G120" t="s">
        <v>205</v>
      </c>
      <c r="H120" s="216">
        <v>100000</v>
      </c>
      <c r="I120" s="52">
        <f>IF(J120="","",INDEX(COA!$A$4:$A$123,MATCH(JU!$J120,COA!$B$4:$B$123,0)))</f>
        <v>1103</v>
      </c>
      <c r="J120" t="s">
        <v>154</v>
      </c>
      <c r="K120" s="34">
        <f t="shared" si="5"/>
        <v>100000</v>
      </c>
      <c r="L120" s="18"/>
      <c r="M120" s="34">
        <v>8</v>
      </c>
    </row>
    <row r="121" spans="1:13" hidden="1">
      <c r="A121" s="50" t="str">
        <f t="shared" si="6"/>
        <v xml:space="preserve">By. Biaya </v>
      </c>
      <c r="B121" s="215">
        <v>46043</v>
      </c>
      <c r="C121" s="211" t="s">
        <v>305</v>
      </c>
      <c r="D121" s="51" t="s">
        <v>333</v>
      </c>
      <c r="F121" s="52" t="str">
        <f>IF(G121="","",INDEX(COA!$A$4:$A$123,MATCH(JU!$G121,COA!$B$4:$B$123,0)))</f>
        <v>6303</v>
      </c>
      <c r="G121" t="s">
        <v>87</v>
      </c>
      <c r="H121" s="216">
        <v>3000</v>
      </c>
      <c r="I121" s="52">
        <f>IF(J121="","",INDEX(COA!$A$4:$A$123,MATCH(JU!$J121,COA!$B$4:$B$123,0)))</f>
        <v>1103</v>
      </c>
      <c r="J121" t="s">
        <v>154</v>
      </c>
      <c r="K121" s="34">
        <f t="shared" si="5"/>
        <v>3000</v>
      </c>
      <c r="L121" s="18"/>
      <c r="M121" s="34">
        <v>26</v>
      </c>
    </row>
    <row r="122" spans="1:13" hidden="1">
      <c r="A122" s="50" t="str">
        <f t="shared" si="6"/>
        <v xml:space="preserve">By. Biaya </v>
      </c>
      <c r="B122" s="215">
        <v>46043</v>
      </c>
      <c r="C122" s="211" t="s">
        <v>735</v>
      </c>
      <c r="D122" s="51" t="s">
        <v>769</v>
      </c>
      <c r="F122" s="52">
        <f>IF(G122="","",INDEX(COA!$A$4:$A$123,MATCH(JU!$G122,COA!$B$4:$B$123,0)))</f>
        <v>1301</v>
      </c>
      <c r="G122" t="s">
        <v>30</v>
      </c>
      <c r="H122" s="216">
        <v>1500000</v>
      </c>
      <c r="I122" s="52">
        <f>IF(J122="","",INDEX(COA!$A$4:$A$123,MATCH(JU!$J122,COA!$B$4:$B$123,0)))</f>
        <v>1103</v>
      </c>
      <c r="J122" t="s">
        <v>154</v>
      </c>
      <c r="K122" s="34">
        <f t="shared" si="5"/>
        <v>1500000</v>
      </c>
      <c r="L122" s="18"/>
      <c r="M122" s="34">
        <v>20</v>
      </c>
    </row>
    <row r="123" spans="1:13" hidden="1">
      <c r="A123" s="50" t="str">
        <f t="shared" si="6"/>
        <v xml:space="preserve">Terima Uang Masuk atas </v>
      </c>
      <c r="B123" s="215">
        <v>46044</v>
      </c>
      <c r="C123" s="211" t="s">
        <v>736</v>
      </c>
      <c r="D123" s="51" t="s">
        <v>770</v>
      </c>
      <c r="F123" s="52">
        <f>IF(G123="","",INDEX(COA!$A$4:$A$123,MATCH(JU!$G123,COA!$B$4:$B$123,0)))</f>
        <v>1103</v>
      </c>
      <c r="G123" t="s">
        <v>154</v>
      </c>
      <c r="H123" s="216">
        <v>50000000</v>
      </c>
      <c r="I123" s="52">
        <f>IF(J123="","",INDEX(COA!$A$4:$A$123,MATCH(JU!$J123,COA!$B$4:$B$123,0)))</f>
        <v>1203</v>
      </c>
      <c r="J123" t="s">
        <v>140</v>
      </c>
      <c r="K123" s="34">
        <f t="shared" si="5"/>
        <v>50000000</v>
      </c>
    </row>
    <row r="124" spans="1:13" hidden="1">
      <c r="A124" s="50" t="str">
        <f t="shared" si="6"/>
        <v xml:space="preserve">By. Biaya </v>
      </c>
      <c r="B124" s="215">
        <v>46044</v>
      </c>
      <c r="C124" s="211" t="s">
        <v>737</v>
      </c>
      <c r="D124" s="51" t="s">
        <v>771</v>
      </c>
      <c r="F124" s="52">
        <f>IF(G124="","",INDEX(COA!$A$4:$A$123,MATCH(JU!$G124,COA!$B$4:$B$123,0)))</f>
        <v>1302</v>
      </c>
      <c r="G124" s="229" t="s">
        <v>31</v>
      </c>
      <c r="H124" s="216">
        <v>1350000</v>
      </c>
      <c r="I124" s="52">
        <f>IF(J124="","",INDEX(COA!$A$4:$A$123,MATCH(JU!$J124,COA!$B$4:$B$123,0)))</f>
        <v>1103</v>
      </c>
      <c r="J124" t="s">
        <v>154</v>
      </c>
      <c r="K124" s="34">
        <f t="shared" si="5"/>
        <v>1350000</v>
      </c>
    </row>
    <row r="125" spans="1:13" hidden="1">
      <c r="A125" s="50" t="str">
        <f t="shared" si="6"/>
        <v xml:space="preserve">Terima Uang Masuk atas </v>
      </c>
      <c r="B125" s="215">
        <v>46044</v>
      </c>
      <c r="C125" s="211" t="s">
        <v>738</v>
      </c>
      <c r="D125" s="256" t="s">
        <v>772</v>
      </c>
      <c r="F125" s="52">
        <f>IF(G125="","",INDEX(COA!$A$4:$A$123,MATCH(JU!$G125,COA!$B$4:$B$123,0)))</f>
        <v>1103</v>
      </c>
      <c r="G125" t="s">
        <v>154</v>
      </c>
      <c r="H125" s="216">
        <v>8000000</v>
      </c>
      <c r="I125" s="52" t="str">
        <f>IF(J125="","",INDEX(COA!$A$4:$A$123,MATCH(JU!$J125,COA!$B$4:$B$123,0)))</f>
        <v>2107</v>
      </c>
      <c r="J125" t="s">
        <v>50</v>
      </c>
      <c r="K125" s="34">
        <f t="shared" si="5"/>
        <v>8000000</v>
      </c>
    </row>
    <row r="126" spans="1:13" hidden="1">
      <c r="A126" s="50" t="str">
        <f t="shared" si="6"/>
        <v xml:space="preserve">By. Biaya </v>
      </c>
      <c r="B126" s="215">
        <v>46044</v>
      </c>
      <c r="C126" s="211" t="s">
        <v>739</v>
      </c>
      <c r="D126" s="51" t="s">
        <v>773</v>
      </c>
      <c r="F126" s="52">
        <f>IF(G126="","",INDEX(COA!$A$4:$A$123,MATCH(JU!$G126,COA!$B$4:$B$123,0)))</f>
        <v>5108</v>
      </c>
      <c r="G126" t="s">
        <v>72</v>
      </c>
      <c r="H126" s="216">
        <v>11000000</v>
      </c>
      <c r="I126" s="52">
        <f>IF(J126="","",INDEX(COA!$A$4:$A$123,MATCH(JU!$J126,COA!$B$4:$B$123,0)))</f>
        <v>1103</v>
      </c>
      <c r="J126" t="s">
        <v>154</v>
      </c>
      <c r="K126" s="34">
        <f t="shared" si="5"/>
        <v>11000000</v>
      </c>
    </row>
    <row r="127" spans="1:13" hidden="1">
      <c r="A127" s="50" t="str">
        <f t="shared" si="6"/>
        <v xml:space="preserve">Terima Uang Masuk atas </v>
      </c>
      <c r="B127" s="215">
        <v>46044</v>
      </c>
      <c r="C127" s="211" t="s">
        <v>740</v>
      </c>
      <c r="D127" s="51" t="s">
        <v>774</v>
      </c>
      <c r="F127" s="52">
        <f>IF(G127="","",INDEX(COA!$A$4:$A$123,MATCH(JU!$G127,COA!$B$4:$B$123,0)))</f>
        <v>1103</v>
      </c>
      <c r="G127" t="s">
        <v>154</v>
      </c>
      <c r="H127" s="216">
        <v>5000000</v>
      </c>
      <c r="I127" s="52">
        <f>IF(J127="","",INDEX(COA!$A$4:$A$123,MATCH(JU!$J127,COA!$B$4:$B$123,0)))</f>
        <v>1202</v>
      </c>
      <c r="J127" t="s">
        <v>27</v>
      </c>
      <c r="K127" s="34">
        <f t="shared" si="5"/>
        <v>5000000</v>
      </c>
    </row>
    <row r="128" spans="1:13" hidden="1">
      <c r="A128" s="50" t="str">
        <f t="shared" si="6"/>
        <v xml:space="preserve">By. Biaya </v>
      </c>
      <c r="B128" s="215">
        <v>46044</v>
      </c>
      <c r="C128" s="211" t="s">
        <v>741</v>
      </c>
      <c r="D128" s="51" t="s">
        <v>775</v>
      </c>
      <c r="F128" s="52">
        <f>IF(G128="","",INDEX(COA!$A$4:$A$123,MATCH(JU!$G128,COA!$B$4:$B$123,0)))</f>
        <v>6402</v>
      </c>
      <c r="G128" t="s">
        <v>90</v>
      </c>
      <c r="H128" s="216">
        <v>100000</v>
      </c>
      <c r="I128" s="52">
        <f>IF(J128="","",INDEX(COA!$A$4:$A$123,MATCH(JU!$J128,COA!$B$4:$B$123,0)))</f>
        <v>1103</v>
      </c>
      <c r="J128" t="s">
        <v>154</v>
      </c>
      <c r="K128" s="34">
        <f t="shared" si="5"/>
        <v>100000</v>
      </c>
    </row>
    <row r="129" spans="1:11" hidden="1">
      <c r="A129" s="50" t="str">
        <f t="shared" si="6"/>
        <v xml:space="preserve">By. Biaya </v>
      </c>
      <c r="B129" s="215">
        <v>46044</v>
      </c>
      <c r="C129" s="211" t="s">
        <v>503</v>
      </c>
      <c r="D129" s="51" t="s">
        <v>520</v>
      </c>
      <c r="F129" s="52">
        <f>IF(G129="","",INDEX(COA!$A$4:$A$123,MATCH(JU!$G129,COA!$B$4:$B$123,0)))</f>
        <v>5107</v>
      </c>
      <c r="G129" t="s">
        <v>71</v>
      </c>
      <c r="H129" s="216">
        <v>5915000</v>
      </c>
      <c r="I129" s="52">
        <f>IF(J129="","",INDEX(COA!$A$4:$A$123,MATCH(JU!$J129,COA!$B$4:$B$123,0)))</f>
        <v>1103</v>
      </c>
      <c r="J129" t="s">
        <v>154</v>
      </c>
      <c r="K129" s="34">
        <f t="shared" si="5"/>
        <v>5915000</v>
      </c>
    </row>
    <row r="130" spans="1:11" hidden="1">
      <c r="A130" s="50" t="str">
        <f t="shared" si="6"/>
        <v xml:space="preserve">By. Biaya </v>
      </c>
      <c r="B130" s="215">
        <v>46045</v>
      </c>
      <c r="C130" s="211" t="s">
        <v>742</v>
      </c>
      <c r="D130" s="218" t="s">
        <v>797</v>
      </c>
      <c r="F130" s="52">
        <f>IF(G130="","",INDEX(COA!$A$4:$A$123,MATCH(JU!$G130,COA!$B$4:$B$123,0)))</f>
        <v>1401</v>
      </c>
      <c r="G130" t="s">
        <v>35</v>
      </c>
      <c r="H130" s="216">
        <v>577000000</v>
      </c>
      <c r="I130" s="52" t="str">
        <f>IF(J130="","",INDEX(COA!$A$4:$A$123,MATCH(JU!$J130,COA!$B$4:$B$123,0)))</f>
        <v>2107</v>
      </c>
      <c r="J130" t="s">
        <v>50</v>
      </c>
      <c r="K130" s="34">
        <f t="shared" si="5"/>
        <v>577000000</v>
      </c>
    </row>
    <row r="131" spans="1:11" hidden="1">
      <c r="A131" s="50" t="str">
        <f t="shared" ref="A131" si="9">IF(G131="BRI 568","Terima Uang Masuk atas ","By. Biaya ")</f>
        <v xml:space="preserve">By. Biaya </v>
      </c>
      <c r="B131" s="215">
        <v>46045</v>
      </c>
      <c r="C131" s="211" t="s">
        <v>742</v>
      </c>
      <c r="D131" s="51" t="s">
        <v>776</v>
      </c>
      <c r="F131" s="52" t="str">
        <f>IF(G131="","",INDEX(COA!$A$4:$A$123,MATCH(JU!$G131,COA!$B$4:$B$123,0)))</f>
        <v>2107</v>
      </c>
      <c r="G131" t="s">
        <v>50</v>
      </c>
      <c r="H131" s="216">
        <v>150000000</v>
      </c>
      <c r="I131" s="52">
        <f>IF(J131="","",INDEX(COA!$A$4:$A$123,MATCH(JU!$J131,COA!$B$4:$B$123,0)))</f>
        <v>1103</v>
      </c>
      <c r="J131" t="s">
        <v>154</v>
      </c>
      <c r="K131" s="34">
        <f t="shared" ref="K131" si="10">IF(H131="","",H131)</f>
        <v>150000000</v>
      </c>
    </row>
    <row r="132" spans="1:11" hidden="1">
      <c r="A132" s="50" t="str">
        <f t="shared" si="6"/>
        <v xml:space="preserve">By. Biaya </v>
      </c>
      <c r="B132" s="215">
        <v>46045</v>
      </c>
      <c r="C132" s="211" t="s">
        <v>743</v>
      </c>
      <c r="D132" s="218" t="s">
        <v>798</v>
      </c>
      <c r="F132" s="52">
        <f>IF(G132="","",INDEX(COA!$A$4:$A$123,MATCH(JU!$G132,COA!$B$4:$B$123,0)))</f>
        <v>1202</v>
      </c>
      <c r="G132" t="s">
        <v>27</v>
      </c>
      <c r="H132" s="216">
        <v>35000000</v>
      </c>
      <c r="I132" s="52">
        <f>IF(J132="","",INDEX(COA!$A$4:$A$123,MATCH(JU!$J132,COA!$B$4:$B$123,0)))</f>
        <v>4101</v>
      </c>
      <c r="J132" t="s">
        <v>61</v>
      </c>
      <c r="K132" s="34">
        <f t="shared" si="5"/>
        <v>35000000</v>
      </c>
    </row>
    <row r="133" spans="1:11" hidden="1">
      <c r="A133" s="50" t="str">
        <f t="shared" ref="A133" si="11">IF(G133="BRI 568","Terima Uang Masuk atas ","By. Biaya ")</f>
        <v xml:space="preserve">Terima Uang Masuk atas </v>
      </c>
      <c r="B133" s="215">
        <v>46045</v>
      </c>
      <c r="C133" s="211" t="s">
        <v>743</v>
      </c>
      <c r="D133" s="218" t="s">
        <v>799</v>
      </c>
      <c r="F133" s="52">
        <f>IF(G133="","",INDEX(COA!$A$4:$A$123,MATCH(JU!$G133,COA!$B$4:$B$123,0)))</f>
        <v>1103</v>
      </c>
      <c r="G133" t="s">
        <v>154</v>
      </c>
      <c r="H133" s="216">
        <v>3000000</v>
      </c>
      <c r="I133" s="52">
        <f>IF(J133="","",INDEX(COA!$A$4:$A$123,MATCH(JU!$J133,COA!$B$4:$B$123,0)))</f>
        <v>1202</v>
      </c>
      <c r="J133" t="s">
        <v>27</v>
      </c>
      <c r="K133" s="34">
        <f t="shared" ref="K133" si="12">IF(H133="","",H133)</f>
        <v>3000000</v>
      </c>
    </row>
    <row r="134" spans="1:11" hidden="1">
      <c r="A134" s="50" t="str">
        <f t="shared" si="6"/>
        <v xml:space="preserve">By. Biaya </v>
      </c>
      <c r="B134" s="215">
        <v>46045</v>
      </c>
      <c r="C134" s="211" t="s">
        <v>483</v>
      </c>
      <c r="D134" s="51" t="s">
        <v>777</v>
      </c>
      <c r="F134" s="52" t="str">
        <f>IF(G134="","",INDEX(COA!$A$4:$A$123,MATCH(JU!$G134,COA!$B$4:$B$123,0)))</f>
        <v>2201</v>
      </c>
      <c r="G134" t="s">
        <v>52</v>
      </c>
      <c r="H134" s="216">
        <v>24000000</v>
      </c>
      <c r="I134" s="52">
        <f>IF(J134="","",INDEX(COA!$A$4:$A$123,MATCH(JU!$J134,COA!$B$4:$B$123,0)))</f>
        <v>1103</v>
      </c>
      <c r="J134" t="s">
        <v>154</v>
      </c>
      <c r="K134" s="34">
        <f t="shared" si="5"/>
        <v>24000000</v>
      </c>
    </row>
    <row r="135" spans="1:11" hidden="1">
      <c r="A135" s="50" t="str">
        <f t="shared" si="6"/>
        <v xml:space="preserve">By. Biaya </v>
      </c>
      <c r="B135" s="215">
        <v>46045</v>
      </c>
      <c r="C135" s="211" t="s">
        <v>324</v>
      </c>
      <c r="D135" s="51" t="s">
        <v>353</v>
      </c>
      <c r="F135" s="52" t="str">
        <f>IF(G135="","",INDEX(COA!$A$4:$A$123,MATCH(JU!$G135,COA!$B$4:$B$123,0)))</f>
        <v>2201</v>
      </c>
      <c r="G135" t="s">
        <v>52</v>
      </c>
      <c r="H135" s="216">
        <v>24000000</v>
      </c>
      <c r="I135" s="52">
        <f>IF(J135="","",INDEX(COA!$A$4:$A$123,MATCH(JU!$J135,COA!$B$4:$B$123,0)))</f>
        <v>1103</v>
      </c>
      <c r="J135" t="s">
        <v>154</v>
      </c>
      <c r="K135" s="34">
        <f t="shared" si="5"/>
        <v>24000000</v>
      </c>
    </row>
    <row r="136" spans="1:11" hidden="1">
      <c r="A136" s="50" t="str">
        <f t="shared" si="6"/>
        <v xml:space="preserve">By. Biaya </v>
      </c>
      <c r="B136" s="215">
        <v>46045</v>
      </c>
      <c r="C136" s="211" t="s">
        <v>744</v>
      </c>
      <c r="D136" s="51" t="s">
        <v>778</v>
      </c>
      <c r="F136" s="52">
        <f>IF(G136="","",INDEX(COA!$A$4:$A$123,MATCH(JU!$G136,COA!$B$4:$B$123,0)))</f>
        <v>4102</v>
      </c>
      <c r="G136" t="s">
        <v>62</v>
      </c>
      <c r="H136" s="216">
        <v>8000000</v>
      </c>
      <c r="I136" s="52">
        <f>IF(J136="","",INDEX(COA!$A$4:$A$123,MATCH(JU!$J136,COA!$B$4:$B$123,0)))</f>
        <v>1103</v>
      </c>
      <c r="J136" t="s">
        <v>154</v>
      </c>
      <c r="K136" s="34">
        <f t="shared" ref="K136:K191" si="13">IF(H136="","",H136)</f>
        <v>8000000</v>
      </c>
    </row>
    <row r="137" spans="1:11" hidden="1">
      <c r="A137" s="50" t="str">
        <f t="shared" si="6"/>
        <v xml:space="preserve">By. Biaya </v>
      </c>
      <c r="B137" s="215">
        <v>46046</v>
      </c>
      <c r="C137" s="211" t="s">
        <v>745</v>
      </c>
      <c r="D137" s="51" t="s">
        <v>779</v>
      </c>
      <c r="F137" s="52">
        <f>IF(G137="","",INDEX(COA!$A$4:$A$123,MATCH(JU!$G137,COA!$B$4:$B$123,0)))</f>
        <v>1203</v>
      </c>
      <c r="G137" t="s">
        <v>140</v>
      </c>
      <c r="H137" s="216">
        <v>50000000</v>
      </c>
      <c r="I137" s="52">
        <f>IF(J137="","",INDEX(COA!$A$4:$A$123,MATCH(JU!$J137,COA!$B$4:$B$123,0)))</f>
        <v>1103</v>
      </c>
      <c r="J137" t="s">
        <v>154</v>
      </c>
      <c r="K137" s="34">
        <f t="shared" si="13"/>
        <v>50000000</v>
      </c>
    </row>
    <row r="138" spans="1:11">
      <c r="A138" s="50" t="str">
        <f t="shared" si="6"/>
        <v xml:space="preserve">By. Biaya </v>
      </c>
      <c r="B138" s="215">
        <v>46047</v>
      </c>
      <c r="C138" s="211" t="s">
        <v>746</v>
      </c>
      <c r="D138" s="256" t="s">
        <v>780</v>
      </c>
      <c r="F138" s="52">
        <f>IF(G138="","",INDEX(COA!$A$4:$A$123,MATCH(JU!$G138,COA!$B$4:$B$123,0)))</f>
        <v>1302</v>
      </c>
      <c r="G138" t="s">
        <v>31</v>
      </c>
      <c r="H138" s="216">
        <v>4000000</v>
      </c>
      <c r="I138" s="52">
        <f>IF(J138="","",INDEX(COA!$A$4:$A$123,MATCH(JU!$J138,COA!$B$4:$B$123,0)))</f>
        <v>1103</v>
      </c>
      <c r="J138" t="s">
        <v>154</v>
      </c>
      <c r="K138" s="34">
        <f t="shared" si="13"/>
        <v>4000000</v>
      </c>
    </row>
    <row r="139" spans="1:11" hidden="1">
      <c r="A139" s="50" t="str">
        <f t="shared" si="6"/>
        <v xml:space="preserve">Terima Uang Masuk atas </v>
      </c>
      <c r="B139" s="215">
        <v>46047</v>
      </c>
      <c r="C139" s="211" t="s">
        <v>747</v>
      </c>
      <c r="D139" s="51" t="s">
        <v>781</v>
      </c>
      <c r="F139" s="52">
        <f>IF(G139="","",INDEX(COA!$A$4:$A$123,MATCH(JU!$G139,COA!$B$4:$B$123,0)))</f>
        <v>1103</v>
      </c>
      <c r="G139" t="s">
        <v>154</v>
      </c>
      <c r="H139" s="216">
        <v>25000000</v>
      </c>
      <c r="I139" s="52">
        <f>IF(J139="","",INDEX(COA!$A$4:$A$123,MATCH(JU!$J139,COA!$B$4:$B$123,0)))</f>
        <v>1203</v>
      </c>
      <c r="J139" t="s">
        <v>140</v>
      </c>
      <c r="K139" s="34">
        <f t="shared" si="13"/>
        <v>25000000</v>
      </c>
    </row>
    <row r="140" spans="1:11" hidden="1">
      <c r="A140" s="50" t="str">
        <f t="shared" si="6"/>
        <v xml:space="preserve">By. Biaya </v>
      </c>
      <c r="B140" s="215">
        <v>46048</v>
      </c>
      <c r="C140" s="211" t="s">
        <v>748</v>
      </c>
      <c r="D140" s="51" t="s">
        <v>782</v>
      </c>
      <c r="F140" s="52">
        <f>IF(G140="","",INDEX(COA!$A$4:$A$123,MATCH(JU!$G140,COA!$B$4:$B$123,0)))</f>
        <v>5107</v>
      </c>
      <c r="G140" t="s">
        <v>71</v>
      </c>
      <c r="H140" s="216">
        <v>1090000</v>
      </c>
      <c r="I140" s="52">
        <f>IF(J140="","",INDEX(COA!$A$4:$A$123,MATCH(JU!$J140,COA!$B$4:$B$123,0)))</f>
        <v>1103</v>
      </c>
      <c r="J140" t="s">
        <v>154</v>
      </c>
      <c r="K140" s="34">
        <f t="shared" si="13"/>
        <v>1090000</v>
      </c>
    </row>
    <row r="141" spans="1:11" hidden="1">
      <c r="A141" s="50" t="str">
        <f t="shared" ref="A141:A178" si="14">IF(G141="BRI 568","Terima Uang Masuk atas ","By. Biaya ")</f>
        <v xml:space="preserve">By. Biaya </v>
      </c>
      <c r="B141" s="215">
        <v>46048</v>
      </c>
      <c r="C141" s="211" t="s">
        <v>749</v>
      </c>
      <c r="D141" s="51" t="s">
        <v>783</v>
      </c>
      <c r="F141" s="52">
        <f>IF(G141="","",INDEX(COA!$A$4:$A$123,MATCH(JU!$G141,COA!$B$4:$B$123,0)))</f>
        <v>1302</v>
      </c>
      <c r="G141" t="s">
        <v>31</v>
      </c>
      <c r="H141" s="216">
        <v>28000</v>
      </c>
      <c r="I141" s="52">
        <f>IF(J141="","",INDEX(COA!$A$4:$A$123,MATCH(JU!$J141,COA!$B$4:$B$123,0)))</f>
        <v>1103</v>
      </c>
      <c r="J141" t="s">
        <v>154</v>
      </c>
      <c r="K141" s="34">
        <f t="shared" si="13"/>
        <v>28000</v>
      </c>
    </row>
    <row r="142" spans="1:11" hidden="1">
      <c r="A142" s="50" t="str">
        <f t="shared" si="14"/>
        <v xml:space="preserve">By. Biaya </v>
      </c>
      <c r="B142" s="215">
        <v>46048</v>
      </c>
      <c r="C142" s="211" t="s">
        <v>750</v>
      </c>
      <c r="D142" s="51" t="s">
        <v>784</v>
      </c>
      <c r="F142" s="52">
        <f>IF(G142="","",INDEX(COA!$A$4:$A$123,MATCH(JU!$G142,COA!$B$4:$B$123,0)))</f>
        <v>6111</v>
      </c>
      <c r="G142" t="s">
        <v>150</v>
      </c>
      <c r="H142" s="216">
        <v>132000</v>
      </c>
      <c r="I142" s="52">
        <f>IF(J142="","",INDEX(COA!$A$4:$A$123,MATCH(JU!$J142,COA!$B$4:$B$123,0)))</f>
        <v>1103</v>
      </c>
      <c r="J142" t="s">
        <v>154</v>
      </c>
      <c r="K142" s="34">
        <f t="shared" si="13"/>
        <v>132000</v>
      </c>
    </row>
    <row r="143" spans="1:11" hidden="1">
      <c r="A143" s="50" t="str">
        <f t="shared" si="14"/>
        <v xml:space="preserve">Terima Uang Masuk atas </v>
      </c>
      <c r="B143" s="215">
        <v>46048</v>
      </c>
      <c r="C143" s="211" t="s">
        <v>751</v>
      </c>
      <c r="D143" s="51" t="s">
        <v>785</v>
      </c>
      <c r="F143" s="52">
        <f>IF(G143="","",INDEX(COA!$A$4:$A$123,MATCH(JU!$G143,COA!$B$4:$B$123,0)))</f>
        <v>1103</v>
      </c>
      <c r="G143" t="s">
        <v>154</v>
      </c>
      <c r="H143" s="216">
        <v>5000000</v>
      </c>
      <c r="I143" s="52">
        <f>IF(J143="","",INDEX(COA!$A$4:$A$123,MATCH(JU!$J143,COA!$B$4:$B$123,0)))</f>
        <v>4102</v>
      </c>
      <c r="J143" t="s">
        <v>62</v>
      </c>
      <c r="K143" s="34">
        <f t="shared" si="13"/>
        <v>5000000</v>
      </c>
    </row>
    <row r="144" spans="1:11" hidden="1">
      <c r="A144" s="50" t="str">
        <f t="shared" si="14"/>
        <v xml:space="preserve">By. Biaya </v>
      </c>
      <c r="B144" s="215">
        <v>46049</v>
      </c>
      <c r="C144" s="211" t="s">
        <v>752</v>
      </c>
      <c r="D144" s="51" t="s">
        <v>786</v>
      </c>
      <c r="F144" s="52">
        <f>IF(G144="","",INDEX(COA!$A$4:$A$123,MATCH(JU!$G144,COA!$B$4:$B$123,0)))</f>
        <v>5108</v>
      </c>
      <c r="G144" t="s">
        <v>72</v>
      </c>
      <c r="H144" s="216">
        <v>810000</v>
      </c>
      <c r="I144" s="52">
        <f>IF(J144="","",INDEX(COA!$A$4:$A$123,MATCH(JU!$J144,COA!$B$4:$B$123,0)))</f>
        <v>1103</v>
      </c>
      <c r="J144" t="s">
        <v>154</v>
      </c>
      <c r="K144" s="34">
        <f t="shared" si="13"/>
        <v>810000</v>
      </c>
    </row>
    <row r="145" spans="1:11" hidden="1">
      <c r="A145" s="50" t="str">
        <f t="shared" si="14"/>
        <v xml:space="preserve">Terima Uang Masuk atas </v>
      </c>
      <c r="B145" s="215">
        <v>46049</v>
      </c>
      <c r="C145" s="211" t="s">
        <v>753</v>
      </c>
      <c r="D145" s="51" t="s">
        <v>787</v>
      </c>
      <c r="F145" s="52">
        <f>IF(G145="","",INDEX(COA!$A$4:$A$123,MATCH(JU!$G145,COA!$B$4:$B$123,0)))</f>
        <v>1103</v>
      </c>
      <c r="G145" t="s">
        <v>154</v>
      </c>
      <c r="H145" s="216">
        <v>5000000</v>
      </c>
      <c r="I145" s="52">
        <f>IF(J145="","",INDEX(COA!$A$4:$A$123,MATCH(JU!$J145,COA!$B$4:$B$123,0)))</f>
        <v>4102</v>
      </c>
      <c r="J145" t="s">
        <v>62</v>
      </c>
      <c r="K145" s="34">
        <f t="shared" si="13"/>
        <v>5000000</v>
      </c>
    </row>
    <row r="146" spans="1:11" hidden="1">
      <c r="A146" s="50" t="str">
        <f t="shared" si="14"/>
        <v xml:space="preserve">By. Biaya </v>
      </c>
      <c r="B146" s="215">
        <v>46049</v>
      </c>
      <c r="C146" s="211" t="s">
        <v>754</v>
      </c>
      <c r="D146" s="51" t="s">
        <v>788</v>
      </c>
      <c r="F146" s="52">
        <f>IF(G146="","",INDEX(COA!$A$4:$A$123,MATCH(JU!$G146,COA!$B$4:$B$123,0)))</f>
        <v>5107</v>
      </c>
      <c r="G146" s="229" t="s">
        <v>71</v>
      </c>
      <c r="H146" s="216">
        <v>4000000</v>
      </c>
      <c r="I146" s="52">
        <f>IF(J146="","",INDEX(COA!$A$4:$A$123,MATCH(JU!$J146,COA!$B$4:$B$123,0)))</f>
        <v>1103</v>
      </c>
      <c r="J146" t="s">
        <v>154</v>
      </c>
      <c r="K146" s="34">
        <f t="shared" si="13"/>
        <v>4000000</v>
      </c>
    </row>
    <row r="147" spans="1:11" hidden="1">
      <c r="A147" s="50" t="str">
        <f t="shared" si="14"/>
        <v xml:space="preserve">By. Biaya </v>
      </c>
      <c r="B147" s="215">
        <v>46049</v>
      </c>
      <c r="C147" s="211" t="s">
        <v>755</v>
      </c>
      <c r="D147" s="51" t="s">
        <v>789</v>
      </c>
      <c r="F147" s="52">
        <f>IF(G147="","",INDEX(COA!$A$4:$A$123,MATCH(JU!$G147,COA!$B$4:$B$123,0)))</f>
        <v>1302</v>
      </c>
      <c r="G147" t="s">
        <v>31</v>
      </c>
      <c r="H147" s="216">
        <v>900000</v>
      </c>
      <c r="I147" s="52">
        <f>IF(J147="","",INDEX(COA!$A$4:$A$123,MATCH(JU!$J147,COA!$B$4:$B$123,0)))</f>
        <v>1103</v>
      </c>
      <c r="J147" t="s">
        <v>154</v>
      </c>
      <c r="K147" s="34">
        <f t="shared" si="13"/>
        <v>900000</v>
      </c>
    </row>
    <row r="148" spans="1:11">
      <c r="A148" s="50" t="str">
        <f t="shared" si="14"/>
        <v xml:space="preserve">By. Biaya </v>
      </c>
      <c r="B148" s="215">
        <v>46049</v>
      </c>
      <c r="C148" s="211" t="s">
        <v>756</v>
      </c>
      <c r="D148" s="51" t="s">
        <v>790</v>
      </c>
      <c r="F148" s="52">
        <f>IF(G148="","",INDEX(COA!$A$4:$A$123,MATCH(JU!$G148,COA!$B$4:$B$123,0)))</f>
        <v>1302</v>
      </c>
      <c r="G148" t="s">
        <v>31</v>
      </c>
      <c r="H148" s="216">
        <v>14000000</v>
      </c>
      <c r="I148" s="52">
        <f>IF(J148="","",INDEX(COA!$A$4:$A$123,MATCH(JU!$J148,COA!$B$4:$B$123,0)))</f>
        <v>1103</v>
      </c>
      <c r="J148" t="s">
        <v>154</v>
      </c>
      <c r="K148" s="34">
        <f t="shared" si="13"/>
        <v>14000000</v>
      </c>
    </row>
    <row r="149" spans="1:11" hidden="1">
      <c r="A149" s="50" t="str">
        <f t="shared" si="14"/>
        <v xml:space="preserve">By. Biaya </v>
      </c>
      <c r="B149" s="215">
        <v>46049</v>
      </c>
      <c r="C149" s="211" t="s">
        <v>757</v>
      </c>
      <c r="D149" s="51" t="s">
        <v>791</v>
      </c>
      <c r="F149" s="52">
        <f>IF(G149="","",INDEX(COA!$A$4:$A$123,MATCH(JU!$G149,COA!$B$4:$B$123,0)))</f>
        <v>5107</v>
      </c>
      <c r="G149" s="229" t="s">
        <v>71</v>
      </c>
      <c r="H149" s="216">
        <v>500000</v>
      </c>
      <c r="I149" s="52">
        <f>IF(J149="","",INDEX(COA!$A$4:$A$123,MATCH(JU!$J149,COA!$B$4:$B$123,0)))</f>
        <v>1103</v>
      </c>
      <c r="J149" t="s">
        <v>154</v>
      </c>
      <c r="K149" s="34">
        <f t="shared" si="13"/>
        <v>500000</v>
      </c>
    </row>
    <row r="150" spans="1:11" hidden="1">
      <c r="A150" s="50" t="str">
        <f t="shared" si="14"/>
        <v xml:space="preserve">By. Biaya </v>
      </c>
      <c r="B150" s="215">
        <v>46050</v>
      </c>
      <c r="C150" s="211" t="s">
        <v>758</v>
      </c>
      <c r="D150" s="51" t="s">
        <v>792</v>
      </c>
      <c r="F150" s="52">
        <f>IF(G150="","",INDEX(COA!$A$4:$A$123,MATCH(JU!$G150,COA!$B$4:$B$123,0)))</f>
        <v>5107</v>
      </c>
      <c r="G150" s="229" t="s">
        <v>71</v>
      </c>
      <c r="H150" s="216">
        <v>2000000</v>
      </c>
      <c r="I150" s="52">
        <f>IF(J150="","",INDEX(COA!$A$4:$A$123,MATCH(JU!$J150,COA!$B$4:$B$123,0)))</f>
        <v>1103</v>
      </c>
      <c r="J150" t="s">
        <v>154</v>
      </c>
      <c r="K150" s="34">
        <f t="shared" si="13"/>
        <v>2000000</v>
      </c>
    </row>
    <row r="151" spans="1:11" hidden="1">
      <c r="A151" s="50" t="str">
        <f t="shared" si="14"/>
        <v xml:space="preserve">By. Biaya </v>
      </c>
      <c r="B151" s="215">
        <v>46050</v>
      </c>
      <c r="C151" s="211" t="s">
        <v>305</v>
      </c>
      <c r="D151" s="51" t="s">
        <v>333</v>
      </c>
      <c r="F151" s="52" t="str">
        <f>IF(G151="","",INDEX(COA!$A$4:$A$123,MATCH(JU!$G151,COA!$B$4:$B$123,0)))</f>
        <v>6303</v>
      </c>
      <c r="G151" t="s">
        <v>87</v>
      </c>
      <c r="H151" s="216">
        <v>6500</v>
      </c>
      <c r="I151" s="52">
        <f>IF(J151="","",INDEX(COA!$A$4:$A$123,MATCH(JU!$J151,COA!$B$4:$B$123,0)))</f>
        <v>1103</v>
      </c>
      <c r="J151" t="s">
        <v>154</v>
      </c>
      <c r="K151" s="34">
        <f t="shared" si="13"/>
        <v>6500</v>
      </c>
    </row>
    <row r="152" spans="1:11" hidden="1">
      <c r="A152" s="50" t="str">
        <f t="shared" si="14"/>
        <v xml:space="preserve">By. Biaya </v>
      </c>
      <c r="B152" s="215">
        <v>46050</v>
      </c>
      <c r="C152" s="211" t="s">
        <v>759</v>
      </c>
      <c r="D152" s="51" t="s">
        <v>793</v>
      </c>
      <c r="F152" s="52">
        <f>IF(G152="","",INDEX(COA!$A$4:$A$123,MATCH(JU!$G152,COA!$B$4:$B$123,0)))</f>
        <v>1302</v>
      </c>
      <c r="G152" t="s">
        <v>31</v>
      </c>
      <c r="H152" s="216">
        <v>1266000</v>
      </c>
      <c r="I152" s="52">
        <f>IF(J152="","",INDEX(COA!$A$4:$A$123,MATCH(JU!$J152,COA!$B$4:$B$123,0)))</f>
        <v>1103</v>
      </c>
      <c r="J152" t="s">
        <v>154</v>
      </c>
      <c r="K152" s="34">
        <f t="shared" si="13"/>
        <v>1266000</v>
      </c>
    </row>
    <row r="153" spans="1:11" hidden="1">
      <c r="A153" s="50" t="str">
        <f t="shared" si="14"/>
        <v xml:space="preserve">By. Biaya </v>
      </c>
      <c r="B153" s="215">
        <v>46050</v>
      </c>
      <c r="C153" s="211" t="s">
        <v>760</v>
      </c>
      <c r="D153" s="51" t="s">
        <v>794</v>
      </c>
      <c r="F153" s="52">
        <f>IF(G153="","",INDEX(COA!$A$4:$A$123,MATCH(JU!$G153,COA!$B$4:$B$123,0)))</f>
        <v>7103</v>
      </c>
      <c r="G153" t="s">
        <v>95</v>
      </c>
      <c r="H153" s="216">
        <v>131732</v>
      </c>
      <c r="I153" s="52">
        <f>IF(J153="","",INDEX(COA!$A$4:$A$123,MATCH(JU!$J153,COA!$B$4:$B$123,0)))</f>
        <v>1103</v>
      </c>
      <c r="J153" t="s">
        <v>154</v>
      </c>
      <c r="K153" s="34">
        <f t="shared" si="13"/>
        <v>131732</v>
      </c>
    </row>
    <row r="154" spans="1:11" hidden="1">
      <c r="A154" s="50" t="str">
        <f t="shared" si="14"/>
        <v xml:space="preserve">By. Biaya </v>
      </c>
      <c r="B154" s="215">
        <v>46050</v>
      </c>
      <c r="C154" s="211" t="s">
        <v>761</v>
      </c>
      <c r="D154" s="51" t="s">
        <v>795</v>
      </c>
      <c r="F154" s="52">
        <f>IF(G154="","",INDEX(COA!$A$4:$A$123,MATCH(JU!$G154,COA!$B$4:$B$123,0)))</f>
        <v>1302</v>
      </c>
      <c r="G154" t="s">
        <v>31</v>
      </c>
      <c r="H154" s="216">
        <v>135000</v>
      </c>
      <c r="I154" s="52">
        <f>IF(J154="","",INDEX(COA!$A$4:$A$123,MATCH(JU!$J154,COA!$B$4:$B$123,0)))</f>
        <v>1103</v>
      </c>
      <c r="J154" t="s">
        <v>154</v>
      </c>
      <c r="K154" s="34">
        <f t="shared" si="13"/>
        <v>135000</v>
      </c>
    </row>
    <row r="155" spans="1:11" hidden="1">
      <c r="A155" s="50" t="str">
        <f t="shared" si="14"/>
        <v xml:space="preserve">By. Biaya </v>
      </c>
      <c r="B155" s="215">
        <v>46051</v>
      </c>
      <c r="C155" s="211" t="s">
        <v>762</v>
      </c>
      <c r="D155" s="51" t="s">
        <v>796</v>
      </c>
      <c r="F155" s="52">
        <f>IF(G155="","",INDEX(COA!$A$4:$A$123,MATCH(JU!$G155,COA!$B$4:$B$123,0)))</f>
        <v>1302</v>
      </c>
      <c r="G155" s="229" t="s">
        <v>31</v>
      </c>
      <c r="H155" s="216">
        <v>11000000</v>
      </c>
      <c r="I155" s="52">
        <f>IF(J155="","",INDEX(COA!$A$4:$A$123,MATCH(JU!$J155,COA!$B$4:$B$123,0)))</f>
        <v>1103</v>
      </c>
      <c r="J155" t="s">
        <v>154</v>
      </c>
      <c r="K155" s="34">
        <f t="shared" si="13"/>
        <v>11000000</v>
      </c>
    </row>
    <row r="156" spans="1:11" hidden="1">
      <c r="A156" s="50" t="str">
        <f t="shared" si="14"/>
        <v xml:space="preserve">Terima Uang Masuk atas </v>
      </c>
      <c r="B156" s="215">
        <v>46051</v>
      </c>
      <c r="C156" s="211" t="s">
        <v>800</v>
      </c>
      <c r="D156" s="256" t="s">
        <v>806</v>
      </c>
      <c r="F156" s="52">
        <f>IF(G156="","",INDEX(COA!$A$4:$A$123,MATCH(JU!$G156,COA!$B$4:$B$123,0)))</f>
        <v>1103</v>
      </c>
      <c r="G156" t="s">
        <v>154</v>
      </c>
      <c r="H156" s="216">
        <v>50000000</v>
      </c>
      <c r="I156" s="52">
        <f>IF(J156="","",INDEX(COA!$A$4:$A$123,MATCH(JU!$J156,COA!$B$4:$B$123,0)))</f>
        <v>1203</v>
      </c>
      <c r="J156" t="s">
        <v>140</v>
      </c>
      <c r="K156" s="34">
        <f t="shared" si="13"/>
        <v>50000000</v>
      </c>
    </row>
    <row r="157" spans="1:11">
      <c r="A157" s="50" t="str">
        <f t="shared" si="14"/>
        <v xml:space="preserve">By. Biaya </v>
      </c>
      <c r="B157" s="215">
        <v>46051</v>
      </c>
      <c r="C157" s="211" t="s">
        <v>801</v>
      </c>
      <c r="D157" s="51" t="s">
        <v>807</v>
      </c>
      <c r="F157" s="52">
        <f>IF(G157="","",INDEX(COA!$A$4:$A$123,MATCH(JU!$G157,COA!$B$4:$B$123,0)))</f>
        <v>1302</v>
      </c>
      <c r="G157" t="s">
        <v>31</v>
      </c>
      <c r="H157" s="216">
        <v>10000000</v>
      </c>
      <c r="I157" s="52">
        <f>IF(J157="","",INDEX(COA!$A$4:$A$123,MATCH(JU!$J157,COA!$B$4:$B$123,0)))</f>
        <v>1103</v>
      </c>
      <c r="J157" t="s">
        <v>154</v>
      </c>
      <c r="K157" s="34">
        <f t="shared" si="13"/>
        <v>10000000</v>
      </c>
    </row>
    <row r="158" spans="1:11" hidden="1">
      <c r="A158" s="50" t="str">
        <f t="shared" si="14"/>
        <v xml:space="preserve">By. Biaya </v>
      </c>
      <c r="B158" s="215">
        <v>46051</v>
      </c>
      <c r="C158" s="211" t="s">
        <v>802</v>
      </c>
      <c r="D158" s="51" t="s">
        <v>808</v>
      </c>
      <c r="F158" s="52">
        <f>IF(G158="","",INDEX(COA!$A$4:$A$123,MATCH(JU!$G158,COA!$B$4:$B$123,0)))</f>
        <v>5107</v>
      </c>
      <c r="G158" s="229" t="s">
        <v>71</v>
      </c>
      <c r="H158" s="216">
        <v>5600000</v>
      </c>
      <c r="I158" s="52">
        <f>IF(J158="","",INDEX(COA!$A$4:$A$123,MATCH(JU!$J158,COA!$B$4:$B$123,0)))</f>
        <v>1103</v>
      </c>
      <c r="J158" t="s">
        <v>154</v>
      </c>
      <c r="K158" s="34">
        <f t="shared" si="13"/>
        <v>5600000</v>
      </c>
    </row>
    <row r="159" spans="1:11" hidden="1">
      <c r="A159" s="50" t="str">
        <f t="shared" si="14"/>
        <v xml:space="preserve">By. Biaya </v>
      </c>
      <c r="B159" s="215">
        <v>46051</v>
      </c>
      <c r="C159" s="211" t="s">
        <v>305</v>
      </c>
      <c r="D159" s="51" t="s">
        <v>333</v>
      </c>
      <c r="F159" s="52" t="str">
        <f>IF(G159="","",INDEX(COA!$A$4:$A$123,MATCH(JU!$G159,COA!$B$4:$B$123,0)))</f>
        <v>6303</v>
      </c>
      <c r="G159" t="s">
        <v>87</v>
      </c>
      <c r="H159" s="216">
        <v>2500</v>
      </c>
      <c r="I159" s="52">
        <f>IF(J159="","",INDEX(COA!$A$4:$A$123,MATCH(JU!$J159,COA!$B$4:$B$123,0)))</f>
        <v>1103</v>
      </c>
      <c r="J159" t="s">
        <v>154</v>
      </c>
      <c r="K159" s="34">
        <f t="shared" si="13"/>
        <v>2500</v>
      </c>
    </row>
    <row r="160" spans="1:11" hidden="1">
      <c r="A160" s="50" t="str">
        <f t="shared" si="14"/>
        <v xml:space="preserve">By. Biaya </v>
      </c>
      <c r="B160" s="215">
        <v>46051</v>
      </c>
      <c r="C160" s="211" t="s">
        <v>803</v>
      </c>
      <c r="D160" s="51" t="s">
        <v>809</v>
      </c>
      <c r="F160" s="52">
        <f>IF(G160="","",INDEX(COA!$A$4:$A$123,MATCH(JU!$G160,COA!$B$4:$B$123,0)))</f>
        <v>1302</v>
      </c>
      <c r="G160" t="s">
        <v>31</v>
      </c>
      <c r="H160" s="216">
        <v>450000</v>
      </c>
      <c r="I160" s="52">
        <f>IF(J160="","",INDEX(COA!$A$4:$A$123,MATCH(JU!$J160,COA!$B$4:$B$123,0)))</f>
        <v>1103</v>
      </c>
      <c r="J160" t="s">
        <v>154</v>
      </c>
      <c r="K160" s="34">
        <f t="shared" si="13"/>
        <v>450000</v>
      </c>
    </row>
    <row r="161" spans="1:11" hidden="1">
      <c r="A161" s="50" t="str">
        <f t="shared" si="14"/>
        <v xml:space="preserve">By. Biaya </v>
      </c>
      <c r="B161" s="215">
        <v>46051</v>
      </c>
      <c r="C161" s="211" t="s">
        <v>804</v>
      </c>
      <c r="D161" s="51" t="s">
        <v>810</v>
      </c>
      <c r="F161" s="52">
        <f>IF(G161="","",INDEX(COA!$A$4:$A$123,MATCH(JU!$G161,COA!$B$4:$B$123,0)))</f>
        <v>6112</v>
      </c>
      <c r="G161" t="s">
        <v>205</v>
      </c>
      <c r="H161" s="216">
        <v>48000</v>
      </c>
      <c r="I161" s="52">
        <f>IF(J161="","",INDEX(COA!$A$4:$A$123,MATCH(JU!$J161,COA!$B$4:$B$123,0)))</f>
        <v>1103</v>
      </c>
      <c r="J161" t="s">
        <v>154</v>
      </c>
      <c r="K161" s="34">
        <f t="shared" si="13"/>
        <v>48000</v>
      </c>
    </row>
    <row r="162" spans="1:11" hidden="1">
      <c r="A162" s="50" t="str">
        <f t="shared" si="14"/>
        <v xml:space="preserve">By. Biaya </v>
      </c>
      <c r="B162" s="215">
        <v>46051</v>
      </c>
      <c r="C162" s="211" t="s">
        <v>805</v>
      </c>
      <c r="D162" s="51" t="s">
        <v>811</v>
      </c>
      <c r="F162" s="52">
        <f>IF(G162="","",INDEX(COA!$A$4:$A$123,MATCH(JU!$G162,COA!$B$4:$B$123,0)))</f>
        <v>7104</v>
      </c>
      <c r="G162" t="s">
        <v>181</v>
      </c>
      <c r="H162" s="216">
        <v>10250000</v>
      </c>
      <c r="I162" s="52">
        <f>IF(J162="","",INDEX(COA!$A$4:$A$123,MATCH(JU!$J162,COA!$B$4:$B$123,0)))</f>
        <v>1103</v>
      </c>
      <c r="J162" t="s">
        <v>154</v>
      </c>
      <c r="K162" s="34">
        <f t="shared" si="13"/>
        <v>10250000</v>
      </c>
    </row>
    <row r="163" spans="1:11" hidden="1">
      <c r="A163" s="50" t="str">
        <f t="shared" ref="A163" si="15">IF(G163="BRI 568","Terima Uang Masuk atas ","By. Biaya ")</f>
        <v xml:space="preserve">By. Biaya </v>
      </c>
      <c r="B163" s="215">
        <v>46052</v>
      </c>
      <c r="C163" s="211" t="s">
        <v>812</v>
      </c>
      <c r="D163" s="218" t="s">
        <v>814</v>
      </c>
      <c r="F163" s="52">
        <f>IF(G163="","",INDEX(COA!$A$4:$A$123,MATCH(JU!$G163,COA!$B$4:$B$123,0)))</f>
        <v>1202</v>
      </c>
      <c r="G163" t="s">
        <v>27</v>
      </c>
      <c r="H163" s="216">
        <v>50000000</v>
      </c>
      <c r="I163" s="52">
        <f>IF(J163="","",INDEX(COA!$A$4:$A$123,MATCH(JU!$J163,COA!$B$4:$B$123,0)))</f>
        <v>4101</v>
      </c>
      <c r="J163" t="s">
        <v>61</v>
      </c>
      <c r="K163" s="34">
        <f t="shared" ref="K163" si="16">IF(H163="","",H163)</f>
        <v>50000000</v>
      </c>
    </row>
    <row r="164" spans="1:11" hidden="1">
      <c r="A164" s="50" t="str">
        <f t="shared" si="14"/>
        <v xml:space="preserve">Terima Uang Masuk atas </v>
      </c>
      <c r="B164" s="215">
        <v>46052</v>
      </c>
      <c r="C164" s="211" t="s">
        <v>812</v>
      </c>
      <c r="D164" s="51" t="s">
        <v>813</v>
      </c>
      <c r="F164" s="52">
        <f>IF(G164="","",INDEX(COA!$A$4:$A$123,MATCH(JU!$G164,COA!$B$4:$B$123,0)))</f>
        <v>1103</v>
      </c>
      <c r="G164" t="s">
        <v>154</v>
      </c>
      <c r="H164" s="216">
        <v>3000000</v>
      </c>
      <c r="I164" s="52">
        <f>IF(J164="","",INDEX(COA!$A$4:$A$123,MATCH(JU!$J164,COA!$B$4:$B$123,0)))</f>
        <v>1202</v>
      </c>
      <c r="J164" t="s">
        <v>27</v>
      </c>
      <c r="K164" s="34">
        <f t="shared" si="13"/>
        <v>3000000</v>
      </c>
    </row>
    <row r="165" spans="1:11" hidden="1">
      <c r="A165" s="50" t="str">
        <f t="shared" si="14"/>
        <v xml:space="preserve">Terima Uang Masuk atas </v>
      </c>
      <c r="B165" s="215">
        <v>46052</v>
      </c>
      <c r="C165" s="211" t="s">
        <v>308</v>
      </c>
      <c r="D165" s="51" t="s">
        <v>336</v>
      </c>
      <c r="F165" s="52">
        <f>IF(G165="","",INDEX(COA!$A$4:$A$123,MATCH(JU!$G165,COA!$B$4:$B$123,0)))</f>
        <v>1103</v>
      </c>
      <c r="G165" t="s">
        <v>154</v>
      </c>
      <c r="H165" s="216">
        <v>13323500</v>
      </c>
      <c r="I165" s="52" t="str">
        <f>IF(J165="","",INDEX(COA!$A$4:$A$123,MATCH(JU!$J165,COA!$B$4:$B$123,0)))</f>
        <v>2107</v>
      </c>
      <c r="J165" t="s">
        <v>50</v>
      </c>
      <c r="K165" s="34">
        <f t="shared" si="13"/>
        <v>13323500</v>
      </c>
    </row>
    <row r="166" spans="1:11" hidden="1">
      <c r="A166" s="50" t="str">
        <f t="shared" si="14"/>
        <v xml:space="preserve">Terima Uang Masuk atas </v>
      </c>
      <c r="B166" s="215">
        <v>46052</v>
      </c>
      <c r="C166" s="211" t="s">
        <v>308</v>
      </c>
      <c r="D166" s="51" t="s">
        <v>336</v>
      </c>
      <c r="F166" s="52">
        <f>IF(G166="","",INDEX(COA!$A$4:$A$123,MATCH(JU!$G166,COA!$B$4:$B$123,0)))</f>
        <v>1103</v>
      </c>
      <c r="G166" t="s">
        <v>154</v>
      </c>
      <c r="H166" s="216">
        <v>36472500</v>
      </c>
      <c r="I166" s="52" t="str">
        <f>IF(J166="","",INDEX(COA!$A$4:$A$123,MATCH(JU!$J166,COA!$B$4:$B$123,0)))</f>
        <v>2107</v>
      </c>
      <c r="J166" t="s">
        <v>50</v>
      </c>
      <c r="K166" s="34">
        <f t="shared" si="13"/>
        <v>36472500</v>
      </c>
    </row>
    <row r="167" spans="1:11" hidden="1">
      <c r="A167" s="50" t="str">
        <f t="shared" si="14"/>
        <v xml:space="preserve">Terima Uang Masuk atas </v>
      </c>
      <c r="B167" s="215">
        <v>46052</v>
      </c>
      <c r="C167" s="211" t="s">
        <v>308</v>
      </c>
      <c r="D167" s="51" t="s">
        <v>336</v>
      </c>
      <c r="F167" s="52">
        <f>IF(G167="","",INDEX(COA!$A$4:$A$123,MATCH(JU!$G167,COA!$B$4:$B$123,0)))</f>
        <v>1103</v>
      </c>
      <c r="G167" t="s">
        <v>154</v>
      </c>
      <c r="H167" s="216">
        <v>63472500</v>
      </c>
      <c r="I167" s="52" t="str">
        <f>IF(J167="","",INDEX(COA!$A$4:$A$123,MATCH(JU!$J167,COA!$B$4:$B$123,0)))</f>
        <v>2107</v>
      </c>
      <c r="J167" t="s">
        <v>50</v>
      </c>
      <c r="K167" s="34">
        <f t="shared" si="13"/>
        <v>63472500</v>
      </c>
    </row>
    <row r="168" spans="1:11" hidden="1">
      <c r="A168" s="50" t="str">
        <f t="shared" si="14"/>
        <v xml:space="preserve">Terima Uang Masuk atas </v>
      </c>
      <c r="B168" s="215">
        <v>46052</v>
      </c>
      <c r="C168" s="211" t="s">
        <v>308</v>
      </c>
      <c r="D168" s="51" t="s">
        <v>336</v>
      </c>
      <c r="F168" s="52">
        <f>IF(G168="","",INDEX(COA!$A$4:$A$123,MATCH(JU!$G168,COA!$B$4:$B$123,0)))</f>
        <v>1103</v>
      </c>
      <c r="G168" t="s">
        <v>154</v>
      </c>
      <c r="H168" s="216">
        <v>91172500</v>
      </c>
      <c r="I168" s="52" t="str">
        <f>IF(J168="","",INDEX(COA!$A$4:$A$123,MATCH(JU!$J168,COA!$B$4:$B$123,0)))</f>
        <v>2107</v>
      </c>
      <c r="J168" t="s">
        <v>50</v>
      </c>
      <c r="K168" s="34">
        <f t="shared" si="13"/>
        <v>91172500</v>
      </c>
    </row>
    <row r="169" spans="1:11" hidden="1">
      <c r="A169" s="50" t="str">
        <f t="shared" si="14"/>
        <v xml:space="preserve">Terima Uang Masuk atas </v>
      </c>
      <c r="B169" s="215">
        <v>46052</v>
      </c>
      <c r="C169" s="211" t="s">
        <v>308</v>
      </c>
      <c r="D169" s="51" t="s">
        <v>336</v>
      </c>
      <c r="F169" s="52">
        <f>IF(G169="","",INDEX(COA!$A$4:$A$123,MATCH(JU!$G169,COA!$B$4:$B$123,0)))</f>
        <v>1103</v>
      </c>
      <c r="G169" t="s">
        <v>154</v>
      </c>
      <c r="H169" s="216">
        <v>134072500</v>
      </c>
      <c r="I169" s="52" t="str">
        <f>IF(J169="","",INDEX(COA!$A$4:$A$123,MATCH(JU!$J169,COA!$B$4:$B$123,0)))</f>
        <v>2107</v>
      </c>
      <c r="J169" t="s">
        <v>50</v>
      </c>
      <c r="K169" s="34">
        <f t="shared" si="13"/>
        <v>134072500</v>
      </c>
    </row>
    <row r="170" spans="1:11" hidden="1">
      <c r="A170" s="50" t="str">
        <f t="shared" si="14"/>
        <v xml:space="preserve">Terima Uang Masuk atas </v>
      </c>
      <c r="B170" s="215">
        <v>46052</v>
      </c>
      <c r="C170" s="211" t="s">
        <v>308</v>
      </c>
      <c r="D170" s="51" t="s">
        <v>336</v>
      </c>
      <c r="F170" s="52">
        <f>IF(G170="","",INDEX(COA!$A$4:$A$123,MATCH(JU!$G170,COA!$B$4:$B$123,0)))</f>
        <v>1103</v>
      </c>
      <c r="G170" t="s">
        <v>154</v>
      </c>
      <c r="H170" s="216">
        <v>369872500</v>
      </c>
      <c r="I170" s="52" t="str">
        <f>IF(J170="","",INDEX(COA!$A$4:$A$123,MATCH(JU!$J170,COA!$B$4:$B$123,0)))</f>
        <v>2107</v>
      </c>
      <c r="J170" t="s">
        <v>50</v>
      </c>
      <c r="K170" s="34">
        <f t="shared" si="13"/>
        <v>369872500</v>
      </c>
    </row>
    <row r="171" spans="1:11" hidden="1">
      <c r="A171" s="50" t="str">
        <f t="shared" si="14"/>
        <v xml:space="preserve">Terima Uang Masuk atas </v>
      </c>
      <c r="B171" s="215">
        <v>46052</v>
      </c>
      <c r="C171" s="211" t="s">
        <v>308</v>
      </c>
      <c r="D171" s="51" t="s">
        <v>336</v>
      </c>
      <c r="F171" s="52">
        <f>IF(G171="","",INDEX(COA!$A$4:$A$123,MATCH(JU!$G171,COA!$B$4:$B$123,0)))</f>
        <v>1103</v>
      </c>
      <c r="G171" t="s">
        <v>154</v>
      </c>
      <c r="H171" s="216">
        <v>221872500</v>
      </c>
      <c r="I171" s="52" t="str">
        <f>IF(J171="","",INDEX(COA!$A$4:$A$123,MATCH(JU!$J171,COA!$B$4:$B$123,0)))</f>
        <v>2107</v>
      </c>
      <c r="J171" t="s">
        <v>50</v>
      </c>
      <c r="K171" s="34">
        <f t="shared" si="13"/>
        <v>221872500</v>
      </c>
    </row>
    <row r="172" spans="1:11" hidden="1">
      <c r="A172" s="50" t="str">
        <f t="shared" si="14"/>
        <v xml:space="preserve">Terima Uang Masuk atas </v>
      </c>
      <c r="B172" s="215">
        <v>46052</v>
      </c>
      <c r="C172" s="211" t="s">
        <v>308</v>
      </c>
      <c r="D172" s="51" t="s">
        <v>336</v>
      </c>
      <c r="F172" s="52">
        <f>IF(G172="","",INDEX(COA!$A$4:$A$123,MATCH(JU!$G172,COA!$B$4:$B$123,0)))</f>
        <v>1103</v>
      </c>
      <c r="G172" t="s">
        <v>154</v>
      </c>
      <c r="H172" s="216">
        <v>115872500</v>
      </c>
      <c r="I172" s="52" t="str">
        <f>IF(J172="","",INDEX(COA!$A$4:$A$123,MATCH(JU!$J172,COA!$B$4:$B$123,0)))</f>
        <v>2107</v>
      </c>
      <c r="J172" t="s">
        <v>50</v>
      </c>
      <c r="K172" s="34">
        <f t="shared" si="13"/>
        <v>115872500</v>
      </c>
    </row>
    <row r="173" spans="1:11" hidden="1">
      <c r="A173" s="50" t="str">
        <f t="shared" si="14"/>
        <v xml:space="preserve">By. Biaya </v>
      </c>
      <c r="B173" s="215">
        <v>46052</v>
      </c>
      <c r="C173" s="211" t="s">
        <v>308</v>
      </c>
      <c r="D173" s="51" t="s">
        <v>345</v>
      </c>
      <c r="F173" s="52" t="str">
        <f>IF(G173="","",INDEX(COA!$A$4:$A$123,MATCH(JU!$G173,COA!$B$4:$B$123,0)))</f>
        <v>2107</v>
      </c>
      <c r="G173" t="s">
        <v>50</v>
      </c>
      <c r="H173" s="216">
        <v>888589500</v>
      </c>
      <c r="I173" s="52">
        <f>IF(J173="","",INDEX(COA!$A$4:$A$123,MATCH(JU!$J173,COA!$B$4:$B$123,0)))</f>
        <v>1103</v>
      </c>
      <c r="J173" t="s">
        <v>154</v>
      </c>
      <c r="K173" s="34">
        <f t="shared" si="13"/>
        <v>888589500</v>
      </c>
    </row>
    <row r="174" spans="1:11" hidden="1">
      <c r="A174" s="50" t="str">
        <f t="shared" si="14"/>
        <v xml:space="preserve">By. Biaya </v>
      </c>
      <c r="B174" s="215">
        <v>46052</v>
      </c>
      <c r="C174" s="211" t="s">
        <v>308</v>
      </c>
      <c r="D174" s="51" t="s">
        <v>345</v>
      </c>
      <c r="F174" s="52" t="str">
        <f>IF(G174="","",INDEX(COA!$A$4:$A$123,MATCH(JU!$G174,COA!$B$4:$B$123,0)))</f>
        <v>2107</v>
      </c>
      <c r="G174" t="s">
        <v>50</v>
      </c>
      <c r="H174" s="216">
        <v>157541500</v>
      </c>
      <c r="I174" s="52">
        <f>IF(J174="","",INDEX(COA!$A$4:$A$123,MATCH(JU!$J174,COA!$B$4:$B$123,0)))</f>
        <v>1103</v>
      </c>
      <c r="J174" t="s">
        <v>154</v>
      </c>
      <c r="K174" s="34">
        <f t="shared" si="13"/>
        <v>157541500</v>
      </c>
    </row>
    <row r="175" spans="1:11" hidden="1">
      <c r="A175" s="50" t="str">
        <f t="shared" si="14"/>
        <v xml:space="preserve">By. Biaya </v>
      </c>
      <c r="B175" s="215">
        <v>46053</v>
      </c>
      <c r="C175" s="211" t="s">
        <v>815</v>
      </c>
      <c r="D175" s="51" t="s">
        <v>816</v>
      </c>
      <c r="F175" s="52">
        <f>IF(G175="","",INDEX(COA!$A$4:$A$123,MATCH(JU!$G175,COA!$B$4:$B$123,0)))</f>
        <v>1302</v>
      </c>
      <c r="G175" t="s">
        <v>31</v>
      </c>
      <c r="H175" s="216">
        <v>8000000</v>
      </c>
      <c r="I175" s="52">
        <f>IF(J175="","",INDEX(COA!$A$4:$A$123,MATCH(JU!$J175,COA!$B$4:$B$123,0)))</f>
        <v>1103</v>
      </c>
      <c r="J175" t="s">
        <v>154</v>
      </c>
      <c r="K175" s="34">
        <f t="shared" si="13"/>
        <v>8000000</v>
      </c>
    </row>
    <row r="176" spans="1:11" hidden="1">
      <c r="A176" s="50" t="str">
        <f t="shared" si="14"/>
        <v xml:space="preserve">By. Biaya </v>
      </c>
      <c r="B176" s="215">
        <v>46053</v>
      </c>
      <c r="C176" s="211" t="s">
        <v>817</v>
      </c>
      <c r="D176" s="51" t="s">
        <v>818</v>
      </c>
      <c r="F176" s="52">
        <f>IF(G176="","",INDEX(COA!$A$4:$A$123,MATCH(JU!$G176,COA!$B$4:$B$123,0)))</f>
        <v>1302</v>
      </c>
      <c r="G176" t="s">
        <v>31</v>
      </c>
      <c r="H176" s="216">
        <v>11800000</v>
      </c>
      <c r="I176" s="52">
        <f>IF(J176="","",INDEX(COA!$A$4:$A$123,MATCH(JU!$J176,COA!$B$4:$B$123,0)))</f>
        <v>1103</v>
      </c>
      <c r="J176" t="s">
        <v>154</v>
      </c>
      <c r="K176" s="34">
        <f t="shared" si="13"/>
        <v>11800000</v>
      </c>
    </row>
    <row r="177" spans="1:11" hidden="1">
      <c r="A177" s="50" t="str">
        <f t="shared" si="14"/>
        <v xml:space="preserve">By. Biaya </v>
      </c>
      <c r="B177" s="215">
        <v>46053</v>
      </c>
      <c r="C177" s="211" t="s">
        <v>819</v>
      </c>
      <c r="D177" s="51" t="str">
        <f t="shared" ref="D177:D178" si="17">A177&amp;C177</f>
        <v>By. Biaya REIMBURS MAKAN SATARA RAPAT</v>
      </c>
      <c r="F177" s="52">
        <f>IF(G177="","",INDEX(COA!$A$4:$A$123,MATCH(JU!$G177,COA!$B$4:$B$123,0)))</f>
        <v>6111</v>
      </c>
      <c r="G177" t="s">
        <v>150</v>
      </c>
      <c r="H177" s="216">
        <v>2600000</v>
      </c>
      <c r="I177" s="52">
        <f>IF(J177="","",INDEX(COA!$A$4:$A$123,MATCH(JU!$J177,COA!$B$4:$B$123,0)))</f>
        <v>1103</v>
      </c>
      <c r="J177" t="s">
        <v>154</v>
      </c>
      <c r="K177" s="34">
        <f t="shared" si="13"/>
        <v>2600000</v>
      </c>
    </row>
    <row r="178" spans="1:11" hidden="1">
      <c r="A178" s="50" t="str">
        <f t="shared" si="14"/>
        <v xml:space="preserve">By. Biaya </v>
      </c>
      <c r="B178" s="215">
        <v>46053</v>
      </c>
      <c r="C178" s="211" t="s">
        <v>820</v>
      </c>
      <c r="D178" s="51" t="str">
        <f t="shared" si="17"/>
        <v>By. Biaya PEMBELIAN BUKU SATARA</v>
      </c>
      <c r="F178" s="52">
        <f>IF(G178="","",INDEX(COA!$A$4:$A$123,MATCH(JU!$G178,COA!$B$4:$B$123,0)))</f>
        <v>6111</v>
      </c>
      <c r="G178" t="s">
        <v>150</v>
      </c>
      <c r="H178" s="216">
        <v>1200000</v>
      </c>
      <c r="I178" s="52">
        <f>IF(J178="","",INDEX(COA!$A$4:$A$123,MATCH(JU!$J178,COA!$B$4:$B$123,0)))</f>
        <v>1103</v>
      </c>
      <c r="J178" t="s">
        <v>154</v>
      </c>
      <c r="K178" s="34">
        <f t="shared" si="13"/>
        <v>1200000</v>
      </c>
    </row>
    <row r="179" spans="1:11" hidden="1">
      <c r="A179" s="50"/>
      <c r="F179" s="52" t="str">
        <f>IF(G179="","",INDEX(COA!$A$4:$A$123,MATCH(JU!$G179,COA!$B$4:$B$123,0)))</f>
        <v/>
      </c>
      <c r="I179" s="52" t="str">
        <f>IF(J179="","",INDEX(COA!$A$4:$A$123,MATCH(JU!$J179,COA!$B$4:$B$123,0)))</f>
        <v/>
      </c>
      <c r="K179" s="34" t="str">
        <f t="shared" si="13"/>
        <v/>
      </c>
    </row>
    <row r="180" spans="1:11" hidden="1">
      <c r="A180" s="50" t="str">
        <f>IF(G180="BRI 568","Terima Uang Masuk atas ","By. Biaya ")</f>
        <v xml:space="preserve">Terima Uang Masuk atas </v>
      </c>
      <c r="B180" s="215">
        <v>46054</v>
      </c>
      <c r="C180" s="212" t="s">
        <v>821</v>
      </c>
      <c r="D180" s="256" t="s">
        <v>986</v>
      </c>
      <c r="F180" s="52">
        <f>IF(G180="","",INDEX(COA!$A$4:$A$123,MATCH(JU!$G180,COA!$B$4:$B$123,0)))</f>
        <v>1103</v>
      </c>
      <c r="G180" t="s">
        <v>154</v>
      </c>
      <c r="H180" s="216">
        <v>100000000</v>
      </c>
      <c r="I180" s="52">
        <f>IF(J180="","",INDEX(COA!$A$4:$A$123,MATCH(JU!$J180,COA!$B$4:$B$123,0)))</f>
        <v>1202</v>
      </c>
      <c r="J180" t="s">
        <v>27</v>
      </c>
      <c r="K180" s="34">
        <f t="shared" si="13"/>
        <v>100000000</v>
      </c>
    </row>
    <row r="181" spans="1:11" hidden="1">
      <c r="A181" s="50" t="str">
        <f t="shared" ref="A181:A245" si="18">IF(G181="BRI 568","Terima Uang Masuk atas ","By. Biaya ")</f>
        <v xml:space="preserve">Terima Uang Masuk atas </v>
      </c>
      <c r="B181" s="215">
        <v>46054</v>
      </c>
      <c r="C181" s="212" t="s">
        <v>821</v>
      </c>
      <c r="D181" s="256" t="s">
        <v>986</v>
      </c>
      <c r="F181" s="52">
        <f>IF(G181="","",INDEX(COA!$A$4:$A$123,MATCH(JU!$G181,COA!$B$4:$B$123,0)))</f>
        <v>1103</v>
      </c>
      <c r="G181" t="s">
        <v>154</v>
      </c>
      <c r="H181" s="216">
        <v>25000000</v>
      </c>
      <c r="I181" s="52">
        <f>IF(J181="","",INDEX(COA!$A$4:$A$123,MATCH(JU!$J181,COA!$B$4:$B$123,0)))</f>
        <v>1202</v>
      </c>
      <c r="J181" t="s">
        <v>27</v>
      </c>
      <c r="K181" s="34">
        <f t="shared" si="13"/>
        <v>25000000</v>
      </c>
    </row>
    <row r="182" spans="1:11" hidden="1">
      <c r="A182" s="50" t="str">
        <f t="shared" si="18"/>
        <v xml:space="preserve">By. Biaya </v>
      </c>
      <c r="B182" s="215">
        <v>46054</v>
      </c>
      <c r="C182" s="212" t="s">
        <v>304</v>
      </c>
      <c r="D182" s="51" t="s">
        <v>332</v>
      </c>
      <c r="F182" s="52" t="str">
        <f>IF(G182="","",INDEX(COA!$A$4:$A$123,MATCH(JU!$G182,COA!$B$4:$B$123,0)))</f>
        <v>6204</v>
      </c>
      <c r="G182" t="s">
        <v>84</v>
      </c>
      <c r="H182" s="216">
        <v>4777000</v>
      </c>
      <c r="I182" s="52">
        <f>IF(J182="","",INDEX(COA!$A$4:$A$123,MATCH(JU!$J182,COA!$B$4:$B$123,0)))</f>
        <v>1103</v>
      </c>
      <c r="J182" t="s">
        <v>154</v>
      </c>
      <c r="K182" s="34">
        <f t="shared" si="13"/>
        <v>4777000</v>
      </c>
    </row>
    <row r="183" spans="1:11" hidden="1">
      <c r="A183" s="50" t="str">
        <f t="shared" si="18"/>
        <v xml:space="preserve">By. Biaya </v>
      </c>
      <c r="B183" s="215">
        <v>46054</v>
      </c>
      <c r="C183" s="212" t="s">
        <v>305</v>
      </c>
      <c r="D183" s="51" t="s">
        <v>333</v>
      </c>
      <c r="F183" s="52" t="str">
        <f>IF(G183="","",INDEX(COA!$A$4:$A$123,MATCH(JU!$G183,COA!$B$4:$B$123,0)))</f>
        <v>6303</v>
      </c>
      <c r="G183" t="s">
        <v>87</v>
      </c>
      <c r="H183" s="216">
        <v>2500</v>
      </c>
      <c r="I183" s="52">
        <f>IF(J183="","",INDEX(COA!$A$4:$A$123,MATCH(JU!$J183,COA!$B$4:$B$123,0)))</f>
        <v>1103</v>
      </c>
      <c r="J183" t="s">
        <v>154</v>
      </c>
      <c r="K183" s="34">
        <f t="shared" si="13"/>
        <v>2500</v>
      </c>
    </row>
    <row r="184" spans="1:11" hidden="1">
      <c r="A184" s="50" t="str">
        <f t="shared" si="18"/>
        <v xml:space="preserve">Terima Uang Masuk atas </v>
      </c>
      <c r="B184" s="215">
        <v>46054</v>
      </c>
      <c r="C184" s="212" t="s">
        <v>822</v>
      </c>
      <c r="D184" s="256" t="s">
        <v>987</v>
      </c>
      <c r="F184" s="52">
        <f>IF(G184="","",INDEX(COA!$A$4:$A$123,MATCH(JU!$G184,COA!$B$4:$B$123,0)))</f>
        <v>1103</v>
      </c>
      <c r="G184" t="s">
        <v>154</v>
      </c>
      <c r="H184" s="216">
        <v>24000000</v>
      </c>
      <c r="I184" s="52" t="str">
        <f>IF(J184="","",INDEX(COA!$A$4:$A$123,MATCH(JU!$J184,COA!$B$4:$B$123,0)))</f>
        <v>2101</v>
      </c>
      <c r="J184" t="s">
        <v>45</v>
      </c>
      <c r="K184" s="34">
        <f t="shared" si="13"/>
        <v>24000000</v>
      </c>
    </row>
    <row r="185" spans="1:11" hidden="1">
      <c r="A185" s="50" t="str">
        <f t="shared" si="18"/>
        <v xml:space="preserve">Terima Uang Masuk atas </v>
      </c>
      <c r="B185" s="215">
        <v>46054</v>
      </c>
      <c r="C185" s="212" t="s">
        <v>822</v>
      </c>
      <c r="D185" s="256" t="s">
        <v>987</v>
      </c>
      <c r="F185" s="52">
        <f>IF(G185="","",INDEX(COA!$A$4:$A$123,MATCH(JU!$G185,COA!$B$4:$B$123,0)))</f>
        <v>1103</v>
      </c>
      <c r="G185" t="s">
        <v>154</v>
      </c>
      <c r="H185" s="216">
        <v>50000000</v>
      </c>
      <c r="I185" s="52" t="str">
        <f>IF(J185="","",INDEX(COA!$A$4:$A$123,MATCH(JU!$J185,COA!$B$4:$B$123,0)))</f>
        <v>2101</v>
      </c>
      <c r="J185" t="s">
        <v>45</v>
      </c>
      <c r="K185" s="34">
        <f t="shared" si="13"/>
        <v>50000000</v>
      </c>
    </row>
    <row r="186" spans="1:11" hidden="1">
      <c r="A186" s="50" t="str">
        <f t="shared" si="18"/>
        <v xml:space="preserve">Terima Uang Masuk atas </v>
      </c>
      <c r="B186" s="215">
        <v>46054</v>
      </c>
      <c r="C186" s="212" t="s">
        <v>822</v>
      </c>
      <c r="D186" s="256" t="s">
        <v>987</v>
      </c>
      <c r="F186" s="52">
        <f>IF(G186="","",INDEX(COA!$A$4:$A$123,MATCH(JU!$G186,COA!$B$4:$B$123,0)))</f>
        <v>1103</v>
      </c>
      <c r="G186" t="s">
        <v>154</v>
      </c>
      <c r="H186" s="216">
        <v>50000000</v>
      </c>
      <c r="I186" s="52" t="str">
        <f>IF(J186="","",INDEX(COA!$A$4:$A$123,MATCH(JU!$J186,COA!$B$4:$B$123,0)))</f>
        <v>2101</v>
      </c>
      <c r="J186" t="s">
        <v>45</v>
      </c>
      <c r="K186" s="34">
        <f t="shared" si="13"/>
        <v>50000000</v>
      </c>
    </row>
    <row r="187" spans="1:11" hidden="1">
      <c r="A187" s="50" t="str">
        <f t="shared" si="18"/>
        <v xml:space="preserve">By. Biaya </v>
      </c>
      <c r="B187" s="215">
        <v>46054</v>
      </c>
      <c r="C187" s="212" t="s">
        <v>306</v>
      </c>
      <c r="D187" s="51" t="s">
        <v>334</v>
      </c>
      <c r="F187" s="52">
        <f>IF(G187="","",INDEX(COA!$A$4:$A$123,MATCH(JU!$G187,COA!$B$4:$B$123,0)))</f>
        <v>6101</v>
      </c>
      <c r="G187" t="s">
        <v>75</v>
      </c>
      <c r="H187" s="216">
        <v>10350000</v>
      </c>
      <c r="I187" s="52">
        <f>IF(J187="","",INDEX(COA!$A$4:$A$123,MATCH(JU!$J187,COA!$B$4:$B$123,0)))</f>
        <v>1103</v>
      </c>
      <c r="J187" t="s">
        <v>154</v>
      </c>
      <c r="K187" s="34">
        <f t="shared" si="13"/>
        <v>10350000</v>
      </c>
    </row>
    <row r="188" spans="1:11" hidden="1">
      <c r="A188" s="50" t="str">
        <f t="shared" si="18"/>
        <v xml:space="preserve">Terima Uang Masuk atas </v>
      </c>
      <c r="B188" s="215">
        <v>46054</v>
      </c>
      <c r="C188" s="212" t="s">
        <v>823</v>
      </c>
      <c r="D188" s="51" t="s">
        <v>988</v>
      </c>
      <c r="F188" s="52">
        <f>IF(G188="","",INDEX(COA!$A$4:$A$123,MATCH(JU!$G188,COA!$B$4:$B$123,0)))</f>
        <v>1103</v>
      </c>
      <c r="G188" t="s">
        <v>154</v>
      </c>
      <c r="H188" s="216">
        <v>39500000</v>
      </c>
      <c r="I188" s="52">
        <f>IF(J188="","",INDEX(COA!$A$4:$A$123,MATCH(JU!$J188,COA!$B$4:$B$123,0)))</f>
        <v>1202</v>
      </c>
      <c r="J188" t="s">
        <v>27</v>
      </c>
      <c r="K188" s="34">
        <f t="shared" si="13"/>
        <v>39500000</v>
      </c>
    </row>
    <row r="189" spans="1:11" hidden="1">
      <c r="A189" s="50" t="str">
        <f t="shared" si="18"/>
        <v xml:space="preserve">By. Biaya </v>
      </c>
      <c r="B189" s="215">
        <v>46054</v>
      </c>
      <c r="C189" s="212" t="s">
        <v>307</v>
      </c>
      <c r="D189" s="51" t="s">
        <v>335</v>
      </c>
      <c r="F189" s="52">
        <f>IF(G189="","",INDEX(COA!$A$4:$A$123,MATCH(JU!$G189,COA!$B$4:$B$123,0)))</f>
        <v>6101</v>
      </c>
      <c r="G189" t="s">
        <v>75</v>
      </c>
      <c r="H189" s="216">
        <v>322500</v>
      </c>
      <c r="I189" s="52">
        <f>IF(J189="","",INDEX(COA!$A$4:$A$123,MATCH(JU!$J189,COA!$B$4:$B$123,0)))</f>
        <v>1103</v>
      </c>
      <c r="J189" t="s">
        <v>154</v>
      </c>
      <c r="K189" s="34">
        <f t="shared" si="13"/>
        <v>322500</v>
      </c>
    </row>
    <row r="190" spans="1:11" hidden="1">
      <c r="A190" s="50" t="str">
        <f t="shared" si="18"/>
        <v xml:space="preserve">By. Biaya </v>
      </c>
      <c r="B190" s="215">
        <v>46054</v>
      </c>
      <c r="C190" s="212" t="s">
        <v>824</v>
      </c>
      <c r="D190" s="51" t="s">
        <v>989</v>
      </c>
      <c r="F190" s="52">
        <f>IF(G190="","",INDEX(COA!$A$4:$A$123,MATCH(JU!$G190,COA!$B$4:$B$123,0)))</f>
        <v>6101</v>
      </c>
      <c r="G190" t="s">
        <v>75</v>
      </c>
      <c r="H190" s="216">
        <v>500000</v>
      </c>
      <c r="I190" s="52">
        <f>IF(J190="","",INDEX(COA!$A$4:$A$123,MATCH(JU!$J190,COA!$B$4:$B$123,0)))</f>
        <v>1103</v>
      </c>
      <c r="J190" t="s">
        <v>154</v>
      </c>
      <c r="K190" s="34">
        <f t="shared" si="13"/>
        <v>500000</v>
      </c>
    </row>
    <row r="191" spans="1:11" hidden="1">
      <c r="A191" s="50" t="str">
        <f t="shared" si="18"/>
        <v xml:space="preserve">By. Biaya </v>
      </c>
      <c r="B191" s="215">
        <v>46054</v>
      </c>
      <c r="C191" s="212" t="s">
        <v>825</v>
      </c>
      <c r="D191" s="51" t="s">
        <v>990</v>
      </c>
      <c r="F191" s="52">
        <f>IF(G191="","",INDEX(COA!$A$4:$A$123,MATCH(JU!$G191,COA!$B$4:$B$123,0)))</f>
        <v>6101</v>
      </c>
      <c r="G191" t="s">
        <v>75</v>
      </c>
      <c r="H191" s="216">
        <v>8250000</v>
      </c>
      <c r="I191" s="52">
        <f>IF(J191="","",INDEX(COA!$A$4:$A$123,MATCH(JU!$J191,COA!$B$4:$B$123,0)))</f>
        <v>1103</v>
      </c>
      <c r="J191" t="s">
        <v>154</v>
      </c>
      <c r="K191" s="34">
        <f t="shared" si="13"/>
        <v>8250000</v>
      </c>
    </row>
    <row r="192" spans="1:11" hidden="1">
      <c r="A192" s="50" t="str">
        <f t="shared" si="18"/>
        <v xml:space="preserve">By. Biaya </v>
      </c>
      <c r="B192" s="215">
        <v>46054</v>
      </c>
      <c r="C192" s="212" t="s">
        <v>826</v>
      </c>
      <c r="D192" s="51" t="s">
        <v>991</v>
      </c>
      <c r="F192" s="52">
        <f>IF(G192="","",INDEX(COA!$A$4:$A$123,MATCH(JU!$G192,COA!$B$4:$B$123,0)))</f>
        <v>6101</v>
      </c>
      <c r="G192" t="s">
        <v>75</v>
      </c>
      <c r="H192" s="216">
        <v>1500000</v>
      </c>
      <c r="I192" s="52">
        <f>IF(J192="","",INDEX(COA!$A$4:$A$123,MATCH(JU!$J192,COA!$B$4:$B$123,0)))</f>
        <v>1103</v>
      </c>
      <c r="J192" t="s">
        <v>154</v>
      </c>
      <c r="K192" s="34">
        <f t="shared" ref="K192:K257" si="19">IF(H192="","",H192)</f>
        <v>1500000</v>
      </c>
    </row>
    <row r="193" spans="1:11" hidden="1">
      <c r="A193" s="50" t="str">
        <f t="shared" si="18"/>
        <v xml:space="preserve">By. Biaya </v>
      </c>
      <c r="B193" s="215">
        <v>46054</v>
      </c>
      <c r="C193" s="212" t="s">
        <v>827</v>
      </c>
      <c r="D193" s="51" t="s">
        <v>992</v>
      </c>
      <c r="F193" s="52">
        <f>IF(G193="","",INDEX(COA!$A$4:$A$123,MATCH(JU!$G193,COA!$B$4:$B$123,0)))</f>
        <v>6101</v>
      </c>
      <c r="G193" t="s">
        <v>75</v>
      </c>
      <c r="H193" s="216">
        <v>5000000</v>
      </c>
      <c r="I193" s="52">
        <f>IF(J193="","",INDEX(COA!$A$4:$A$123,MATCH(JU!$J193,COA!$B$4:$B$123,0)))</f>
        <v>1103</v>
      </c>
      <c r="J193" t="s">
        <v>154</v>
      </c>
      <c r="K193" s="34">
        <f t="shared" si="19"/>
        <v>5000000</v>
      </c>
    </row>
    <row r="194" spans="1:11" hidden="1">
      <c r="A194" s="50" t="str">
        <f t="shared" si="18"/>
        <v xml:space="preserve">By. Biaya </v>
      </c>
      <c r="B194" s="215">
        <v>46054</v>
      </c>
      <c r="C194" s="212" t="s">
        <v>305</v>
      </c>
      <c r="D194" s="51" t="s">
        <v>333</v>
      </c>
      <c r="F194" s="52" t="str">
        <f>IF(G194="","",INDEX(COA!$A$4:$A$123,MATCH(JU!$G194,COA!$B$4:$B$123,0)))</f>
        <v>6303</v>
      </c>
      <c r="G194" t="s">
        <v>87</v>
      </c>
      <c r="H194" s="216">
        <v>2500</v>
      </c>
      <c r="I194" s="52">
        <f>IF(J194="","",INDEX(COA!$A$4:$A$123,MATCH(JU!$J194,COA!$B$4:$B$123,0)))</f>
        <v>1103</v>
      </c>
      <c r="J194" t="s">
        <v>154</v>
      </c>
      <c r="K194" s="34">
        <f t="shared" si="19"/>
        <v>2500</v>
      </c>
    </row>
    <row r="195" spans="1:11" hidden="1">
      <c r="A195" s="50" t="str">
        <f t="shared" si="18"/>
        <v xml:space="preserve">By. Biaya </v>
      </c>
      <c r="B195" s="215">
        <v>46054</v>
      </c>
      <c r="C195" s="212" t="s">
        <v>828</v>
      </c>
      <c r="D195" s="51" t="s">
        <v>993</v>
      </c>
      <c r="F195" s="52">
        <f>IF(G195="","",INDEX(COA!$A$4:$A$123,MATCH(JU!$G195,COA!$B$4:$B$123,0)))</f>
        <v>6101</v>
      </c>
      <c r="G195" t="s">
        <v>75</v>
      </c>
      <c r="H195" s="216">
        <v>8000000</v>
      </c>
      <c r="I195" s="52">
        <f>IF(J195="","",INDEX(COA!$A$4:$A$123,MATCH(JU!$J195,COA!$B$4:$B$123,0)))</f>
        <v>1103</v>
      </c>
      <c r="J195" t="s">
        <v>154</v>
      </c>
      <c r="K195" s="34">
        <f t="shared" si="19"/>
        <v>8000000</v>
      </c>
    </row>
    <row r="196" spans="1:11" hidden="1">
      <c r="A196" s="50" t="str">
        <f t="shared" si="18"/>
        <v xml:space="preserve">By. Biaya </v>
      </c>
      <c r="B196" s="215">
        <v>46054</v>
      </c>
      <c r="C196" s="212" t="s">
        <v>829</v>
      </c>
      <c r="D196" s="51" t="s">
        <v>994</v>
      </c>
      <c r="F196" s="52">
        <f>IF(G196="","",INDEX(COA!$A$4:$A$123,MATCH(JU!$G196,COA!$B$4:$B$123,0)))</f>
        <v>6111</v>
      </c>
      <c r="G196" t="s">
        <v>150</v>
      </c>
      <c r="H196" s="216">
        <v>30000000</v>
      </c>
      <c r="I196" s="52">
        <f>IF(J196="","",INDEX(COA!$A$4:$A$123,MATCH(JU!$J196,COA!$B$4:$B$123,0)))</f>
        <v>1103</v>
      </c>
      <c r="J196" t="s">
        <v>154</v>
      </c>
      <c r="K196" s="34">
        <f t="shared" si="19"/>
        <v>30000000</v>
      </c>
    </row>
    <row r="197" spans="1:11" hidden="1">
      <c r="A197" s="50" t="str">
        <f t="shared" si="18"/>
        <v xml:space="preserve">By. Biaya </v>
      </c>
      <c r="B197" s="215">
        <v>46054</v>
      </c>
      <c r="C197" s="212" t="s">
        <v>305</v>
      </c>
      <c r="D197" s="51" t="s">
        <v>333</v>
      </c>
      <c r="F197" s="52" t="str">
        <f>IF(G197="","",INDEX(COA!$A$4:$A$123,MATCH(JU!$G197,COA!$B$4:$B$123,0)))</f>
        <v>6303</v>
      </c>
      <c r="G197" t="s">
        <v>87</v>
      </c>
      <c r="H197" s="216">
        <v>2500</v>
      </c>
      <c r="I197" s="52">
        <f>IF(J197="","",INDEX(COA!$A$4:$A$123,MATCH(JU!$J197,COA!$B$4:$B$123,0)))</f>
        <v>1103</v>
      </c>
      <c r="J197" t="s">
        <v>154</v>
      </c>
      <c r="K197" s="34">
        <f t="shared" si="19"/>
        <v>2500</v>
      </c>
    </row>
    <row r="198" spans="1:11" hidden="1">
      <c r="A198" s="50" t="str">
        <f t="shared" si="18"/>
        <v xml:space="preserve">Terima Uang Masuk atas </v>
      </c>
      <c r="B198" s="215">
        <v>46055</v>
      </c>
      <c r="C198" s="212" t="s">
        <v>830</v>
      </c>
      <c r="D198" s="51" t="s">
        <v>995</v>
      </c>
      <c r="F198" s="52">
        <f>IF(G198="","",INDEX(COA!$A$4:$A$123,MATCH(JU!$G198,COA!$B$4:$B$123,0)))</f>
        <v>1103</v>
      </c>
      <c r="G198" t="s">
        <v>154</v>
      </c>
      <c r="H198" s="216">
        <v>17500000</v>
      </c>
      <c r="I198" s="52">
        <f>IF(J198="","",INDEX(COA!$A$4:$A$123,MATCH(JU!$J198,COA!$B$4:$B$123,0)))</f>
        <v>6101</v>
      </c>
      <c r="J198" t="s">
        <v>75</v>
      </c>
      <c r="K198" s="34">
        <f t="shared" si="19"/>
        <v>17500000</v>
      </c>
    </row>
    <row r="199" spans="1:11" hidden="1">
      <c r="A199" s="50" t="str">
        <f t="shared" si="18"/>
        <v xml:space="preserve">Terima Uang Masuk atas </v>
      </c>
      <c r="B199" s="215">
        <v>46055</v>
      </c>
      <c r="C199" s="212" t="s">
        <v>308</v>
      </c>
      <c r="D199" s="51" t="s">
        <v>336</v>
      </c>
      <c r="F199" s="52">
        <f>IF(G199="","",INDEX(COA!$A$4:$A$123,MATCH(JU!$G199,COA!$B$4:$B$123,0)))</f>
        <v>1103</v>
      </c>
      <c r="G199" t="s">
        <v>154</v>
      </c>
      <c r="H199" s="216">
        <v>50000000</v>
      </c>
      <c r="I199" s="52" t="str">
        <f>IF(J199="","",INDEX(COA!$A$4:$A$123,MATCH(JU!$J199,COA!$B$4:$B$123,0)))</f>
        <v>2107</v>
      </c>
      <c r="J199" t="s">
        <v>50</v>
      </c>
      <c r="K199" s="34">
        <f t="shared" si="19"/>
        <v>50000000</v>
      </c>
    </row>
    <row r="200" spans="1:11" hidden="1">
      <c r="A200" s="50" t="str">
        <f t="shared" si="18"/>
        <v xml:space="preserve">Terima Uang Masuk atas </v>
      </c>
      <c r="B200" s="215">
        <v>46055</v>
      </c>
      <c r="C200" s="212" t="s">
        <v>308</v>
      </c>
      <c r="D200" s="51" t="s">
        <v>336</v>
      </c>
      <c r="F200" s="52">
        <f>IF(G200="","",INDEX(COA!$A$4:$A$123,MATCH(JU!$G200,COA!$B$4:$B$123,0)))</f>
        <v>1103</v>
      </c>
      <c r="G200" t="s">
        <v>154</v>
      </c>
      <c r="H200" s="216">
        <v>50000000</v>
      </c>
      <c r="I200" s="52" t="str">
        <f>IF(J200="","",INDEX(COA!$A$4:$A$123,MATCH(JU!$J200,COA!$B$4:$B$123,0)))</f>
        <v>2107</v>
      </c>
      <c r="J200" t="s">
        <v>50</v>
      </c>
      <c r="K200" s="34">
        <f t="shared" si="19"/>
        <v>50000000</v>
      </c>
    </row>
    <row r="201" spans="1:11" hidden="1">
      <c r="A201" s="50" t="str">
        <f t="shared" si="18"/>
        <v xml:space="preserve">Terima Uang Masuk atas </v>
      </c>
      <c r="B201" s="215">
        <v>46055</v>
      </c>
      <c r="C201" s="212" t="s">
        <v>308</v>
      </c>
      <c r="D201" s="51" t="s">
        <v>336</v>
      </c>
      <c r="F201" s="52">
        <f>IF(G201="","",INDEX(COA!$A$4:$A$123,MATCH(JU!$G201,COA!$B$4:$B$123,0)))</f>
        <v>1103</v>
      </c>
      <c r="G201" t="s">
        <v>154</v>
      </c>
      <c r="H201" s="216">
        <v>50000000</v>
      </c>
      <c r="I201" s="52" t="str">
        <f>IF(J201="","",INDEX(COA!$A$4:$A$123,MATCH(JU!$J201,COA!$B$4:$B$123,0)))</f>
        <v>2107</v>
      </c>
      <c r="J201" t="s">
        <v>50</v>
      </c>
      <c r="K201" s="34">
        <f t="shared" si="19"/>
        <v>50000000</v>
      </c>
    </row>
    <row r="202" spans="1:11" hidden="1">
      <c r="A202" s="50" t="str">
        <f t="shared" si="18"/>
        <v xml:space="preserve">By. Biaya </v>
      </c>
      <c r="B202" s="215">
        <v>46055</v>
      </c>
      <c r="C202" s="212" t="s">
        <v>831</v>
      </c>
      <c r="D202" s="51" t="s">
        <v>996</v>
      </c>
      <c r="F202" s="52">
        <f>IF(G202="","",INDEX(COA!$A$4:$A$123,MATCH(JU!$G202,COA!$B$4:$B$123,0)))</f>
        <v>5107</v>
      </c>
      <c r="G202" t="s">
        <v>71</v>
      </c>
      <c r="H202" s="216">
        <v>1500000</v>
      </c>
      <c r="I202" s="52">
        <f>IF(J202="","",INDEX(COA!$A$4:$A$123,MATCH(JU!$J202,COA!$B$4:$B$123,0)))</f>
        <v>1103</v>
      </c>
      <c r="J202" t="s">
        <v>154</v>
      </c>
      <c r="K202" s="34">
        <f t="shared" si="19"/>
        <v>1500000</v>
      </c>
    </row>
    <row r="203" spans="1:11" hidden="1">
      <c r="A203" s="50" t="str">
        <f t="shared" si="18"/>
        <v xml:space="preserve">By. Biaya </v>
      </c>
      <c r="B203" s="215">
        <v>46055</v>
      </c>
      <c r="C203" s="212" t="s">
        <v>305</v>
      </c>
      <c r="D203" s="51" t="s">
        <v>333</v>
      </c>
      <c r="F203" s="52" t="str">
        <f>IF(G203="","",INDEX(COA!$A$4:$A$123,MATCH(JU!$G203,COA!$B$4:$B$123,0)))</f>
        <v>6303</v>
      </c>
      <c r="G203" t="s">
        <v>87</v>
      </c>
      <c r="H203" s="216">
        <v>2500</v>
      </c>
      <c r="I203" s="52">
        <f>IF(J203="","",INDEX(COA!$A$4:$A$123,MATCH(JU!$J203,COA!$B$4:$B$123,0)))</f>
        <v>1103</v>
      </c>
      <c r="J203" t="s">
        <v>154</v>
      </c>
      <c r="K203" s="34">
        <f t="shared" si="19"/>
        <v>2500</v>
      </c>
    </row>
    <row r="204" spans="1:11" hidden="1">
      <c r="A204" s="50" t="str">
        <f t="shared" si="18"/>
        <v xml:space="preserve">By. Biaya </v>
      </c>
      <c r="B204" s="215">
        <v>46055</v>
      </c>
      <c r="C204" s="212" t="s">
        <v>309</v>
      </c>
      <c r="D204" s="51" t="s">
        <v>337</v>
      </c>
      <c r="F204" s="52">
        <f>IF(G204="","",INDEX(COA!$A$4:$A$123,MATCH(JU!$G204,COA!$B$4:$B$123,0)))</f>
        <v>6112</v>
      </c>
      <c r="G204" t="s">
        <v>205</v>
      </c>
      <c r="H204" s="216">
        <v>170000</v>
      </c>
      <c r="I204" s="52">
        <f>IF(J204="","",INDEX(COA!$A$4:$A$123,MATCH(JU!$J204,COA!$B$4:$B$123,0)))</f>
        <v>1103</v>
      </c>
      <c r="J204" t="s">
        <v>154</v>
      </c>
      <c r="K204" s="34">
        <f t="shared" si="19"/>
        <v>170000</v>
      </c>
    </row>
    <row r="205" spans="1:11" hidden="1">
      <c r="A205" s="50" t="str">
        <f t="shared" si="18"/>
        <v xml:space="preserve">By. Biaya </v>
      </c>
      <c r="B205" s="215">
        <v>46055</v>
      </c>
      <c r="C205" s="212" t="s">
        <v>832</v>
      </c>
      <c r="D205" s="51" t="s">
        <v>997</v>
      </c>
      <c r="F205" s="52">
        <f>IF(G205="","",INDEX(COA!$A$4:$A$123,MATCH(JU!$G205,COA!$B$4:$B$123,0)))</f>
        <v>4102</v>
      </c>
      <c r="G205" t="s">
        <v>62</v>
      </c>
      <c r="H205" s="216">
        <v>2500000</v>
      </c>
      <c r="I205" s="52">
        <f>IF(J205="","",INDEX(COA!$A$4:$A$123,MATCH(JU!$J205,COA!$B$4:$B$123,0)))</f>
        <v>1103</v>
      </c>
      <c r="J205" t="s">
        <v>154</v>
      </c>
      <c r="K205" s="34">
        <f t="shared" si="19"/>
        <v>2500000</v>
      </c>
    </row>
    <row r="206" spans="1:11" hidden="1">
      <c r="A206" s="50" t="str">
        <f t="shared" si="18"/>
        <v xml:space="preserve">Terima Uang Masuk atas </v>
      </c>
      <c r="B206" s="215">
        <v>46055</v>
      </c>
      <c r="C206" s="212" t="s">
        <v>308</v>
      </c>
      <c r="D206" s="51" t="s">
        <v>336</v>
      </c>
      <c r="F206" s="52">
        <f>IF(G206="","",INDEX(COA!$A$4:$A$123,MATCH(JU!$G206,COA!$B$4:$B$123,0)))</f>
        <v>1103</v>
      </c>
      <c r="G206" t="s">
        <v>154</v>
      </c>
      <c r="H206" s="216">
        <v>100000000</v>
      </c>
      <c r="I206" s="52" t="str">
        <f>IF(J206="","",INDEX(COA!$A$4:$A$123,MATCH(JU!$J206,COA!$B$4:$B$123,0)))</f>
        <v>2107</v>
      </c>
      <c r="J206" t="s">
        <v>50</v>
      </c>
      <c r="K206" s="34">
        <f t="shared" si="19"/>
        <v>100000000</v>
      </c>
    </row>
    <row r="207" spans="1:11">
      <c r="A207" s="50" t="str">
        <f t="shared" si="18"/>
        <v xml:space="preserve">By. Biaya </v>
      </c>
      <c r="B207" s="215">
        <v>46055</v>
      </c>
      <c r="C207" s="212" t="s">
        <v>833</v>
      </c>
      <c r="D207" s="51" t="s">
        <v>998</v>
      </c>
      <c r="F207" s="52">
        <f>IF(G207="","",INDEX(COA!$A$4:$A$123,MATCH(JU!$G207,COA!$B$4:$B$123,0)))</f>
        <v>1302</v>
      </c>
      <c r="G207" t="s">
        <v>31</v>
      </c>
      <c r="H207" s="216">
        <v>64550000</v>
      </c>
      <c r="I207" s="52">
        <f>IF(J207="","",INDEX(COA!$A$4:$A$123,MATCH(JU!$J207,COA!$B$4:$B$123,0)))</f>
        <v>1103</v>
      </c>
      <c r="J207" t="s">
        <v>154</v>
      </c>
      <c r="K207" s="34">
        <f t="shared" si="19"/>
        <v>64550000</v>
      </c>
    </row>
    <row r="208" spans="1:11" hidden="1">
      <c r="A208" s="50" t="str">
        <f t="shared" si="18"/>
        <v xml:space="preserve">Terima Uang Masuk atas </v>
      </c>
      <c r="B208" s="215">
        <v>46055</v>
      </c>
      <c r="C208" s="212" t="s">
        <v>834</v>
      </c>
      <c r="D208" s="256" t="s">
        <v>999</v>
      </c>
      <c r="F208" s="52">
        <f>IF(G208="","",INDEX(COA!$A$4:$A$123,MATCH(JU!$G208,COA!$B$4:$B$123,0)))</f>
        <v>1103</v>
      </c>
      <c r="G208" t="s">
        <v>154</v>
      </c>
      <c r="H208" s="216">
        <v>26000000</v>
      </c>
      <c r="I208" s="52" t="str">
        <f>IF(J208="","",INDEX(COA!$A$4:$A$123,MATCH(JU!$J208,COA!$B$4:$B$123,0)))</f>
        <v>2101</v>
      </c>
      <c r="J208" t="s">
        <v>45</v>
      </c>
      <c r="K208" s="34">
        <f t="shared" si="19"/>
        <v>26000000</v>
      </c>
    </row>
    <row r="209" spans="1:11" hidden="1">
      <c r="A209" s="50" t="str">
        <f t="shared" ref="A209" si="20">IF(G209="BRI 568","Terima Uang Masuk atas ","By. Biaya ")</f>
        <v xml:space="preserve">By. Biaya </v>
      </c>
      <c r="B209" s="215">
        <v>46055</v>
      </c>
      <c r="C209" s="212" t="s">
        <v>835</v>
      </c>
      <c r="D209" s="256" t="s">
        <v>2340</v>
      </c>
      <c r="F209" s="52">
        <f>IF(G209="","",INDEX(COA!$A$4:$A$123,MATCH(JU!$G209,COA!$B$4:$B$123,0)))</f>
        <v>1301</v>
      </c>
      <c r="G209" t="s">
        <v>30</v>
      </c>
      <c r="H209" s="216">
        <v>1069000000</v>
      </c>
      <c r="I209" s="52" t="str">
        <f>IF(J209="","",INDEX(COA!$A$4:$A$123,MATCH(JU!$J209,COA!$B$4:$B$123,0)))</f>
        <v>2101</v>
      </c>
      <c r="J209" t="s">
        <v>45</v>
      </c>
      <c r="K209" s="34">
        <f t="shared" ref="K209" si="21">IF(H209="","",H209)</f>
        <v>1069000000</v>
      </c>
    </row>
    <row r="210" spans="1:11" hidden="1">
      <c r="A210" s="50" t="str">
        <f t="shared" si="18"/>
        <v xml:space="preserve">By. Biaya </v>
      </c>
      <c r="B210" s="215">
        <v>46055</v>
      </c>
      <c r="C210" s="212" t="s">
        <v>835</v>
      </c>
      <c r="D210" s="51" t="s">
        <v>1000</v>
      </c>
      <c r="F210" s="52" t="str">
        <f>IF(G210="","",INDEX(COA!$A$4:$A$123,MATCH(JU!$G210,COA!$B$4:$B$123,0)))</f>
        <v>2101</v>
      </c>
      <c r="G210" t="s">
        <v>45</v>
      </c>
      <c r="H210" s="216">
        <v>100000000</v>
      </c>
      <c r="I210" s="52">
        <f>IF(J210="","",INDEX(COA!$A$4:$A$123,MATCH(JU!$J210,COA!$B$4:$B$123,0)))</f>
        <v>1103</v>
      </c>
      <c r="J210" t="s">
        <v>154</v>
      </c>
      <c r="K210" s="34">
        <f t="shared" si="19"/>
        <v>100000000</v>
      </c>
    </row>
    <row r="211" spans="1:11" hidden="1">
      <c r="A211" s="50" t="str">
        <f t="shared" si="18"/>
        <v xml:space="preserve">Terima Uang Masuk atas </v>
      </c>
      <c r="B211" s="215">
        <v>46055</v>
      </c>
      <c r="C211" s="212" t="s">
        <v>836</v>
      </c>
      <c r="D211" s="51" t="s">
        <v>1001</v>
      </c>
      <c r="F211" s="52">
        <f>IF(G211="","",INDEX(COA!$A$4:$A$123,MATCH(JU!$G211,COA!$B$4:$B$123,0)))</f>
        <v>1103</v>
      </c>
      <c r="G211" t="s">
        <v>154</v>
      </c>
      <c r="H211" s="216">
        <v>25000000</v>
      </c>
      <c r="I211" s="52">
        <f>IF(J211="","",INDEX(COA!$A$4:$A$123,MATCH(JU!$J211,COA!$B$4:$B$123,0)))</f>
        <v>1203</v>
      </c>
      <c r="J211" t="s">
        <v>140</v>
      </c>
      <c r="K211" s="34">
        <f t="shared" si="19"/>
        <v>25000000</v>
      </c>
    </row>
    <row r="212" spans="1:11" s="220" customFormat="1" hidden="1">
      <c r="A212" s="50" t="str">
        <f t="shared" si="18"/>
        <v xml:space="preserve">Terima Uang Masuk atas </v>
      </c>
      <c r="B212" s="215">
        <v>46055</v>
      </c>
      <c r="C212" s="212" t="s">
        <v>310</v>
      </c>
      <c r="D212" s="256" t="s">
        <v>338</v>
      </c>
      <c r="E212" s="54"/>
      <c r="F212" s="52">
        <f>IF(G212="","",INDEX(COA!$A$4:$A$123,MATCH(JU!$G212,COA!$B$4:$B$123,0)))</f>
        <v>1103</v>
      </c>
      <c r="G212" s="219" t="s">
        <v>154</v>
      </c>
      <c r="H212" s="216">
        <v>24000000</v>
      </c>
      <c r="I212" s="52" t="str">
        <f>IF(J212="","",INDEX(COA!$A$4:$A$123,MATCH(JU!$J212,COA!$B$4:$B$123,0)))</f>
        <v>2107</v>
      </c>
      <c r="J212" s="219" t="s">
        <v>50</v>
      </c>
      <c r="K212" s="34">
        <f t="shared" si="19"/>
        <v>24000000</v>
      </c>
    </row>
    <row r="213" spans="1:11" hidden="1">
      <c r="A213" s="50" t="str">
        <f t="shared" si="18"/>
        <v xml:space="preserve">By. Biaya </v>
      </c>
      <c r="B213" s="215">
        <v>46055</v>
      </c>
      <c r="C213" s="212" t="s">
        <v>311</v>
      </c>
      <c r="D213" s="51" t="s">
        <v>339</v>
      </c>
      <c r="F213" s="52">
        <f>IF(G213="","",INDEX(COA!$A$4:$A$123,MATCH(JU!$G213,COA!$B$4:$B$123,0)))</f>
        <v>6101</v>
      </c>
      <c r="G213" t="s">
        <v>75</v>
      </c>
      <c r="H213" s="216">
        <v>33500000</v>
      </c>
      <c r="I213" s="52">
        <f>IF(J213="","",INDEX(COA!$A$4:$A$123,MATCH(JU!$J213,COA!$B$4:$B$123,0)))</f>
        <v>1103</v>
      </c>
      <c r="J213" t="s">
        <v>154</v>
      </c>
      <c r="K213" s="34">
        <f t="shared" si="19"/>
        <v>33500000</v>
      </c>
    </row>
    <row r="214" spans="1:11">
      <c r="A214" s="50" t="str">
        <f t="shared" si="18"/>
        <v xml:space="preserve">By. Biaya </v>
      </c>
      <c r="B214" s="215">
        <v>46055</v>
      </c>
      <c r="C214" s="212" t="s">
        <v>312</v>
      </c>
      <c r="D214" s="51" t="s">
        <v>340</v>
      </c>
      <c r="F214" s="52">
        <f>IF(G214="","",INDEX(COA!$A$4:$A$123,MATCH(JU!$G214,COA!$B$4:$B$123,0)))</f>
        <v>1302</v>
      </c>
      <c r="G214" t="s">
        <v>31</v>
      </c>
      <c r="H214" s="216">
        <v>18500000</v>
      </c>
      <c r="I214" s="52">
        <f>IF(J214="","",INDEX(COA!$A$4:$A$123,MATCH(JU!$J214,COA!$B$4:$B$123,0)))</f>
        <v>1103</v>
      </c>
      <c r="J214" t="s">
        <v>154</v>
      </c>
      <c r="K214" s="34">
        <f t="shared" si="19"/>
        <v>18500000</v>
      </c>
    </row>
    <row r="215" spans="1:11">
      <c r="A215" s="50" t="str">
        <f t="shared" si="18"/>
        <v xml:space="preserve">By. Biaya </v>
      </c>
      <c r="B215" s="215">
        <v>46055</v>
      </c>
      <c r="C215" s="212" t="s">
        <v>837</v>
      </c>
      <c r="D215" s="51" t="s">
        <v>1002</v>
      </c>
      <c r="F215" s="52">
        <f>IF(G215="","",INDEX(COA!$A$4:$A$123,MATCH(JU!$G215,COA!$B$4:$B$123,0)))</f>
        <v>1302</v>
      </c>
      <c r="G215" t="s">
        <v>31</v>
      </c>
      <c r="H215" s="216">
        <v>18500000</v>
      </c>
      <c r="I215" s="52">
        <f>IF(J215="","",INDEX(COA!$A$4:$A$123,MATCH(JU!$J215,COA!$B$4:$B$123,0)))</f>
        <v>1103</v>
      </c>
      <c r="J215" t="s">
        <v>154</v>
      </c>
      <c r="K215" s="34">
        <f t="shared" ref="K215" si="22">IF(H215="","",H215)</f>
        <v>18500000</v>
      </c>
    </row>
    <row r="216" spans="1:11" hidden="1">
      <c r="A216" s="50" t="str">
        <f t="shared" si="18"/>
        <v xml:space="preserve">By. Biaya </v>
      </c>
      <c r="B216" s="215">
        <v>46055</v>
      </c>
      <c r="C216" s="212" t="s">
        <v>313</v>
      </c>
      <c r="D216" s="51" t="s">
        <v>341</v>
      </c>
      <c r="F216" s="52">
        <f>IF(G216="","",INDEX(COA!$A$4:$A$123,MATCH(JU!$G216,COA!$B$4:$B$123,0)))</f>
        <v>6101</v>
      </c>
      <c r="G216" t="s">
        <v>75</v>
      </c>
      <c r="H216" s="216">
        <v>2000000</v>
      </c>
      <c r="I216" s="52">
        <f>IF(J216="","",INDEX(COA!$A$4:$A$123,MATCH(JU!$J216,COA!$B$4:$B$123,0)))</f>
        <v>1103</v>
      </c>
      <c r="J216" t="s">
        <v>154</v>
      </c>
      <c r="K216" s="34">
        <f t="shared" si="19"/>
        <v>2000000</v>
      </c>
    </row>
    <row r="217" spans="1:11" hidden="1">
      <c r="A217" s="50" t="str">
        <f t="shared" si="18"/>
        <v xml:space="preserve">By. Biaya </v>
      </c>
      <c r="B217" s="215">
        <v>46055</v>
      </c>
      <c r="C217" s="212" t="s">
        <v>838</v>
      </c>
      <c r="D217" s="274" t="s">
        <v>1003</v>
      </c>
      <c r="F217" s="52">
        <f>IF(G217="","",INDEX(COA!$A$4:$A$123,MATCH(JU!$G217,COA!$B$4:$B$123,0)))</f>
        <v>1203</v>
      </c>
      <c r="G217" t="s">
        <v>140</v>
      </c>
      <c r="H217" s="216">
        <v>30000000</v>
      </c>
      <c r="I217" s="52">
        <f>IF(J217="","",INDEX(COA!$A$4:$A$123,MATCH(JU!$J217,COA!$B$4:$B$123,0)))</f>
        <v>1103</v>
      </c>
      <c r="J217" t="s">
        <v>154</v>
      </c>
      <c r="K217" s="34">
        <f t="shared" si="19"/>
        <v>30000000</v>
      </c>
    </row>
    <row r="218" spans="1:11">
      <c r="A218" s="50" t="str">
        <f t="shared" si="18"/>
        <v xml:space="preserve">By. Biaya </v>
      </c>
      <c r="B218" s="215">
        <v>46055</v>
      </c>
      <c r="C218" s="212" t="s">
        <v>839</v>
      </c>
      <c r="D218" s="51" t="s">
        <v>1004</v>
      </c>
      <c r="F218" s="52">
        <f>IF(G218="","",INDEX(COA!$A$4:$A$123,MATCH(JU!$G218,COA!$B$4:$B$123,0)))</f>
        <v>1302</v>
      </c>
      <c r="G218" t="s">
        <v>31</v>
      </c>
      <c r="H218" s="216">
        <v>5000000</v>
      </c>
      <c r="I218" s="52">
        <f>IF(J218="","",INDEX(COA!$A$4:$A$123,MATCH(JU!$J218,COA!$B$4:$B$123,0)))</f>
        <v>1103</v>
      </c>
      <c r="J218" t="s">
        <v>154</v>
      </c>
      <c r="K218" s="34">
        <f t="shared" si="19"/>
        <v>5000000</v>
      </c>
    </row>
    <row r="219" spans="1:11" hidden="1">
      <c r="A219" s="50" t="str">
        <f t="shared" si="18"/>
        <v xml:space="preserve">By. Biaya </v>
      </c>
      <c r="B219" s="215">
        <v>46055</v>
      </c>
      <c r="C219" s="212" t="s">
        <v>314</v>
      </c>
      <c r="D219" s="256" t="s">
        <v>342</v>
      </c>
      <c r="F219" s="52">
        <f>IF(G219="","",INDEX(COA!$A$4:$A$123,MATCH(JU!$G219,COA!$B$4:$B$123,0)))</f>
        <v>1302</v>
      </c>
      <c r="G219" t="s">
        <v>31</v>
      </c>
      <c r="H219" s="216">
        <v>32000000</v>
      </c>
      <c r="I219" s="52">
        <f>IF(J219="","",INDEX(COA!$A$4:$A$123,MATCH(JU!$J219,COA!$B$4:$B$123,0)))</f>
        <v>1103</v>
      </c>
      <c r="J219" t="s">
        <v>154</v>
      </c>
      <c r="K219" s="34">
        <f t="shared" si="19"/>
        <v>32000000</v>
      </c>
    </row>
    <row r="220" spans="1:11" hidden="1">
      <c r="A220" s="50" t="str">
        <f t="shared" si="18"/>
        <v xml:space="preserve">By. Biaya </v>
      </c>
      <c r="B220" s="215">
        <v>46055</v>
      </c>
      <c r="C220" s="212" t="s">
        <v>315</v>
      </c>
      <c r="D220" s="256" t="s">
        <v>343</v>
      </c>
      <c r="F220" s="52">
        <f>IF(G220="","",INDEX(COA!$A$4:$A$123,MATCH(JU!$G220,COA!$B$4:$B$123,0)))</f>
        <v>1302</v>
      </c>
      <c r="G220" t="s">
        <v>31</v>
      </c>
      <c r="H220" s="216">
        <v>10000000</v>
      </c>
      <c r="I220" s="52">
        <f>IF(J220="","",INDEX(COA!$A$4:$A$123,MATCH(JU!$J220,COA!$B$4:$B$123,0)))</f>
        <v>1103</v>
      </c>
      <c r="J220" t="s">
        <v>154</v>
      </c>
      <c r="K220" s="34">
        <f t="shared" si="19"/>
        <v>10000000</v>
      </c>
    </row>
    <row r="221" spans="1:11">
      <c r="A221" s="50" t="str">
        <f t="shared" si="18"/>
        <v xml:space="preserve">By. Biaya </v>
      </c>
      <c r="B221" s="215">
        <v>46055</v>
      </c>
      <c r="C221" s="212" t="s">
        <v>316</v>
      </c>
      <c r="D221" s="51" t="s">
        <v>344</v>
      </c>
      <c r="F221" s="52">
        <f>IF(G221="","",INDEX(COA!$A$4:$A$123,MATCH(JU!$G221,COA!$B$4:$B$123,0)))</f>
        <v>5107</v>
      </c>
      <c r="G221" t="s">
        <v>71</v>
      </c>
      <c r="H221" s="216">
        <v>2087500</v>
      </c>
      <c r="I221" s="52">
        <f>IF(J221="","",INDEX(COA!$A$4:$A$123,MATCH(JU!$J221,COA!$B$4:$B$123,0)))</f>
        <v>1103</v>
      </c>
      <c r="J221" t="s">
        <v>154</v>
      </c>
      <c r="K221" s="34">
        <f t="shared" si="19"/>
        <v>2087500</v>
      </c>
    </row>
    <row r="222" spans="1:11" hidden="1">
      <c r="A222" s="50" t="str">
        <f t="shared" si="18"/>
        <v xml:space="preserve">Terima Uang Masuk atas </v>
      </c>
      <c r="B222" s="215">
        <v>46055</v>
      </c>
      <c r="C222" s="212" t="s">
        <v>840</v>
      </c>
      <c r="D222" s="51" t="s">
        <v>1005</v>
      </c>
      <c r="F222" s="52">
        <f>IF(G222="","",INDEX(COA!$A$4:$A$123,MATCH(JU!$G222,COA!$B$4:$B$123,0)))</f>
        <v>1103</v>
      </c>
      <c r="G222" t="s">
        <v>154</v>
      </c>
      <c r="H222" s="216">
        <v>4000000</v>
      </c>
      <c r="I222" s="52">
        <f>IF(J222="","",INDEX(COA!$A$4:$A$123,MATCH(JU!$J222,COA!$B$4:$B$123,0)))</f>
        <v>5107</v>
      </c>
      <c r="J222" t="s">
        <v>71</v>
      </c>
      <c r="K222" s="34">
        <f t="shared" si="19"/>
        <v>4000000</v>
      </c>
    </row>
    <row r="223" spans="1:11">
      <c r="A223" s="50" t="str">
        <f t="shared" si="18"/>
        <v xml:space="preserve">By. Biaya </v>
      </c>
      <c r="B223" s="215">
        <v>46055</v>
      </c>
      <c r="C223" s="212" t="s">
        <v>841</v>
      </c>
      <c r="D223" s="51" t="s">
        <v>1006</v>
      </c>
      <c r="F223" s="52">
        <f>IF(G223="","",INDEX(COA!$A$4:$A$123,MATCH(JU!$G223,COA!$B$4:$B$123,0)))</f>
        <v>1302</v>
      </c>
      <c r="G223" t="s">
        <v>31</v>
      </c>
      <c r="H223" s="216">
        <v>5000000</v>
      </c>
      <c r="I223" s="52">
        <f>IF(J223="","",INDEX(COA!$A$4:$A$123,MATCH(JU!$J223,COA!$B$4:$B$123,0)))</f>
        <v>1103</v>
      </c>
      <c r="J223" t="s">
        <v>154</v>
      </c>
      <c r="K223" s="34">
        <f t="shared" si="19"/>
        <v>5000000</v>
      </c>
    </row>
    <row r="224" spans="1:11" hidden="1">
      <c r="A224" s="50" t="str">
        <f t="shared" si="18"/>
        <v xml:space="preserve">By. Biaya </v>
      </c>
      <c r="B224" s="215">
        <v>46055</v>
      </c>
      <c r="C224" s="212" t="s">
        <v>305</v>
      </c>
      <c r="D224" s="51" t="s">
        <v>333</v>
      </c>
      <c r="F224" s="52" t="str">
        <f>IF(G224="","",INDEX(COA!$A$4:$A$123,MATCH(JU!$G224,COA!$B$4:$B$123,0)))</f>
        <v>6303</v>
      </c>
      <c r="G224" t="s">
        <v>87</v>
      </c>
      <c r="H224" s="216">
        <v>2500</v>
      </c>
      <c r="I224" s="52">
        <f>IF(J224="","",INDEX(COA!$A$4:$A$123,MATCH(JU!$J224,COA!$B$4:$B$123,0)))</f>
        <v>1103</v>
      </c>
      <c r="J224" t="s">
        <v>154</v>
      </c>
      <c r="K224" s="34">
        <f t="shared" si="19"/>
        <v>2500</v>
      </c>
    </row>
    <row r="225" spans="1:11" hidden="1">
      <c r="A225" s="50" t="str">
        <f t="shared" si="18"/>
        <v xml:space="preserve">Terima Uang Masuk atas </v>
      </c>
      <c r="B225" s="215">
        <v>46055</v>
      </c>
      <c r="C225" s="212" t="s">
        <v>308</v>
      </c>
      <c r="D225" s="51" t="s">
        <v>336</v>
      </c>
      <c r="F225" s="52">
        <f>IF(G225="","",INDEX(COA!$A$4:$A$123,MATCH(JU!$G225,COA!$B$4:$B$123,0)))</f>
        <v>1103</v>
      </c>
      <c r="G225" t="s">
        <v>154</v>
      </c>
      <c r="H225" s="216">
        <v>128572500</v>
      </c>
      <c r="I225" s="52" t="str">
        <f>IF(J225="","",INDEX(COA!$A$4:$A$123,MATCH(JU!$J225,COA!$B$4:$B$123,0)))</f>
        <v>2107</v>
      </c>
      <c r="J225" t="s">
        <v>50</v>
      </c>
      <c r="K225" s="34">
        <f t="shared" si="19"/>
        <v>128572500</v>
      </c>
    </row>
    <row r="226" spans="1:11" hidden="1">
      <c r="A226" s="50" t="str">
        <f t="shared" si="18"/>
        <v xml:space="preserve">Terima Uang Masuk atas </v>
      </c>
      <c r="B226" s="215">
        <v>46055</v>
      </c>
      <c r="C226" s="212" t="s">
        <v>308</v>
      </c>
      <c r="D226" s="51" t="s">
        <v>336</v>
      </c>
      <c r="F226" s="52">
        <f>IF(G226="","",INDEX(COA!$A$4:$A$123,MATCH(JU!$G226,COA!$B$4:$B$123,0)))</f>
        <v>1103</v>
      </c>
      <c r="G226" t="s">
        <v>154</v>
      </c>
      <c r="H226" s="216">
        <v>330072500</v>
      </c>
      <c r="I226" s="52" t="str">
        <f>IF(J226="","",INDEX(COA!$A$4:$A$123,MATCH(JU!$J226,COA!$B$4:$B$123,0)))</f>
        <v>2107</v>
      </c>
      <c r="J226" t="s">
        <v>50</v>
      </c>
      <c r="K226" s="34">
        <f t="shared" si="19"/>
        <v>330072500</v>
      </c>
    </row>
    <row r="227" spans="1:11" hidden="1">
      <c r="A227" s="50" t="str">
        <f t="shared" si="18"/>
        <v xml:space="preserve">Terima Uang Masuk atas </v>
      </c>
      <c r="B227" s="215">
        <v>46055</v>
      </c>
      <c r="C227" s="212" t="s">
        <v>308</v>
      </c>
      <c r="D227" s="51" t="s">
        <v>336</v>
      </c>
      <c r="F227" s="52">
        <f>IF(G227="","",INDEX(COA!$A$4:$A$123,MATCH(JU!$G227,COA!$B$4:$B$123,0)))</f>
        <v>1103</v>
      </c>
      <c r="G227" t="s">
        <v>154</v>
      </c>
      <c r="H227" s="216">
        <v>233272500</v>
      </c>
      <c r="I227" s="52" t="str">
        <f>IF(J227="","",INDEX(COA!$A$4:$A$123,MATCH(JU!$J227,COA!$B$4:$B$123,0)))</f>
        <v>2107</v>
      </c>
      <c r="J227" t="s">
        <v>50</v>
      </c>
      <c r="K227" s="34">
        <f t="shared" si="19"/>
        <v>233272500</v>
      </c>
    </row>
    <row r="228" spans="1:11" hidden="1">
      <c r="A228" s="50" t="str">
        <f t="shared" si="18"/>
        <v xml:space="preserve">Terima Uang Masuk atas </v>
      </c>
      <c r="B228" s="215">
        <v>46055</v>
      </c>
      <c r="C228" s="212" t="s">
        <v>308</v>
      </c>
      <c r="D228" s="51" t="s">
        <v>336</v>
      </c>
      <c r="F228" s="52">
        <f>IF(G228="","",INDEX(COA!$A$4:$A$123,MATCH(JU!$G228,COA!$B$4:$B$123,0)))</f>
        <v>1103</v>
      </c>
      <c r="G228" t="s">
        <v>154</v>
      </c>
      <c r="H228" s="216">
        <v>312772500</v>
      </c>
      <c r="I228" s="52" t="str">
        <f>IF(J228="","",INDEX(COA!$A$4:$A$123,MATCH(JU!$J228,COA!$B$4:$B$123,0)))</f>
        <v>2107</v>
      </c>
      <c r="J228" t="s">
        <v>50</v>
      </c>
      <c r="K228" s="34">
        <f t="shared" si="19"/>
        <v>312772500</v>
      </c>
    </row>
    <row r="229" spans="1:11" hidden="1">
      <c r="A229" s="50" t="str">
        <f t="shared" si="18"/>
        <v xml:space="preserve">By. Biaya </v>
      </c>
      <c r="B229" s="215">
        <v>46055</v>
      </c>
      <c r="C229" s="212" t="s">
        <v>308</v>
      </c>
      <c r="D229" s="51" t="s">
        <v>345</v>
      </c>
      <c r="F229" s="52" t="str">
        <f>IF(G229="","",INDEX(COA!$A$4:$A$123,MATCH(JU!$G229,COA!$B$4:$B$123,0)))</f>
        <v>2107</v>
      </c>
      <c r="G229" t="s">
        <v>50</v>
      </c>
      <c r="H229" s="216">
        <v>765373000</v>
      </c>
      <c r="I229" s="52">
        <f>IF(J229="","",INDEX(COA!$A$4:$A$123,MATCH(JU!$J229,COA!$B$4:$B$123,0)))</f>
        <v>1103</v>
      </c>
      <c r="J229" t="s">
        <v>154</v>
      </c>
      <c r="K229" s="34">
        <f t="shared" si="19"/>
        <v>765373000</v>
      </c>
    </row>
    <row r="230" spans="1:11" hidden="1">
      <c r="A230" s="50" t="str">
        <f t="shared" si="18"/>
        <v xml:space="preserve">By. Biaya </v>
      </c>
      <c r="B230" s="215">
        <v>46055</v>
      </c>
      <c r="C230" s="212" t="s">
        <v>308</v>
      </c>
      <c r="D230" s="51" t="s">
        <v>345</v>
      </c>
      <c r="F230" s="52" t="str">
        <f>IF(G230="","",INDEX(COA!$A$4:$A$123,MATCH(JU!$G230,COA!$B$4:$B$123,0)))</f>
        <v>2107</v>
      </c>
      <c r="G230" t="s">
        <v>50</v>
      </c>
      <c r="H230" s="216">
        <v>239317000</v>
      </c>
      <c r="I230" s="52">
        <f>IF(J230="","",INDEX(COA!$A$4:$A$123,MATCH(JU!$J230,COA!$B$4:$B$123,0)))</f>
        <v>1103</v>
      </c>
      <c r="J230" t="s">
        <v>154</v>
      </c>
      <c r="K230" s="34">
        <f t="shared" si="19"/>
        <v>239317000</v>
      </c>
    </row>
    <row r="231" spans="1:11" hidden="1">
      <c r="A231" s="50" t="str">
        <f t="shared" si="18"/>
        <v xml:space="preserve">By. Biaya </v>
      </c>
      <c r="B231" s="215">
        <v>46055</v>
      </c>
      <c r="C231" s="212" t="s">
        <v>842</v>
      </c>
      <c r="D231" s="51" t="s">
        <v>1007</v>
      </c>
      <c r="F231" s="52" t="str">
        <f>IF(G231="","",INDEX(COA!$A$4:$A$123,MATCH(JU!$G231,COA!$B$4:$B$123,0)))</f>
        <v>6201</v>
      </c>
      <c r="G231" t="s">
        <v>81</v>
      </c>
      <c r="H231" s="216">
        <v>1000000</v>
      </c>
      <c r="I231" s="52">
        <f>IF(J231="","",INDEX(COA!$A$4:$A$123,MATCH(JU!$J231,COA!$B$4:$B$123,0)))</f>
        <v>1103</v>
      </c>
      <c r="J231" t="s">
        <v>154</v>
      </c>
      <c r="K231" s="34">
        <f t="shared" si="19"/>
        <v>1000000</v>
      </c>
    </row>
    <row r="232" spans="1:11" hidden="1">
      <c r="A232" s="50" t="str">
        <f t="shared" si="18"/>
        <v xml:space="preserve">By. Biaya </v>
      </c>
      <c r="B232" s="215">
        <v>46055</v>
      </c>
      <c r="C232" s="212" t="s">
        <v>305</v>
      </c>
      <c r="D232" s="51" t="s">
        <v>333</v>
      </c>
      <c r="F232" s="52" t="str">
        <f>IF(G232="","",INDEX(COA!$A$4:$A$123,MATCH(JU!$G232,COA!$B$4:$B$123,0)))</f>
        <v>6303</v>
      </c>
      <c r="G232" t="s">
        <v>87</v>
      </c>
      <c r="H232" s="216">
        <v>2500</v>
      </c>
      <c r="I232" s="52">
        <f>IF(J232="","",INDEX(COA!$A$4:$A$123,MATCH(JU!$J232,COA!$B$4:$B$123,0)))</f>
        <v>1103</v>
      </c>
      <c r="J232" t="s">
        <v>154</v>
      </c>
      <c r="K232" s="34">
        <f t="shared" si="19"/>
        <v>2500</v>
      </c>
    </row>
    <row r="233" spans="1:11" hidden="1">
      <c r="A233" s="50" t="str">
        <f t="shared" si="18"/>
        <v xml:space="preserve">Terima Uang Masuk atas </v>
      </c>
      <c r="B233" s="215">
        <v>46056</v>
      </c>
      <c r="C233" s="212" t="s">
        <v>843</v>
      </c>
      <c r="D233" s="51" t="s">
        <v>1008</v>
      </c>
      <c r="F233" s="52">
        <f>IF(G233="","",INDEX(COA!$A$4:$A$123,MATCH(JU!$G233,COA!$B$4:$B$123,0)))</f>
        <v>1103</v>
      </c>
      <c r="G233" t="s">
        <v>154</v>
      </c>
      <c r="H233" s="216">
        <v>100000000</v>
      </c>
      <c r="I233" s="52" t="str">
        <f>IF(J233="","",INDEX(COA!$A$4:$A$123,MATCH(JU!$J233,COA!$B$4:$B$123,0)))</f>
        <v>2101</v>
      </c>
      <c r="J233" t="s">
        <v>45</v>
      </c>
      <c r="K233" s="34">
        <f t="shared" si="19"/>
        <v>100000000</v>
      </c>
    </row>
    <row r="234" spans="1:11" hidden="1">
      <c r="A234" s="50" t="str">
        <f t="shared" si="18"/>
        <v xml:space="preserve">By. Biaya </v>
      </c>
      <c r="B234" s="215">
        <v>46056</v>
      </c>
      <c r="C234" s="212" t="s">
        <v>317</v>
      </c>
      <c r="D234" s="51" t="s">
        <v>346</v>
      </c>
      <c r="F234" s="52">
        <f>IF(G234="","",INDEX(COA!$A$4:$A$123,MATCH(JU!$G234,COA!$B$4:$B$123,0)))</f>
        <v>7101</v>
      </c>
      <c r="G234" t="s">
        <v>93</v>
      </c>
      <c r="H234" s="216">
        <v>7125000</v>
      </c>
      <c r="I234" s="52">
        <f>IF(J234="","",INDEX(COA!$A$4:$A$123,MATCH(JU!$J234,COA!$B$4:$B$123,0)))</f>
        <v>1103</v>
      </c>
      <c r="J234" t="s">
        <v>154</v>
      </c>
      <c r="K234" s="34">
        <f t="shared" si="19"/>
        <v>7125000</v>
      </c>
    </row>
    <row r="235" spans="1:11" hidden="1">
      <c r="A235" s="50" t="str">
        <f t="shared" si="18"/>
        <v xml:space="preserve">By. Biaya </v>
      </c>
      <c r="B235" s="215">
        <v>46056</v>
      </c>
      <c r="C235" s="212" t="s">
        <v>844</v>
      </c>
      <c r="D235" s="51" t="s">
        <v>1009</v>
      </c>
      <c r="F235" s="52">
        <f>IF(G235="","",INDEX(COA!$A$4:$A$123,MATCH(JU!$G235,COA!$B$4:$B$123,0)))</f>
        <v>4103</v>
      </c>
      <c r="G235" t="s">
        <v>63</v>
      </c>
      <c r="H235" s="216">
        <v>50000000</v>
      </c>
      <c r="I235" s="52">
        <f>IF(J235="","",INDEX(COA!$A$4:$A$123,MATCH(JU!$J235,COA!$B$4:$B$123,0)))</f>
        <v>1103</v>
      </c>
      <c r="J235" t="s">
        <v>154</v>
      </c>
      <c r="K235" s="34">
        <f t="shared" si="19"/>
        <v>50000000</v>
      </c>
    </row>
    <row r="236" spans="1:11" hidden="1">
      <c r="A236" s="50" t="str">
        <f t="shared" si="18"/>
        <v xml:space="preserve">By. Biaya </v>
      </c>
      <c r="B236" s="215">
        <v>46056</v>
      </c>
      <c r="C236" s="212" t="s">
        <v>305</v>
      </c>
      <c r="D236" s="51" t="s">
        <v>333</v>
      </c>
      <c r="F236" s="52" t="str">
        <f>IF(G236="","",INDEX(COA!$A$4:$A$123,MATCH(JU!$G236,COA!$B$4:$B$123,0)))</f>
        <v>6303</v>
      </c>
      <c r="G236" t="s">
        <v>87</v>
      </c>
      <c r="H236" s="216">
        <v>2500</v>
      </c>
      <c r="I236" s="52">
        <f>IF(J236="","",INDEX(COA!$A$4:$A$123,MATCH(JU!$J236,COA!$B$4:$B$123,0)))</f>
        <v>1103</v>
      </c>
      <c r="J236" t="s">
        <v>154</v>
      </c>
      <c r="K236" s="34">
        <f t="shared" si="19"/>
        <v>2500</v>
      </c>
    </row>
    <row r="237" spans="1:11" hidden="1">
      <c r="A237" s="50" t="str">
        <f t="shared" si="18"/>
        <v xml:space="preserve">Terima Uang Masuk atas </v>
      </c>
      <c r="B237" s="215">
        <v>46056</v>
      </c>
      <c r="C237" s="212" t="s">
        <v>845</v>
      </c>
      <c r="D237" s="51" t="s">
        <v>1010</v>
      </c>
      <c r="F237" s="52">
        <f>IF(G237="","",INDEX(COA!$A$4:$A$123,MATCH(JU!$G237,COA!$B$4:$B$123,0)))</f>
        <v>1103</v>
      </c>
      <c r="G237" t="s">
        <v>154</v>
      </c>
      <c r="H237" s="216">
        <v>50000000</v>
      </c>
      <c r="I237" s="52">
        <f>IF(J237="","",INDEX(COA!$A$4:$A$123,MATCH(JU!$J237,COA!$B$4:$B$123,0)))</f>
        <v>4103</v>
      </c>
      <c r="J237" t="s">
        <v>63</v>
      </c>
      <c r="K237" s="34">
        <f t="shared" si="19"/>
        <v>50000000</v>
      </c>
    </row>
    <row r="238" spans="1:11" hidden="1">
      <c r="A238" s="50" t="str">
        <f t="shared" si="18"/>
        <v xml:space="preserve">By. Biaya </v>
      </c>
      <c r="B238" s="215">
        <v>46056</v>
      </c>
      <c r="C238" s="212" t="s">
        <v>846</v>
      </c>
      <c r="D238" s="51" t="s">
        <v>1011</v>
      </c>
      <c r="F238" s="52">
        <f>IF(G238="","",INDEX(COA!$A$4:$A$123,MATCH(JU!$G238,COA!$B$4:$B$123,0)))</f>
        <v>5108</v>
      </c>
      <c r="G238" t="s">
        <v>72</v>
      </c>
      <c r="H238" s="216">
        <v>350000</v>
      </c>
      <c r="I238" s="52">
        <f>IF(J238="","",INDEX(COA!$A$4:$A$123,MATCH(JU!$J238,COA!$B$4:$B$123,0)))</f>
        <v>1103</v>
      </c>
      <c r="J238" t="s">
        <v>154</v>
      </c>
      <c r="K238" s="34">
        <f t="shared" si="19"/>
        <v>350000</v>
      </c>
    </row>
    <row r="239" spans="1:11" hidden="1">
      <c r="A239" s="50" t="str">
        <f t="shared" si="18"/>
        <v xml:space="preserve">Terima Uang Masuk atas </v>
      </c>
      <c r="B239" s="215">
        <v>46056</v>
      </c>
      <c r="C239" s="212" t="s">
        <v>847</v>
      </c>
      <c r="D239" s="51" t="s">
        <v>1012</v>
      </c>
      <c r="F239" s="52">
        <f>IF(G239="","",INDEX(COA!$A$4:$A$123,MATCH(JU!$G239,COA!$B$4:$B$123,0)))</f>
        <v>1103</v>
      </c>
      <c r="G239" t="s">
        <v>154</v>
      </c>
      <c r="H239" s="216">
        <v>3000000</v>
      </c>
      <c r="I239" s="52">
        <f>IF(J239="","",INDEX(COA!$A$4:$A$123,MATCH(JU!$J239,COA!$B$4:$B$123,0)))</f>
        <v>4101</v>
      </c>
      <c r="J239" t="s">
        <v>61</v>
      </c>
      <c r="K239" s="34">
        <f t="shared" si="19"/>
        <v>3000000</v>
      </c>
    </row>
    <row r="240" spans="1:11" hidden="1">
      <c r="A240" s="50" t="str">
        <f t="shared" si="18"/>
        <v xml:space="preserve">Terima Uang Masuk atas </v>
      </c>
      <c r="B240" s="215">
        <v>46057</v>
      </c>
      <c r="C240" s="212" t="s">
        <v>848</v>
      </c>
      <c r="D240" s="51" t="s">
        <v>1013</v>
      </c>
      <c r="F240" s="52">
        <f>IF(G240="","",INDEX(COA!$A$4:$A$123,MATCH(JU!$G240,COA!$B$4:$B$123,0)))</f>
        <v>1103</v>
      </c>
      <c r="G240" t="s">
        <v>154</v>
      </c>
      <c r="H240" s="216">
        <v>127929346</v>
      </c>
      <c r="I240" s="52">
        <f>IF(J240="","",INDEX(COA!$A$4:$A$123,MATCH(JU!$J240,COA!$B$4:$B$123,0)))</f>
        <v>1202</v>
      </c>
      <c r="J240" t="s">
        <v>27</v>
      </c>
      <c r="K240" s="34">
        <f t="shared" si="19"/>
        <v>127929346</v>
      </c>
    </row>
    <row r="241" spans="1:11" hidden="1">
      <c r="A241" s="50" t="str">
        <f t="shared" si="18"/>
        <v xml:space="preserve">Terima Uang Masuk atas </v>
      </c>
      <c r="B241" s="215">
        <v>46057</v>
      </c>
      <c r="C241" s="212" t="s">
        <v>849</v>
      </c>
      <c r="D241" s="51" t="s">
        <v>1014</v>
      </c>
      <c r="F241" s="52">
        <f>IF(G241="","",INDEX(COA!$A$4:$A$123,MATCH(JU!$G241,COA!$B$4:$B$123,0)))</f>
        <v>1103</v>
      </c>
      <c r="G241" t="s">
        <v>154</v>
      </c>
      <c r="H241" s="216">
        <v>16500000</v>
      </c>
      <c r="I241" s="52">
        <f>IF(J241="","",INDEX(COA!$A$4:$A$123,MATCH(JU!$J241,COA!$B$4:$B$123,0)))</f>
        <v>1202</v>
      </c>
      <c r="J241" t="s">
        <v>27</v>
      </c>
      <c r="K241" s="34">
        <f t="shared" si="19"/>
        <v>16500000</v>
      </c>
    </row>
    <row r="242" spans="1:11" hidden="1">
      <c r="A242" s="50" t="str">
        <f t="shared" si="18"/>
        <v xml:space="preserve">By. Biaya </v>
      </c>
      <c r="B242" s="215">
        <v>46057</v>
      </c>
      <c r="C242" s="212" t="s">
        <v>318</v>
      </c>
      <c r="D242" s="51" t="s">
        <v>347</v>
      </c>
      <c r="F242" s="52">
        <f>IF(G242="","",INDEX(COA!$A$4:$A$123,MATCH(JU!$G242,COA!$B$4:$B$123,0)))</f>
        <v>1301</v>
      </c>
      <c r="G242" t="s">
        <v>30</v>
      </c>
      <c r="H242" s="216">
        <v>5680000</v>
      </c>
      <c r="I242" s="52">
        <f>IF(J242="","",INDEX(COA!$A$4:$A$123,MATCH(JU!$J242,COA!$B$4:$B$123,0)))</f>
        <v>1103</v>
      </c>
      <c r="J242" t="s">
        <v>154</v>
      </c>
      <c r="K242" s="34">
        <f t="shared" si="19"/>
        <v>5680000</v>
      </c>
    </row>
    <row r="243" spans="1:11" hidden="1">
      <c r="A243" s="50" t="str">
        <f t="shared" si="18"/>
        <v xml:space="preserve">Terima Uang Masuk atas </v>
      </c>
      <c r="B243" s="215">
        <v>46057</v>
      </c>
      <c r="C243" s="212" t="s">
        <v>308</v>
      </c>
      <c r="D243" s="51" t="s">
        <v>336</v>
      </c>
      <c r="F243" s="52">
        <f>IF(G243="","",INDEX(COA!$A$4:$A$123,MATCH(JU!$G243,COA!$B$4:$B$123,0)))</f>
        <v>1103</v>
      </c>
      <c r="G243" t="s">
        <v>154</v>
      </c>
      <c r="H243" s="216">
        <v>279472500</v>
      </c>
      <c r="I243" s="52" t="str">
        <f>IF(J243="","",INDEX(COA!$A$4:$A$123,MATCH(JU!$J243,COA!$B$4:$B$123,0)))</f>
        <v>2107</v>
      </c>
      <c r="J243" t="s">
        <v>50</v>
      </c>
      <c r="K243" s="34">
        <f t="shared" si="19"/>
        <v>279472500</v>
      </c>
    </row>
    <row r="244" spans="1:11" hidden="1">
      <c r="A244" s="50" t="str">
        <f t="shared" si="18"/>
        <v xml:space="preserve">Terima Uang Masuk atas </v>
      </c>
      <c r="B244" s="215">
        <v>46057</v>
      </c>
      <c r="C244" s="212" t="s">
        <v>308</v>
      </c>
      <c r="D244" s="51" t="s">
        <v>336</v>
      </c>
      <c r="F244" s="52">
        <f>IF(G244="","",INDEX(COA!$A$4:$A$123,MATCH(JU!$G244,COA!$B$4:$B$123,0)))</f>
        <v>1103</v>
      </c>
      <c r="G244" t="s">
        <v>154</v>
      </c>
      <c r="H244" s="216">
        <v>319572500</v>
      </c>
      <c r="I244" s="52" t="str">
        <f>IF(J244="","",INDEX(COA!$A$4:$A$123,MATCH(JU!$J244,COA!$B$4:$B$123,0)))</f>
        <v>2107</v>
      </c>
      <c r="J244" t="s">
        <v>50</v>
      </c>
      <c r="K244" s="34">
        <f t="shared" si="19"/>
        <v>319572500</v>
      </c>
    </row>
    <row r="245" spans="1:11" hidden="1">
      <c r="A245" s="50" t="str">
        <f t="shared" si="18"/>
        <v xml:space="preserve">Terima Uang Masuk atas </v>
      </c>
      <c r="B245" s="215">
        <v>46057</v>
      </c>
      <c r="C245" s="212" t="s">
        <v>308</v>
      </c>
      <c r="D245" s="51" t="s">
        <v>336</v>
      </c>
      <c r="F245" s="52">
        <f>IF(G245="","",INDEX(COA!$A$4:$A$123,MATCH(JU!$G245,COA!$B$4:$B$123,0)))</f>
        <v>1103</v>
      </c>
      <c r="G245" t="s">
        <v>154</v>
      </c>
      <c r="H245" s="216">
        <v>160172500</v>
      </c>
      <c r="I245" s="52" t="str">
        <f>IF(J245="","",INDEX(COA!$A$4:$A$123,MATCH(JU!$J245,COA!$B$4:$B$123,0)))</f>
        <v>2107</v>
      </c>
      <c r="J245" t="s">
        <v>50</v>
      </c>
      <c r="K245" s="34">
        <f t="shared" si="19"/>
        <v>160172500</v>
      </c>
    </row>
    <row r="246" spans="1:11" hidden="1">
      <c r="A246" s="50" t="str">
        <f t="shared" ref="A246:A310" si="23">IF(G246="BRI 568","Terima Uang Masuk atas ","By. Biaya ")</f>
        <v xml:space="preserve">By. Biaya </v>
      </c>
      <c r="B246" s="215">
        <v>46057</v>
      </c>
      <c r="C246" s="212" t="s">
        <v>850</v>
      </c>
      <c r="D246" s="51" t="s">
        <v>1015</v>
      </c>
      <c r="F246" s="52">
        <f>IF(G246="","",INDEX(COA!$A$4:$A$123,MATCH(JU!$G246,COA!$B$4:$B$123,0)))</f>
        <v>1302</v>
      </c>
      <c r="G246" t="s">
        <v>31</v>
      </c>
      <c r="H246" s="216">
        <v>2135000</v>
      </c>
      <c r="I246" s="52">
        <f>IF(J246="","",INDEX(COA!$A$4:$A$123,MATCH(JU!$J246,COA!$B$4:$B$123,0)))</f>
        <v>1103</v>
      </c>
      <c r="J246" t="s">
        <v>154</v>
      </c>
      <c r="K246" s="34">
        <f t="shared" si="19"/>
        <v>2135000</v>
      </c>
    </row>
    <row r="247" spans="1:11" hidden="1">
      <c r="A247" s="50" t="str">
        <f t="shared" si="23"/>
        <v xml:space="preserve">By. Biaya </v>
      </c>
      <c r="B247" s="215">
        <v>46057</v>
      </c>
      <c r="C247" s="212" t="s">
        <v>319</v>
      </c>
      <c r="D247" s="51" t="s">
        <v>348</v>
      </c>
      <c r="F247" s="52">
        <f>IF(G247="","",INDEX(COA!$A$4:$A$123,MATCH(JU!$G247,COA!$B$4:$B$123,0)))</f>
        <v>5107</v>
      </c>
      <c r="G247" t="s">
        <v>71</v>
      </c>
      <c r="H247" s="216">
        <v>27585500</v>
      </c>
      <c r="I247" s="52">
        <f>IF(J247="","",INDEX(COA!$A$4:$A$123,MATCH(JU!$J247,COA!$B$4:$B$123,0)))</f>
        <v>1103</v>
      </c>
      <c r="J247" t="s">
        <v>154</v>
      </c>
      <c r="K247" s="34">
        <f t="shared" si="19"/>
        <v>27585500</v>
      </c>
    </row>
    <row r="248" spans="1:11" hidden="1">
      <c r="A248" s="50" t="str">
        <f t="shared" si="23"/>
        <v xml:space="preserve">By. Biaya </v>
      </c>
      <c r="B248" s="215">
        <v>46057</v>
      </c>
      <c r="C248" s="212" t="s">
        <v>305</v>
      </c>
      <c r="D248" s="51" t="s">
        <v>333</v>
      </c>
      <c r="F248" s="52" t="str">
        <f>IF(G248="","",INDEX(COA!$A$4:$A$123,MATCH(JU!$G248,COA!$B$4:$B$123,0)))</f>
        <v>6303</v>
      </c>
      <c r="G248" t="s">
        <v>87</v>
      </c>
      <c r="H248" s="216">
        <v>2500</v>
      </c>
      <c r="I248" s="52">
        <f>IF(J248="","",INDEX(COA!$A$4:$A$123,MATCH(JU!$J248,COA!$B$4:$B$123,0)))</f>
        <v>1103</v>
      </c>
      <c r="J248" t="s">
        <v>154</v>
      </c>
      <c r="K248" s="34">
        <f t="shared" si="19"/>
        <v>2500</v>
      </c>
    </row>
    <row r="249" spans="1:11" hidden="1">
      <c r="A249" s="50" t="str">
        <f t="shared" si="23"/>
        <v xml:space="preserve">By. Biaya </v>
      </c>
      <c r="B249" s="215">
        <v>46057</v>
      </c>
      <c r="C249" s="212" t="s">
        <v>851</v>
      </c>
      <c r="D249" s="51" t="s">
        <v>1016</v>
      </c>
      <c r="F249" s="52">
        <f>IF(G249="","",INDEX(COA!$A$4:$A$123,MATCH(JU!$G249,COA!$B$4:$B$123,0)))</f>
        <v>5107</v>
      </c>
      <c r="G249" t="s">
        <v>71</v>
      </c>
      <c r="H249" s="216">
        <v>6000000</v>
      </c>
      <c r="I249" s="52">
        <f>IF(J249="","",INDEX(COA!$A$4:$A$123,MATCH(JU!$J249,COA!$B$4:$B$123,0)))</f>
        <v>1103</v>
      </c>
      <c r="J249" t="s">
        <v>154</v>
      </c>
      <c r="K249" s="34">
        <f t="shared" si="19"/>
        <v>6000000</v>
      </c>
    </row>
    <row r="250" spans="1:11" hidden="1">
      <c r="A250" s="50" t="str">
        <f t="shared" si="23"/>
        <v xml:space="preserve">By. Biaya </v>
      </c>
      <c r="B250" s="215">
        <v>46057</v>
      </c>
      <c r="C250" s="212" t="s">
        <v>308</v>
      </c>
      <c r="D250" s="51" t="s">
        <v>345</v>
      </c>
      <c r="F250" s="52" t="str">
        <f>IF(G250="","",INDEX(COA!$A$4:$A$123,MATCH(JU!$G250,COA!$B$4:$B$123,0)))</f>
        <v>2107</v>
      </c>
      <c r="G250" t="s">
        <v>50</v>
      </c>
      <c r="H250" s="216">
        <v>750000000</v>
      </c>
      <c r="I250" s="52">
        <f>IF(J250="","",INDEX(COA!$A$4:$A$123,MATCH(JU!$J250,COA!$B$4:$B$123,0)))</f>
        <v>1103</v>
      </c>
      <c r="J250" t="s">
        <v>154</v>
      </c>
      <c r="K250" s="34">
        <f t="shared" si="19"/>
        <v>750000000</v>
      </c>
    </row>
    <row r="251" spans="1:11" hidden="1">
      <c r="A251" s="50" t="str">
        <f t="shared" si="23"/>
        <v xml:space="preserve">By. Biaya </v>
      </c>
      <c r="B251" s="215">
        <v>46057</v>
      </c>
      <c r="C251" s="212" t="s">
        <v>308</v>
      </c>
      <c r="D251" s="51" t="s">
        <v>345</v>
      </c>
      <c r="F251" s="52" t="str">
        <f>IF(G251="","",INDEX(COA!$A$4:$A$123,MATCH(JU!$G251,COA!$B$4:$B$123,0)))</f>
        <v>2107</v>
      </c>
      <c r="G251" t="s">
        <v>50</v>
      </c>
      <c r="H251" s="216">
        <v>9217500</v>
      </c>
      <c r="I251" s="52">
        <f>IF(J251="","",INDEX(COA!$A$4:$A$123,MATCH(JU!$J251,COA!$B$4:$B$123,0)))</f>
        <v>1103</v>
      </c>
      <c r="J251" t="s">
        <v>154</v>
      </c>
      <c r="K251" s="34">
        <f t="shared" si="19"/>
        <v>9217500</v>
      </c>
    </row>
    <row r="252" spans="1:11">
      <c r="A252" s="50" t="str">
        <f t="shared" si="23"/>
        <v xml:space="preserve">By. Biaya </v>
      </c>
      <c r="B252" s="215">
        <v>46057</v>
      </c>
      <c r="C252" s="212" t="s">
        <v>852</v>
      </c>
      <c r="D252" s="51" t="s">
        <v>1017</v>
      </c>
      <c r="F252" s="52">
        <f>IF(G252="","",INDEX(COA!$A$4:$A$123,MATCH(JU!$G252,COA!$B$4:$B$123,0)))</f>
        <v>1302</v>
      </c>
      <c r="G252" t="s">
        <v>31</v>
      </c>
      <c r="H252" s="216">
        <v>6500000</v>
      </c>
      <c r="I252" s="52">
        <f>IF(J252="","",INDEX(COA!$A$4:$A$123,MATCH(JU!$J252,COA!$B$4:$B$123,0)))</f>
        <v>1103</v>
      </c>
      <c r="J252" t="s">
        <v>154</v>
      </c>
      <c r="K252" s="34">
        <f t="shared" si="19"/>
        <v>6500000</v>
      </c>
    </row>
    <row r="253" spans="1:11" hidden="1">
      <c r="A253" s="50" t="str">
        <f t="shared" si="23"/>
        <v xml:space="preserve">By. Biaya </v>
      </c>
      <c r="B253" s="215">
        <v>46057</v>
      </c>
      <c r="C253" s="212" t="s">
        <v>853</v>
      </c>
      <c r="D253" s="51" t="s">
        <v>1018</v>
      </c>
      <c r="F253" s="52">
        <f>IF(G253="","",INDEX(COA!$A$4:$A$123,MATCH(JU!$G253,COA!$B$4:$B$123,0)))</f>
        <v>4103</v>
      </c>
      <c r="G253" t="s">
        <v>63</v>
      </c>
      <c r="H253" s="216">
        <v>2600000</v>
      </c>
      <c r="I253" s="52">
        <f>IF(J253="","",INDEX(COA!$A$4:$A$123,MATCH(JU!$J253,COA!$B$4:$B$123,0)))</f>
        <v>1103</v>
      </c>
      <c r="J253" t="s">
        <v>154</v>
      </c>
      <c r="K253" s="34">
        <f t="shared" si="19"/>
        <v>2600000</v>
      </c>
    </row>
    <row r="254" spans="1:11" hidden="1">
      <c r="A254" s="50" t="str">
        <f t="shared" si="23"/>
        <v xml:space="preserve">By. Biaya </v>
      </c>
      <c r="B254" s="215">
        <v>46057</v>
      </c>
      <c r="C254" s="212" t="s">
        <v>305</v>
      </c>
      <c r="D254" s="51" t="s">
        <v>333</v>
      </c>
      <c r="F254" s="52" t="str">
        <f>IF(G254="","",INDEX(COA!$A$4:$A$123,MATCH(JU!$G254,COA!$B$4:$B$123,0)))</f>
        <v>6303</v>
      </c>
      <c r="G254" t="s">
        <v>87</v>
      </c>
      <c r="H254" s="216">
        <v>2500</v>
      </c>
      <c r="I254" s="52">
        <f>IF(J254="","",INDEX(COA!$A$4:$A$123,MATCH(JU!$J254,COA!$B$4:$B$123,0)))</f>
        <v>1103</v>
      </c>
      <c r="J254" t="s">
        <v>154</v>
      </c>
      <c r="K254" s="34">
        <f t="shared" si="19"/>
        <v>2500</v>
      </c>
    </row>
    <row r="255" spans="1:11" hidden="1">
      <c r="A255" s="50" t="str">
        <f t="shared" si="23"/>
        <v xml:space="preserve">By. Biaya </v>
      </c>
      <c r="B255" s="215">
        <v>46057</v>
      </c>
      <c r="C255" s="212" t="s">
        <v>854</v>
      </c>
      <c r="D255" s="51" t="s">
        <v>1019</v>
      </c>
      <c r="F255" s="52">
        <f>IF(G255="","",INDEX(COA!$A$4:$A$123,MATCH(JU!$G255,COA!$B$4:$B$123,0)))</f>
        <v>5108</v>
      </c>
      <c r="G255" t="s">
        <v>72</v>
      </c>
      <c r="H255" s="216">
        <v>4150000</v>
      </c>
      <c r="I255" s="52">
        <f>IF(J255="","",INDEX(COA!$A$4:$A$123,MATCH(JU!$J255,COA!$B$4:$B$123,0)))</f>
        <v>1103</v>
      </c>
      <c r="J255" t="s">
        <v>154</v>
      </c>
      <c r="K255" s="34">
        <f t="shared" si="19"/>
        <v>4150000</v>
      </c>
    </row>
    <row r="256" spans="1:11" hidden="1">
      <c r="A256" s="50" t="str">
        <f t="shared" si="23"/>
        <v xml:space="preserve">By. Biaya </v>
      </c>
      <c r="B256" s="215">
        <v>46058</v>
      </c>
      <c r="C256" s="212" t="s">
        <v>855</v>
      </c>
      <c r="D256" s="51" t="s">
        <v>1020</v>
      </c>
      <c r="F256" s="52">
        <f>IF(G256="","",INDEX(COA!$A$4:$A$123,MATCH(JU!$G256,COA!$B$4:$B$123,0)))</f>
        <v>7101</v>
      </c>
      <c r="G256" t="s">
        <v>93</v>
      </c>
      <c r="H256" s="216">
        <v>4650000</v>
      </c>
      <c r="I256" s="52">
        <f>IF(J256="","",INDEX(COA!$A$4:$A$123,MATCH(JU!$J256,COA!$B$4:$B$123,0)))</f>
        <v>1103</v>
      </c>
      <c r="J256" t="s">
        <v>154</v>
      </c>
      <c r="K256" s="34">
        <f t="shared" si="19"/>
        <v>4650000</v>
      </c>
    </row>
    <row r="257" spans="1:11" hidden="1">
      <c r="A257" s="50" t="str">
        <f t="shared" si="23"/>
        <v xml:space="preserve">Terima Uang Masuk atas </v>
      </c>
      <c r="B257" s="215">
        <v>46058</v>
      </c>
      <c r="C257" s="212" t="s">
        <v>856</v>
      </c>
      <c r="D257" s="51" t="s">
        <v>1021</v>
      </c>
      <c r="F257" s="52">
        <f>IF(G257="","",INDEX(COA!$A$4:$A$123,MATCH(JU!$G257,COA!$B$4:$B$123,0)))</f>
        <v>1103</v>
      </c>
      <c r="G257" t="s">
        <v>154</v>
      </c>
      <c r="H257" s="216">
        <v>2500000</v>
      </c>
      <c r="I257" s="52">
        <f>IF(J257="","",INDEX(COA!$A$4:$A$123,MATCH(JU!$J257,COA!$B$4:$B$123,0)))</f>
        <v>4102</v>
      </c>
      <c r="J257" t="s">
        <v>62</v>
      </c>
      <c r="K257" s="34">
        <f t="shared" si="19"/>
        <v>2500000</v>
      </c>
    </row>
    <row r="258" spans="1:11" hidden="1">
      <c r="A258" s="50" t="str">
        <f t="shared" si="23"/>
        <v xml:space="preserve">By. Biaya </v>
      </c>
      <c r="B258" s="215">
        <v>46058</v>
      </c>
      <c r="C258" s="212" t="s">
        <v>857</v>
      </c>
      <c r="D258" s="51" t="s">
        <v>1022</v>
      </c>
      <c r="F258" s="52">
        <f>IF(G258="","",INDEX(COA!$A$4:$A$123,MATCH(JU!$G258,COA!$B$4:$B$123,0)))</f>
        <v>7104</v>
      </c>
      <c r="G258" t="s">
        <v>181</v>
      </c>
      <c r="H258" s="216">
        <v>5250000</v>
      </c>
      <c r="I258" s="52">
        <f>IF(J258="","",INDEX(COA!$A$4:$A$123,MATCH(JU!$J258,COA!$B$4:$B$123,0)))</f>
        <v>1103</v>
      </c>
      <c r="J258" t="s">
        <v>154</v>
      </c>
      <c r="K258" s="34">
        <f t="shared" ref="K258:K323" si="24">IF(H258="","",H258)</f>
        <v>5250000</v>
      </c>
    </row>
    <row r="259" spans="1:11" hidden="1">
      <c r="A259" s="50" t="str">
        <f t="shared" si="23"/>
        <v xml:space="preserve">By. Biaya </v>
      </c>
      <c r="B259" s="215">
        <v>46058</v>
      </c>
      <c r="C259" s="212" t="s">
        <v>858</v>
      </c>
      <c r="D259" s="51" t="s">
        <v>1023</v>
      </c>
      <c r="F259" s="52">
        <f>IF(G259="","",INDEX(COA!$A$4:$A$123,MATCH(JU!$G259,COA!$B$4:$B$123,0)))</f>
        <v>5107</v>
      </c>
      <c r="G259" t="s">
        <v>71</v>
      </c>
      <c r="H259" s="216">
        <v>1000000</v>
      </c>
      <c r="I259" s="52">
        <f>IF(J259="","",INDEX(COA!$A$4:$A$123,MATCH(JU!$J259,COA!$B$4:$B$123,0)))</f>
        <v>1103</v>
      </c>
      <c r="J259" t="s">
        <v>154</v>
      </c>
      <c r="K259" s="34">
        <f t="shared" si="24"/>
        <v>1000000</v>
      </c>
    </row>
    <row r="260" spans="1:11" hidden="1">
      <c r="A260" s="50" t="str">
        <f t="shared" si="23"/>
        <v xml:space="preserve">By. Biaya </v>
      </c>
      <c r="B260" s="215">
        <v>46058</v>
      </c>
      <c r="C260" s="212" t="s">
        <v>859</v>
      </c>
      <c r="D260" s="51" t="s">
        <v>1024</v>
      </c>
      <c r="F260" s="52">
        <f>IF(G260="","",INDEX(COA!$A$4:$A$123,MATCH(JU!$G260,COA!$B$4:$B$123,0)))</f>
        <v>6112</v>
      </c>
      <c r="G260" t="s">
        <v>205</v>
      </c>
      <c r="H260" s="216">
        <v>318198</v>
      </c>
      <c r="I260" s="52">
        <f>IF(J260="","",INDEX(COA!$A$4:$A$123,MATCH(JU!$J260,COA!$B$4:$B$123,0)))</f>
        <v>1103</v>
      </c>
      <c r="J260" t="s">
        <v>154</v>
      </c>
      <c r="K260" s="34">
        <f t="shared" si="24"/>
        <v>318198</v>
      </c>
    </row>
    <row r="261" spans="1:11" hidden="1">
      <c r="A261" s="50" t="str">
        <f t="shared" si="23"/>
        <v xml:space="preserve">By. Biaya </v>
      </c>
      <c r="B261" s="215">
        <v>46059</v>
      </c>
      <c r="C261" s="212" t="s">
        <v>860</v>
      </c>
      <c r="D261" s="51" t="s">
        <v>1025</v>
      </c>
      <c r="F261" s="52">
        <f>IF(G261="","",INDEX(COA!$A$4:$A$123,MATCH(JU!$G261,COA!$B$4:$B$123,0)))</f>
        <v>6112</v>
      </c>
      <c r="G261" t="s">
        <v>205</v>
      </c>
      <c r="H261" s="216">
        <v>3000000</v>
      </c>
      <c r="I261" s="52">
        <f>IF(J261="","",INDEX(COA!$A$4:$A$123,MATCH(JU!$J261,COA!$B$4:$B$123,0)))</f>
        <v>1103</v>
      </c>
      <c r="J261" t="s">
        <v>154</v>
      </c>
      <c r="K261" s="34">
        <f t="shared" si="24"/>
        <v>3000000</v>
      </c>
    </row>
    <row r="262" spans="1:11" hidden="1">
      <c r="A262" s="50" t="str">
        <f t="shared" si="23"/>
        <v xml:space="preserve">By. Biaya </v>
      </c>
      <c r="B262" s="215">
        <v>46059</v>
      </c>
      <c r="C262" s="212" t="s">
        <v>305</v>
      </c>
      <c r="D262" s="51" t="s">
        <v>333</v>
      </c>
      <c r="F262" s="52" t="str">
        <f>IF(G262="","",INDEX(COA!$A$4:$A$123,MATCH(JU!$G262,COA!$B$4:$B$123,0)))</f>
        <v>6303</v>
      </c>
      <c r="G262" t="s">
        <v>87</v>
      </c>
      <c r="H262" s="216">
        <v>2500</v>
      </c>
      <c r="I262" s="52">
        <f>IF(J262="","",INDEX(COA!$A$4:$A$123,MATCH(JU!$J262,COA!$B$4:$B$123,0)))</f>
        <v>1103</v>
      </c>
      <c r="J262" t="s">
        <v>154</v>
      </c>
      <c r="K262" s="34">
        <f t="shared" si="24"/>
        <v>2500</v>
      </c>
    </row>
    <row r="263" spans="1:11" hidden="1">
      <c r="A263" s="50" t="str">
        <f t="shared" si="23"/>
        <v xml:space="preserve">Terima Uang Masuk atas </v>
      </c>
      <c r="B263" s="215">
        <v>46059</v>
      </c>
      <c r="C263" s="212" t="s">
        <v>861</v>
      </c>
      <c r="D263" s="51" t="s">
        <v>1026</v>
      </c>
      <c r="F263" s="52">
        <f>IF(G263="","",INDEX(COA!$A$4:$A$123,MATCH(JU!$G263,COA!$B$4:$B$123,0)))</f>
        <v>1103</v>
      </c>
      <c r="G263" t="s">
        <v>154</v>
      </c>
      <c r="H263" s="216">
        <v>115500000</v>
      </c>
      <c r="I263" s="52">
        <f>IF(J263="","",INDEX(COA!$A$4:$A$123,MATCH(JU!$J263,COA!$B$4:$B$123,0)))</f>
        <v>1202</v>
      </c>
      <c r="J263" t="s">
        <v>27</v>
      </c>
      <c r="K263" s="34">
        <f t="shared" si="24"/>
        <v>115500000</v>
      </c>
    </row>
    <row r="264" spans="1:11" hidden="1">
      <c r="A264" s="50" t="str">
        <f t="shared" si="23"/>
        <v xml:space="preserve">By. Biaya </v>
      </c>
      <c r="B264" s="215">
        <v>46059</v>
      </c>
      <c r="C264" s="212" t="s">
        <v>862</v>
      </c>
      <c r="D264" s="51" t="s">
        <v>1027</v>
      </c>
      <c r="F264" s="52">
        <f>IF(G264="","",INDEX(COA!$A$4:$A$123,MATCH(JU!$G264,COA!$B$4:$B$123,0)))</f>
        <v>5108</v>
      </c>
      <c r="G264" t="s">
        <v>72</v>
      </c>
      <c r="H264" s="216">
        <v>3405000</v>
      </c>
      <c r="I264" s="52">
        <f>IF(J264="","",INDEX(COA!$A$4:$A$123,MATCH(JU!$J264,COA!$B$4:$B$123,0)))</f>
        <v>1103</v>
      </c>
      <c r="J264" t="s">
        <v>154</v>
      </c>
      <c r="K264" s="34">
        <f t="shared" si="24"/>
        <v>3405000</v>
      </c>
    </row>
    <row r="265" spans="1:11" hidden="1">
      <c r="A265" s="50" t="str">
        <f t="shared" si="23"/>
        <v xml:space="preserve">By. Biaya </v>
      </c>
      <c r="B265" s="215">
        <v>46059</v>
      </c>
      <c r="C265" s="212" t="s">
        <v>305</v>
      </c>
      <c r="D265" s="51" t="s">
        <v>333</v>
      </c>
      <c r="F265" s="52" t="str">
        <f>IF(G265="","",INDEX(COA!$A$4:$A$123,MATCH(JU!$G265,COA!$B$4:$B$123,0)))</f>
        <v>6303</v>
      </c>
      <c r="G265" t="s">
        <v>87</v>
      </c>
      <c r="H265" s="216">
        <v>6500</v>
      </c>
      <c r="I265" s="52">
        <f>IF(J265="","",INDEX(COA!$A$4:$A$123,MATCH(JU!$J265,COA!$B$4:$B$123,0)))</f>
        <v>1103</v>
      </c>
      <c r="J265" t="s">
        <v>154</v>
      </c>
      <c r="K265" s="34">
        <f t="shared" si="24"/>
        <v>6500</v>
      </c>
    </row>
    <row r="266" spans="1:11" hidden="1">
      <c r="A266" s="50" t="str">
        <f t="shared" si="23"/>
        <v xml:space="preserve">Terima Uang Masuk atas </v>
      </c>
      <c r="B266" s="215">
        <v>46059</v>
      </c>
      <c r="C266" s="212" t="s">
        <v>863</v>
      </c>
      <c r="D266" s="51" t="s">
        <v>1028</v>
      </c>
      <c r="F266" s="52">
        <f>IF(G266="","",INDEX(COA!$A$4:$A$123,MATCH(JU!$G266,COA!$B$4:$B$123,0)))</f>
        <v>1103</v>
      </c>
      <c r="G266" t="s">
        <v>154</v>
      </c>
      <c r="H266" s="216">
        <v>2500000</v>
      </c>
      <c r="I266" s="52">
        <f>IF(J266="","",INDEX(COA!$A$4:$A$123,MATCH(JU!$J266,COA!$B$4:$B$123,0)))</f>
        <v>4102</v>
      </c>
      <c r="J266" t="s">
        <v>62</v>
      </c>
      <c r="K266" s="34">
        <f t="shared" si="24"/>
        <v>2500000</v>
      </c>
    </row>
    <row r="267" spans="1:11">
      <c r="A267" s="50" t="str">
        <f t="shared" si="23"/>
        <v xml:space="preserve">By. Biaya </v>
      </c>
      <c r="B267" s="215">
        <v>46059</v>
      </c>
      <c r="C267" s="212" t="s">
        <v>864</v>
      </c>
      <c r="D267" s="51" t="s">
        <v>1029</v>
      </c>
      <c r="F267" s="52">
        <f>IF(G267="","",INDEX(COA!$A$4:$A$123,MATCH(JU!$G267,COA!$B$4:$B$123,0)))</f>
        <v>1302</v>
      </c>
      <c r="G267" t="s">
        <v>31</v>
      </c>
      <c r="H267" s="216">
        <v>3500000</v>
      </c>
      <c r="I267" s="52">
        <f>IF(J267="","",INDEX(COA!$A$4:$A$123,MATCH(JU!$J267,COA!$B$4:$B$123,0)))</f>
        <v>1103</v>
      </c>
      <c r="J267" t="s">
        <v>154</v>
      </c>
      <c r="K267" s="34">
        <f t="shared" si="24"/>
        <v>3500000</v>
      </c>
    </row>
    <row r="268" spans="1:11" hidden="1">
      <c r="A268" s="50" t="str">
        <f t="shared" si="23"/>
        <v xml:space="preserve">By. Biaya </v>
      </c>
      <c r="B268" s="215">
        <v>46059</v>
      </c>
      <c r="C268" s="212" t="s">
        <v>865</v>
      </c>
      <c r="D268" s="51" t="s">
        <v>1030</v>
      </c>
      <c r="F268" s="52">
        <f>IF(G268="","",INDEX(COA!$A$4:$A$123,MATCH(JU!$G268,COA!$B$4:$B$123,0)))</f>
        <v>1302</v>
      </c>
      <c r="G268" t="s">
        <v>31</v>
      </c>
      <c r="H268" s="216">
        <v>100000</v>
      </c>
      <c r="I268" s="52">
        <f>IF(J268="","",INDEX(COA!$A$4:$A$123,MATCH(JU!$J268,COA!$B$4:$B$123,0)))</f>
        <v>1103</v>
      </c>
      <c r="J268" t="s">
        <v>154</v>
      </c>
      <c r="K268" s="34">
        <f t="shared" si="24"/>
        <v>100000</v>
      </c>
    </row>
    <row r="269" spans="1:11" hidden="1">
      <c r="A269" s="50" t="str">
        <f t="shared" si="23"/>
        <v xml:space="preserve">By. Biaya </v>
      </c>
      <c r="B269" s="215">
        <v>46059</v>
      </c>
      <c r="C269" s="212" t="s">
        <v>866</v>
      </c>
      <c r="D269" s="51" t="s">
        <v>1031</v>
      </c>
      <c r="F269" s="52">
        <f>IF(G269="","",INDEX(COA!$A$4:$A$123,MATCH(JU!$G269,COA!$B$4:$B$123,0)))</f>
        <v>5108</v>
      </c>
      <c r="G269" t="s">
        <v>72</v>
      </c>
      <c r="H269" s="216">
        <v>40000</v>
      </c>
      <c r="I269" s="52">
        <f>IF(J269="","",INDEX(COA!$A$4:$A$123,MATCH(JU!$J269,COA!$B$4:$B$123,0)))</f>
        <v>1103</v>
      </c>
      <c r="J269" t="s">
        <v>154</v>
      </c>
      <c r="K269" s="34">
        <f t="shared" si="24"/>
        <v>40000</v>
      </c>
    </row>
    <row r="270" spans="1:11">
      <c r="A270" s="50" t="str">
        <f t="shared" si="23"/>
        <v xml:space="preserve">Terima Uang Masuk atas </v>
      </c>
      <c r="B270" s="215">
        <v>46059</v>
      </c>
      <c r="C270" s="212" t="s">
        <v>867</v>
      </c>
      <c r="D270" s="51" t="s">
        <v>1032</v>
      </c>
      <c r="F270" s="52">
        <f>IF(G270="","",INDEX(COA!$A$4:$A$123,MATCH(JU!$G270,COA!$B$4:$B$123,0)))</f>
        <v>1103</v>
      </c>
      <c r="G270" t="s">
        <v>154</v>
      </c>
      <c r="H270" s="216">
        <v>200000</v>
      </c>
      <c r="I270" s="52">
        <f>IF(J270="","",INDEX(COA!$A$4:$A$123,MATCH(JU!$J270,COA!$B$4:$B$123,0)))</f>
        <v>1302</v>
      </c>
      <c r="J270" t="s">
        <v>31</v>
      </c>
      <c r="K270" s="34">
        <f t="shared" si="24"/>
        <v>200000</v>
      </c>
    </row>
    <row r="271" spans="1:11" hidden="1">
      <c r="A271" s="50" t="str">
        <f t="shared" si="23"/>
        <v xml:space="preserve">Terima Uang Masuk atas </v>
      </c>
      <c r="B271" s="215">
        <v>46060</v>
      </c>
      <c r="C271" s="212" t="s">
        <v>868</v>
      </c>
      <c r="D271" s="51" t="s">
        <v>1033</v>
      </c>
      <c r="F271" s="52">
        <f>IF(G271="","",INDEX(COA!$A$4:$A$123,MATCH(JU!$G271,COA!$B$4:$B$123,0)))</f>
        <v>1103</v>
      </c>
      <c r="G271" t="s">
        <v>154</v>
      </c>
      <c r="H271" s="216">
        <v>5000000</v>
      </c>
      <c r="I271" s="52">
        <f>IF(J271="","",INDEX(COA!$A$4:$A$123,MATCH(JU!$J271,COA!$B$4:$B$123,0)))</f>
        <v>4102</v>
      </c>
      <c r="J271" t="s">
        <v>62</v>
      </c>
      <c r="K271" s="34">
        <f t="shared" si="24"/>
        <v>5000000</v>
      </c>
    </row>
    <row r="272" spans="1:11" hidden="1">
      <c r="A272" s="50" t="str">
        <f t="shared" si="23"/>
        <v xml:space="preserve">Terima Uang Masuk atas </v>
      </c>
      <c r="B272" s="215">
        <v>46062</v>
      </c>
      <c r="C272" s="212" t="s">
        <v>869</v>
      </c>
      <c r="D272" s="51" t="s">
        <v>1034</v>
      </c>
      <c r="F272" s="52">
        <f>IF(G272="","",INDEX(COA!$A$4:$A$123,MATCH(JU!$G272,COA!$B$4:$B$123,0)))</f>
        <v>1103</v>
      </c>
      <c r="G272" t="s">
        <v>154</v>
      </c>
      <c r="H272" s="216">
        <v>70000000</v>
      </c>
      <c r="I272" s="52">
        <f>IF(J272="","",INDEX(COA!$A$4:$A$123,MATCH(JU!$J272,COA!$B$4:$B$123,0)))</f>
        <v>1202</v>
      </c>
      <c r="J272" t="s">
        <v>27</v>
      </c>
      <c r="K272" s="34">
        <f t="shared" si="24"/>
        <v>70000000</v>
      </c>
    </row>
    <row r="273" spans="1:11" hidden="1">
      <c r="A273" s="50" t="str">
        <f t="shared" si="23"/>
        <v xml:space="preserve">By. Biaya </v>
      </c>
      <c r="B273" s="215">
        <v>46062</v>
      </c>
      <c r="C273" s="212" t="s">
        <v>870</v>
      </c>
      <c r="D273" s="51" t="s">
        <v>1035</v>
      </c>
      <c r="F273" s="52">
        <f>IF(G273="","",INDEX(COA!$A$4:$A$123,MATCH(JU!$G273,COA!$B$4:$B$123,0)))</f>
        <v>1204</v>
      </c>
      <c r="G273" t="s">
        <v>28</v>
      </c>
      <c r="H273" s="216">
        <v>10000000</v>
      </c>
      <c r="I273" s="52">
        <f>IF(J273="","",INDEX(COA!$A$4:$A$123,MATCH(JU!$J273,COA!$B$4:$B$123,0)))</f>
        <v>1103</v>
      </c>
      <c r="J273" t="s">
        <v>154</v>
      </c>
      <c r="K273" s="34">
        <f t="shared" si="24"/>
        <v>10000000</v>
      </c>
    </row>
    <row r="274" spans="1:11" hidden="1">
      <c r="A274" s="50" t="str">
        <f t="shared" si="23"/>
        <v xml:space="preserve">By. Biaya </v>
      </c>
      <c r="B274" s="215">
        <v>46062</v>
      </c>
      <c r="C274" s="212" t="s">
        <v>305</v>
      </c>
      <c r="D274" s="51" t="s">
        <v>333</v>
      </c>
      <c r="F274" s="52" t="str">
        <f>IF(G274="","",INDEX(COA!$A$4:$A$123,MATCH(JU!$G274,COA!$B$4:$B$123,0)))</f>
        <v>6303</v>
      </c>
      <c r="G274" t="s">
        <v>87</v>
      </c>
      <c r="H274" s="216">
        <v>2500</v>
      </c>
      <c r="I274" s="52">
        <f>IF(J274="","",INDEX(COA!$A$4:$A$123,MATCH(JU!$J274,COA!$B$4:$B$123,0)))</f>
        <v>1103</v>
      </c>
      <c r="J274" t="s">
        <v>154</v>
      </c>
      <c r="K274" s="34">
        <f t="shared" si="24"/>
        <v>2500</v>
      </c>
    </row>
    <row r="275" spans="1:11" hidden="1">
      <c r="A275" s="50" t="str">
        <f t="shared" si="23"/>
        <v xml:space="preserve">By. Biaya </v>
      </c>
      <c r="B275" s="215">
        <v>46062</v>
      </c>
      <c r="C275" s="212" t="s">
        <v>320</v>
      </c>
      <c r="D275" s="51" t="s">
        <v>349</v>
      </c>
      <c r="F275" s="52">
        <f>IF(G275="","",INDEX(COA!$A$4:$A$123,MATCH(JU!$G275,COA!$B$4:$B$123,0)))</f>
        <v>6112</v>
      </c>
      <c r="G275" t="s">
        <v>205</v>
      </c>
      <c r="H275" s="216">
        <v>50000</v>
      </c>
      <c r="I275" s="52">
        <f>IF(J275="","",INDEX(COA!$A$4:$A$123,MATCH(JU!$J275,COA!$B$4:$B$123,0)))</f>
        <v>1103</v>
      </c>
      <c r="J275" t="s">
        <v>154</v>
      </c>
      <c r="K275" s="34">
        <f t="shared" si="24"/>
        <v>50000</v>
      </c>
    </row>
    <row r="276" spans="1:11" hidden="1">
      <c r="A276" s="50" t="str">
        <f t="shared" si="23"/>
        <v xml:space="preserve">By. Biaya </v>
      </c>
      <c r="B276" s="215">
        <v>46062</v>
      </c>
      <c r="C276" s="212" t="s">
        <v>305</v>
      </c>
      <c r="D276" s="51" t="s">
        <v>333</v>
      </c>
      <c r="F276" s="52" t="str">
        <f>IF(G276="","",INDEX(COA!$A$4:$A$123,MATCH(JU!$G276,COA!$B$4:$B$123,0)))</f>
        <v>6303</v>
      </c>
      <c r="G276" t="s">
        <v>87</v>
      </c>
      <c r="H276" s="216">
        <v>3000</v>
      </c>
      <c r="I276" s="52">
        <f>IF(J276="","",INDEX(COA!$A$4:$A$123,MATCH(JU!$J276,COA!$B$4:$B$123,0)))</f>
        <v>1103</v>
      </c>
      <c r="J276" t="s">
        <v>154</v>
      </c>
      <c r="K276" s="34">
        <f t="shared" si="24"/>
        <v>3000</v>
      </c>
    </row>
    <row r="277" spans="1:11" hidden="1">
      <c r="A277" s="50" t="str">
        <f t="shared" si="23"/>
        <v xml:space="preserve">By. Biaya </v>
      </c>
      <c r="B277" s="215">
        <v>46062</v>
      </c>
      <c r="C277" s="212" t="s">
        <v>321</v>
      </c>
      <c r="D277" s="51" t="s">
        <v>350</v>
      </c>
      <c r="F277" s="52">
        <f>IF(G277="","",INDEX(COA!$A$4:$A$123,MATCH(JU!$G277,COA!$B$4:$B$123,0)))</f>
        <v>5107</v>
      </c>
      <c r="G277" t="s">
        <v>71</v>
      </c>
      <c r="H277" s="216">
        <v>1700000</v>
      </c>
      <c r="I277" s="52">
        <f>IF(J277="","",INDEX(COA!$A$4:$A$123,MATCH(JU!$J277,COA!$B$4:$B$123,0)))</f>
        <v>1103</v>
      </c>
      <c r="J277" t="s">
        <v>154</v>
      </c>
      <c r="K277" s="34">
        <f t="shared" si="24"/>
        <v>1700000</v>
      </c>
    </row>
    <row r="278" spans="1:11" hidden="1">
      <c r="A278" s="50" t="str">
        <f t="shared" si="23"/>
        <v xml:space="preserve">By. Biaya </v>
      </c>
      <c r="B278" s="215">
        <v>46062</v>
      </c>
      <c r="C278" s="212" t="s">
        <v>871</v>
      </c>
      <c r="D278" s="51" t="s">
        <v>1036</v>
      </c>
      <c r="F278" s="52">
        <f>IF(G278="","",INDEX(COA!$A$4:$A$123,MATCH(JU!$G278,COA!$B$4:$B$123,0)))</f>
        <v>6402</v>
      </c>
      <c r="G278" t="s">
        <v>90</v>
      </c>
      <c r="H278" s="216">
        <v>700000</v>
      </c>
      <c r="I278" s="52">
        <f>IF(J278="","",INDEX(COA!$A$4:$A$123,MATCH(JU!$J278,COA!$B$4:$B$123,0)))</f>
        <v>1103</v>
      </c>
      <c r="J278" t="s">
        <v>154</v>
      </c>
      <c r="K278" s="34">
        <f t="shared" si="24"/>
        <v>700000</v>
      </c>
    </row>
    <row r="279" spans="1:11" hidden="1">
      <c r="A279" s="50" t="str">
        <f t="shared" si="23"/>
        <v xml:space="preserve">By. Biaya </v>
      </c>
      <c r="B279" s="215">
        <v>46062</v>
      </c>
      <c r="C279" s="212" t="s">
        <v>305</v>
      </c>
      <c r="D279" s="51" t="s">
        <v>333</v>
      </c>
      <c r="F279" s="52" t="str">
        <f>IF(G279="","",INDEX(COA!$A$4:$A$123,MATCH(JU!$G279,COA!$B$4:$B$123,0)))</f>
        <v>6303</v>
      </c>
      <c r="G279" t="s">
        <v>87</v>
      </c>
      <c r="H279" s="216">
        <v>2500</v>
      </c>
      <c r="I279" s="52">
        <f>IF(J279="","",INDEX(COA!$A$4:$A$123,MATCH(JU!$J279,COA!$B$4:$B$123,0)))</f>
        <v>1103</v>
      </c>
      <c r="J279" t="s">
        <v>154</v>
      </c>
      <c r="K279" s="34">
        <f t="shared" si="24"/>
        <v>2500</v>
      </c>
    </row>
    <row r="280" spans="1:11" hidden="1">
      <c r="A280" s="50" t="str">
        <f t="shared" si="23"/>
        <v xml:space="preserve">By. Biaya </v>
      </c>
      <c r="B280" s="215">
        <v>46062</v>
      </c>
      <c r="C280" s="212" t="s">
        <v>872</v>
      </c>
      <c r="D280" s="51" t="s">
        <v>1037</v>
      </c>
      <c r="F280" s="52">
        <f>IF(G280="","",INDEX(COA!$A$4:$A$123,MATCH(JU!$G280,COA!$B$4:$B$123,0)))</f>
        <v>1302</v>
      </c>
      <c r="G280" t="s">
        <v>31</v>
      </c>
      <c r="H280" s="216">
        <v>2400000</v>
      </c>
      <c r="I280" s="52">
        <f>IF(J280="","",INDEX(COA!$A$4:$A$123,MATCH(JU!$J280,COA!$B$4:$B$123,0)))</f>
        <v>1103</v>
      </c>
      <c r="J280" t="s">
        <v>154</v>
      </c>
      <c r="K280" s="34">
        <f t="shared" si="24"/>
        <v>2400000</v>
      </c>
    </row>
    <row r="281" spans="1:11" hidden="1">
      <c r="A281" s="50" t="str">
        <f t="shared" si="23"/>
        <v xml:space="preserve">By. Biaya </v>
      </c>
      <c r="B281" s="215">
        <v>46062</v>
      </c>
      <c r="C281" s="212" t="s">
        <v>873</v>
      </c>
      <c r="D281" s="51" t="s">
        <v>1038</v>
      </c>
      <c r="F281" s="52">
        <f>IF(G281="","",INDEX(COA!$A$4:$A$123,MATCH(JU!$G281,COA!$B$4:$B$123,0)))</f>
        <v>1302</v>
      </c>
      <c r="G281" t="s">
        <v>31</v>
      </c>
      <c r="H281" s="216">
        <v>9596000</v>
      </c>
      <c r="I281" s="52">
        <f>IF(J281="","",INDEX(COA!$A$4:$A$123,MATCH(JU!$J281,COA!$B$4:$B$123,0)))</f>
        <v>1103</v>
      </c>
      <c r="J281" t="s">
        <v>154</v>
      </c>
      <c r="K281" s="34">
        <f t="shared" si="24"/>
        <v>9596000</v>
      </c>
    </row>
    <row r="282" spans="1:11" hidden="1">
      <c r="A282" s="50" t="str">
        <f t="shared" si="23"/>
        <v xml:space="preserve">By. Biaya </v>
      </c>
      <c r="B282" s="215">
        <v>46062</v>
      </c>
      <c r="C282" s="212" t="s">
        <v>874</v>
      </c>
      <c r="D282" s="51" t="s">
        <v>1039</v>
      </c>
      <c r="F282" s="52">
        <f>IF(G282="","",INDEX(COA!$A$4:$A$123,MATCH(JU!$G282,COA!$B$4:$B$123,0)))</f>
        <v>1302</v>
      </c>
      <c r="G282" t="s">
        <v>31</v>
      </c>
      <c r="H282" s="216">
        <v>6500000</v>
      </c>
      <c r="I282" s="52">
        <f>IF(J282="","",INDEX(COA!$A$4:$A$123,MATCH(JU!$J282,COA!$B$4:$B$123,0)))</f>
        <v>1103</v>
      </c>
      <c r="J282" t="s">
        <v>154</v>
      </c>
      <c r="K282" s="34">
        <f t="shared" si="24"/>
        <v>6500000</v>
      </c>
    </row>
    <row r="283" spans="1:11" hidden="1">
      <c r="A283" s="50" t="str">
        <f t="shared" si="23"/>
        <v xml:space="preserve">Terima Uang Masuk atas </v>
      </c>
      <c r="B283" s="215">
        <v>46062</v>
      </c>
      <c r="C283" s="212" t="s">
        <v>875</v>
      </c>
      <c r="D283" s="51" t="s">
        <v>1040</v>
      </c>
      <c r="F283" s="52">
        <f>IF(G283="","",INDEX(COA!$A$4:$A$123,MATCH(JU!$G283,COA!$B$4:$B$123,0)))</f>
        <v>1103</v>
      </c>
      <c r="G283" t="s">
        <v>154</v>
      </c>
      <c r="H283" s="216">
        <v>185000000</v>
      </c>
      <c r="I283" s="52">
        <f>IF(J283="","",INDEX(COA!$A$4:$A$123,MATCH(JU!$J283,COA!$B$4:$B$123,0)))</f>
        <v>4103</v>
      </c>
      <c r="J283" t="s">
        <v>63</v>
      </c>
      <c r="K283" s="34">
        <f t="shared" si="24"/>
        <v>185000000</v>
      </c>
    </row>
    <row r="284" spans="1:11" hidden="1">
      <c r="A284" s="50" t="str">
        <f t="shared" si="23"/>
        <v xml:space="preserve">By. Biaya </v>
      </c>
      <c r="B284" s="215">
        <v>46062</v>
      </c>
      <c r="C284" s="212" t="s">
        <v>876</v>
      </c>
      <c r="D284" s="218" t="s">
        <v>2337</v>
      </c>
      <c r="F284" s="52">
        <f>IF(G284="","",INDEX(COA!$A$4:$A$123,MATCH(JU!$G284,COA!$B$4:$B$123,0)))</f>
        <v>1203</v>
      </c>
      <c r="G284" t="s">
        <v>140</v>
      </c>
      <c r="H284" s="216">
        <v>30000000</v>
      </c>
      <c r="I284" s="52">
        <f>IF(J284="","",INDEX(COA!$A$4:$A$123,MATCH(JU!$J284,COA!$B$4:$B$123,0)))</f>
        <v>1103</v>
      </c>
      <c r="J284" t="s">
        <v>154</v>
      </c>
      <c r="K284" s="34">
        <f t="shared" si="24"/>
        <v>30000000</v>
      </c>
    </row>
    <row r="285" spans="1:11" hidden="1">
      <c r="A285" s="50" t="str">
        <f t="shared" si="23"/>
        <v xml:space="preserve">By. Biaya </v>
      </c>
      <c r="B285" s="215">
        <v>46062</v>
      </c>
      <c r="C285" s="212" t="s">
        <v>305</v>
      </c>
      <c r="D285" s="51" t="s">
        <v>333</v>
      </c>
      <c r="F285" s="52" t="str">
        <f>IF(G285="","",INDEX(COA!$A$4:$A$123,MATCH(JU!$G285,COA!$B$4:$B$123,0)))</f>
        <v>6303</v>
      </c>
      <c r="G285" t="s">
        <v>87</v>
      </c>
      <c r="H285" s="216">
        <v>2500</v>
      </c>
      <c r="I285" s="52">
        <f>IF(J285="","",INDEX(COA!$A$4:$A$123,MATCH(JU!$J285,COA!$B$4:$B$123,0)))</f>
        <v>1103</v>
      </c>
      <c r="J285" t="s">
        <v>154</v>
      </c>
      <c r="K285" s="34">
        <f t="shared" si="24"/>
        <v>2500</v>
      </c>
    </row>
    <row r="286" spans="1:11" hidden="1">
      <c r="A286" s="50" t="str">
        <f t="shared" si="23"/>
        <v xml:space="preserve">By. Biaya </v>
      </c>
      <c r="B286" s="215">
        <v>46063</v>
      </c>
      <c r="C286" s="212" t="s">
        <v>877</v>
      </c>
      <c r="D286" s="51" t="s">
        <v>1041</v>
      </c>
      <c r="F286" s="52">
        <f>IF(G286="","",INDEX(COA!$A$4:$A$123,MATCH(JU!$G286,COA!$B$4:$B$123,0)))</f>
        <v>1302</v>
      </c>
      <c r="G286" t="s">
        <v>31</v>
      </c>
      <c r="H286" s="216">
        <v>1477000</v>
      </c>
      <c r="I286" s="52">
        <f>IF(J286="","",INDEX(COA!$A$4:$A$123,MATCH(JU!$J286,COA!$B$4:$B$123,0)))</f>
        <v>1103</v>
      </c>
      <c r="J286" t="s">
        <v>154</v>
      </c>
      <c r="K286" s="34">
        <f t="shared" si="24"/>
        <v>1477000</v>
      </c>
    </row>
    <row r="287" spans="1:11" hidden="1">
      <c r="A287" s="50" t="str">
        <f t="shared" si="23"/>
        <v xml:space="preserve">By. Biaya </v>
      </c>
      <c r="B287" s="215">
        <v>46063</v>
      </c>
      <c r="C287" s="212" t="s">
        <v>878</v>
      </c>
      <c r="D287" s="51" t="s">
        <v>1042</v>
      </c>
      <c r="F287" s="52">
        <f>IF(G287="","",INDEX(COA!$A$4:$A$123,MATCH(JU!$G287,COA!$B$4:$B$123,0)))</f>
        <v>1302</v>
      </c>
      <c r="G287" t="s">
        <v>31</v>
      </c>
      <c r="H287" s="216">
        <v>25000000</v>
      </c>
      <c r="I287" s="52">
        <f>IF(J287="","",INDEX(COA!$A$4:$A$123,MATCH(JU!$J287,COA!$B$4:$B$123,0)))</f>
        <v>1103</v>
      </c>
      <c r="J287" t="s">
        <v>154</v>
      </c>
      <c r="K287" s="34">
        <f t="shared" si="24"/>
        <v>25000000</v>
      </c>
    </row>
    <row r="288" spans="1:11" hidden="1">
      <c r="A288" s="50" t="str">
        <f t="shared" si="23"/>
        <v xml:space="preserve">By. Biaya </v>
      </c>
      <c r="B288" s="215">
        <v>46063</v>
      </c>
      <c r="C288" s="212" t="s">
        <v>879</v>
      </c>
      <c r="D288" s="51" t="s">
        <v>1043</v>
      </c>
      <c r="F288" s="52">
        <f>IF(G288="","",INDEX(COA!$A$4:$A$123,MATCH(JU!$G288,COA!$B$4:$B$123,0)))</f>
        <v>6402</v>
      </c>
      <c r="G288" t="s">
        <v>90</v>
      </c>
      <c r="H288" s="216">
        <v>130000</v>
      </c>
      <c r="I288" s="52">
        <f>IF(J288="","",INDEX(COA!$A$4:$A$123,MATCH(JU!$J288,COA!$B$4:$B$123,0)))</f>
        <v>1103</v>
      </c>
      <c r="J288" t="s">
        <v>154</v>
      </c>
      <c r="K288" s="34">
        <f t="shared" si="24"/>
        <v>130000</v>
      </c>
    </row>
    <row r="289" spans="1:11" hidden="1">
      <c r="A289" s="50" t="str">
        <f t="shared" si="23"/>
        <v xml:space="preserve">By. Biaya </v>
      </c>
      <c r="B289" s="215">
        <v>46063</v>
      </c>
      <c r="C289" s="212" t="s">
        <v>880</v>
      </c>
      <c r="D289" s="51" t="s">
        <v>1044</v>
      </c>
      <c r="F289" s="52">
        <f>IF(G289="","",INDEX(COA!$A$4:$A$123,MATCH(JU!$G289,COA!$B$4:$B$123,0)))</f>
        <v>5108</v>
      </c>
      <c r="G289" t="s">
        <v>72</v>
      </c>
      <c r="H289" s="216">
        <v>200000</v>
      </c>
      <c r="I289" s="52">
        <f>IF(J289="","",INDEX(COA!$A$4:$A$123,MATCH(JU!$J289,COA!$B$4:$B$123,0)))</f>
        <v>1103</v>
      </c>
      <c r="J289" t="s">
        <v>154</v>
      </c>
      <c r="K289" s="34">
        <f t="shared" si="24"/>
        <v>200000</v>
      </c>
    </row>
    <row r="290" spans="1:11" hidden="1">
      <c r="A290" s="50" t="str">
        <f t="shared" si="23"/>
        <v xml:space="preserve">By. Biaya </v>
      </c>
      <c r="B290" s="215">
        <v>46063</v>
      </c>
      <c r="C290" s="212" t="s">
        <v>881</v>
      </c>
      <c r="D290" s="51" t="s">
        <v>1045</v>
      </c>
      <c r="F290" s="52">
        <f>IF(G290="","",INDEX(COA!$A$4:$A$123,MATCH(JU!$G290,COA!$B$4:$B$123,0)))</f>
        <v>1302</v>
      </c>
      <c r="G290" t="s">
        <v>31</v>
      </c>
      <c r="H290" s="216">
        <v>3442310</v>
      </c>
      <c r="I290" s="52">
        <f>IF(J290="","",INDEX(COA!$A$4:$A$123,MATCH(JU!$J290,COA!$B$4:$B$123,0)))</f>
        <v>1103</v>
      </c>
      <c r="J290" t="s">
        <v>154</v>
      </c>
      <c r="K290" s="34">
        <f t="shared" si="24"/>
        <v>3442310</v>
      </c>
    </row>
    <row r="291" spans="1:11" hidden="1">
      <c r="A291" s="50" t="str">
        <f t="shared" si="23"/>
        <v xml:space="preserve">By. Biaya </v>
      </c>
      <c r="B291" s="215">
        <v>46063</v>
      </c>
      <c r="C291" s="212" t="s">
        <v>882</v>
      </c>
      <c r="D291" s="51" t="s">
        <v>1046</v>
      </c>
      <c r="F291" s="52">
        <f>IF(G291="","",INDEX(COA!$A$4:$A$123,MATCH(JU!$G291,COA!$B$4:$B$123,0)))</f>
        <v>1302</v>
      </c>
      <c r="G291" t="s">
        <v>31</v>
      </c>
      <c r="H291" s="216">
        <v>1700000</v>
      </c>
      <c r="I291" s="52">
        <f>IF(J291="","",INDEX(COA!$A$4:$A$123,MATCH(JU!$J291,COA!$B$4:$B$123,0)))</f>
        <v>1103</v>
      </c>
      <c r="J291" t="s">
        <v>154</v>
      </c>
      <c r="K291" s="34">
        <f t="shared" si="24"/>
        <v>1700000</v>
      </c>
    </row>
    <row r="292" spans="1:11" hidden="1">
      <c r="A292" s="50" t="str">
        <f t="shared" si="23"/>
        <v xml:space="preserve">By. Biaya </v>
      </c>
      <c r="B292" s="215">
        <v>46064</v>
      </c>
      <c r="C292" s="212" t="s">
        <v>883</v>
      </c>
      <c r="D292" s="51" t="s">
        <v>1047</v>
      </c>
      <c r="F292" s="52">
        <f>IF(G292="","",INDEX(COA!$A$4:$A$123,MATCH(JU!$G292,COA!$B$4:$B$123,0)))</f>
        <v>5107</v>
      </c>
      <c r="G292" t="s">
        <v>71</v>
      </c>
      <c r="H292" s="216">
        <v>5500000</v>
      </c>
      <c r="I292" s="52">
        <f>IF(J292="","",INDEX(COA!$A$4:$A$123,MATCH(JU!$J292,COA!$B$4:$B$123,0)))</f>
        <v>1103</v>
      </c>
      <c r="J292" t="s">
        <v>154</v>
      </c>
      <c r="K292" s="34">
        <f t="shared" si="24"/>
        <v>5500000</v>
      </c>
    </row>
    <row r="293" spans="1:11" hidden="1">
      <c r="A293" s="50" t="str">
        <f t="shared" si="23"/>
        <v xml:space="preserve">By. Biaya </v>
      </c>
      <c r="B293" s="215">
        <v>46064</v>
      </c>
      <c r="C293" s="212" t="s">
        <v>884</v>
      </c>
      <c r="D293" s="51" t="s">
        <v>1048</v>
      </c>
      <c r="F293" s="52">
        <f>IF(G293="","",INDEX(COA!$A$4:$A$123,MATCH(JU!$G293,COA!$B$4:$B$123,0)))</f>
        <v>7101</v>
      </c>
      <c r="G293" t="s">
        <v>93</v>
      </c>
      <c r="H293" s="216">
        <v>1730000</v>
      </c>
      <c r="I293" s="52">
        <f>IF(J293="","",INDEX(COA!$A$4:$A$123,MATCH(JU!$J293,COA!$B$4:$B$123,0)))</f>
        <v>1103</v>
      </c>
      <c r="J293" t="s">
        <v>154</v>
      </c>
      <c r="K293" s="34">
        <f t="shared" si="24"/>
        <v>1730000</v>
      </c>
    </row>
    <row r="294" spans="1:11" hidden="1">
      <c r="A294" s="50" t="str">
        <f t="shared" si="23"/>
        <v xml:space="preserve">Terima Uang Masuk atas </v>
      </c>
      <c r="B294" s="215">
        <v>46064</v>
      </c>
      <c r="C294" s="212" t="s">
        <v>885</v>
      </c>
      <c r="D294" s="51" t="s">
        <v>1049</v>
      </c>
      <c r="F294" s="52">
        <f>IF(G294="","",INDEX(COA!$A$4:$A$123,MATCH(JU!$G294,COA!$B$4:$B$123,0)))</f>
        <v>1103</v>
      </c>
      <c r="G294" t="s">
        <v>154</v>
      </c>
      <c r="H294" s="216">
        <v>100000000</v>
      </c>
      <c r="I294" s="52">
        <f>IF(J294="","",INDEX(COA!$A$4:$A$123,MATCH(JU!$J294,COA!$B$4:$B$123,0)))</f>
        <v>1202</v>
      </c>
      <c r="J294" t="s">
        <v>27</v>
      </c>
      <c r="K294" s="34">
        <f t="shared" si="24"/>
        <v>100000000</v>
      </c>
    </row>
    <row r="295" spans="1:11" hidden="1">
      <c r="A295" s="50" t="str">
        <f t="shared" si="23"/>
        <v xml:space="preserve">By. Biaya </v>
      </c>
      <c r="B295" s="215">
        <v>46064</v>
      </c>
      <c r="C295" s="212" t="s">
        <v>886</v>
      </c>
      <c r="D295" s="51" t="s">
        <v>1050</v>
      </c>
      <c r="F295" s="52">
        <f>IF(G295="","",INDEX(COA!$A$4:$A$123,MATCH(JU!$G295,COA!$B$4:$B$123,0)))</f>
        <v>5108</v>
      </c>
      <c r="G295" t="s">
        <v>72</v>
      </c>
      <c r="H295" s="216">
        <v>500000</v>
      </c>
      <c r="I295" s="52">
        <f>IF(J295="","",INDEX(COA!$A$4:$A$123,MATCH(JU!$J295,COA!$B$4:$B$123,0)))</f>
        <v>1103</v>
      </c>
      <c r="J295" t="s">
        <v>154</v>
      </c>
      <c r="K295" s="34">
        <f t="shared" si="24"/>
        <v>500000</v>
      </c>
    </row>
    <row r="296" spans="1:11" hidden="1">
      <c r="A296" s="50" t="str">
        <f t="shared" si="23"/>
        <v xml:space="preserve">By. Biaya </v>
      </c>
      <c r="B296" s="215">
        <v>46064</v>
      </c>
      <c r="C296" s="212" t="s">
        <v>887</v>
      </c>
      <c r="D296" s="51" t="s">
        <v>1148</v>
      </c>
      <c r="F296" s="52">
        <f>IF(G296="","",INDEX(COA!$A$4:$A$123,MATCH(JU!$G296,COA!$B$4:$B$123,0)))</f>
        <v>4102</v>
      </c>
      <c r="G296" t="s">
        <v>62</v>
      </c>
      <c r="H296" s="216">
        <v>4000000</v>
      </c>
      <c r="I296" s="52">
        <f>IF(J296="","",INDEX(COA!$A$4:$A$123,MATCH(JU!$J296,COA!$B$4:$B$123,0)))</f>
        <v>1103</v>
      </c>
      <c r="J296" t="s">
        <v>154</v>
      </c>
      <c r="K296" s="34">
        <f t="shared" si="24"/>
        <v>4000000</v>
      </c>
    </row>
    <row r="297" spans="1:11" hidden="1">
      <c r="A297" s="50" t="str">
        <f t="shared" ref="A297" si="25">IF(G297="BRI 568","Terima Uang Masuk atas ","By. Biaya ")</f>
        <v xml:space="preserve">By. Biaya </v>
      </c>
      <c r="B297" s="215">
        <v>46064</v>
      </c>
      <c r="C297" s="212" t="s">
        <v>887</v>
      </c>
      <c r="D297" s="51" t="s">
        <v>1147</v>
      </c>
      <c r="F297" s="52">
        <f>IF(G297="","",INDEX(COA!$A$4:$A$123,MATCH(JU!$G297,COA!$B$4:$B$123,0)))</f>
        <v>5108</v>
      </c>
      <c r="G297" t="s">
        <v>72</v>
      </c>
      <c r="H297" s="216">
        <v>8055000</v>
      </c>
      <c r="I297" s="52">
        <f>IF(J297="","",INDEX(COA!$A$4:$A$123,MATCH(JU!$J297,COA!$B$4:$B$123,0)))</f>
        <v>1103</v>
      </c>
      <c r="J297" t="s">
        <v>154</v>
      </c>
      <c r="K297" s="34">
        <f t="shared" ref="K297" si="26">IF(H297="","",H297)</f>
        <v>8055000</v>
      </c>
    </row>
    <row r="298" spans="1:11" hidden="1">
      <c r="A298" s="50" t="str">
        <f t="shared" si="23"/>
        <v xml:space="preserve">By. Biaya </v>
      </c>
      <c r="B298" s="215">
        <v>46064</v>
      </c>
      <c r="C298" s="212" t="s">
        <v>305</v>
      </c>
      <c r="D298" s="51" t="s">
        <v>333</v>
      </c>
      <c r="F298" s="52" t="str">
        <f>IF(G298="","",INDEX(COA!$A$4:$A$123,MATCH(JU!$G298,COA!$B$4:$B$123,0)))</f>
        <v>6303</v>
      </c>
      <c r="G298" t="s">
        <v>87</v>
      </c>
      <c r="H298" s="216">
        <v>2500</v>
      </c>
      <c r="I298" s="52">
        <f>IF(J298="","",INDEX(COA!$A$4:$A$123,MATCH(JU!$J298,COA!$B$4:$B$123,0)))</f>
        <v>1103</v>
      </c>
      <c r="J298" t="s">
        <v>154</v>
      </c>
      <c r="K298" s="34">
        <f t="shared" si="24"/>
        <v>2500</v>
      </c>
    </row>
    <row r="299" spans="1:11" hidden="1">
      <c r="A299" s="50" t="str">
        <f t="shared" si="23"/>
        <v xml:space="preserve">By. Biaya </v>
      </c>
      <c r="B299" s="215">
        <v>46064</v>
      </c>
      <c r="C299" s="212" t="s">
        <v>888</v>
      </c>
      <c r="D299" s="51" t="s">
        <v>1149</v>
      </c>
      <c r="F299" s="52">
        <f>IF(G299="","",INDEX(COA!$A$4:$A$123,MATCH(JU!$G299,COA!$B$4:$B$123,0)))</f>
        <v>6105</v>
      </c>
      <c r="G299" t="s">
        <v>148</v>
      </c>
      <c r="H299" s="216">
        <v>1500000</v>
      </c>
      <c r="I299" s="52">
        <f>IF(J299="","",INDEX(COA!$A$4:$A$123,MATCH(JU!$J299,COA!$B$4:$B$123,0)))</f>
        <v>1103</v>
      </c>
      <c r="J299" t="s">
        <v>154</v>
      </c>
      <c r="K299" s="34">
        <f t="shared" si="24"/>
        <v>1500000</v>
      </c>
    </row>
    <row r="300" spans="1:11" hidden="1">
      <c r="A300" s="50" t="str">
        <f t="shared" si="23"/>
        <v xml:space="preserve">By. Biaya </v>
      </c>
      <c r="B300" s="215">
        <v>46064</v>
      </c>
      <c r="C300" s="212" t="s">
        <v>889</v>
      </c>
      <c r="D300" s="51" t="s">
        <v>1051</v>
      </c>
      <c r="F300" s="52">
        <f>IF(G300="","",INDEX(COA!$A$4:$A$123,MATCH(JU!$G300,COA!$B$4:$B$123,0)))</f>
        <v>6102</v>
      </c>
      <c r="G300" t="s">
        <v>204</v>
      </c>
      <c r="H300" s="216">
        <v>100000</v>
      </c>
      <c r="I300" s="52">
        <f>IF(J300="","",INDEX(COA!$A$4:$A$123,MATCH(JU!$J300,COA!$B$4:$B$123,0)))</f>
        <v>1103</v>
      </c>
      <c r="J300" t="s">
        <v>154</v>
      </c>
      <c r="K300" s="34">
        <f t="shared" si="24"/>
        <v>100000</v>
      </c>
    </row>
    <row r="301" spans="1:11" hidden="1">
      <c r="A301" s="50" t="str">
        <f t="shared" si="23"/>
        <v xml:space="preserve">By. Biaya </v>
      </c>
      <c r="B301" s="215">
        <v>46064</v>
      </c>
      <c r="C301" s="212" t="s">
        <v>305</v>
      </c>
      <c r="D301" s="51" t="s">
        <v>333</v>
      </c>
      <c r="F301" s="52" t="str">
        <f>IF(G301="","",INDEX(COA!$A$4:$A$123,MATCH(JU!$G301,COA!$B$4:$B$123,0)))</f>
        <v>6303</v>
      </c>
      <c r="G301" t="s">
        <v>87</v>
      </c>
      <c r="H301" s="216">
        <v>3000</v>
      </c>
      <c r="I301" s="52">
        <f>IF(J301="","",INDEX(COA!$A$4:$A$123,MATCH(JU!$J301,COA!$B$4:$B$123,0)))</f>
        <v>1103</v>
      </c>
      <c r="J301" t="s">
        <v>154</v>
      </c>
      <c r="K301" s="34">
        <f t="shared" si="24"/>
        <v>3000</v>
      </c>
    </row>
    <row r="302" spans="1:11" hidden="1">
      <c r="A302" s="50" t="str">
        <f t="shared" si="23"/>
        <v xml:space="preserve">By. Biaya </v>
      </c>
      <c r="B302" s="215">
        <v>46064</v>
      </c>
      <c r="C302" s="212" t="s">
        <v>890</v>
      </c>
      <c r="D302" s="51" t="s">
        <v>1052</v>
      </c>
      <c r="F302" s="52">
        <f>IF(G302="","",INDEX(COA!$A$4:$A$123,MATCH(JU!$G302,COA!$B$4:$B$123,0)))</f>
        <v>6101</v>
      </c>
      <c r="G302" t="s">
        <v>75</v>
      </c>
      <c r="H302" s="216">
        <v>1594888</v>
      </c>
      <c r="I302" s="52">
        <f>IF(J302="","",INDEX(COA!$A$4:$A$123,MATCH(JU!$J302,COA!$B$4:$B$123,0)))</f>
        <v>1103</v>
      </c>
      <c r="J302" t="s">
        <v>154</v>
      </c>
      <c r="K302" s="34">
        <f t="shared" si="24"/>
        <v>1594888</v>
      </c>
    </row>
    <row r="303" spans="1:11" hidden="1">
      <c r="A303" s="50" t="str">
        <f t="shared" si="23"/>
        <v xml:space="preserve">By. Biaya </v>
      </c>
      <c r="B303" s="215">
        <v>46064</v>
      </c>
      <c r="C303" s="212" t="s">
        <v>305</v>
      </c>
      <c r="D303" s="51" t="s">
        <v>333</v>
      </c>
      <c r="F303" s="52" t="str">
        <f>IF(G303="","",INDEX(COA!$A$4:$A$123,MATCH(JU!$G303,COA!$B$4:$B$123,0)))</f>
        <v>6303</v>
      </c>
      <c r="G303" t="s">
        <v>87</v>
      </c>
      <c r="H303" s="216">
        <v>2500</v>
      </c>
      <c r="I303" s="52">
        <f>IF(J303="","",INDEX(COA!$A$4:$A$123,MATCH(JU!$J303,COA!$B$4:$B$123,0)))</f>
        <v>1103</v>
      </c>
      <c r="J303" t="s">
        <v>154</v>
      </c>
      <c r="K303" s="34">
        <f t="shared" si="24"/>
        <v>2500</v>
      </c>
    </row>
    <row r="304" spans="1:11" hidden="1">
      <c r="A304" s="50" t="str">
        <f t="shared" si="23"/>
        <v xml:space="preserve">By. Biaya </v>
      </c>
      <c r="B304" s="215">
        <v>46064</v>
      </c>
      <c r="C304" s="212" t="s">
        <v>891</v>
      </c>
      <c r="D304" s="51" t="s">
        <v>1053</v>
      </c>
      <c r="F304" s="52">
        <f>IF(G304="","",INDEX(COA!$A$4:$A$123,MATCH(JU!$G304,COA!$B$4:$B$123,0)))</f>
        <v>1302</v>
      </c>
      <c r="G304" t="s">
        <v>31</v>
      </c>
      <c r="H304" s="216">
        <v>50000</v>
      </c>
      <c r="I304" s="52">
        <f>IF(J304="","",INDEX(COA!$A$4:$A$123,MATCH(JU!$J304,COA!$B$4:$B$123,0)))</f>
        <v>1103</v>
      </c>
      <c r="J304" t="s">
        <v>154</v>
      </c>
      <c r="K304" s="34">
        <f t="shared" si="24"/>
        <v>50000</v>
      </c>
    </row>
    <row r="305" spans="1:11" hidden="1">
      <c r="A305" s="50" t="str">
        <f t="shared" si="23"/>
        <v xml:space="preserve">By. Biaya </v>
      </c>
      <c r="B305" s="215">
        <v>46065</v>
      </c>
      <c r="C305" s="212" t="s">
        <v>892</v>
      </c>
      <c r="D305" s="51" t="s">
        <v>1054</v>
      </c>
      <c r="F305" s="52">
        <f>IF(G305="","",INDEX(COA!$A$4:$A$123,MATCH(JU!$G305,COA!$B$4:$B$123,0)))</f>
        <v>7101</v>
      </c>
      <c r="G305" t="s">
        <v>93</v>
      </c>
      <c r="H305" s="216">
        <v>1730000</v>
      </c>
      <c r="I305" s="52">
        <f>IF(J305="","",INDEX(COA!$A$4:$A$123,MATCH(JU!$J305,COA!$B$4:$B$123,0)))</f>
        <v>1103</v>
      </c>
      <c r="J305" t="s">
        <v>154</v>
      </c>
      <c r="K305" s="34">
        <f t="shared" si="24"/>
        <v>1730000</v>
      </c>
    </row>
    <row r="306" spans="1:11" hidden="1">
      <c r="A306" s="50" t="str">
        <f t="shared" si="23"/>
        <v xml:space="preserve">By. Biaya </v>
      </c>
      <c r="B306" s="215">
        <v>46065</v>
      </c>
      <c r="C306" s="212" t="s">
        <v>893</v>
      </c>
      <c r="D306" s="51" t="s">
        <v>1055</v>
      </c>
      <c r="F306" s="52">
        <f>IF(G306="","",INDEX(COA!$A$4:$A$123,MATCH(JU!$G306,COA!$B$4:$B$123,0)))</f>
        <v>5108</v>
      </c>
      <c r="G306" t="s">
        <v>72</v>
      </c>
      <c r="H306" s="216">
        <v>500000</v>
      </c>
      <c r="I306" s="52">
        <f>IF(J306="","",INDEX(COA!$A$4:$A$123,MATCH(JU!$J306,COA!$B$4:$B$123,0)))</f>
        <v>1103</v>
      </c>
      <c r="J306" t="s">
        <v>154</v>
      </c>
      <c r="K306" s="34">
        <f t="shared" si="24"/>
        <v>500000</v>
      </c>
    </row>
    <row r="307" spans="1:11" hidden="1">
      <c r="A307" s="50" t="str">
        <f t="shared" si="23"/>
        <v xml:space="preserve">By. Biaya </v>
      </c>
      <c r="B307" s="215">
        <v>46065</v>
      </c>
      <c r="C307" s="212" t="s">
        <v>894</v>
      </c>
      <c r="D307" s="51" t="s">
        <v>1056</v>
      </c>
      <c r="F307" s="52">
        <f>IF(G307="","",INDEX(COA!$A$4:$A$123,MATCH(JU!$G307,COA!$B$4:$B$123,0)))</f>
        <v>5107</v>
      </c>
      <c r="G307" t="s">
        <v>71</v>
      </c>
      <c r="H307" s="216">
        <v>350000</v>
      </c>
      <c r="I307" s="52">
        <f>IF(J307="","",INDEX(COA!$A$4:$A$123,MATCH(JU!$J307,COA!$B$4:$B$123,0)))</f>
        <v>1103</v>
      </c>
      <c r="J307" t="s">
        <v>154</v>
      </c>
      <c r="K307" s="34">
        <f t="shared" si="24"/>
        <v>350000</v>
      </c>
    </row>
    <row r="308" spans="1:11" hidden="1">
      <c r="A308" s="50" t="str">
        <f t="shared" si="23"/>
        <v xml:space="preserve">By. Biaya </v>
      </c>
      <c r="B308" s="215">
        <v>46065</v>
      </c>
      <c r="C308" s="212" t="s">
        <v>895</v>
      </c>
      <c r="D308" s="51" t="s">
        <v>1057</v>
      </c>
      <c r="F308" s="52">
        <f>IF(G308="","",INDEX(COA!$A$4:$A$123,MATCH(JU!$G308,COA!$B$4:$B$123,0)))</f>
        <v>1302</v>
      </c>
      <c r="G308" t="s">
        <v>31</v>
      </c>
      <c r="H308" s="216">
        <v>1200000</v>
      </c>
      <c r="I308" s="52">
        <f>IF(J308="","",INDEX(COA!$A$4:$A$123,MATCH(JU!$J308,COA!$B$4:$B$123,0)))</f>
        <v>1103</v>
      </c>
      <c r="J308" t="s">
        <v>154</v>
      </c>
      <c r="K308" s="34">
        <f t="shared" si="24"/>
        <v>1200000</v>
      </c>
    </row>
    <row r="309" spans="1:11" hidden="1">
      <c r="A309" s="50" t="str">
        <f t="shared" si="23"/>
        <v xml:space="preserve">By. Biaya </v>
      </c>
      <c r="B309" s="215">
        <v>46065</v>
      </c>
      <c r="C309" s="212" t="s">
        <v>305</v>
      </c>
      <c r="D309" s="51" t="s">
        <v>333</v>
      </c>
      <c r="F309" s="52" t="str">
        <f>IF(G309="","",INDEX(COA!$A$4:$A$123,MATCH(JU!$G309,COA!$B$4:$B$123,0)))</f>
        <v>6303</v>
      </c>
      <c r="G309" t="s">
        <v>87</v>
      </c>
      <c r="H309" s="216">
        <v>2500</v>
      </c>
      <c r="I309" s="52">
        <f>IF(J309="","",INDEX(COA!$A$4:$A$123,MATCH(JU!$J309,COA!$B$4:$B$123,0)))</f>
        <v>1103</v>
      </c>
      <c r="J309" t="s">
        <v>154</v>
      </c>
      <c r="K309" s="34">
        <f t="shared" si="24"/>
        <v>2500</v>
      </c>
    </row>
    <row r="310" spans="1:11" hidden="1">
      <c r="A310" s="50" t="str">
        <f t="shared" si="23"/>
        <v xml:space="preserve">By. Biaya </v>
      </c>
      <c r="B310" s="215">
        <v>46065</v>
      </c>
      <c r="C310" s="212" t="s">
        <v>896</v>
      </c>
      <c r="D310" s="51" t="s">
        <v>1058</v>
      </c>
      <c r="F310" s="52">
        <f>IF(G310="","",INDEX(COA!$A$4:$A$123,MATCH(JU!$G310,COA!$B$4:$B$123,0)))</f>
        <v>1302</v>
      </c>
      <c r="G310" t="s">
        <v>31</v>
      </c>
      <c r="H310" s="216">
        <v>74000</v>
      </c>
      <c r="I310" s="52">
        <f>IF(J310="","",INDEX(COA!$A$4:$A$123,MATCH(JU!$J310,COA!$B$4:$B$123,0)))</f>
        <v>1103</v>
      </c>
      <c r="J310" t="s">
        <v>154</v>
      </c>
      <c r="K310" s="34">
        <f t="shared" si="24"/>
        <v>74000</v>
      </c>
    </row>
    <row r="311" spans="1:11" hidden="1">
      <c r="A311" s="50" t="str">
        <f t="shared" ref="A311:A376" si="27">IF(G311="BRI 568","Terima Uang Masuk atas ","By. Biaya ")</f>
        <v xml:space="preserve">By. Biaya </v>
      </c>
      <c r="B311" s="215">
        <v>46065</v>
      </c>
      <c r="C311" s="212" t="s">
        <v>897</v>
      </c>
      <c r="D311" s="51" t="s">
        <v>1059</v>
      </c>
      <c r="F311" s="52">
        <f>IF(G311="","",INDEX(COA!$A$4:$A$123,MATCH(JU!$G311,COA!$B$4:$B$123,0)))</f>
        <v>1203</v>
      </c>
      <c r="G311" t="s">
        <v>140</v>
      </c>
      <c r="H311" s="216">
        <v>1800000</v>
      </c>
      <c r="I311" s="52">
        <f>IF(J311="","",INDEX(COA!$A$4:$A$123,MATCH(JU!$J311,COA!$B$4:$B$123,0)))</f>
        <v>1103</v>
      </c>
      <c r="J311" t="s">
        <v>154</v>
      </c>
      <c r="K311" s="34">
        <f t="shared" si="24"/>
        <v>1800000</v>
      </c>
    </row>
    <row r="312" spans="1:11" hidden="1">
      <c r="A312" s="50" t="str">
        <f t="shared" si="27"/>
        <v xml:space="preserve">By. Biaya </v>
      </c>
      <c r="B312" s="215">
        <v>46065</v>
      </c>
      <c r="C312" s="212" t="s">
        <v>898</v>
      </c>
      <c r="D312" s="51" t="s">
        <v>1060</v>
      </c>
      <c r="F312" s="52">
        <f>IF(G312="","",INDEX(COA!$A$4:$A$123,MATCH(JU!$G312,COA!$B$4:$B$123,0)))</f>
        <v>1302</v>
      </c>
      <c r="G312" t="s">
        <v>31</v>
      </c>
      <c r="H312" s="216">
        <v>1550000</v>
      </c>
      <c r="I312" s="52">
        <f>IF(J312="","",INDEX(COA!$A$4:$A$123,MATCH(JU!$J312,COA!$B$4:$B$123,0)))</f>
        <v>1103</v>
      </c>
      <c r="J312" t="s">
        <v>154</v>
      </c>
      <c r="K312" s="34">
        <f t="shared" si="24"/>
        <v>1550000</v>
      </c>
    </row>
    <row r="313" spans="1:11" hidden="1">
      <c r="A313" s="50" t="str">
        <f t="shared" si="27"/>
        <v xml:space="preserve">Terima Uang Masuk atas </v>
      </c>
      <c r="B313" s="215">
        <v>46065</v>
      </c>
      <c r="C313" s="212" t="s">
        <v>899</v>
      </c>
      <c r="D313" s="51" t="s">
        <v>1061</v>
      </c>
      <c r="F313" s="52">
        <f>IF(G313="","",INDEX(COA!$A$4:$A$123,MATCH(JU!$G313,COA!$B$4:$B$123,0)))</f>
        <v>1103</v>
      </c>
      <c r="G313" t="s">
        <v>154</v>
      </c>
      <c r="H313" s="216">
        <v>5000000</v>
      </c>
      <c r="I313" s="52">
        <f>IF(J313="","",INDEX(COA!$A$4:$A$123,MATCH(JU!$J313,COA!$B$4:$B$123,0)))</f>
        <v>4102</v>
      </c>
      <c r="J313" t="s">
        <v>62</v>
      </c>
      <c r="K313" s="34">
        <f t="shared" si="24"/>
        <v>5000000</v>
      </c>
    </row>
    <row r="314" spans="1:11">
      <c r="A314" s="50" t="str">
        <f t="shared" si="27"/>
        <v xml:space="preserve">By. Biaya </v>
      </c>
      <c r="B314" s="215">
        <v>46065</v>
      </c>
      <c r="C314" s="212" t="s">
        <v>900</v>
      </c>
      <c r="D314" s="51" t="s">
        <v>1062</v>
      </c>
      <c r="F314" s="52">
        <f>IF(G314="","",INDEX(COA!$A$4:$A$123,MATCH(JU!$G314,COA!$B$4:$B$123,0)))</f>
        <v>1302</v>
      </c>
      <c r="G314" t="s">
        <v>31</v>
      </c>
      <c r="H314" s="216">
        <v>30000000</v>
      </c>
      <c r="I314" s="52">
        <f>IF(J314="","",INDEX(COA!$A$4:$A$123,MATCH(JU!$J314,COA!$B$4:$B$123,0)))</f>
        <v>1103</v>
      </c>
      <c r="J314" t="s">
        <v>154</v>
      </c>
      <c r="K314" s="34">
        <f t="shared" si="24"/>
        <v>30000000</v>
      </c>
    </row>
    <row r="315" spans="1:11" hidden="1">
      <c r="A315" s="50" t="str">
        <f t="shared" si="27"/>
        <v xml:space="preserve">By. Biaya </v>
      </c>
      <c r="B315" s="215">
        <v>46065</v>
      </c>
      <c r="C315" s="212" t="s">
        <v>901</v>
      </c>
      <c r="D315" s="256" t="s">
        <v>1063</v>
      </c>
      <c r="F315" s="52" t="str">
        <f>IF(G315="","",INDEX(COA!$A$4:$A$123,MATCH(JU!$G315,COA!$B$4:$B$123,0)))</f>
        <v>2101</v>
      </c>
      <c r="G315" t="s">
        <v>45</v>
      </c>
      <c r="H315" s="216">
        <v>150000000</v>
      </c>
      <c r="I315" s="52">
        <f>IF(J315="","",INDEX(COA!$A$4:$A$123,MATCH(JU!$J315,COA!$B$4:$B$123,0)))</f>
        <v>1103</v>
      </c>
      <c r="J315" t="s">
        <v>154</v>
      </c>
      <c r="K315" s="34">
        <f t="shared" si="24"/>
        <v>150000000</v>
      </c>
    </row>
    <row r="316" spans="1:11" hidden="1">
      <c r="A316" s="50" t="str">
        <f t="shared" si="27"/>
        <v xml:space="preserve">By. Biaya </v>
      </c>
      <c r="B316" s="215">
        <v>46065</v>
      </c>
      <c r="C316" s="212" t="s">
        <v>902</v>
      </c>
      <c r="D316" s="51" t="s">
        <v>1064</v>
      </c>
      <c r="F316" s="52" t="str">
        <f>IF(G316="","",INDEX(COA!$A$4:$A$123,MATCH(JU!$G316,COA!$B$4:$B$123,0)))</f>
        <v>6201</v>
      </c>
      <c r="G316" t="s">
        <v>81</v>
      </c>
      <c r="H316" s="216">
        <v>1000000</v>
      </c>
      <c r="I316" s="52">
        <f>IF(J316="","",INDEX(COA!$A$4:$A$123,MATCH(JU!$J316,COA!$B$4:$B$123,0)))</f>
        <v>1103</v>
      </c>
      <c r="J316" t="s">
        <v>154</v>
      </c>
      <c r="K316" s="34">
        <f t="shared" si="24"/>
        <v>1000000</v>
      </c>
    </row>
    <row r="317" spans="1:11" hidden="1">
      <c r="A317" s="50" t="str">
        <f t="shared" si="27"/>
        <v xml:space="preserve">By. Biaya </v>
      </c>
      <c r="B317" s="215">
        <v>46065</v>
      </c>
      <c r="C317" s="212" t="s">
        <v>305</v>
      </c>
      <c r="D317" s="51" t="s">
        <v>333</v>
      </c>
      <c r="F317" s="52" t="str">
        <f>IF(G317="","",INDEX(COA!$A$4:$A$123,MATCH(JU!$G317,COA!$B$4:$B$123,0)))</f>
        <v>6303</v>
      </c>
      <c r="G317" t="s">
        <v>87</v>
      </c>
      <c r="H317" s="216">
        <v>2500</v>
      </c>
      <c r="I317" s="52">
        <f>IF(J317="","",INDEX(COA!$A$4:$A$123,MATCH(JU!$J317,COA!$B$4:$B$123,0)))</f>
        <v>1103</v>
      </c>
      <c r="J317" t="s">
        <v>154</v>
      </c>
      <c r="K317" s="34">
        <f t="shared" si="24"/>
        <v>2500</v>
      </c>
    </row>
    <row r="318" spans="1:11" hidden="1">
      <c r="A318" s="50" t="str">
        <f t="shared" si="27"/>
        <v xml:space="preserve">By. Biaya </v>
      </c>
      <c r="B318" s="215">
        <v>46066</v>
      </c>
      <c r="C318" s="212" t="s">
        <v>903</v>
      </c>
      <c r="D318" s="51" t="s">
        <v>1065</v>
      </c>
      <c r="F318" s="52">
        <f>IF(G318="","",INDEX(COA!$A$4:$A$123,MATCH(JU!$G318,COA!$B$4:$B$123,0)))</f>
        <v>1302</v>
      </c>
      <c r="G318" t="s">
        <v>31</v>
      </c>
      <c r="H318" s="216">
        <v>1545000</v>
      </c>
      <c r="I318" s="52">
        <f>IF(J318="","",INDEX(COA!$A$4:$A$123,MATCH(JU!$J318,COA!$B$4:$B$123,0)))</f>
        <v>1103</v>
      </c>
      <c r="J318" t="s">
        <v>154</v>
      </c>
      <c r="K318" s="34">
        <f t="shared" si="24"/>
        <v>1545000</v>
      </c>
    </row>
    <row r="319" spans="1:11" hidden="1">
      <c r="A319" s="50" t="str">
        <f t="shared" si="27"/>
        <v xml:space="preserve">By. Biaya </v>
      </c>
      <c r="B319" s="215">
        <v>46066</v>
      </c>
      <c r="C319" s="212" t="s">
        <v>904</v>
      </c>
      <c r="D319" s="51" t="s">
        <v>1066</v>
      </c>
      <c r="F319" s="52">
        <f>IF(G319="","",INDEX(COA!$A$4:$A$123,MATCH(JU!$G319,COA!$B$4:$B$123,0)))</f>
        <v>1302</v>
      </c>
      <c r="G319" t="s">
        <v>31</v>
      </c>
      <c r="H319" s="216">
        <v>1200000</v>
      </c>
      <c r="I319" s="52">
        <f>IF(J319="","",INDEX(COA!$A$4:$A$123,MATCH(JU!$J319,COA!$B$4:$B$123,0)))</f>
        <v>1103</v>
      </c>
      <c r="J319" t="s">
        <v>154</v>
      </c>
      <c r="K319" s="34">
        <f t="shared" si="24"/>
        <v>1200000</v>
      </c>
    </row>
    <row r="320" spans="1:11" hidden="1">
      <c r="A320" s="50" t="str">
        <f t="shared" si="27"/>
        <v xml:space="preserve">By. Biaya </v>
      </c>
      <c r="B320" s="215">
        <v>46066</v>
      </c>
      <c r="C320" s="212" t="s">
        <v>305</v>
      </c>
      <c r="D320" s="51" t="s">
        <v>333</v>
      </c>
      <c r="F320" s="52" t="str">
        <f>IF(G320="","",INDEX(COA!$A$4:$A$123,MATCH(JU!$G320,COA!$B$4:$B$123,0)))</f>
        <v>6303</v>
      </c>
      <c r="G320" t="s">
        <v>87</v>
      </c>
      <c r="H320" s="216">
        <v>2500</v>
      </c>
      <c r="I320" s="52">
        <f>IF(J320="","",INDEX(COA!$A$4:$A$123,MATCH(JU!$J320,COA!$B$4:$B$123,0)))</f>
        <v>1103</v>
      </c>
      <c r="J320" t="s">
        <v>154</v>
      </c>
      <c r="K320" s="34">
        <f t="shared" ref="K320" si="28">IF(H320="","",H320)</f>
        <v>2500</v>
      </c>
    </row>
    <row r="321" spans="1:11" hidden="1">
      <c r="A321" s="50" t="str">
        <f t="shared" si="27"/>
        <v xml:space="preserve">By. Biaya </v>
      </c>
      <c r="B321" s="215">
        <v>46066</v>
      </c>
      <c r="C321" s="212" t="s">
        <v>905</v>
      </c>
      <c r="D321" s="51" t="s">
        <v>1067</v>
      </c>
      <c r="F321" s="52">
        <f>IF(G321="","",INDEX(COA!$A$4:$A$123,MATCH(JU!$G321,COA!$B$4:$B$123,0)))</f>
        <v>1302</v>
      </c>
      <c r="G321" t="s">
        <v>31</v>
      </c>
      <c r="H321" s="216">
        <v>1700000</v>
      </c>
      <c r="I321" s="52">
        <f>IF(J321="","",INDEX(COA!$A$4:$A$123,MATCH(JU!$J321,COA!$B$4:$B$123,0)))</f>
        <v>1103</v>
      </c>
      <c r="J321" t="s">
        <v>154</v>
      </c>
      <c r="K321" s="34">
        <f t="shared" si="24"/>
        <v>1700000</v>
      </c>
    </row>
    <row r="322" spans="1:11" hidden="1">
      <c r="A322" s="50" t="str">
        <f t="shared" si="27"/>
        <v xml:space="preserve">By. Biaya </v>
      </c>
      <c r="B322" s="215">
        <v>46066</v>
      </c>
      <c r="C322" s="212" t="s">
        <v>906</v>
      </c>
      <c r="D322" s="51" t="s">
        <v>1068</v>
      </c>
      <c r="F322" s="52">
        <f>IF(G322="","",INDEX(COA!$A$4:$A$123,MATCH(JU!$G322,COA!$B$4:$B$123,0)))</f>
        <v>1302</v>
      </c>
      <c r="G322" t="s">
        <v>31</v>
      </c>
      <c r="H322" s="216">
        <v>1700000</v>
      </c>
      <c r="I322" s="52">
        <f>IF(J322="","",INDEX(COA!$A$4:$A$123,MATCH(JU!$J322,COA!$B$4:$B$123,0)))</f>
        <v>1103</v>
      </c>
      <c r="J322" t="s">
        <v>154</v>
      </c>
      <c r="K322" s="34">
        <f t="shared" si="24"/>
        <v>1700000</v>
      </c>
    </row>
    <row r="323" spans="1:11" hidden="1">
      <c r="A323" s="50" t="str">
        <f t="shared" si="27"/>
        <v xml:space="preserve">By. Biaya </v>
      </c>
      <c r="B323" s="215">
        <v>46066</v>
      </c>
      <c r="C323" s="212" t="s">
        <v>907</v>
      </c>
      <c r="D323" s="51" t="s">
        <v>1069</v>
      </c>
      <c r="F323" s="52">
        <f>IF(G323="","",INDEX(COA!$A$4:$A$123,MATCH(JU!$G323,COA!$B$4:$B$123,0)))</f>
        <v>6101</v>
      </c>
      <c r="G323" t="s">
        <v>75</v>
      </c>
      <c r="H323" s="216">
        <v>400000</v>
      </c>
      <c r="I323" s="52">
        <f>IF(J323="","",INDEX(COA!$A$4:$A$123,MATCH(JU!$J323,COA!$B$4:$B$123,0)))</f>
        <v>1103</v>
      </c>
      <c r="J323" t="s">
        <v>154</v>
      </c>
      <c r="K323" s="34">
        <f t="shared" si="24"/>
        <v>400000</v>
      </c>
    </row>
    <row r="324" spans="1:11" hidden="1">
      <c r="A324" s="50" t="str">
        <f t="shared" si="27"/>
        <v xml:space="preserve">Terima Uang Masuk atas </v>
      </c>
      <c r="B324" s="215">
        <v>46066</v>
      </c>
      <c r="C324" s="212" t="s">
        <v>908</v>
      </c>
      <c r="D324" s="51" t="s">
        <v>1070</v>
      </c>
      <c r="F324" s="52">
        <f>IF(G324="","",INDEX(COA!$A$4:$A$123,MATCH(JU!$G324,COA!$B$4:$B$123,0)))</f>
        <v>1103</v>
      </c>
      <c r="G324" t="s">
        <v>154</v>
      </c>
      <c r="H324" s="216">
        <v>5000000</v>
      </c>
      <c r="I324" s="52">
        <f>IF(J324="","",INDEX(COA!$A$4:$A$123,MATCH(JU!$J324,COA!$B$4:$B$123,0)))</f>
        <v>4101</v>
      </c>
      <c r="J324" t="s">
        <v>61</v>
      </c>
      <c r="K324" s="34">
        <f t="shared" ref="K324:K389" si="29">IF(H324="","",H324)</f>
        <v>5000000</v>
      </c>
    </row>
    <row r="325" spans="1:11" hidden="1">
      <c r="A325" s="50" t="str">
        <f t="shared" si="27"/>
        <v xml:space="preserve">By. Biaya </v>
      </c>
      <c r="B325" s="215">
        <v>46066</v>
      </c>
      <c r="C325" s="212" t="s">
        <v>909</v>
      </c>
      <c r="D325" s="51" t="s">
        <v>1071</v>
      </c>
      <c r="F325" s="52">
        <f>IF(G325="","",INDEX(COA!$A$4:$A$123,MATCH(JU!$G325,COA!$B$4:$B$123,0)))</f>
        <v>1302</v>
      </c>
      <c r="G325" t="s">
        <v>31</v>
      </c>
      <c r="H325" s="216">
        <v>2040000</v>
      </c>
      <c r="I325" s="52">
        <f>IF(J325="","",INDEX(COA!$A$4:$A$123,MATCH(JU!$J325,COA!$B$4:$B$123,0)))</f>
        <v>1103</v>
      </c>
      <c r="J325" t="s">
        <v>154</v>
      </c>
      <c r="K325" s="34">
        <f t="shared" si="29"/>
        <v>2040000</v>
      </c>
    </row>
    <row r="326" spans="1:11" hidden="1">
      <c r="A326" s="50" t="str">
        <f t="shared" si="27"/>
        <v xml:space="preserve">By. Biaya </v>
      </c>
      <c r="B326" s="215">
        <v>46066</v>
      </c>
      <c r="C326" s="212" t="s">
        <v>910</v>
      </c>
      <c r="D326" s="51" t="s">
        <v>1072</v>
      </c>
      <c r="F326" s="52">
        <f>IF(G326="","",INDEX(COA!$A$4:$A$123,MATCH(JU!$G326,COA!$B$4:$B$123,0)))</f>
        <v>4102</v>
      </c>
      <c r="G326" t="s">
        <v>62</v>
      </c>
      <c r="H326" s="216">
        <v>8000000</v>
      </c>
      <c r="I326" s="52">
        <f>IF(J326="","",INDEX(COA!$A$4:$A$123,MATCH(JU!$J326,COA!$B$4:$B$123,0)))</f>
        <v>1103</v>
      </c>
      <c r="J326" t="s">
        <v>154</v>
      </c>
      <c r="K326" s="34">
        <f t="shared" si="29"/>
        <v>8000000</v>
      </c>
    </row>
    <row r="327" spans="1:11" hidden="1">
      <c r="A327" s="50" t="str">
        <f t="shared" si="27"/>
        <v xml:space="preserve">By. Biaya </v>
      </c>
      <c r="B327" s="215">
        <v>46066</v>
      </c>
      <c r="C327" s="212" t="s">
        <v>911</v>
      </c>
      <c r="D327" s="51" t="s">
        <v>1073</v>
      </c>
      <c r="F327" s="52">
        <f>IF(G327="","",INDEX(COA!$A$4:$A$123,MATCH(JU!$G327,COA!$B$4:$B$123,0)))</f>
        <v>5110</v>
      </c>
      <c r="G327" t="s">
        <v>74</v>
      </c>
      <c r="H327" s="216">
        <v>3740000</v>
      </c>
      <c r="I327" s="52">
        <f>IF(J327="","",INDEX(COA!$A$4:$A$123,MATCH(JU!$J327,COA!$B$4:$B$123,0)))</f>
        <v>1103</v>
      </c>
      <c r="J327" t="s">
        <v>154</v>
      </c>
      <c r="K327" s="34">
        <f t="shared" si="29"/>
        <v>3740000</v>
      </c>
    </row>
    <row r="328" spans="1:11" hidden="1">
      <c r="A328" s="50" t="str">
        <f t="shared" si="27"/>
        <v xml:space="preserve">Terima Uang Masuk atas </v>
      </c>
      <c r="B328" s="215">
        <v>46066</v>
      </c>
      <c r="C328" s="212" t="s">
        <v>912</v>
      </c>
      <c r="D328" s="51" t="s">
        <v>1074</v>
      </c>
      <c r="F328" s="52">
        <f>IF(G328="","",INDEX(COA!$A$4:$A$123,MATCH(JU!$G328,COA!$B$4:$B$123,0)))</f>
        <v>1103</v>
      </c>
      <c r="G328" t="s">
        <v>154</v>
      </c>
      <c r="H328" s="216">
        <v>8000000</v>
      </c>
      <c r="I328" s="52">
        <f>IF(J328="","",INDEX(COA!$A$4:$A$123,MATCH(JU!$J328,COA!$B$4:$B$123,0)))</f>
        <v>4102</v>
      </c>
      <c r="J328" t="s">
        <v>62</v>
      </c>
      <c r="K328" s="34">
        <f t="shared" si="29"/>
        <v>8000000</v>
      </c>
    </row>
    <row r="329" spans="1:11" hidden="1">
      <c r="A329" s="50" t="str">
        <f t="shared" si="27"/>
        <v xml:space="preserve">Terima Uang Masuk atas </v>
      </c>
      <c r="B329" s="215">
        <v>46066</v>
      </c>
      <c r="C329" s="212" t="s">
        <v>913</v>
      </c>
      <c r="D329" s="51" t="s">
        <v>1075</v>
      </c>
      <c r="F329" s="52">
        <f>IF(G329="","",INDEX(COA!$A$4:$A$123,MATCH(JU!$G329,COA!$B$4:$B$123,0)))</f>
        <v>1103</v>
      </c>
      <c r="G329" t="s">
        <v>154</v>
      </c>
      <c r="H329" s="216">
        <v>1800000</v>
      </c>
      <c r="I329" s="52">
        <f>IF(J329="","",INDEX(COA!$A$4:$A$123,MATCH(JU!$J329,COA!$B$4:$B$123,0)))</f>
        <v>1203</v>
      </c>
      <c r="J329" t="s">
        <v>140</v>
      </c>
      <c r="K329" s="34">
        <f t="shared" si="29"/>
        <v>1800000</v>
      </c>
    </row>
    <row r="330" spans="1:11" hidden="1">
      <c r="A330" s="50" t="str">
        <f t="shared" si="27"/>
        <v xml:space="preserve">Terima Uang Masuk atas </v>
      </c>
      <c r="B330" s="215">
        <v>46066</v>
      </c>
      <c r="C330" s="212" t="s">
        <v>914</v>
      </c>
      <c r="D330" s="51" t="s">
        <v>1076</v>
      </c>
      <c r="F330" s="52">
        <f>IF(G330="","",INDEX(COA!$A$4:$A$123,MATCH(JU!$G330,COA!$B$4:$B$123,0)))</f>
        <v>1103</v>
      </c>
      <c r="G330" t="s">
        <v>154</v>
      </c>
      <c r="H330" s="216">
        <v>15000000</v>
      </c>
      <c r="I330" s="52">
        <f>IF(J330="","",INDEX(COA!$A$4:$A$123,MATCH(JU!$J330,COA!$B$4:$B$123,0)))</f>
        <v>4102</v>
      </c>
      <c r="J330" t="s">
        <v>62</v>
      </c>
      <c r="K330" s="34">
        <f t="shared" si="29"/>
        <v>15000000</v>
      </c>
    </row>
    <row r="331" spans="1:11" hidden="1">
      <c r="A331" s="50" t="str">
        <f t="shared" ref="A331" si="30">IF(G331="BRI 568","Terima Uang Masuk atas ","By. Biaya ")</f>
        <v xml:space="preserve">By. Biaya </v>
      </c>
      <c r="B331" s="215">
        <v>46066</v>
      </c>
      <c r="C331" s="212" t="s">
        <v>914</v>
      </c>
      <c r="D331" s="51" t="s">
        <v>1150</v>
      </c>
      <c r="F331" s="52">
        <f>IF(G331="","",INDEX(COA!$A$4:$A$123,MATCH(JU!$G331,COA!$B$4:$B$123,0)))</f>
        <v>1202</v>
      </c>
      <c r="G331" t="s">
        <v>27</v>
      </c>
      <c r="H331" s="216">
        <v>169000000</v>
      </c>
      <c r="I331" s="52">
        <f>IF(J331="","",INDEX(COA!$A$4:$A$123,MATCH(JU!$J331,COA!$B$4:$B$123,0)))</f>
        <v>4102</v>
      </c>
      <c r="J331" t="s">
        <v>62</v>
      </c>
      <c r="K331" s="34">
        <f t="shared" ref="K331" si="31">IF(H331="","",H331)</f>
        <v>169000000</v>
      </c>
    </row>
    <row r="332" spans="1:11" hidden="1">
      <c r="A332" s="50" t="str">
        <f t="shared" si="27"/>
        <v xml:space="preserve">By. Biaya </v>
      </c>
      <c r="B332" s="215">
        <v>46066</v>
      </c>
      <c r="C332" s="212" t="s">
        <v>915</v>
      </c>
      <c r="D332" s="51" t="s">
        <v>1077</v>
      </c>
      <c r="F332" s="52">
        <f>IF(G332="","",INDEX(COA!$A$4:$A$123,MATCH(JU!$G332,COA!$B$4:$B$123,0)))</f>
        <v>5108</v>
      </c>
      <c r="G332" t="s">
        <v>72</v>
      </c>
      <c r="H332" s="216">
        <v>4000000</v>
      </c>
      <c r="I332" s="52">
        <f>IF(J332="","",INDEX(COA!$A$4:$A$123,MATCH(JU!$J332,COA!$B$4:$B$123,0)))</f>
        <v>1103</v>
      </c>
      <c r="J332" t="s">
        <v>154</v>
      </c>
      <c r="K332" s="34">
        <f t="shared" si="29"/>
        <v>4000000</v>
      </c>
    </row>
    <row r="333" spans="1:11" hidden="1">
      <c r="A333" s="50" t="str">
        <f t="shared" si="27"/>
        <v xml:space="preserve">By. Biaya </v>
      </c>
      <c r="B333" s="215">
        <v>46066</v>
      </c>
      <c r="C333" s="212" t="s">
        <v>916</v>
      </c>
      <c r="D333" s="51" t="s">
        <v>1078</v>
      </c>
      <c r="F333" s="52">
        <f>IF(G333="","",INDEX(COA!$A$4:$A$123,MATCH(JU!$G333,COA!$B$4:$B$123,0)))</f>
        <v>1302</v>
      </c>
      <c r="G333" t="s">
        <v>31</v>
      </c>
      <c r="H333" s="216">
        <v>7428000</v>
      </c>
      <c r="I333" s="52">
        <f>IF(J333="","",INDEX(COA!$A$4:$A$123,MATCH(JU!$J333,COA!$B$4:$B$123,0)))</f>
        <v>1103</v>
      </c>
      <c r="J333" t="s">
        <v>154</v>
      </c>
      <c r="K333" s="34">
        <f t="shared" si="29"/>
        <v>7428000</v>
      </c>
    </row>
    <row r="334" spans="1:11" hidden="1">
      <c r="A334" s="50" t="str">
        <f t="shared" si="27"/>
        <v xml:space="preserve">By. Biaya </v>
      </c>
      <c r="B334" s="215">
        <v>46066</v>
      </c>
      <c r="C334" s="212" t="s">
        <v>917</v>
      </c>
      <c r="D334" s="51" t="s">
        <v>1079</v>
      </c>
      <c r="F334" s="52">
        <f>IF(G334="","",INDEX(COA!$A$4:$A$123,MATCH(JU!$G334,COA!$B$4:$B$123,0)))</f>
        <v>6112</v>
      </c>
      <c r="G334" t="s">
        <v>205</v>
      </c>
      <c r="H334" s="216">
        <v>30000</v>
      </c>
      <c r="I334" s="52">
        <f>IF(J334="","",INDEX(COA!$A$4:$A$123,MATCH(JU!$J334,COA!$B$4:$B$123,0)))</f>
        <v>1103</v>
      </c>
      <c r="J334" t="s">
        <v>154</v>
      </c>
      <c r="K334" s="34">
        <f t="shared" si="29"/>
        <v>30000</v>
      </c>
    </row>
    <row r="335" spans="1:11" hidden="1">
      <c r="A335" s="50" t="str">
        <f t="shared" si="27"/>
        <v xml:space="preserve">By. Biaya </v>
      </c>
      <c r="B335" s="215">
        <v>46066</v>
      </c>
      <c r="C335" s="212" t="s">
        <v>918</v>
      </c>
      <c r="D335" s="51" t="s">
        <v>1080</v>
      </c>
      <c r="F335" s="52">
        <f>IF(G335="","",INDEX(COA!$A$4:$A$123,MATCH(JU!$G335,COA!$B$4:$B$123,0)))</f>
        <v>6112</v>
      </c>
      <c r="G335" t="s">
        <v>205</v>
      </c>
      <c r="H335" s="216">
        <v>397000</v>
      </c>
      <c r="I335" s="52">
        <f>IF(J335="","",INDEX(COA!$A$4:$A$123,MATCH(JU!$J335,COA!$B$4:$B$123,0)))</f>
        <v>1103</v>
      </c>
      <c r="J335" t="s">
        <v>154</v>
      </c>
      <c r="K335" s="34">
        <f t="shared" si="29"/>
        <v>397000</v>
      </c>
    </row>
    <row r="336" spans="1:11" hidden="1">
      <c r="A336" s="50" t="str">
        <f t="shared" si="27"/>
        <v xml:space="preserve">Terima Uang Masuk atas </v>
      </c>
      <c r="B336" s="215">
        <v>46066</v>
      </c>
      <c r="C336" s="212" t="s">
        <v>919</v>
      </c>
      <c r="D336" s="51" t="s">
        <v>1081</v>
      </c>
      <c r="F336" s="52">
        <f>IF(G336="","",INDEX(COA!$A$4:$A$123,MATCH(JU!$G336,COA!$B$4:$B$123,0)))</f>
        <v>1103</v>
      </c>
      <c r="G336" t="s">
        <v>154</v>
      </c>
      <c r="H336" s="216">
        <v>26500000</v>
      </c>
      <c r="I336" s="52">
        <f>IF(J336="","",INDEX(COA!$A$4:$A$123,MATCH(JU!$J336,COA!$B$4:$B$123,0)))</f>
        <v>4101</v>
      </c>
      <c r="J336" t="s">
        <v>61</v>
      </c>
      <c r="K336" s="34">
        <f t="shared" si="29"/>
        <v>26500000</v>
      </c>
    </row>
    <row r="337" spans="1:11" hidden="1">
      <c r="A337" s="50" t="str">
        <f t="shared" si="27"/>
        <v xml:space="preserve">Terima Uang Masuk atas </v>
      </c>
      <c r="B337" s="215">
        <v>46066</v>
      </c>
      <c r="C337" s="212" t="s">
        <v>920</v>
      </c>
      <c r="D337" s="51" t="s">
        <v>1082</v>
      </c>
      <c r="F337" s="52">
        <f>IF(G337="","",INDEX(COA!$A$4:$A$123,MATCH(JU!$G337,COA!$B$4:$B$123,0)))</f>
        <v>1103</v>
      </c>
      <c r="G337" t="s">
        <v>154</v>
      </c>
      <c r="H337" s="216">
        <v>15000000</v>
      </c>
      <c r="I337" s="52">
        <f>IF(J337="","",INDEX(COA!$A$4:$A$123,MATCH(JU!$J337,COA!$B$4:$B$123,0)))</f>
        <v>4102</v>
      </c>
      <c r="J337" t="s">
        <v>62</v>
      </c>
      <c r="K337" s="34">
        <f t="shared" si="29"/>
        <v>15000000</v>
      </c>
    </row>
    <row r="338" spans="1:11" hidden="1">
      <c r="A338" s="50" t="str">
        <f t="shared" ref="A338" si="32">IF(G338="BRI 568","Terima Uang Masuk atas ","By. Biaya ")</f>
        <v xml:space="preserve">By. Biaya </v>
      </c>
      <c r="B338" s="215">
        <v>46066</v>
      </c>
      <c r="C338" s="212" t="s">
        <v>920</v>
      </c>
      <c r="D338" s="51" t="s">
        <v>1151</v>
      </c>
      <c r="F338" s="52">
        <f>IF(G338="","",INDEX(COA!$A$4:$A$123,MATCH(JU!$G338,COA!$B$4:$B$123,0)))</f>
        <v>1202</v>
      </c>
      <c r="G338" t="s">
        <v>27</v>
      </c>
      <c r="H338" s="216">
        <v>169000000</v>
      </c>
      <c r="I338" s="52">
        <f>IF(J338="","",INDEX(COA!$A$4:$A$123,MATCH(JU!$J338,COA!$B$4:$B$123,0)))</f>
        <v>4102</v>
      </c>
      <c r="J338" t="s">
        <v>62</v>
      </c>
      <c r="K338" s="34">
        <f t="shared" ref="K338" si="33">IF(H338="","",H338)</f>
        <v>169000000</v>
      </c>
    </row>
    <row r="339" spans="1:11" hidden="1">
      <c r="A339" s="50" t="str">
        <f t="shared" si="27"/>
        <v xml:space="preserve">By. Biaya </v>
      </c>
      <c r="B339" s="215">
        <v>46067</v>
      </c>
      <c r="C339" s="212" t="s">
        <v>921</v>
      </c>
      <c r="D339" s="51" t="s">
        <v>1083</v>
      </c>
      <c r="F339" s="52">
        <f>IF(G339="","",INDEX(COA!$A$4:$A$123,MATCH(JU!$G339,COA!$B$4:$B$123,0)))</f>
        <v>1302</v>
      </c>
      <c r="G339" t="s">
        <v>31</v>
      </c>
      <c r="H339" s="216">
        <v>6930000</v>
      </c>
      <c r="I339" s="52">
        <f>IF(J339="","",INDEX(COA!$A$4:$A$123,MATCH(JU!$J339,COA!$B$4:$B$123,0)))</f>
        <v>1103</v>
      </c>
      <c r="J339" t="s">
        <v>154</v>
      </c>
      <c r="K339" s="34">
        <f t="shared" si="29"/>
        <v>6930000</v>
      </c>
    </row>
    <row r="340" spans="1:11" hidden="1">
      <c r="A340" s="50" t="str">
        <f t="shared" si="27"/>
        <v xml:space="preserve">By. Biaya </v>
      </c>
      <c r="B340" s="215">
        <v>46067</v>
      </c>
      <c r="C340" s="212" t="s">
        <v>922</v>
      </c>
      <c r="D340" s="51" t="s">
        <v>1084</v>
      </c>
      <c r="F340" s="52">
        <f>IF(G340="","",INDEX(COA!$A$4:$A$123,MATCH(JU!$G340,COA!$B$4:$B$123,0)))</f>
        <v>1302</v>
      </c>
      <c r="G340" t="s">
        <v>31</v>
      </c>
      <c r="H340" s="216">
        <v>14250000</v>
      </c>
      <c r="I340" s="52">
        <f>IF(J340="","",INDEX(COA!$A$4:$A$123,MATCH(JU!$J340,COA!$B$4:$B$123,0)))</f>
        <v>1103</v>
      </c>
      <c r="J340" t="s">
        <v>154</v>
      </c>
      <c r="K340" s="34">
        <f t="shared" si="29"/>
        <v>14250000</v>
      </c>
    </row>
    <row r="341" spans="1:11" hidden="1">
      <c r="A341" s="50" t="str">
        <f t="shared" si="27"/>
        <v xml:space="preserve">By. Biaya </v>
      </c>
      <c r="B341" s="215">
        <v>46067</v>
      </c>
      <c r="C341" s="212" t="s">
        <v>923</v>
      </c>
      <c r="D341" s="51" t="s">
        <v>1085</v>
      </c>
      <c r="F341" s="52">
        <f>IF(G341="","",INDEX(COA!$A$4:$A$123,MATCH(JU!$G341,COA!$B$4:$B$123,0)))</f>
        <v>1302</v>
      </c>
      <c r="G341" t="s">
        <v>31</v>
      </c>
      <c r="H341" s="216">
        <v>17363140</v>
      </c>
      <c r="I341" s="52">
        <f>IF(J341="","",INDEX(COA!$A$4:$A$123,MATCH(JU!$J341,COA!$B$4:$B$123,0)))</f>
        <v>1103</v>
      </c>
      <c r="J341" t="s">
        <v>154</v>
      </c>
      <c r="K341" s="34">
        <f t="shared" si="29"/>
        <v>17363140</v>
      </c>
    </row>
    <row r="342" spans="1:11" hidden="1">
      <c r="A342" s="50" t="str">
        <f t="shared" si="27"/>
        <v xml:space="preserve">By. Biaya </v>
      </c>
      <c r="B342" s="215">
        <v>46067</v>
      </c>
      <c r="C342" s="212" t="s">
        <v>305</v>
      </c>
      <c r="D342" s="51" t="s">
        <v>333</v>
      </c>
      <c r="F342" s="52" t="str">
        <f>IF(G342="","",INDEX(COA!$A$4:$A$123,MATCH(JU!$G342,COA!$B$4:$B$123,0)))</f>
        <v>6303</v>
      </c>
      <c r="G342" t="s">
        <v>87</v>
      </c>
      <c r="H342" s="216">
        <v>2500</v>
      </c>
      <c r="I342" s="52">
        <f>IF(J342="","",INDEX(COA!$A$4:$A$123,MATCH(JU!$J342,COA!$B$4:$B$123,0)))</f>
        <v>1103</v>
      </c>
      <c r="J342" t="s">
        <v>154</v>
      </c>
      <c r="K342" s="34">
        <f t="shared" si="29"/>
        <v>2500</v>
      </c>
    </row>
    <row r="343" spans="1:11" hidden="1">
      <c r="A343" s="50" t="str">
        <f t="shared" si="27"/>
        <v xml:space="preserve">By. Biaya </v>
      </c>
      <c r="B343" s="215">
        <v>46067</v>
      </c>
      <c r="C343" s="212" t="s">
        <v>924</v>
      </c>
      <c r="D343" s="51" t="s">
        <v>1086</v>
      </c>
      <c r="F343" s="52">
        <f>IF(G343="","",INDEX(COA!$A$4:$A$123,MATCH(JU!$G343,COA!$B$4:$B$123,0)))</f>
        <v>1302</v>
      </c>
      <c r="G343" t="s">
        <v>31</v>
      </c>
      <c r="H343" s="216">
        <v>170000</v>
      </c>
      <c r="I343" s="52">
        <f>IF(J343="","",INDEX(COA!$A$4:$A$123,MATCH(JU!$J343,COA!$B$4:$B$123,0)))</f>
        <v>1103</v>
      </c>
      <c r="J343" t="s">
        <v>154</v>
      </c>
      <c r="K343" s="34">
        <f t="shared" si="29"/>
        <v>170000</v>
      </c>
    </row>
    <row r="344" spans="1:11">
      <c r="A344" s="50" t="str">
        <f t="shared" si="27"/>
        <v xml:space="preserve">By. Biaya </v>
      </c>
      <c r="B344" s="215">
        <v>46067</v>
      </c>
      <c r="C344" s="212" t="s">
        <v>925</v>
      </c>
      <c r="D344" s="51" t="s">
        <v>1087</v>
      </c>
      <c r="F344" s="52">
        <f>IF(G344="","",INDEX(COA!$A$4:$A$123,MATCH(JU!$G344,COA!$B$4:$B$123,0)))</f>
        <v>1302</v>
      </c>
      <c r="G344" t="s">
        <v>31</v>
      </c>
      <c r="H344" s="216">
        <v>10000000</v>
      </c>
      <c r="I344" s="52">
        <f>IF(J344="","",INDEX(COA!$A$4:$A$123,MATCH(JU!$J344,COA!$B$4:$B$123,0)))</f>
        <v>1103</v>
      </c>
      <c r="J344" t="s">
        <v>154</v>
      </c>
      <c r="K344" s="34">
        <f t="shared" si="29"/>
        <v>10000000</v>
      </c>
    </row>
    <row r="345" spans="1:11">
      <c r="A345" s="50" t="str">
        <f t="shared" si="27"/>
        <v xml:space="preserve">By. Biaya </v>
      </c>
      <c r="B345" s="215">
        <v>46068</v>
      </c>
      <c r="C345" s="212" t="s">
        <v>926</v>
      </c>
      <c r="D345" s="51" t="s">
        <v>1088</v>
      </c>
      <c r="F345" s="52">
        <f>IF(G345="","",INDEX(COA!$A$4:$A$123,MATCH(JU!$G345,COA!$B$4:$B$123,0)))</f>
        <v>1302</v>
      </c>
      <c r="G345" t="s">
        <v>31</v>
      </c>
      <c r="H345" s="216">
        <v>5000000</v>
      </c>
      <c r="I345" s="52">
        <f>IF(J345="","",INDEX(COA!$A$4:$A$123,MATCH(JU!$J345,COA!$B$4:$B$123,0)))</f>
        <v>1103</v>
      </c>
      <c r="J345" t="s">
        <v>154</v>
      </c>
      <c r="K345" s="34">
        <f t="shared" si="29"/>
        <v>5000000</v>
      </c>
    </row>
    <row r="346" spans="1:11">
      <c r="A346" s="50" t="str">
        <f t="shared" si="27"/>
        <v xml:space="preserve">By. Biaya </v>
      </c>
      <c r="B346" s="215">
        <v>46070</v>
      </c>
      <c r="C346" s="212" t="s">
        <v>927</v>
      </c>
      <c r="D346" s="51" t="s">
        <v>1089</v>
      </c>
      <c r="F346" s="52">
        <f>IF(G346="","",INDEX(COA!$A$4:$A$123,MATCH(JU!$G346,COA!$B$4:$B$123,0)))</f>
        <v>1302</v>
      </c>
      <c r="G346" t="s">
        <v>31</v>
      </c>
      <c r="H346" s="216">
        <v>17500000</v>
      </c>
      <c r="I346" s="52">
        <f>IF(J346="","",INDEX(COA!$A$4:$A$123,MATCH(JU!$J346,COA!$B$4:$B$123,0)))</f>
        <v>1103</v>
      </c>
      <c r="J346" t="s">
        <v>154</v>
      </c>
      <c r="K346" s="34">
        <f t="shared" si="29"/>
        <v>17500000</v>
      </c>
    </row>
    <row r="347" spans="1:11" hidden="1">
      <c r="A347" s="50" t="str">
        <f t="shared" si="27"/>
        <v xml:space="preserve">Terima Uang Masuk atas </v>
      </c>
      <c r="B347" s="215">
        <v>46070</v>
      </c>
      <c r="C347" s="212" t="s">
        <v>928</v>
      </c>
      <c r="D347" s="51" t="s">
        <v>1090</v>
      </c>
      <c r="F347" s="52">
        <f>IF(G347="","",INDEX(COA!$A$4:$A$123,MATCH(JU!$G347,COA!$B$4:$B$123,0)))</f>
        <v>1103</v>
      </c>
      <c r="G347" t="s">
        <v>154</v>
      </c>
      <c r="H347" s="216">
        <v>5000000</v>
      </c>
      <c r="I347" s="52">
        <f>IF(J347="","",INDEX(COA!$A$4:$A$123,MATCH(JU!$J347,COA!$B$4:$B$123,0)))</f>
        <v>4102</v>
      </c>
      <c r="J347" t="s">
        <v>62</v>
      </c>
      <c r="K347" s="34">
        <f t="shared" si="29"/>
        <v>5000000</v>
      </c>
    </row>
    <row r="348" spans="1:11" hidden="1">
      <c r="A348" s="50" t="str">
        <f t="shared" si="27"/>
        <v xml:space="preserve">By. Biaya </v>
      </c>
      <c r="B348" s="215">
        <v>46070</v>
      </c>
      <c r="C348" s="212" t="s">
        <v>929</v>
      </c>
      <c r="D348" s="51" t="s">
        <v>1091</v>
      </c>
      <c r="F348" s="52">
        <f>IF(G348="","",INDEX(COA!$A$4:$A$123,MATCH(JU!$G348,COA!$B$4:$B$123,0)))</f>
        <v>4102</v>
      </c>
      <c r="G348" t="s">
        <v>62</v>
      </c>
      <c r="H348" s="216">
        <v>1000000</v>
      </c>
      <c r="I348" s="52">
        <f>IF(J348="","",INDEX(COA!$A$4:$A$123,MATCH(JU!$J348,COA!$B$4:$B$123,0)))</f>
        <v>1103</v>
      </c>
      <c r="J348" t="s">
        <v>154</v>
      </c>
      <c r="K348" s="34">
        <f t="shared" si="29"/>
        <v>1000000</v>
      </c>
    </row>
    <row r="349" spans="1:11" hidden="1">
      <c r="A349" s="50" t="str">
        <f t="shared" si="27"/>
        <v xml:space="preserve">By. Biaya </v>
      </c>
      <c r="B349" s="215">
        <v>46071</v>
      </c>
      <c r="C349" s="212" t="s">
        <v>645</v>
      </c>
      <c r="D349" s="51" t="s">
        <v>728</v>
      </c>
      <c r="F349" s="52">
        <f>IF(G349="","",INDEX(COA!$A$4:$A$123,MATCH(JU!$G349,COA!$B$4:$B$123,0)))</f>
        <v>1302</v>
      </c>
      <c r="G349" t="s">
        <v>31</v>
      </c>
      <c r="H349" s="216">
        <v>25000000</v>
      </c>
      <c r="I349" s="52">
        <f>IF(J349="","",INDEX(COA!$A$4:$A$123,MATCH(JU!$J349,COA!$B$4:$B$123,0)))</f>
        <v>1103</v>
      </c>
      <c r="J349" t="s">
        <v>154</v>
      </c>
      <c r="K349" s="34">
        <f t="shared" si="29"/>
        <v>25000000</v>
      </c>
    </row>
    <row r="350" spans="1:11" hidden="1">
      <c r="A350" s="50" t="str">
        <f t="shared" si="27"/>
        <v xml:space="preserve">By. Biaya </v>
      </c>
      <c r="B350" s="215">
        <v>46071</v>
      </c>
      <c r="C350" s="212" t="s">
        <v>930</v>
      </c>
      <c r="D350" s="51" t="s">
        <v>1092</v>
      </c>
      <c r="F350" s="52">
        <f>IF(G350="","",INDEX(COA!$A$4:$A$123,MATCH(JU!$G350,COA!$B$4:$B$123,0)))</f>
        <v>1302</v>
      </c>
      <c r="G350" t="s">
        <v>31</v>
      </c>
      <c r="H350" s="216">
        <v>6279000</v>
      </c>
      <c r="I350" s="52">
        <f>IF(J350="","",INDEX(COA!$A$4:$A$123,MATCH(JU!$J350,COA!$B$4:$B$123,0)))</f>
        <v>1103</v>
      </c>
      <c r="J350" t="s">
        <v>154</v>
      </c>
      <c r="K350" s="34">
        <f t="shared" si="29"/>
        <v>6279000</v>
      </c>
    </row>
    <row r="351" spans="1:11" hidden="1">
      <c r="A351" s="50" t="str">
        <f t="shared" si="27"/>
        <v xml:space="preserve">By. Biaya </v>
      </c>
      <c r="B351" s="215">
        <v>46071</v>
      </c>
      <c r="C351" s="212" t="s">
        <v>503</v>
      </c>
      <c r="D351" s="51" t="s">
        <v>520</v>
      </c>
      <c r="F351" s="52">
        <f>IF(G351="","",INDEX(COA!$A$4:$A$123,MATCH(JU!$G351,COA!$B$4:$B$123,0)))</f>
        <v>5107</v>
      </c>
      <c r="G351" t="s">
        <v>71</v>
      </c>
      <c r="H351" s="216">
        <v>5870000</v>
      </c>
      <c r="I351" s="52">
        <f>IF(J351="","",INDEX(COA!$A$4:$A$123,MATCH(JU!$J351,COA!$B$4:$B$123,0)))</f>
        <v>1103</v>
      </c>
      <c r="J351" t="s">
        <v>154</v>
      </c>
      <c r="K351" s="34">
        <f t="shared" si="29"/>
        <v>5870000</v>
      </c>
    </row>
    <row r="352" spans="1:11" hidden="1">
      <c r="A352" s="50" t="str">
        <f t="shared" si="27"/>
        <v xml:space="preserve">By. Biaya </v>
      </c>
      <c r="B352" s="215">
        <v>46071</v>
      </c>
      <c r="C352" s="212" t="s">
        <v>931</v>
      </c>
      <c r="D352" s="51" t="s">
        <v>1093</v>
      </c>
      <c r="F352" s="52">
        <f>IF(G352="","",INDEX(COA!$A$4:$A$123,MATCH(JU!$G352,COA!$B$4:$B$123,0)))</f>
        <v>6402</v>
      </c>
      <c r="G352" t="s">
        <v>90</v>
      </c>
      <c r="H352" s="216">
        <v>500000</v>
      </c>
      <c r="I352" s="52">
        <f>IF(J352="","",INDEX(COA!$A$4:$A$123,MATCH(JU!$J352,COA!$B$4:$B$123,0)))</f>
        <v>1103</v>
      </c>
      <c r="J352" t="s">
        <v>154</v>
      </c>
      <c r="K352" s="34">
        <f t="shared" si="29"/>
        <v>500000</v>
      </c>
    </row>
    <row r="353" spans="1:11" hidden="1">
      <c r="A353" s="50" t="str">
        <f t="shared" si="27"/>
        <v xml:space="preserve">By. Biaya </v>
      </c>
      <c r="B353" s="215">
        <v>46071</v>
      </c>
      <c r="C353" s="212" t="s">
        <v>932</v>
      </c>
      <c r="D353" s="51" t="s">
        <v>1094</v>
      </c>
      <c r="F353" s="52" t="str">
        <f>IF(G353="","",INDEX(COA!$A$4:$A$123,MATCH(JU!$G353,COA!$B$4:$B$123,0)))</f>
        <v>6201</v>
      </c>
      <c r="G353" t="s">
        <v>81</v>
      </c>
      <c r="H353" s="216">
        <v>150000</v>
      </c>
      <c r="I353" s="52">
        <f>IF(J353="","",INDEX(COA!$A$4:$A$123,MATCH(JU!$J353,COA!$B$4:$B$123,0)))</f>
        <v>1103</v>
      </c>
      <c r="J353" t="s">
        <v>154</v>
      </c>
      <c r="K353" s="34">
        <f t="shared" si="29"/>
        <v>150000</v>
      </c>
    </row>
    <row r="354" spans="1:11" hidden="1">
      <c r="A354" s="50" t="str">
        <f t="shared" si="27"/>
        <v xml:space="preserve">By. Biaya </v>
      </c>
      <c r="B354" s="215">
        <v>46071</v>
      </c>
      <c r="C354" s="212" t="s">
        <v>933</v>
      </c>
      <c r="D354" s="51" t="s">
        <v>1095</v>
      </c>
      <c r="F354" s="52">
        <f>IF(G354="","",INDEX(COA!$A$4:$A$123,MATCH(JU!$G354,COA!$B$4:$B$123,0)))</f>
        <v>6112</v>
      </c>
      <c r="G354" t="s">
        <v>205</v>
      </c>
      <c r="H354" s="216">
        <v>450000</v>
      </c>
      <c r="I354" s="52">
        <f>IF(J354="","",INDEX(COA!$A$4:$A$123,MATCH(JU!$J354,COA!$B$4:$B$123,0)))</f>
        <v>1103</v>
      </c>
      <c r="J354" t="s">
        <v>154</v>
      </c>
      <c r="K354" s="34">
        <f t="shared" si="29"/>
        <v>450000</v>
      </c>
    </row>
    <row r="355" spans="1:11" hidden="1">
      <c r="A355" s="50" t="str">
        <f t="shared" si="27"/>
        <v xml:space="preserve">By. Biaya </v>
      </c>
      <c r="B355" s="215">
        <v>46071</v>
      </c>
      <c r="C355" s="212" t="s">
        <v>934</v>
      </c>
      <c r="D355" s="51" t="s">
        <v>1096</v>
      </c>
      <c r="F355" s="52">
        <f>IF(G355="","",INDEX(COA!$A$4:$A$123,MATCH(JU!$G355,COA!$B$4:$B$123,0)))</f>
        <v>1302</v>
      </c>
      <c r="G355" t="s">
        <v>31</v>
      </c>
      <c r="H355" s="216">
        <v>65000</v>
      </c>
      <c r="I355" s="52">
        <f>IF(J355="","",INDEX(COA!$A$4:$A$123,MATCH(JU!$J355,COA!$B$4:$B$123,0)))</f>
        <v>1103</v>
      </c>
      <c r="J355" t="s">
        <v>154</v>
      </c>
      <c r="K355" s="34">
        <f t="shared" si="29"/>
        <v>65000</v>
      </c>
    </row>
    <row r="356" spans="1:11" hidden="1">
      <c r="A356" s="50" t="str">
        <f t="shared" si="27"/>
        <v xml:space="preserve">By. Biaya </v>
      </c>
      <c r="B356" s="215">
        <v>46071</v>
      </c>
      <c r="C356" s="212" t="s">
        <v>935</v>
      </c>
      <c r="D356" s="51" t="s">
        <v>1097</v>
      </c>
      <c r="F356" s="52">
        <f>IF(G356="","",INDEX(COA!$A$4:$A$123,MATCH(JU!$G356,COA!$B$4:$B$123,0)))</f>
        <v>6112</v>
      </c>
      <c r="G356" t="s">
        <v>205</v>
      </c>
      <c r="H356" s="216">
        <v>162000</v>
      </c>
      <c r="I356" s="52">
        <f>IF(J356="","",INDEX(COA!$A$4:$A$123,MATCH(JU!$J356,COA!$B$4:$B$123,0)))</f>
        <v>1103</v>
      </c>
      <c r="J356" t="s">
        <v>154</v>
      </c>
      <c r="K356" s="34">
        <f t="shared" si="29"/>
        <v>162000</v>
      </c>
    </row>
    <row r="357" spans="1:11" hidden="1">
      <c r="A357" s="50" t="str">
        <f t="shared" si="27"/>
        <v xml:space="preserve">By. Biaya </v>
      </c>
      <c r="B357" s="215">
        <v>46071</v>
      </c>
      <c r="C357" s="212" t="s">
        <v>936</v>
      </c>
      <c r="D357" s="51" t="s">
        <v>1098</v>
      </c>
      <c r="F357" s="52">
        <f>IF(G357="","",INDEX(COA!$A$4:$A$123,MATCH(JU!$G357,COA!$B$4:$B$123,0)))</f>
        <v>6112</v>
      </c>
      <c r="G357" t="s">
        <v>205</v>
      </c>
      <c r="H357" s="216">
        <v>75000</v>
      </c>
      <c r="I357" s="52">
        <f>IF(J357="","",INDEX(COA!$A$4:$A$123,MATCH(JU!$J357,COA!$B$4:$B$123,0)))</f>
        <v>1103</v>
      </c>
      <c r="J357" t="s">
        <v>154</v>
      </c>
      <c r="K357" s="34">
        <f t="shared" si="29"/>
        <v>75000</v>
      </c>
    </row>
    <row r="358" spans="1:11" hidden="1">
      <c r="A358" s="50" t="str">
        <f t="shared" si="27"/>
        <v xml:space="preserve">By. Biaya </v>
      </c>
      <c r="B358" s="215">
        <v>46071</v>
      </c>
      <c r="C358" s="212" t="s">
        <v>937</v>
      </c>
      <c r="D358" s="51" t="s">
        <v>1099</v>
      </c>
      <c r="F358" s="52">
        <f>IF(G358="","",INDEX(COA!$A$4:$A$123,MATCH(JU!$G358,COA!$B$4:$B$123,0)))</f>
        <v>6112</v>
      </c>
      <c r="G358" t="s">
        <v>205</v>
      </c>
      <c r="H358" s="216">
        <v>148000</v>
      </c>
      <c r="I358" s="52">
        <f>IF(J358="","",INDEX(COA!$A$4:$A$123,MATCH(JU!$J358,COA!$B$4:$B$123,0)))</f>
        <v>1103</v>
      </c>
      <c r="J358" t="s">
        <v>154</v>
      </c>
      <c r="K358" s="34">
        <f t="shared" si="29"/>
        <v>148000</v>
      </c>
    </row>
    <row r="359" spans="1:11" hidden="1">
      <c r="A359" s="50" t="str">
        <f t="shared" si="27"/>
        <v xml:space="preserve">By. Biaya </v>
      </c>
      <c r="B359" s="215">
        <v>46071</v>
      </c>
      <c r="C359" s="212" t="s">
        <v>938</v>
      </c>
      <c r="D359" s="51" t="s">
        <v>1100</v>
      </c>
      <c r="F359" s="52">
        <f>IF(G359="","",INDEX(COA!$A$4:$A$123,MATCH(JU!$G359,COA!$B$4:$B$123,0)))</f>
        <v>6112</v>
      </c>
      <c r="G359" t="s">
        <v>205</v>
      </c>
      <c r="H359" s="216">
        <v>18000</v>
      </c>
      <c r="I359" s="52">
        <f>IF(J359="","",INDEX(COA!$A$4:$A$123,MATCH(JU!$J359,COA!$B$4:$B$123,0)))</f>
        <v>1103</v>
      </c>
      <c r="J359" t="s">
        <v>154</v>
      </c>
      <c r="K359" s="34">
        <f t="shared" si="29"/>
        <v>18000</v>
      </c>
    </row>
    <row r="360" spans="1:11" hidden="1">
      <c r="A360" s="50" t="str">
        <f t="shared" si="27"/>
        <v xml:space="preserve">By. Biaya </v>
      </c>
      <c r="B360" s="215">
        <v>46071</v>
      </c>
      <c r="C360" s="212" t="s">
        <v>322</v>
      </c>
      <c r="D360" s="51" t="s">
        <v>351</v>
      </c>
      <c r="F360" s="52" t="str">
        <f>IF(G360="","",INDEX(COA!$A$4:$A$123,MATCH(JU!$G360,COA!$B$4:$B$123,0)))</f>
        <v>6301</v>
      </c>
      <c r="G360" t="s">
        <v>85</v>
      </c>
      <c r="H360" s="216">
        <v>365250000</v>
      </c>
      <c r="I360" s="52">
        <f>IF(J360="","",INDEX(COA!$A$4:$A$123,MATCH(JU!$J360,COA!$B$4:$B$123,0)))</f>
        <v>1103</v>
      </c>
      <c r="J360" t="s">
        <v>154</v>
      </c>
      <c r="K360" s="34">
        <f t="shared" si="29"/>
        <v>365250000</v>
      </c>
    </row>
    <row r="361" spans="1:11" hidden="1">
      <c r="A361" s="50" t="str">
        <f t="shared" si="27"/>
        <v xml:space="preserve">By. Biaya </v>
      </c>
      <c r="B361" s="215">
        <v>46072</v>
      </c>
      <c r="C361" s="212" t="s">
        <v>939</v>
      </c>
      <c r="D361" s="51" t="s">
        <v>1101</v>
      </c>
      <c r="F361" s="52">
        <f>IF(G361="","",INDEX(COA!$A$4:$A$123,MATCH(JU!$G361,COA!$B$4:$B$123,0)))</f>
        <v>1302</v>
      </c>
      <c r="G361" t="s">
        <v>31</v>
      </c>
      <c r="H361" s="216">
        <v>4800000</v>
      </c>
      <c r="I361" s="52">
        <f>IF(J361="","",INDEX(COA!$A$4:$A$123,MATCH(JU!$J361,COA!$B$4:$B$123,0)))</f>
        <v>1103</v>
      </c>
      <c r="J361" t="s">
        <v>154</v>
      </c>
      <c r="K361" s="34">
        <f t="shared" si="29"/>
        <v>4800000</v>
      </c>
    </row>
    <row r="362" spans="1:11" hidden="1">
      <c r="A362" s="50" t="str">
        <f t="shared" si="27"/>
        <v xml:space="preserve">By. Biaya </v>
      </c>
      <c r="B362" s="215">
        <v>46072</v>
      </c>
      <c r="C362" s="212" t="s">
        <v>323</v>
      </c>
      <c r="D362" s="51" t="s">
        <v>352</v>
      </c>
      <c r="F362" s="52">
        <f>IF(G362="","",INDEX(COA!$A$4:$A$123,MATCH(JU!$G362,COA!$B$4:$B$123,0)))</f>
        <v>6112</v>
      </c>
      <c r="G362" t="s">
        <v>205</v>
      </c>
      <c r="H362" s="216">
        <v>650000</v>
      </c>
      <c r="I362" s="52">
        <f>IF(J362="","",INDEX(COA!$A$4:$A$123,MATCH(JU!$J362,COA!$B$4:$B$123,0)))</f>
        <v>1103</v>
      </c>
      <c r="J362" t="s">
        <v>154</v>
      </c>
      <c r="K362" s="34">
        <f t="shared" si="29"/>
        <v>650000</v>
      </c>
    </row>
    <row r="363" spans="1:11" hidden="1">
      <c r="A363" s="50" t="str">
        <f t="shared" si="27"/>
        <v xml:space="preserve">By. Biaya </v>
      </c>
      <c r="B363" s="215">
        <v>46073</v>
      </c>
      <c r="C363" s="212" t="s">
        <v>324</v>
      </c>
      <c r="D363" s="51" t="s">
        <v>353</v>
      </c>
      <c r="F363" s="52" t="str">
        <f>IF(G363="","",INDEX(COA!$A$4:$A$123,MATCH(JU!$G363,COA!$B$4:$B$123,0)))</f>
        <v>2201</v>
      </c>
      <c r="G363" t="s">
        <v>52</v>
      </c>
      <c r="H363" s="216">
        <v>24000000</v>
      </c>
      <c r="I363" s="52">
        <f>IF(J363="","",INDEX(COA!$A$4:$A$123,MATCH(JU!$J363,COA!$B$4:$B$123,0)))</f>
        <v>1103</v>
      </c>
      <c r="J363" t="s">
        <v>154</v>
      </c>
      <c r="K363" s="34">
        <f t="shared" si="29"/>
        <v>24000000</v>
      </c>
    </row>
    <row r="364" spans="1:11" hidden="1">
      <c r="A364" s="50" t="str">
        <f t="shared" si="27"/>
        <v xml:space="preserve">By. Biaya </v>
      </c>
      <c r="B364" s="215">
        <v>46073</v>
      </c>
      <c r="C364" s="212" t="s">
        <v>940</v>
      </c>
      <c r="D364" s="51" t="s">
        <v>1102</v>
      </c>
      <c r="F364" s="52" t="str">
        <f>IF(G364="","",INDEX(COA!$A$4:$A$123,MATCH(JU!$G364,COA!$B$4:$B$123,0)))</f>
        <v>6201</v>
      </c>
      <c r="G364" t="s">
        <v>81</v>
      </c>
      <c r="H364" s="216">
        <v>1000000</v>
      </c>
      <c r="I364" s="52">
        <f>IF(J364="","",INDEX(COA!$A$4:$A$123,MATCH(JU!$J364,COA!$B$4:$B$123,0)))</f>
        <v>1103</v>
      </c>
      <c r="J364" t="s">
        <v>154</v>
      </c>
      <c r="K364" s="34">
        <f t="shared" si="29"/>
        <v>1000000</v>
      </c>
    </row>
    <row r="365" spans="1:11" hidden="1">
      <c r="A365" s="50" t="str">
        <f t="shared" si="27"/>
        <v xml:space="preserve">Terima Uang Masuk atas </v>
      </c>
      <c r="B365" s="215">
        <v>46073</v>
      </c>
      <c r="C365" s="212" t="s">
        <v>325</v>
      </c>
      <c r="D365" s="51" t="s">
        <v>354</v>
      </c>
      <c r="F365" s="52">
        <f>IF(G365="","",INDEX(COA!$A$4:$A$123,MATCH(JU!$G365,COA!$B$4:$B$123,0)))</f>
        <v>1103</v>
      </c>
      <c r="G365" t="s">
        <v>154</v>
      </c>
      <c r="H365" s="216">
        <v>1350000000</v>
      </c>
      <c r="I365" s="52" t="str">
        <f>IF(J365="","",INDEX(COA!$A$4:$A$123,MATCH(JU!$J365,COA!$B$4:$B$123,0)))</f>
        <v>2101</v>
      </c>
      <c r="J365" t="s">
        <v>45</v>
      </c>
      <c r="K365" s="34">
        <f t="shared" si="29"/>
        <v>1350000000</v>
      </c>
    </row>
    <row r="366" spans="1:11" hidden="1">
      <c r="A366" s="50" t="str">
        <f t="shared" si="27"/>
        <v xml:space="preserve">By. Biaya </v>
      </c>
      <c r="B366" s="215">
        <v>46073</v>
      </c>
      <c r="C366" s="212" t="s">
        <v>326</v>
      </c>
      <c r="D366" s="51" t="s">
        <v>355</v>
      </c>
      <c r="F366" s="52" t="str">
        <f>IF(G366="","",INDEX(COA!$A$4:$A$123,MATCH(JU!$G366,COA!$B$4:$B$123,0)))</f>
        <v>2101</v>
      </c>
      <c r="G366" t="s">
        <v>45</v>
      </c>
      <c r="H366" s="216">
        <v>500000000</v>
      </c>
      <c r="I366" s="52">
        <f>IF(J366="","",INDEX(COA!$A$4:$A$123,MATCH(JU!$J366,COA!$B$4:$B$123,0)))</f>
        <v>1103</v>
      </c>
      <c r="J366" t="s">
        <v>154</v>
      </c>
      <c r="K366" s="34">
        <f t="shared" si="29"/>
        <v>500000000</v>
      </c>
    </row>
    <row r="367" spans="1:11" hidden="1">
      <c r="A367" s="50" t="str">
        <f t="shared" si="27"/>
        <v xml:space="preserve">By. Biaya </v>
      </c>
      <c r="B367" s="215">
        <v>46073</v>
      </c>
      <c r="C367" s="212" t="s">
        <v>941</v>
      </c>
      <c r="D367" s="51" t="s">
        <v>1103</v>
      </c>
      <c r="F367" s="52">
        <f>IF(G367="","",INDEX(COA!$A$4:$A$123,MATCH(JU!$G367,COA!$B$4:$B$123,0)))</f>
        <v>1203</v>
      </c>
      <c r="G367" t="s">
        <v>140</v>
      </c>
      <c r="H367" s="216">
        <v>110000000</v>
      </c>
      <c r="I367" s="52">
        <f>IF(J367="","",INDEX(COA!$A$4:$A$123,MATCH(JU!$J367,COA!$B$4:$B$123,0)))</f>
        <v>1103</v>
      </c>
      <c r="J367" t="s">
        <v>154</v>
      </c>
      <c r="K367" s="34">
        <f t="shared" si="29"/>
        <v>110000000</v>
      </c>
    </row>
    <row r="368" spans="1:11" hidden="1">
      <c r="A368" s="50" t="str">
        <f t="shared" si="27"/>
        <v xml:space="preserve">By. Biaya </v>
      </c>
      <c r="B368" s="215">
        <v>46073</v>
      </c>
      <c r="C368" s="212" t="s">
        <v>942</v>
      </c>
      <c r="D368" s="51" t="s">
        <v>1104</v>
      </c>
      <c r="F368" s="52">
        <f>IF(G368="","",INDEX(COA!$A$4:$A$123,MATCH(JU!$G368,COA!$B$4:$B$123,0)))</f>
        <v>6402</v>
      </c>
      <c r="G368" t="s">
        <v>90</v>
      </c>
      <c r="H368" s="216">
        <v>4000000</v>
      </c>
      <c r="I368" s="52">
        <f>IF(J368="","",INDEX(COA!$A$4:$A$123,MATCH(JU!$J368,COA!$B$4:$B$123,0)))</f>
        <v>1103</v>
      </c>
      <c r="J368" t="s">
        <v>154</v>
      </c>
      <c r="K368" s="34">
        <f t="shared" si="29"/>
        <v>4000000</v>
      </c>
    </row>
    <row r="369" spans="1:11" hidden="1">
      <c r="A369" s="50" t="str">
        <f t="shared" si="27"/>
        <v xml:space="preserve">Terima Uang Masuk atas </v>
      </c>
      <c r="B369" s="215">
        <v>46073</v>
      </c>
      <c r="C369" s="212" t="s">
        <v>327</v>
      </c>
      <c r="D369" s="51" t="s">
        <v>356</v>
      </c>
      <c r="F369" s="52">
        <f>IF(G369="","",INDEX(COA!$A$4:$A$123,MATCH(JU!$G369,COA!$B$4:$B$123,0)))</f>
        <v>1103</v>
      </c>
      <c r="G369" t="s">
        <v>154</v>
      </c>
      <c r="H369" s="216">
        <v>293644</v>
      </c>
      <c r="I369" s="52">
        <f>IF(J369="","",INDEX(COA!$A$4:$A$123,MATCH(JU!$J369,COA!$B$4:$B$123,0)))</f>
        <v>4202</v>
      </c>
      <c r="J369" t="s">
        <v>67</v>
      </c>
      <c r="K369" s="34">
        <f t="shared" si="29"/>
        <v>293644</v>
      </c>
    </row>
    <row r="370" spans="1:11" hidden="1">
      <c r="A370" s="50" t="str">
        <f t="shared" si="27"/>
        <v xml:space="preserve">By. Biaya </v>
      </c>
      <c r="B370" s="215">
        <v>46073</v>
      </c>
      <c r="C370" s="212" t="s">
        <v>328</v>
      </c>
      <c r="D370" s="51" t="s">
        <v>357</v>
      </c>
      <c r="F370" s="52" t="str">
        <f>IF(G370="","",INDEX(COA!$A$4:$A$123,MATCH(JU!$G370,COA!$B$4:$B$123,0)))</f>
        <v>6303</v>
      </c>
      <c r="G370" t="s">
        <v>87</v>
      </c>
      <c r="H370" s="216">
        <v>58729</v>
      </c>
      <c r="I370" s="52">
        <f>IF(J370="","",INDEX(COA!$A$4:$A$123,MATCH(JU!$J370,COA!$B$4:$B$123,0)))</f>
        <v>1103</v>
      </c>
      <c r="J370" t="s">
        <v>154</v>
      </c>
      <c r="K370" s="34">
        <f t="shared" si="29"/>
        <v>58729</v>
      </c>
    </row>
    <row r="371" spans="1:11" hidden="1">
      <c r="A371" s="50" t="str">
        <f t="shared" si="27"/>
        <v xml:space="preserve">By. Biaya </v>
      </c>
      <c r="B371" s="215">
        <v>46074</v>
      </c>
      <c r="C371" s="212" t="s">
        <v>943</v>
      </c>
      <c r="D371" s="51" t="s">
        <v>1105</v>
      </c>
      <c r="F371" s="52" t="str">
        <f>IF(G371="","",INDEX(COA!$A$4:$A$123,MATCH(JU!$G371,COA!$B$4:$B$123,0)))</f>
        <v>6201</v>
      </c>
      <c r="G371" t="s">
        <v>81</v>
      </c>
      <c r="H371" s="216">
        <v>1000000</v>
      </c>
      <c r="I371" s="52">
        <f>IF(J371="","",INDEX(COA!$A$4:$A$123,MATCH(JU!$J371,COA!$B$4:$B$123,0)))</f>
        <v>1103</v>
      </c>
      <c r="J371" t="s">
        <v>154</v>
      </c>
      <c r="K371" s="34">
        <f t="shared" si="29"/>
        <v>1000000</v>
      </c>
    </row>
    <row r="372" spans="1:11" hidden="1">
      <c r="A372" s="50" t="str">
        <f t="shared" si="27"/>
        <v xml:space="preserve">By. Biaya </v>
      </c>
      <c r="B372" s="215">
        <v>46074</v>
      </c>
      <c r="C372" s="212" t="s">
        <v>305</v>
      </c>
      <c r="D372" s="51" t="s">
        <v>333</v>
      </c>
      <c r="F372" s="52" t="str">
        <f>IF(G372="","",INDEX(COA!$A$4:$A$123,MATCH(JU!$G372,COA!$B$4:$B$123,0)))</f>
        <v>6303</v>
      </c>
      <c r="G372" t="s">
        <v>87</v>
      </c>
      <c r="H372" s="216">
        <v>2500</v>
      </c>
      <c r="I372" s="52">
        <f>IF(J372="","",INDEX(COA!$A$4:$A$123,MATCH(JU!$J372,COA!$B$4:$B$123,0)))</f>
        <v>1103</v>
      </c>
      <c r="J372" t="s">
        <v>154</v>
      </c>
      <c r="K372" s="34">
        <f t="shared" si="29"/>
        <v>2500</v>
      </c>
    </row>
    <row r="373" spans="1:11" hidden="1">
      <c r="A373" s="50" t="str">
        <f t="shared" si="27"/>
        <v xml:space="preserve">By. Biaya </v>
      </c>
      <c r="B373" s="215">
        <v>46074</v>
      </c>
      <c r="C373" s="212" t="s">
        <v>630</v>
      </c>
      <c r="D373" s="51" t="s">
        <v>715</v>
      </c>
      <c r="F373" s="52">
        <f>IF(G373="","",INDEX(COA!$A$4:$A$123,MATCH(JU!$G373,COA!$B$4:$B$123,0)))</f>
        <v>6106</v>
      </c>
      <c r="G373" t="s">
        <v>149</v>
      </c>
      <c r="H373" s="216">
        <v>216450</v>
      </c>
      <c r="I373" s="52">
        <f>IF(J373="","",INDEX(COA!$A$4:$A$123,MATCH(JU!$J373,COA!$B$4:$B$123,0)))</f>
        <v>1103</v>
      </c>
      <c r="J373" t="s">
        <v>154</v>
      </c>
      <c r="K373" s="34">
        <f t="shared" si="29"/>
        <v>216450</v>
      </c>
    </row>
    <row r="374" spans="1:11" hidden="1">
      <c r="A374" s="50" t="str">
        <f t="shared" si="27"/>
        <v xml:space="preserve">By. Biaya </v>
      </c>
      <c r="B374" s="215">
        <v>46074</v>
      </c>
      <c r="C374" s="212" t="s">
        <v>305</v>
      </c>
      <c r="D374" s="51" t="s">
        <v>333</v>
      </c>
      <c r="F374" s="52" t="str">
        <f>IF(G374="","",INDEX(COA!$A$4:$A$123,MATCH(JU!$G374,COA!$B$4:$B$123,0)))</f>
        <v>6303</v>
      </c>
      <c r="G374" t="s">
        <v>87</v>
      </c>
      <c r="H374" s="216">
        <v>2800</v>
      </c>
      <c r="I374" s="52">
        <f>IF(J374="","",INDEX(COA!$A$4:$A$123,MATCH(JU!$J374,COA!$B$4:$B$123,0)))</f>
        <v>1103</v>
      </c>
      <c r="J374" t="s">
        <v>154</v>
      </c>
      <c r="K374" s="34">
        <f t="shared" si="29"/>
        <v>2800</v>
      </c>
    </row>
    <row r="375" spans="1:11" hidden="1">
      <c r="A375" s="50" t="str">
        <f t="shared" si="27"/>
        <v xml:space="preserve">By. Biaya </v>
      </c>
      <c r="B375" s="215">
        <v>46075</v>
      </c>
      <c r="C375" s="212" t="s">
        <v>944</v>
      </c>
      <c r="D375" s="51" t="s">
        <v>1106</v>
      </c>
      <c r="F375" s="52">
        <f>IF(G375="","",INDEX(COA!$A$4:$A$123,MATCH(JU!$G375,COA!$B$4:$B$123,0)))</f>
        <v>5108</v>
      </c>
      <c r="G375" t="s">
        <v>72</v>
      </c>
      <c r="H375" s="216">
        <v>4500000</v>
      </c>
      <c r="I375" s="52">
        <f>IF(J375="","",INDEX(COA!$A$4:$A$123,MATCH(JU!$J375,COA!$B$4:$B$123,0)))</f>
        <v>1103</v>
      </c>
      <c r="J375" t="s">
        <v>154</v>
      </c>
      <c r="K375" s="34">
        <f t="shared" si="29"/>
        <v>4500000</v>
      </c>
    </row>
    <row r="376" spans="1:11" hidden="1">
      <c r="A376" s="50" t="str">
        <f t="shared" si="27"/>
        <v xml:space="preserve">By. Biaya </v>
      </c>
      <c r="B376" s="215">
        <v>46075</v>
      </c>
      <c r="C376" s="212" t="s">
        <v>330</v>
      </c>
      <c r="D376" s="51" t="s">
        <v>359</v>
      </c>
      <c r="F376" s="52" t="str">
        <f>IF(G376="","",INDEX(COA!$A$4:$A$123,MATCH(JU!$G376,COA!$B$4:$B$123,0)))</f>
        <v>2107</v>
      </c>
      <c r="G376" t="s">
        <v>50</v>
      </c>
      <c r="H376" s="216">
        <v>50000000</v>
      </c>
      <c r="I376" s="52">
        <f>IF(J376="","",INDEX(COA!$A$4:$A$123,MATCH(JU!$J376,COA!$B$4:$B$123,0)))</f>
        <v>1103</v>
      </c>
      <c r="J376" t="s">
        <v>154</v>
      </c>
      <c r="K376" s="34">
        <f t="shared" si="29"/>
        <v>50000000</v>
      </c>
    </row>
    <row r="377" spans="1:11" hidden="1">
      <c r="A377" s="50" t="str">
        <f t="shared" ref="A377:A439" si="34">IF(G377="BRI 568","Terima Uang Masuk atas ","By. Biaya ")</f>
        <v xml:space="preserve">By. Biaya </v>
      </c>
      <c r="B377" s="215">
        <v>46075</v>
      </c>
      <c r="C377" s="212" t="s">
        <v>305</v>
      </c>
      <c r="D377" s="51" t="s">
        <v>333</v>
      </c>
      <c r="F377" s="52" t="str">
        <f>IF(G377="","",INDEX(COA!$A$4:$A$123,MATCH(JU!$G377,COA!$B$4:$B$123,0)))</f>
        <v>6303</v>
      </c>
      <c r="G377" t="s">
        <v>87</v>
      </c>
      <c r="H377" s="216">
        <v>2500</v>
      </c>
      <c r="I377" s="52">
        <f>IF(J377="","",INDEX(COA!$A$4:$A$123,MATCH(JU!$J377,COA!$B$4:$B$123,0)))</f>
        <v>1103</v>
      </c>
      <c r="J377" t="s">
        <v>154</v>
      </c>
      <c r="K377" s="34">
        <f t="shared" si="29"/>
        <v>2500</v>
      </c>
    </row>
    <row r="378" spans="1:11">
      <c r="A378" s="50" t="str">
        <f t="shared" si="34"/>
        <v xml:space="preserve">By. Biaya </v>
      </c>
      <c r="B378" s="215">
        <v>46076</v>
      </c>
      <c r="C378" s="212" t="s">
        <v>945</v>
      </c>
      <c r="D378" s="51" t="s">
        <v>1107</v>
      </c>
      <c r="F378" s="52">
        <f>IF(G378="","",INDEX(COA!$A$4:$A$123,MATCH(JU!$G378,COA!$B$4:$B$123,0)))</f>
        <v>1302</v>
      </c>
      <c r="G378" t="s">
        <v>31</v>
      </c>
      <c r="H378" s="216">
        <v>32500000</v>
      </c>
      <c r="I378" s="52">
        <f>IF(J378="","",INDEX(COA!$A$4:$A$123,MATCH(JU!$J378,COA!$B$4:$B$123,0)))</f>
        <v>1103</v>
      </c>
      <c r="J378" t="s">
        <v>154</v>
      </c>
      <c r="K378" s="34">
        <f t="shared" si="29"/>
        <v>32500000</v>
      </c>
    </row>
    <row r="379" spans="1:11" hidden="1">
      <c r="A379" s="50" t="str">
        <f t="shared" si="34"/>
        <v xml:space="preserve">By. Biaya </v>
      </c>
      <c r="B379" s="215">
        <v>46076</v>
      </c>
      <c r="C379" s="212" t="s">
        <v>946</v>
      </c>
      <c r="D379" s="51" t="s">
        <v>1108</v>
      </c>
      <c r="F379" s="52">
        <f>IF(G379="","",INDEX(COA!$A$4:$A$123,MATCH(JU!$G379,COA!$B$4:$B$123,0)))</f>
        <v>5107</v>
      </c>
      <c r="G379" t="s">
        <v>71</v>
      </c>
      <c r="H379" s="216">
        <v>5500000</v>
      </c>
      <c r="I379" s="52">
        <f>IF(J379="","",INDEX(COA!$A$4:$A$123,MATCH(JU!$J379,COA!$B$4:$B$123,0)))</f>
        <v>1103</v>
      </c>
      <c r="J379" t="s">
        <v>154</v>
      </c>
      <c r="K379" s="34">
        <f t="shared" si="29"/>
        <v>5500000</v>
      </c>
    </row>
    <row r="380" spans="1:11" hidden="1">
      <c r="A380" s="50" t="str">
        <f t="shared" si="34"/>
        <v xml:space="preserve">By. Biaya </v>
      </c>
      <c r="B380" s="215">
        <v>46076</v>
      </c>
      <c r="C380" s="212" t="s">
        <v>947</v>
      </c>
      <c r="D380" s="51" t="s">
        <v>1109</v>
      </c>
      <c r="F380" s="52">
        <f>IF(G380="","",INDEX(COA!$A$4:$A$123,MATCH(JU!$G380,COA!$B$4:$B$123,0)))</f>
        <v>1302</v>
      </c>
      <c r="G380" t="s">
        <v>31</v>
      </c>
      <c r="H380" s="216">
        <v>255000</v>
      </c>
      <c r="I380" s="52">
        <f>IF(J380="","",INDEX(COA!$A$4:$A$123,MATCH(JU!$J380,COA!$B$4:$B$123,0)))</f>
        <v>1103</v>
      </c>
      <c r="J380" t="s">
        <v>154</v>
      </c>
      <c r="K380" s="34">
        <f t="shared" si="29"/>
        <v>255000</v>
      </c>
    </row>
    <row r="381" spans="1:11" hidden="1">
      <c r="A381" s="50" t="str">
        <f t="shared" si="34"/>
        <v xml:space="preserve">By. Biaya </v>
      </c>
      <c r="B381" s="215">
        <v>46076</v>
      </c>
      <c r="C381" s="212" t="s">
        <v>948</v>
      </c>
      <c r="D381" s="256" t="s">
        <v>1110</v>
      </c>
      <c r="F381" s="52" t="str">
        <f>IF(G381="","",INDEX(COA!$A$4:$A$123,MATCH(JU!$G381,COA!$B$4:$B$123,0)))</f>
        <v>2101</v>
      </c>
      <c r="G381" t="s">
        <v>45</v>
      </c>
      <c r="H381" s="216">
        <v>532240200</v>
      </c>
      <c r="I381" s="52">
        <f>IF(J381="","",INDEX(COA!$A$4:$A$123,MATCH(JU!$J381,COA!$B$4:$B$123,0)))</f>
        <v>1103</v>
      </c>
      <c r="J381" t="s">
        <v>154</v>
      </c>
      <c r="K381" s="34">
        <f t="shared" si="29"/>
        <v>532240200</v>
      </c>
    </row>
    <row r="382" spans="1:11" hidden="1">
      <c r="A382" s="50" t="str">
        <f t="shared" si="34"/>
        <v xml:space="preserve">By. Biaya </v>
      </c>
      <c r="B382" s="215">
        <v>46076</v>
      </c>
      <c r="C382" s="212" t="s">
        <v>949</v>
      </c>
      <c r="D382" s="51" t="s">
        <v>1111</v>
      </c>
      <c r="F382" s="52">
        <f>IF(G382="","",INDEX(COA!$A$4:$A$123,MATCH(JU!$G382,COA!$B$4:$B$123,0)))</f>
        <v>1302</v>
      </c>
      <c r="G382" t="s">
        <v>31</v>
      </c>
      <c r="H382" s="216">
        <v>1800000</v>
      </c>
      <c r="I382" s="52">
        <f>IF(J382="","",INDEX(COA!$A$4:$A$123,MATCH(JU!$J382,COA!$B$4:$B$123,0)))</f>
        <v>1103</v>
      </c>
      <c r="J382" t="s">
        <v>154</v>
      </c>
      <c r="K382" s="34">
        <f t="shared" si="29"/>
        <v>1800000</v>
      </c>
    </row>
    <row r="383" spans="1:11" hidden="1">
      <c r="A383" s="50" t="str">
        <f t="shared" si="34"/>
        <v xml:space="preserve">By. Biaya </v>
      </c>
      <c r="B383" s="215">
        <v>46076</v>
      </c>
      <c r="C383" s="212" t="s">
        <v>950</v>
      </c>
      <c r="D383" s="51" t="s">
        <v>1112</v>
      </c>
      <c r="F383" s="52">
        <f>IF(G383="","",INDEX(COA!$A$4:$A$123,MATCH(JU!$G383,COA!$B$4:$B$123,0)))</f>
        <v>1302</v>
      </c>
      <c r="G383" t="s">
        <v>31</v>
      </c>
      <c r="H383" s="216">
        <v>1400000</v>
      </c>
      <c r="I383" s="52">
        <f>IF(J383="","",INDEX(COA!$A$4:$A$123,MATCH(JU!$J383,COA!$B$4:$B$123,0)))</f>
        <v>1103</v>
      </c>
      <c r="J383" t="s">
        <v>154</v>
      </c>
      <c r="K383" s="34">
        <f t="shared" si="29"/>
        <v>1400000</v>
      </c>
    </row>
    <row r="384" spans="1:11" hidden="1">
      <c r="A384" s="50" t="str">
        <f t="shared" si="34"/>
        <v xml:space="preserve">By. Biaya </v>
      </c>
      <c r="B384" s="215">
        <v>46076</v>
      </c>
      <c r="C384" s="212" t="s">
        <v>645</v>
      </c>
      <c r="D384" s="51" t="s">
        <v>728</v>
      </c>
      <c r="F384" s="52">
        <f>IF(G384="","",INDEX(COA!$A$4:$A$123,MATCH(JU!$G384,COA!$B$4:$B$123,0)))</f>
        <v>1302</v>
      </c>
      <c r="G384" t="s">
        <v>31</v>
      </c>
      <c r="H384" s="216">
        <v>25000000</v>
      </c>
      <c r="I384" s="52">
        <f>IF(J384="","",INDEX(COA!$A$4:$A$123,MATCH(JU!$J384,COA!$B$4:$B$123,0)))</f>
        <v>1103</v>
      </c>
      <c r="J384" t="s">
        <v>154</v>
      </c>
      <c r="K384" s="34">
        <f t="shared" si="29"/>
        <v>25000000</v>
      </c>
    </row>
    <row r="385" spans="1:11" hidden="1">
      <c r="A385" s="50" t="str">
        <f t="shared" si="34"/>
        <v xml:space="preserve">Terima Uang Masuk atas </v>
      </c>
      <c r="B385" s="215">
        <v>46076</v>
      </c>
      <c r="C385" s="212" t="s">
        <v>308</v>
      </c>
      <c r="D385" s="51" t="s">
        <v>336</v>
      </c>
      <c r="F385" s="52">
        <f>IF(G385="","",INDEX(COA!$A$4:$A$123,MATCH(JU!$G385,COA!$B$4:$B$123,0)))</f>
        <v>1103</v>
      </c>
      <c r="G385" t="s">
        <v>154</v>
      </c>
      <c r="H385" s="216">
        <v>548872500</v>
      </c>
      <c r="I385" s="52" t="str">
        <f>IF(J385="","",INDEX(COA!$A$4:$A$123,MATCH(JU!$J385,COA!$B$4:$B$123,0)))</f>
        <v>2107</v>
      </c>
      <c r="J385" t="s">
        <v>50</v>
      </c>
      <c r="K385" s="34">
        <f t="shared" si="29"/>
        <v>548872500</v>
      </c>
    </row>
    <row r="386" spans="1:11" hidden="1">
      <c r="A386" s="50" t="str">
        <f t="shared" si="34"/>
        <v xml:space="preserve">By. Biaya </v>
      </c>
      <c r="B386" s="215">
        <v>46076</v>
      </c>
      <c r="C386" s="212" t="s">
        <v>308</v>
      </c>
      <c r="D386" s="51" t="s">
        <v>345</v>
      </c>
      <c r="F386" s="52" t="str">
        <f>IF(G386="","",INDEX(COA!$A$4:$A$123,MATCH(JU!$G386,COA!$B$4:$B$123,0)))</f>
        <v>2107</v>
      </c>
      <c r="G386" t="s">
        <v>50</v>
      </c>
      <c r="H386" s="216">
        <v>199757000</v>
      </c>
      <c r="I386" s="52">
        <f>IF(J386="","",INDEX(COA!$A$4:$A$123,MATCH(JU!$J386,COA!$B$4:$B$123,0)))</f>
        <v>1103</v>
      </c>
      <c r="J386" t="s">
        <v>154</v>
      </c>
      <c r="K386" s="34">
        <f t="shared" si="29"/>
        <v>199757000</v>
      </c>
    </row>
    <row r="387" spans="1:11" hidden="1">
      <c r="A387" s="50" t="str">
        <f t="shared" si="34"/>
        <v xml:space="preserve">Terima Uang Masuk atas </v>
      </c>
      <c r="B387" s="215">
        <v>46076</v>
      </c>
      <c r="C387" s="212" t="s">
        <v>308</v>
      </c>
      <c r="D387" s="51" t="s">
        <v>336</v>
      </c>
      <c r="F387" s="52">
        <f>IF(G387="","",INDEX(COA!$A$4:$A$123,MATCH(JU!$G387,COA!$B$4:$B$123,0)))</f>
        <v>1103</v>
      </c>
      <c r="G387" t="s">
        <v>154</v>
      </c>
      <c r="H387" s="216">
        <v>85172500</v>
      </c>
      <c r="I387" s="52" t="str">
        <f>IF(J387="","",INDEX(COA!$A$4:$A$123,MATCH(JU!$J387,COA!$B$4:$B$123,0)))</f>
        <v>2107</v>
      </c>
      <c r="J387" t="s">
        <v>50</v>
      </c>
      <c r="K387" s="34">
        <f t="shared" si="29"/>
        <v>85172500</v>
      </c>
    </row>
    <row r="388" spans="1:11" hidden="1">
      <c r="A388" s="50" t="str">
        <f t="shared" si="34"/>
        <v xml:space="preserve">Terima Uang Masuk atas </v>
      </c>
      <c r="B388" s="215">
        <v>46076</v>
      </c>
      <c r="C388" s="212" t="s">
        <v>308</v>
      </c>
      <c r="D388" s="51" t="s">
        <v>336</v>
      </c>
      <c r="F388" s="52">
        <f>IF(G388="","",INDEX(COA!$A$4:$A$123,MATCH(JU!$G388,COA!$B$4:$B$123,0)))</f>
        <v>1103</v>
      </c>
      <c r="G388" t="s">
        <v>154</v>
      </c>
      <c r="H388" s="216">
        <v>87572500</v>
      </c>
      <c r="I388" s="52" t="str">
        <f>IF(J388="","",INDEX(COA!$A$4:$A$123,MATCH(JU!$J388,COA!$B$4:$B$123,0)))</f>
        <v>2107</v>
      </c>
      <c r="J388" t="s">
        <v>50</v>
      </c>
      <c r="K388" s="34">
        <f t="shared" si="29"/>
        <v>87572500</v>
      </c>
    </row>
    <row r="389" spans="1:11" hidden="1">
      <c r="A389" s="50" t="str">
        <f t="shared" si="34"/>
        <v xml:space="preserve">By. Biaya </v>
      </c>
      <c r="B389" s="215">
        <v>46076</v>
      </c>
      <c r="C389" s="212" t="s">
        <v>308</v>
      </c>
      <c r="D389" s="51" t="s">
        <v>345</v>
      </c>
      <c r="F389" s="52" t="str">
        <f>IF(G389="","",INDEX(COA!$A$4:$A$123,MATCH(JU!$G389,COA!$B$4:$B$123,0)))</f>
        <v>2107</v>
      </c>
      <c r="G389" t="s">
        <v>50</v>
      </c>
      <c r="H389" s="216">
        <v>250000000</v>
      </c>
      <c r="I389" s="52">
        <f>IF(J389="","",INDEX(COA!$A$4:$A$123,MATCH(JU!$J389,COA!$B$4:$B$123,0)))</f>
        <v>1103</v>
      </c>
      <c r="J389" t="s">
        <v>154</v>
      </c>
      <c r="K389" s="34">
        <f t="shared" si="29"/>
        <v>250000000</v>
      </c>
    </row>
    <row r="390" spans="1:11" hidden="1">
      <c r="A390" s="50" t="str">
        <f t="shared" si="34"/>
        <v xml:space="preserve">By. Biaya </v>
      </c>
      <c r="B390" s="215">
        <v>46076</v>
      </c>
      <c r="C390" s="212" t="s">
        <v>305</v>
      </c>
      <c r="D390" s="51" t="s">
        <v>333</v>
      </c>
      <c r="F390" s="52" t="str">
        <f>IF(G390="","",INDEX(COA!$A$4:$A$123,MATCH(JU!$G390,COA!$B$4:$B$123,0)))</f>
        <v>6303</v>
      </c>
      <c r="G390" t="s">
        <v>87</v>
      </c>
      <c r="H390" s="216">
        <v>2500</v>
      </c>
      <c r="I390" s="52">
        <f>IF(J390="","",INDEX(COA!$A$4:$A$123,MATCH(JU!$J390,COA!$B$4:$B$123,0)))</f>
        <v>1103</v>
      </c>
      <c r="J390" t="s">
        <v>154</v>
      </c>
      <c r="K390" s="34">
        <f t="shared" ref="K390:K419" si="35">IF(H390="","",H390)</f>
        <v>2500</v>
      </c>
    </row>
    <row r="391" spans="1:11" hidden="1">
      <c r="A391" s="50" t="str">
        <f t="shared" si="34"/>
        <v xml:space="preserve">By. Biaya </v>
      </c>
      <c r="B391" s="215">
        <v>46076</v>
      </c>
      <c r="C391" s="212" t="s">
        <v>308</v>
      </c>
      <c r="D391" s="51" t="s">
        <v>345</v>
      </c>
      <c r="F391" s="52" t="str">
        <f>IF(G391="","",INDEX(COA!$A$4:$A$123,MATCH(JU!$G391,COA!$B$4:$B$123,0)))</f>
        <v>2107</v>
      </c>
      <c r="G391" t="s">
        <v>50</v>
      </c>
      <c r="H391" s="216">
        <v>250000000</v>
      </c>
      <c r="I391" s="52">
        <f>IF(J391="","",INDEX(COA!$A$4:$A$123,MATCH(JU!$J391,COA!$B$4:$B$123,0)))</f>
        <v>1103</v>
      </c>
      <c r="J391" t="s">
        <v>154</v>
      </c>
      <c r="K391" s="34">
        <f t="shared" si="35"/>
        <v>250000000</v>
      </c>
    </row>
    <row r="392" spans="1:11" hidden="1">
      <c r="A392" s="50" t="str">
        <f t="shared" si="34"/>
        <v xml:space="preserve">By. Biaya </v>
      </c>
      <c r="B392" s="215">
        <v>46076</v>
      </c>
      <c r="C392" s="212" t="s">
        <v>305</v>
      </c>
      <c r="D392" s="51" t="s">
        <v>333</v>
      </c>
      <c r="F392" s="52" t="str">
        <f>IF(G392="","",INDEX(COA!$A$4:$A$123,MATCH(JU!$G392,COA!$B$4:$B$123,0)))</f>
        <v>6303</v>
      </c>
      <c r="G392" t="s">
        <v>87</v>
      </c>
      <c r="H392" s="216">
        <v>2500</v>
      </c>
      <c r="I392" s="52">
        <f>IF(J392="","",INDEX(COA!$A$4:$A$123,MATCH(JU!$J392,COA!$B$4:$B$123,0)))</f>
        <v>1103</v>
      </c>
      <c r="J392" t="s">
        <v>154</v>
      </c>
      <c r="K392" s="34">
        <f t="shared" si="35"/>
        <v>2500</v>
      </c>
    </row>
    <row r="393" spans="1:11" hidden="1">
      <c r="A393" s="50" t="str">
        <f t="shared" si="34"/>
        <v xml:space="preserve">By. Biaya </v>
      </c>
      <c r="B393" s="215">
        <v>46076</v>
      </c>
      <c r="C393" s="212" t="s">
        <v>308</v>
      </c>
      <c r="D393" s="51" t="s">
        <v>345</v>
      </c>
      <c r="F393" s="52" t="str">
        <f>IF(G393="","",INDEX(COA!$A$4:$A$123,MATCH(JU!$G393,COA!$B$4:$B$123,0)))</f>
        <v>2107</v>
      </c>
      <c r="G393" t="s">
        <v>50</v>
      </c>
      <c r="H393" s="216">
        <v>21860000</v>
      </c>
      <c r="I393" s="52">
        <f>IF(J393="","",INDEX(COA!$A$4:$A$123,MATCH(JU!$J393,COA!$B$4:$B$123,0)))</f>
        <v>1103</v>
      </c>
      <c r="J393" t="s">
        <v>154</v>
      </c>
      <c r="K393" s="34">
        <f t="shared" si="35"/>
        <v>21860000</v>
      </c>
    </row>
    <row r="394" spans="1:11" hidden="1">
      <c r="A394" s="50" t="str">
        <f t="shared" si="34"/>
        <v xml:space="preserve">By. Biaya </v>
      </c>
      <c r="B394" s="215">
        <v>46076</v>
      </c>
      <c r="C394" s="212" t="s">
        <v>305</v>
      </c>
      <c r="D394" s="51" t="s">
        <v>333</v>
      </c>
      <c r="F394" s="52" t="str">
        <f>IF(G394="","",INDEX(COA!$A$4:$A$123,MATCH(JU!$G394,COA!$B$4:$B$123,0)))</f>
        <v>6303</v>
      </c>
      <c r="G394" t="s">
        <v>87</v>
      </c>
      <c r="H394" s="216">
        <v>2500</v>
      </c>
      <c r="I394" s="52">
        <f>IF(J394="","",INDEX(COA!$A$4:$A$123,MATCH(JU!$J394,COA!$B$4:$B$123,0)))</f>
        <v>1103</v>
      </c>
      <c r="J394" t="s">
        <v>154</v>
      </c>
      <c r="K394" s="34">
        <f t="shared" si="35"/>
        <v>2500</v>
      </c>
    </row>
    <row r="395" spans="1:11" hidden="1">
      <c r="A395" s="50" t="str">
        <f t="shared" si="34"/>
        <v xml:space="preserve">By. Biaya </v>
      </c>
      <c r="B395" s="215">
        <v>46077</v>
      </c>
      <c r="C395" s="212" t="s">
        <v>951</v>
      </c>
      <c r="D395" s="51" t="s">
        <v>1113</v>
      </c>
      <c r="F395" s="52">
        <f>IF(G395="","",INDEX(COA!$A$4:$A$123,MATCH(JU!$G395,COA!$B$4:$B$123,0)))</f>
        <v>1302</v>
      </c>
      <c r="G395" t="s">
        <v>31</v>
      </c>
      <c r="H395" s="216">
        <v>1722000</v>
      </c>
      <c r="I395" s="52">
        <f>IF(J395="","",INDEX(COA!$A$4:$A$123,MATCH(JU!$J395,COA!$B$4:$B$123,0)))</f>
        <v>1103</v>
      </c>
      <c r="J395" t="s">
        <v>154</v>
      </c>
      <c r="K395" s="34">
        <f t="shared" si="35"/>
        <v>1722000</v>
      </c>
    </row>
    <row r="396" spans="1:11" hidden="1">
      <c r="A396" s="50" t="str">
        <f t="shared" si="34"/>
        <v xml:space="preserve">By. Biaya </v>
      </c>
      <c r="B396" s="215">
        <v>46077</v>
      </c>
      <c r="C396" s="212" t="s">
        <v>952</v>
      </c>
      <c r="D396" s="51" t="s">
        <v>1114</v>
      </c>
      <c r="F396" s="52">
        <f>IF(G396="","",INDEX(COA!$A$4:$A$123,MATCH(JU!$G396,COA!$B$4:$B$123,0)))</f>
        <v>1302</v>
      </c>
      <c r="G396" t="s">
        <v>31</v>
      </c>
      <c r="H396" s="216">
        <v>5500000</v>
      </c>
      <c r="I396" s="52">
        <f>IF(J396="","",INDEX(COA!$A$4:$A$123,MATCH(JU!$J396,COA!$B$4:$B$123,0)))</f>
        <v>1103</v>
      </c>
      <c r="J396" t="s">
        <v>154</v>
      </c>
      <c r="K396" s="34">
        <f t="shared" si="35"/>
        <v>5500000</v>
      </c>
    </row>
    <row r="397" spans="1:11" hidden="1">
      <c r="A397" s="50" t="str">
        <f t="shared" si="34"/>
        <v xml:space="preserve">By. Biaya </v>
      </c>
      <c r="B397" s="215">
        <v>46077</v>
      </c>
      <c r="C397" s="212" t="s">
        <v>953</v>
      </c>
      <c r="D397" s="51" t="s">
        <v>1115</v>
      </c>
      <c r="F397" s="52">
        <f>IF(G397="","",INDEX(COA!$A$4:$A$123,MATCH(JU!$G397,COA!$B$4:$B$123,0)))</f>
        <v>5108</v>
      </c>
      <c r="G397" t="s">
        <v>72</v>
      </c>
      <c r="H397" s="216">
        <v>500000</v>
      </c>
      <c r="I397" s="52">
        <f>IF(J397="","",INDEX(COA!$A$4:$A$123,MATCH(JU!$J397,COA!$B$4:$B$123,0)))</f>
        <v>1103</v>
      </c>
      <c r="J397" t="s">
        <v>154</v>
      </c>
      <c r="K397" s="34">
        <f t="shared" si="35"/>
        <v>500000</v>
      </c>
    </row>
    <row r="398" spans="1:11" hidden="1">
      <c r="A398" s="50" t="str">
        <f t="shared" si="34"/>
        <v xml:space="preserve">By. Biaya </v>
      </c>
      <c r="B398" s="215">
        <v>46077</v>
      </c>
      <c r="C398" s="212" t="s">
        <v>954</v>
      </c>
      <c r="D398" s="51" t="s">
        <v>1116</v>
      </c>
      <c r="F398" s="52">
        <f>IF(G398="","",INDEX(COA!$A$4:$A$123,MATCH(JU!$G398,COA!$B$4:$B$123,0)))</f>
        <v>1302</v>
      </c>
      <c r="G398" t="s">
        <v>31</v>
      </c>
      <c r="H398" s="216">
        <v>1545000</v>
      </c>
      <c r="I398" s="52">
        <f>IF(J398="","",INDEX(COA!$A$4:$A$123,MATCH(JU!$J398,COA!$B$4:$B$123,0)))</f>
        <v>1103</v>
      </c>
      <c r="J398" t="s">
        <v>154</v>
      </c>
      <c r="K398" s="34">
        <f t="shared" si="35"/>
        <v>1545000</v>
      </c>
    </row>
    <row r="399" spans="1:11" hidden="1">
      <c r="A399" s="50" t="str">
        <f t="shared" si="34"/>
        <v xml:space="preserve">By. Biaya </v>
      </c>
      <c r="B399" s="215">
        <v>46077</v>
      </c>
      <c r="C399" s="212" t="s">
        <v>955</v>
      </c>
      <c r="D399" s="51" t="s">
        <v>1117</v>
      </c>
      <c r="F399" s="52">
        <f>IF(G399="","",INDEX(COA!$A$4:$A$123,MATCH(JU!$G399,COA!$B$4:$B$123,0)))</f>
        <v>1302</v>
      </c>
      <c r="G399" t="s">
        <v>31</v>
      </c>
      <c r="H399" s="216">
        <v>1200000</v>
      </c>
      <c r="I399" s="52">
        <f>IF(J399="","",INDEX(COA!$A$4:$A$123,MATCH(JU!$J399,COA!$B$4:$B$123,0)))</f>
        <v>1103</v>
      </c>
      <c r="J399" t="s">
        <v>154</v>
      </c>
      <c r="K399" s="34">
        <f t="shared" si="35"/>
        <v>1200000</v>
      </c>
    </row>
    <row r="400" spans="1:11" hidden="1">
      <c r="A400" s="50" t="str">
        <f t="shared" si="34"/>
        <v xml:space="preserve">By. Biaya </v>
      </c>
      <c r="B400" s="215">
        <v>46077</v>
      </c>
      <c r="C400" s="212" t="s">
        <v>305</v>
      </c>
      <c r="D400" s="51" t="s">
        <v>333</v>
      </c>
      <c r="F400" s="52" t="str">
        <f>IF(G400="","",INDEX(COA!$A$4:$A$123,MATCH(JU!$G400,COA!$B$4:$B$123,0)))</f>
        <v>6303</v>
      </c>
      <c r="G400" t="s">
        <v>87</v>
      </c>
      <c r="H400" s="216">
        <v>2500</v>
      </c>
      <c r="I400" s="52">
        <f>IF(J400="","",INDEX(COA!$A$4:$A$123,MATCH(JU!$J400,COA!$B$4:$B$123,0)))</f>
        <v>1103</v>
      </c>
      <c r="J400" t="s">
        <v>154</v>
      </c>
      <c r="K400" s="34">
        <f t="shared" si="35"/>
        <v>2500</v>
      </c>
    </row>
    <row r="401" spans="1:11" hidden="1">
      <c r="A401" s="50" t="str">
        <f t="shared" si="34"/>
        <v xml:space="preserve">By. Biaya </v>
      </c>
      <c r="B401" s="215">
        <v>46077</v>
      </c>
      <c r="C401" s="212" t="s">
        <v>956</v>
      </c>
      <c r="D401" s="51" t="s">
        <v>1118</v>
      </c>
      <c r="F401" s="52">
        <f>IF(G401="","",INDEX(COA!$A$4:$A$123,MATCH(JU!$G401,COA!$B$4:$B$123,0)))</f>
        <v>7101</v>
      </c>
      <c r="G401" t="s">
        <v>93</v>
      </c>
      <c r="H401" s="216">
        <v>1730000</v>
      </c>
      <c r="I401" s="52">
        <f>IF(J401="","",INDEX(COA!$A$4:$A$123,MATCH(JU!$J401,COA!$B$4:$B$123,0)))</f>
        <v>1103</v>
      </c>
      <c r="J401" t="s">
        <v>154</v>
      </c>
      <c r="K401" s="34">
        <f t="shared" si="35"/>
        <v>1730000</v>
      </c>
    </row>
    <row r="402" spans="1:11">
      <c r="A402" s="50" t="str">
        <f t="shared" si="34"/>
        <v xml:space="preserve">By. Biaya </v>
      </c>
      <c r="B402" s="215">
        <v>46078</v>
      </c>
      <c r="C402" s="212" t="s">
        <v>957</v>
      </c>
      <c r="D402" s="51" t="s">
        <v>1119</v>
      </c>
      <c r="F402" s="52">
        <f>IF(G402="","",INDEX(COA!$A$4:$A$123,MATCH(JU!$G402,COA!$B$4:$B$123,0)))</f>
        <v>1302</v>
      </c>
      <c r="G402" t="s">
        <v>31</v>
      </c>
      <c r="H402" s="216">
        <v>2750000</v>
      </c>
      <c r="I402" s="52">
        <f>IF(J402="","",INDEX(COA!$A$4:$A$123,MATCH(JU!$J402,COA!$B$4:$B$123,0)))</f>
        <v>1103</v>
      </c>
      <c r="J402" t="s">
        <v>154</v>
      </c>
      <c r="K402" s="34">
        <f t="shared" si="35"/>
        <v>2750000</v>
      </c>
    </row>
    <row r="403" spans="1:11" hidden="1">
      <c r="A403" s="50" t="str">
        <f t="shared" si="34"/>
        <v xml:space="preserve">By. Biaya </v>
      </c>
      <c r="B403" s="215">
        <v>46078</v>
      </c>
      <c r="C403" s="212" t="s">
        <v>958</v>
      </c>
      <c r="D403" s="51" t="s">
        <v>1120</v>
      </c>
      <c r="F403" s="52">
        <f>IF(G403="","",INDEX(COA!$A$4:$A$123,MATCH(JU!$G403,COA!$B$4:$B$123,0)))</f>
        <v>1302</v>
      </c>
      <c r="G403" t="s">
        <v>31</v>
      </c>
      <c r="H403" s="216">
        <v>19590000</v>
      </c>
      <c r="I403" s="52">
        <f>IF(J403="","",INDEX(COA!$A$4:$A$123,MATCH(JU!$J403,COA!$B$4:$B$123,0)))</f>
        <v>1103</v>
      </c>
      <c r="J403" t="s">
        <v>154</v>
      </c>
      <c r="K403" s="34">
        <f t="shared" si="35"/>
        <v>19590000</v>
      </c>
    </row>
    <row r="404" spans="1:11" hidden="1">
      <c r="A404" s="50" t="str">
        <f t="shared" si="34"/>
        <v xml:space="preserve">By. Biaya </v>
      </c>
      <c r="B404" s="215">
        <v>46078</v>
      </c>
      <c r="C404" s="212" t="s">
        <v>959</v>
      </c>
      <c r="D404" s="51" t="s">
        <v>1121</v>
      </c>
      <c r="F404" s="52">
        <f>IF(G404="","",INDEX(COA!$A$4:$A$123,MATCH(JU!$G404,COA!$B$4:$B$123,0)))</f>
        <v>1302</v>
      </c>
      <c r="G404" t="s">
        <v>31</v>
      </c>
      <c r="H404" s="216">
        <v>2568000</v>
      </c>
      <c r="I404" s="52">
        <f>IF(J404="","",INDEX(COA!$A$4:$A$123,MATCH(JU!$J404,COA!$B$4:$B$123,0)))</f>
        <v>1103</v>
      </c>
      <c r="J404" t="s">
        <v>154</v>
      </c>
      <c r="K404" s="34">
        <f t="shared" si="35"/>
        <v>2568000</v>
      </c>
    </row>
    <row r="405" spans="1:11" hidden="1">
      <c r="A405" s="50" t="str">
        <f t="shared" si="34"/>
        <v xml:space="preserve">Terima Uang Masuk atas </v>
      </c>
      <c r="B405" s="215">
        <v>46078</v>
      </c>
      <c r="C405" s="212" t="s">
        <v>960</v>
      </c>
      <c r="D405" s="51" t="s">
        <v>1122</v>
      </c>
      <c r="F405" s="52">
        <f>IF(G405="","",INDEX(COA!$A$4:$A$123,MATCH(JU!$G405,COA!$B$4:$B$123,0)))</f>
        <v>1103</v>
      </c>
      <c r="G405" t="s">
        <v>154</v>
      </c>
      <c r="H405" s="216">
        <v>140250000</v>
      </c>
      <c r="I405" s="52">
        <f>IF(J405="","",INDEX(COA!$A$4:$A$123,MATCH(JU!$J405,COA!$B$4:$B$123,0)))</f>
        <v>1202</v>
      </c>
      <c r="J405" t="s">
        <v>27</v>
      </c>
      <c r="K405" s="34">
        <f t="shared" si="35"/>
        <v>140250000</v>
      </c>
    </row>
    <row r="406" spans="1:11" hidden="1">
      <c r="A406" s="50" t="str">
        <f t="shared" si="34"/>
        <v xml:space="preserve">By. Biaya </v>
      </c>
      <c r="B406" s="215">
        <v>46078</v>
      </c>
      <c r="C406" s="212" t="s">
        <v>961</v>
      </c>
      <c r="D406" s="51" t="s">
        <v>1123</v>
      </c>
      <c r="F406" s="52">
        <f>IF(G406="","",INDEX(COA!$A$4:$A$123,MATCH(JU!$G406,COA!$B$4:$B$123,0)))</f>
        <v>1203</v>
      </c>
      <c r="G406" t="s">
        <v>140</v>
      </c>
      <c r="H406" s="216">
        <v>30000000</v>
      </c>
      <c r="I406" s="52">
        <f>IF(J406="","",INDEX(COA!$A$4:$A$123,MATCH(JU!$J406,COA!$B$4:$B$123,0)))</f>
        <v>1103</v>
      </c>
      <c r="J406" t="s">
        <v>154</v>
      </c>
      <c r="K406" s="34">
        <f t="shared" si="35"/>
        <v>30000000</v>
      </c>
    </row>
    <row r="407" spans="1:11" hidden="1">
      <c r="A407" s="50" t="str">
        <f t="shared" si="34"/>
        <v xml:space="preserve">By. Biaya </v>
      </c>
      <c r="B407" s="215">
        <v>46078</v>
      </c>
      <c r="C407" s="212" t="s">
        <v>962</v>
      </c>
      <c r="D407" s="51" t="s">
        <v>1124</v>
      </c>
      <c r="F407" s="52" t="str">
        <f>IF(G407="","",INDEX(COA!$A$4:$A$123,MATCH(JU!$G407,COA!$B$4:$B$123,0)))</f>
        <v>6303</v>
      </c>
      <c r="G407" t="s">
        <v>87</v>
      </c>
      <c r="H407" s="216">
        <v>2500000</v>
      </c>
      <c r="I407" s="52">
        <f>IF(J407="","",INDEX(COA!$A$4:$A$123,MATCH(JU!$J407,COA!$B$4:$B$123,0)))</f>
        <v>1103</v>
      </c>
      <c r="J407" t="s">
        <v>154</v>
      </c>
      <c r="K407" s="34">
        <f t="shared" si="35"/>
        <v>2500000</v>
      </c>
    </row>
    <row r="408" spans="1:11" hidden="1">
      <c r="A408" s="50" t="str">
        <f t="shared" si="34"/>
        <v xml:space="preserve">By. Biaya </v>
      </c>
      <c r="B408" s="215">
        <v>46078</v>
      </c>
      <c r="C408" s="212" t="s">
        <v>963</v>
      </c>
      <c r="D408" s="51" t="s">
        <v>1125</v>
      </c>
      <c r="F408" s="52">
        <f>IF(G408="","",INDEX(COA!$A$4:$A$123,MATCH(JU!$G408,COA!$B$4:$B$123,0)))</f>
        <v>1302</v>
      </c>
      <c r="G408" t="s">
        <v>31</v>
      </c>
      <c r="H408" s="216">
        <v>250000</v>
      </c>
      <c r="I408" s="52">
        <f>IF(J408="","",INDEX(COA!$A$4:$A$123,MATCH(JU!$J408,COA!$B$4:$B$123,0)))</f>
        <v>1103</v>
      </c>
      <c r="J408" t="s">
        <v>154</v>
      </c>
      <c r="K408" s="34">
        <f t="shared" si="35"/>
        <v>250000</v>
      </c>
    </row>
    <row r="409" spans="1:11" hidden="1">
      <c r="A409" s="50" t="str">
        <f t="shared" si="34"/>
        <v xml:space="preserve">By. Biaya </v>
      </c>
      <c r="B409" s="215">
        <v>46078</v>
      </c>
      <c r="C409" s="212" t="s">
        <v>305</v>
      </c>
      <c r="D409" s="51" t="s">
        <v>333</v>
      </c>
      <c r="F409" s="52" t="str">
        <f>IF(G409="","",INDEX(COA!$A$4:$A$123,MATCH(JU!$G409,COA!$B$4:$B$123,0)))</f>
        <v>6303</v>
      </c>
      <c r="G409" t="s">
        <v>87</v>
      </c>
      <c r="H409" s="216">
        <v>2500</v>
      </c>
      <c r="I409" s="52">
        <f>IF(J409="","",INDEX(COA!$A$4:$A$123,MATCH(JU!$J409,COA!$B$4:$B$123,0)))</f>
        <v>1103</v>
      </c>
      <c r="J409" t="s">
        <v>154</v>
      </c>
      <c r="K409" s="34">
        <f t="shared" si="35"/>
        <v>2500</v>
      </c>
    </row>
    <row r="410" spans="1:11" hidden="1">
      <c r="A410" s="50" t="str">
        <f t="shared" si="34"/>
        <v xml:space="preserve">By. Biaya </v>
      </c>
      <c r="B410" s="215">
        <v>46078</v>
      </c>
      <c r="C410" s="212" t="s">
        <v>964</v>
      </c>
      <c r="D410" s="51" t="s">
        <v>1126</v>
      </c>
      <c r="F410" s="52">
        <f>IF(G410="","",INDEX(COA!$A$4:$A$123,MATCH(JU!$G410,COA!$B$4:$B$123,0)))</f>
        <v>1302</v>
      </c>
      <c r="G410" t="s">
        <v>31</v>
      </c>
      <c r="H410" s="216">
        <v>1700000</v>
      </c>
      <c r="I410" s="52">
        <f>IF(J410="","",INDEX(COA!$A$4:$A$123,MATCH(JU!$J410,COA!$B$4:$B$123,0)))</f>
        <v>1103</v>
      </c>
      <c r="J410" t="s">
        <v>154</v>
      </c>
      <c r="K410" s="34">
        <f t="shared" si="35"/>
        <v>1700000</v>
      </c>
    </row>
    <row r="411" spans="1:11" hidden="1">
      <c r="A411" s="50" t="str">
        <f t="shared" si="34"/>
        <v xml:space="preserve">By. Biaya </v>
      </c>
      <c r="B411" s="215">
        <v>46078</v>
      </c>
      <c r="C411" s="212" t="s">
        <v>965</v>
      </c>
      <c r="D411" s="51" t="s">
        <v>1127</v>
      </c>
      <c r="F411" s="52">
        <f>IF(G411="","",INDEX(COA!$A$4:$A$123,MATCH(JU!$G411,COA!$B$4:$B$123,0)))</f>
        <v>1302</v>
      </c>
      <c r="G411" t="s">
        <v>31</v>
      </c>
      <c r="H411" s="216">
        <v>1200000</v>
      </c>
      <c r="I411" s="52">
        <f>IF(J411="","",INDEX(COA!$A$4:$A$123,MATCH(JU!$J411,COA!$B$4:$B$123,0)))</f>
        <v>1103</v>
      </c>
      <c r="J411" t="s">
        <v>154</v>
      </c>
      <c r="K411" s="34">
        <f t="shared" si="35"/>
        <v>1200000</v>
      </c>
    </row>
    <row r="412" spans="1:11" hidden="1">
      <c r="A412" s="50" t="str">
        <f t="shared" si="34"/>
        <v xml:space="preserve">By. Biaya </v>
      </c>
      <c r="B412" s="215">
        <v>46078</v>
      </c>
      <c r="C412" s="212" t="s">
        <v>305</v>
      </c>
      <c r="D412" s="51" t="s">
        <v>333</v>
      </c>
      <c r="F412" s="52" t="str">
        <f>IF(G412="","",INDEX(COA!$A$4:$A$123,MATCH(JU!$G412,COA!$B$4:$B$123,0)))</f>
        <v>6303</v>
      </c>
      <c r="G412" t="s">
        <v>87</v>
      </c>
      <c r="H412" s="216">
        <v>2500</v>
      </c>
      <c r="I412" s="52">
        <f>IF(J412="","",INDEX(COA!$A$4:$A$123,MATCH(JU!$J412,COA!$B$4:$B$123,0)))</f>
        <v>1103</v>
      </c>
      <c r="J412" t="s">
        <v>154</v>
      </c>
      <c r="K412" s="34">
        <f t="shared" si="35"/>
        <v>2500</v>
      </c>
    </row>
    <row r="413" spans="1:11" hidden="1">
      <c r="A413" s="50" t="str">
        <f t="shared" si="34"/>
        <v xml:space="preserve">By. Biaya </v>
      </c>
      <c r="B413" s="215">
        <v>46078</v>
      </c>
      <c r="C413" s="212" t="s">
        <v>966</v>
      </c>
      <c r="D413" s="51" t="s">
        <v>1128</v>
      </c>
      <c r="F413" s="52">
        <f>IF(G413="","",INDEX(COA!$A$4:$A$123,MATCH(JU!$G413,COA!$B$4:$B$123,0)))</f>
        <v>1302</v>
      </c>
      <c r="G413" t="s">
        <v>31</v>
      </c>
      <c r="H413" s="216">
        <v>1545000</v>
      </c>
      <c r="I413" s="52">
        <f>IF(J413="","",INDEX(COA!$A$4:$A$123,MATCH(JU!$J413,COA!$B$4:$B$123,0)))</f>
        <v>1103</v>
      </c>
      <c r="J413" t="s">
        <v>154</v>
      </c>
      <c r="K413" s="34">
        <f t="shared" si="35"/>
        <v>1545000</v>
      </c>
    </row>
    <row r="414" spans="1:11" hidden="1">
      <c r="A414" s="50" t="str">
        <f t="shared" si="34"/>
        <v xml:space="preserve">By. Biaya </v>
      </c>
      <c r="B414" s="215">
        <v>46078</v>
      </c>
      <c r="C414" s="212" t="s">
        <v>331</v>
      </c>
      <c r="D414" s="51" t="s">
        <v>360</v>
      </c>
      <c r="F414" s="52">
        <f>IF(G414="","",INDEX(COA!$A$4:$A$123,MATCH(JU!$G414,COA!$B$4:$B$123,0)))</f>
        <v>1302</v>
      </c>
      <c r="G414" t="s">
        <v>31</v>
      </c>
      <c r="H414" s="216">
        <v>150000</v>
      </c>
      <c r="I414" s="52">
        <f>IF(J414="","",INDEX(COA!$A$4:$A$123,MATCH(JU!$J414,COA!$B$4:$B$123,0)))</f>
        <v>1103</v>
      </c>
      <c r="J414" t="s">
        <v>154</v>
      </c>
      <c r="K414" s="34">
        <f t="shared" si="35"/>
        <v>150000</v>
      </c>
    </row>
    <row r="415" spans="1:11" hidden="1">
      <c r="A415" s="50" t="str">
        <f t="shared" si="34"/>
        <v xml:space="preserve">Terima Uang Masuk atas </v>
      </c>
      <c r="B415" s="215">
        <v>46078</v>
      </c>
      <c r="C415" s="212" t="s">
        <v>967</v>
      </c>
      <c r="D415" s="51" t="s">
        <v>1129</v>
      </c>
      <c r="F415" s="52">
        <f>IF(G415="","",INDEX(COA!$A$4:$A$123,MATCH(JU!$G415,COA!$B$4:$B$123,0)))</f>
        <v>1103</v>
      </c>
      <c r="G415" t="s">
        <v>154</v>
      </c>
      <c r="H415" s="216">
        <v>10000000</v>
      </c>
      <c r="I415" s="52">
        <f>IF(J415="","",INDEX(COA!$A$4:$A$123,MATCH(JU!$J415,COA!$B$4:$B$123,0)))</f>
        <v>4102</v>
      </c>
      <c r="J415" t="s">
        <v>62</v>
      </c>
      <c r="K415" s="34">
        <f t="shared" si="35"/>
        <v>10000000</v>
      </c>
    </row>
    <row r="416" spans="1:11">
      <c r="A416" s="50" t="str">
        <f t="shared" si="34"/>
        <v xml:space="preserve">By. Biaya </v>
      </c>
      <c r="B416" s="215">
        <v>46078</v>
      </c>
      <c r="C416" s="212" t="s">
        <v>968</v>
      </c>
      <c r="D416" s="51" t="s">
        <v>1130</v>
      </c>
      <c r="F416" s="52">
        <f>IF(G416="","",INDEX(COA!$A$4:$A$123,MATCH(JU!$G416,COA!$B$4:$B$123,0)))</f>
        <v>1302</v>
      </c>
      <c r="G416" t="s">
        <v>31</v>
      </c>
      <c r="H416" s="216">
        <v>9000000</v>
      </c>
      <c r="I416" s="52">
        <f>IF(J416="","",INDEX(COA!$A$4:$A$123,MATCH(JU!$J416,COA!$B$4:$B$123,0)))</f>
        <v>1103</v>
      </c>
      <c r="J416" t="s">
        <v>154</v>
      </c>
      <c r="K416" s="34">
        <f t="shared" si="35"/>
        <v>9000000</v>
      </c>
    </row>
    <row r="417" spans="1:12" hidden="1">
      <c r="A417" s="50" t="str">
        <f t="shared" si="34"/>
        <v xml:space="preserve">By. Biaya </v>
      </c>
      <c r="B417" s="215">
        <v>46078</v>
      </c>
      <c r="C417" s="212" t="s">
        <v>969</v>
      </c>
      <c r="D417" s="51" t="s">
        <v>1131</v>
      </c>
      <c r="F417" s="52">
        <f>IF(G417="","",INDEX(COA!$A$4:$A$123,MATCH(JU!$G417,COA!$B$4:$B$123,0)))</f>
        <v>4102</v>
      </c>
      <c r="G417" t="s">
        <v>62</v>
      </c>
      <c r="H417" s="216">
        <v>2000000</v>
      </c>
      <c r="I417" s="52">
        <f>IF(J417="","",INDEX(COA!$A$4:$A$123,MATCH(JU!$J417,COA!$B$4:$B$123,0)))</f>
        <v>1103</v>
      </c>
      <c r="J417" t="s">
        <v>154</v>
      </c>
      <c r="K417" s="34">
        <f t="shared" si="35"/>
        <v>2000000</v>
      </c>
    </row>
    <row r="418" spans="1:12" hidden="1">
      <c r="A418" s="50" t="str">
        <f t="shared" si="34"/>
        <v xml:space="preserve">By. Biaya </v>
      </c>
      <c r="B418" s="215">
        <v>46078</v>
      </c>
      <c r="C418" s="212" t="s">
        <v>305</v>
      </c>
      <c r="D418" s="51" t="s">
        <v>333</v>
      </c>
      <c r="F418" s="52" t="str">
        <f>IF(G418="","",INDEX(COA!$A$4:$A$123,MATCH(JU!$G418,COA!$B$4:$B$123,0)))</f>
        <v>6303</v>
      </c>
      <c r="G418" t="s">
        <v>87</v>
      </c>
      <c r="H418" s="216">
        <v>2500</v>
      </c>
      <c r="I418" s="52">
        <f>IF(J418="","",INDEX(COA!$A$4:$A$123,MATCH(JU!$J418,COA!$B$4:$B$123,0)))</f>
        <v>1103</v>
      </c>
      <c r="J418" t="s">
        <v>154</v>
      </c>
      <c r="K418" s="34">
        <f t="shared" ref="K418" si="36">IF(H418="","",H418)</f>
        <v>2500</v>
      </c>
    </row>
    <row r="419" spans="1:12" hidden="1">
      <c r="A419" s="50" t="str">
        <f t="shared" si="34"/>
        <v xml:space="preserve">By. Biaya </v>
      </c>
      <c r="B419" s="215">
        <v>46078</v>
      </c>
      <c r="C419" s="212" t="s">
        <v>970</v>
      </c>
      <c r="D419" s="51" t="s">
        <v>1152</v>
      </c>
      <c r="F419" s="52">
        <f>IF(G419="","",INDEX(COA!$A$4:$A$123,MATCH(JU!$G419,COA!$B$4:$B$123,0)))</f>
        <v>5107</v>
      </c>
      <c r="G419" t="s">
        <v>71</v>
      </c>
      <c r="H419" s="216">
        <v>1630000</v>
      </c>
      <c r="I419" s="52">
        <f>IF(J419="","",INDEX(COA!$A$4:$A$123,MATCH(JU!$J419,COA!$B$4:$B$123,0)))</f>
        <v>1103</v>
      </c>
      <c r="J419" t="s">
        <v>154</v>
      </c>
      <c r="K419" s="34">
        <f t="shared" si="35"/>
        <v>1630000</v>
      </c>
    </row>
    <row r="420" spans="1:12" hidden="1">
      <c r="A420" s="50" t="str">
        <f t="shared" si="34"/>
        <v xml:space="preserve">By. Biaya </v>
      </c>
      <c r="B420" s="215">
        <v>46079</v>
      </c>
      <c r="C420" s="212" t="s">
        <v>971</v>
      </c>
      <c r="D420" s="51" t="s">
        <v>1132</v>
      </c>
      <c r="F420" s="52">
        <f>IF(G420="","",INDEX(COA!$A$4:$A$123,MATCH(JU!$G420,COA!$B$4:$B$123,0)))</f>
        <v>1302</v>
      </c>
      <c r="G420" t="s">
        <v>31</v>
      </c>
      <c r="H420" s="216">
        <v>1700000</v>
      </c>
      <c r="I420" s="52">
        <f>IF(J420="","",INDEX(COA!$A$4:$A$123,MATCH(JU!$J420,COA!$B$4:$B$123,0)))</f>
        <v>1103</v>
      </c>
      <c r="J420" t="s">
        <v>154</v>
      </c>
      <c r="K420" s="34">
        <f t="shared" ref="K420:K481" si="37">IF(H420="","",H420)</f>
        <v>1700000</v>
      </c>
    </row>
    <row r="421" spans="1:12" hidden="1">
      <c r="A421" s="50" t="str">
        <f t="shared" si="34"/>
        <v xml:space="preserve">By. Biaya </v>
      </c>
      <c r="B421" s="215">
        <v>46079</v>
      </c>
      <c r="C421" s="212" t="s">
        <v>972</v>
      </c>
      <c r="D421" s="51" t="s">
        <v>1133</v>
      </c>
      <c r="F421" s="52">
        <f>IF(G421="","",INDEX(COA!$A$4:$A$123,MATCH(JU!$G421,COA!$B$4:$B$123,0)))</f>
        <v>5107</v>
      </c>
      <c r="G421" t="s">
        <v>71</v>
      </c>
      <c r="H421" s="216">
        <v>25500000</v>
      </c>
      <c r="I421" s="52">
        <f>IF(J421="","",INDEX(COA!$A$4:$A$123,MATCH(JU!$J421,COA!$B$4:$B$123,0)))</f>
        <v>1103</v>
      </c>
      <c r="J421" t="s">
        <v>154</v>
      </c>
      <c r="K421" s="34">
        <f t="shared" si="37"/>
        <v>25500000</v>
      </c>
    </row>
    <row r="422" spans="1:12" hidden="1">
      <c r="A422" s="50" t="str">
        <f t="shared" si="34"/>
        <v xml:space="preserve">By. Biaya </v>
      </c>
      <c r="B422" s="215">
        <v>46079</v>
      </c>
      <c r="C422" s="212" t="s">
        <v>973</v>
      </c>
      <c r="D422" s="51" t="s">
        <v>1134</v>
      </c>
      <c r="F422" s="52">
        <f>IF(G422="","",INDEX(COA!$A$4:$A$123,MATCH(JU!$G422,COA!$B$4:$B$123,0)))</f>
        <v>6402</v>
      </c>
      <c r="G422" t="s">
        <v>90</v>
      </c>
      <c r="H422" s="216">
        <v>200000</v>
      </c>
      <c r="I422" s="52">
        <f>IF(J422="","",INDEX(COA!$A$4:$A$123,MATCH(JU!$J422,COA!$B$4:$B$123,0)))</f>
        <v>1103</v>
      </c>
      <c r="J422" t="s">
        <v>154</v>
      </c>
      <c r="K422" s="34">
        <f t="shared" si="37"/>
        <v>200000</v>
      </c>
    </row>
    <row r="423" spans="1:12" hidden="1">
      <c r="A423" s="50" t="str">
        <f t="shared" si="34"/>
        <v xml:space="preserve">By. Biaya </v>
      </c>
      <c r="B423" s="215">
        <v>46079</v>
      </c>
      <c r="C423" s="212" t="s">
        <v>974</v>
      </c>
      <c r="D423" s="51" t="s">
        <v>1135</v>
      </c>
      <c r="F423" s="52">
        <f>IF(G423="","",INDEX(COA!$A$4:$A$123,MATCH(JU!$G423,COA!$B$4:$B$123,0)))</f>
        <v>1302</v>
      </c>
      <c r="G423" t="s">
        <v>31</v>
      </c>
      <c r="H423" s="216">
        <v>1545000</v>
      </c>
      <c r="I423" s="52">
        <f>IF(J423="","",INDEX(COA!$A$4:$A$123,MATCH(JU!$J423,COA!$B$4:$B$123,0)))</f>
        <v>1103</v>
      </c>
      <c r="J423" t="s">
        <v>154</v>
      </c>
      <c r="K423" s="34">
        <f t="shared" si="37"/>
        <v>1545000</v>
      </c>
    </row>
    <row r="424" spans="1:12" hidden="1">
      <c r="A424" s="50" t="str">
        <f t="shared" si="34"/>
        <v xml:space="preserve">By. Biaya </v>
      </c>
      <c r="B424" s="215">
        <v>46079</v>
      </c>
      <c r="C424" s="212" t="s">
        <v>975</v>
      </c>
      <c r="D424" s="51" t="s">
        <v>1136</v>
      </c>
      <c r="F424" s="52">
        <f>IF(G424="","",INDEX(COA!$A$4:$A$123,MATCH(JU!$G424,COA!$B$4:$B$123,0)))</f>
        <v>7103</v>
      </c>
      <c r="G424" t="s">
        <v>95</v>
      </c>
      <c r="H424" s="216">
        <v>427532</v>
      </c>
      <c r="I424" s="52">
        <f>IF(J424="","",INDEX(COA!$A$4:$A$123,MATCH(JU!$J424,COA!$B$4:$B$123,0)))</f>
        <v>1103</v>
      </c>
      <c r="J424" t="s">
        <v>154</v>
      </c>
      <c r="K424" s="34">
        <f t="shared" si="37"/>
        <v>427532</v>
      </c>
    </row>
    <row r="425" spans="1:12" hidden="1">
      <c r="A425" s="50" t="str">
        <f t="shared" si="34"/>
        <v xml:space="preserve">By. Biaya </v>
      </c>
      <c r="B425" s="215">
        <v>46080</v>
      </c>
      <c r="C425" s="212" t="s">
        <v>976</v>
      </c>
      <c r="D425" s="51" t="s">
        <v>1137</v>
      </c>
      <c r="F425" s="52">
        <f>IF(G425="","",INDEX(COA!$A$4:$A$123,MATCH(JU!$G425,COA!$B$4:$B$123,0)))</f>
        <v>5107</v>
      </c>
      <c r="G425" t="s">
        <v>71</v>
      </c>
      <c r="H425" s="216">
        <v>300000</v>
      </c>
      <c r="I425" s="52">
        <f>IF(J425="","",INDEX(COA!$A$4:$A$123,MATCH(JU!$J425,COA!$B$4:$B$123,0)))</f>
        <v>1103</v>
      </c>
      <c r="J425" t="s">
        <v>154</v>
      </c>
      <c r="K425" s="34">
        <f t="shared" si="37"/>
        <v>300000</v>
      </c>
    </row>
    <row r="426" spans="1:12" hidden="1">
      <c r="A426" s="50" t="str">
        <f t="shared" si="34"/>
        <v xml:space="preserve">By. Biaya </v>
      </c>
      <c r="B426" s="215">
        <v>46080</v>
      </c>
      <c r="C426" s="212" t="s">
        <v>977</v>
      </c>
      <c r="D426" s="256" t="s">
        <v>1138</v>
      </c>
      <c r="F426" s="52" t="str">
        <f>IF(G426="","",INDEX(COA!$A$4:$A$123,MATCH(JU!$G426,COA!$B$4:$B$123,0)))</f>
        <v>2108</v>
      </c>
      <c r="G426" t="s">
        <v>51</v>
      </c>
      <c r="H426" s="216">
        <v>5832000</v>
      </c>
      <c r="I426" s="52">
        <f>IF(J426="","",INDEX(COA!$A$4:$A$123,MATCH(JU!$J426,COA!$B$4:$B$123,0)))</f>
        <v>1103</v>
      </c>
      <c r="J426" t="s">
        <v>154</v>
      </c>
      <c r="K426" s="34">
        <f t="shared" si="37"/>
        <v>5832000</v>
      </c>
      <c r="L426" s="237">
        <f>K426/3</f>
        <v>1944000</v>
      </c>
    </row>
    <row r="427" spans="1:12" hidden="1">
      <c r="A427" s="50" t="str">
        <f t="shared" si="34"/>
        <v xml:space="preserve">By. Biaya </v>
      </c>
      <c r="B427" s="215">
        <v>46080</v>
      </c>
      <c r="C427" s="212" t="s">
        <v>978</v>
      </c>
      <c r="D427" s="51" t="s">
        <v>1139</v>
      </c>
      <c r="F427" s="52">
        <f>IF(G427="","",INDEX(COA!$A$4:$A$123,MATCH(JU!$G427,COA!$B$4:$B$123,0)))</f>
        <v>4102</v>
      </c>
      <c r="G427" t="s">
        <v>62</v>
      </c>
      <c r="H427" s="216">
        <v>1000000</v>
      </c>
      <c r="I427" s="52">
        <f>IF(J427="","",INDEX(COA!$A$4:$A$123,MATCH(JU!$J427,COA!$B$4:$B$123,0)))</f>
        <v>1103</v>
      </c>
      <c r="J427" t="s">
        <v>154</v>
      </c>
      <c r="K427" s="34">
        <f t="shared" si="37"/>
        <v>1000000</v>
      </c>
    </row>
    <row r="428" spans="1:12" hidden="1">
      <c r="A428" s="50" t="str">
        <f t="shared" si="34"/>
        <v xml:space="preserve">By. Biaya </v>
      </c>
      <c r="B428" s="215">
        <v>46080</v>
      </c>
      <c r="C428" s="212" t="s">
        <v>979</v>
      </c>
      <c r="D428" s="51" t="s">
        <v>1140</v>
      </c>
      <c r="F428" s="52">
        <f>IF(G428="","",INDEX(COA!$A$4:$A$123,MATCH(JU!$G428,COA!$B$4:$B$123,0)))</f>
        <v>5110</v>
      </c>
      <c r="G428" t="s">
        <v>74</v>
      </c>
      <c r="H428" s="216">
        <v>3740000</v>
      </c>
      <c r="I428" s="52">
        <f>IF(J428="","",INDEX(COA!$A$4:$A$123,MATCH(JU!$J428,COA!$B$4:$B$123,0)))</f>
        <v>1103</v>
      </c>
      <c r="J428" t="s">
        <v>154</v>
      </c>
      <c r="K428" s="34">
        <f t="shared" si="37"/>
        <v>3740000</v>
      </c>
    </row>
    <row r="429" spans="1:12" hidden="1">
      <c r="A429" s="50" t="str">
        <f t="shared" si="34"/>
        <v xml:space="preserve">By. Biaya </v>
      </c>
      <c r="B429" s="215">
        <v>46080</v>
      </c>
      <c r="C429" s="212" t="s">
        <v>980</v>
      </c>
      <c r="D429" s="51" t="s">
        <v>1141</v>
      </c>
      <c r="F429" s="52">
        <f>IF(G429="","",INDEX(COA!$A$4:$A$123,MATCH(JU!$G429,COA!$B$4:$B$123,0)))</f>
        <v>4102</v>
      </c>
      <c r="G429" t="s">
        <v>62</v>
      </c>
      <c r="H429" s="216">
        <v>8000000</v>
      </c>
      <c r="I429" s="52">
        <f>IF(J429="","",INDEX(COA!$A$4:$A$123,MATCH(JU!$J429,COA!$B$4:$B$123,0)))</f>
        <v>1103</v>
      </c>
      <c r="J429" t="s">
        <v>154</v>
      </c>
      <c r="K429" s="34">
        <f t="shared" si="37"/>
        <v>8000000</v>
      </c>
    </row>
    <row r="430" spans="1:12" hidden="1">
      <c r="A430" s="50" t="str">
        <f t="shared" si="34"/>
        <v xml:space="preserve">By. Biaya </v>
      </c>
      <c r="B430" s="215">
        <v>46080</v>
      </c>
      <c r="C430" s="212" t="s">
        <v>981</v>
      </c>
      <c r="D430" s="51" t="s">
        <v>1142</v>
      </c>
      <c r="F430" s="52">
        <f>IF(G430="","",INDEX(COA!$A$4:$A$123,MATCH(JU!$G430,COA!$B$4:$B$123,0)))</f>
        <v>5108</v>
      </c>
      <c r="G430" t="s">
        <v>72</v>
      </c>
      <c r="H430" s="216">
        <v>4000000</v>
      </c>
      <c r="I430" s="52">
        <f>IF(J430="","",INDEX(COA!$A$4:$A$123,MATCH(JU!$J430,COA!$B$4:$B$123,0)))</f>
        <v>1103</v>
      </c>
      <c r="J430" t="s">
        <v>154</v>
      </c>
      <c r="K430" s="34">
        <f t="shared" si="37"/>
        <v>4000000</v>
      </c>
    </row>
    <row r="431" spans="1:12" hidden="1">
      <c r="A431" s="50" t="str">
        <f t="shared" si="34"/>
        <v xml:space="preserve">By. Biaya </v>
      </c>
      <c r="B431" s="215">
        <v>46080</v>
      </c>
      <c r="C431" s="212" t="s">
        <v>982</v>
      </c>
      <c r="D431" s="51" t="s">
        <v>1143</v>
      </c>
      <c r="F431" s="52">
        <f>IF(G431="","",INDEX(COA!$A$4:$A$123,MATCH(JU!$G431,COA!$B$4:$B$123,0)))</f>
        <v>6112</v>
      </c>
      <c r="G431" t="s">
        <v>205</v>
      </c>
      <c r="H431" s="216">
        <v>495000</v>
      </c>
      <c r="I431" s="52">
        <f>IF(J431="","",INDEX(COA!$A$4:$A$123,MATCH(JU!$J431,COA!$B$4:$B$123,0)))</f>
        <v>1103</v>
      </c>
      <c r="J431" t="s">
        <v>154</v>
      </c>
      <c r="K431" s="34">
        <f t="shared" si="37"/>
        <v>495000</v>
      </c>
    </row>
    <row r="432" spans="1:12" hidden="1">
      <c r="A432" s="50" t="str">
        <f t="shared" si="34"/>
        <v xml:space="preserve">By. Biaya </v>
      </c>
      <c r="B432" s="215">
        <v>46080</v>
      </c>
      <c r="C432" s="212" t="s">
        <v>361</v>
      </c>
      <c r="D432" s="51" t="s">
        <v>363</v>
      </c>
      <c r="F432" s="52">
        <f>IF(G432="","",INDEX(COA!$A$4:$A$123,MATCH(JU!$G432,COA!$B$4:$B$123,0)))</f>
        <v>1108</v>
      </c>
      <c r="G432" t="s">
        <v>155</v>
      </c>
      <c r="H432" s="216">
        <v>200000000</v>
      </c>
      <c r="I432" s="52">
        <f>IF(J432="","",INDEX(COA!$A$4:$A$123,MATCH(JU!$J432,COA!$B$4:$B$123,0)))</f>
        <v>1103</v>
      </c>
      <c r="J432" t="s">
        <v>154</v>
      </c>
      <c r="K432" s="34">
        <f t="shared" si="37"/>
        <v>200000000</v>
      </c>
    </row>
    <row r="433" spans="1:11" hidden="1">
      <c r="A433" s="50" t="str">
        <f t="shared" si="34"/>
        <v xml:space="preserve">By. Biaya </v>
      </c>
      <c r="B433" s="215">
        <v>46080</v>
      </c>
      <c r="C433" s="212" t="s">
        <v>305</v>
      </c>
      <c r="D433" s="51" t="s">
        <v>333</v>
      </c>
      <c r="F433" s="52" t="str">
        <f>IF(G433="","",INDEX(COA!$A$4:$A$123,MATCH(JU!$G433,COA!$B$4:$B$123,0)))</f>
        <v>6303</v>
      </c>
      <c r="G433" t="s">
        <v>87</v>
      </c>
      <c r="H433" s="216">
        <v>2500</v>
      </c>
      <c r="I433" s="52">
        <f>IF(J433="","",INDEX(COA!$A$4:$A$123,MATCH(JU!$J433,COA!$B$4:$B$123,0)))</f>
        <v>1103</v>
      </c>
      <c r="J433" t="s">
        <v>154</v>
      </c>
      <c r="K433" s="34">
        <f t="shared" si="37"/>
        <v>2500</v>
      </c>
    </row>
    <row r="434" spans="1:11" hidden="1">
      <c r="A434" s="50" t="str">
        <f t="shared" si="34"/>
        <v xml:space="preserve">Terima Uang Masuk atas </v>
      </c>
      <c r="B434" s="215">
        <v>46080</v>
      </c>
      <c r="C434" s="212" t="s">
        <v>983</v>
      </c>
      <c r="D434" s="51" t="s">
        <v>1144</v>
      </c>
      <c r="F434" s="52">
        <f>IF(G434="","",INDEX(COA!$A$4:$A$123,MATCH(JU!$G434,COA!$B$4:$B$123,0)))</f>
        <v>1103</v>
      </c>
      <c r="G434" t="s">
        <v>154</v>
      </c>
      <c r="H434" s="216">
        <v>10000000</v>
      </c>
      <c r="I434" s="52">
        <f>IF(J434="","",INDEX(COA!$A$4:$A$123,MATCH(JU!$J434,COA!$B$4:$B$123,0)))</f>
        <v>4102</v>
      </c>
      <c r="J434" t="s">
        <v>62</v>
      </c>
      <c r="K434" s="34">
        <f t="shared" si="37"/>
        <v>10000000</v>
      </c>
    </row>
    <row r="435" spans="1:11" hidden="1">
      <c r="A435" s="50" t="str">
        <f t="shared" ref="A435" si="38">IF(G435="BRI 568","Terima Uang Masuk atas ","By. Biaya ")</f>
        <v xml:space="preserve">By. Biaya </v>
      </c>
      <c r="B435" s="215">
        <v>46080</v>
      </c>
      <c r="C435" s="212" t="s">
        <v>983</v>
      </c>
      <c r="D435" s="51" t="s">
        <v>1153</v>
      </c>
      <c r="F435" s="52">
        <f>IF(G435="","",INDEX(COA!$A$4:$A$123,MATCH(JU!$G435,COA!$B$4:$B$123,0)))</f>
        <v>1202</v>
      </c>
      <c r="G435" t="s">
        <v>27</v>
      </c>
      <c r="H435" s="216">
        <v>169000000</v>
      </c>
      <c r="I435" s="52">
        <f>IF(J435="","",INDEX(COA!$A$4:$A$123,MATCH(JU!$J435,COA!$B$4:$B$123,0)))</f>
        <v>4102</v>
      </c>
      <c r="J435" t="s">
        <v>62</v>
      </c>
      <c r="K435" s="34">
        <f t="shared" ref="K435" si="39">IF(H435="","",H435)</f>
        <v>169000000</v>
      </c>
    </row>
    <row r="436" spans="1:11" hidden="1">
      <c r="A436" s="50" t="str">
        <f t="shared" si="34"/>
        <v xml:space="preserve">Terima Uang Masuk atas </v>
      </c>
      <c r="B436" s="215">
        <v>46081</v>
      </c>
      <c r="C436" s="212" t="s">
        <v>984</v>
      </c>
      <c r="D436" s="256" t="s">
        <v>1145</v>
      </c>
      <c r="F436" s="52">
        <f>IF(G436="","",INDEX(COA!$A$4:$A$123,MATCH(JU!$G436,COA!$B$4:$B$123,0)))</f>
        <v>1103</v>
      </c>
      <c r="G436" t="s">
        <v>154</v>
      </c>
      <c r="H436" s="216">
        <v>10000000</v>
      </c>
      <c r="I436" s="52">
        <f>IF(J436="","",INDEX(COA!$A$4:$A$123,MATCH(JU!$J436,COA!$B$4:$B$123,0)))</f>
        <v>4102</v>
      </c>
      <c r="J436" t="s">
        <v>62</v>
      </c>
      <c r="K436" s="34">
        <f t="shared" si="37"/>
        <v>10000000</v>
      </c>
    </row>
    <row r="437" spans="1:11" hidden="1">
      <c r="A437" s="50" t="str">
        <f t="shared" si="34"/>
        <v xml:space="preserve">By. Biaya </v>
      </c>
      <c r="B437" s="215">
        <v>46081</v>
      </c>
      <c r="C437" s="212" t="s">
        <v>362</v>
      </c>
      <c r="D437" s="256" t="s">
        <v>364</v>
      </c>
      <c r="F437" s="52" t="str">
        <f>IF(G437="","",INDEX(COA!$A$4:$A$123,MATCH(JU!$G437,COA!$B$4:$B$123,0)))</f>
        <v>2107</v>
      </c>
      <c r="G437" t="s">
        <v>50</v>
      </c>
      <c r="H437" s="216">
        <v>2710000</v>
      </c>
      <c r="I437" s="52">
        <f>IF(J437="","",INDEX(COA!$A$4:$A$123,MATCH(JU!$J437,COA!$B$4:$B$123,0)))</f>
        <v>1103</v>
      </c>
      <c r="J437" t="s">
        <v>154</v>
      </c>
      <c r="K437" s="34">
        <f t="shared" si="37"/>
        <v>2710000</v>
      </c>
    </row>
    <row r="438" spans="1:11" hidden="1">
      <c r="A438" s="50" t="str">
        <f t="shared" si="34"/>
        <v xml:space="preserve">Terima Uang Masuk atas </v>
      </c>
      <c r="B438" s="215">
        <v>46081</v>
      </c>
      <c r="C438" s="212" t="s">
        <v>985</v>
      </c>
      <c r="D438" s="51" t="s">
        <v>1146</v>
      </c>
      <c r="F438" s="52">
        <f>IF(G438="","",INDEX(COA!$A$4:$A$123,MATCH(JU!$G438,COA!$B$4:$B$123,0)))</f>
        <v>1103</v>
      </c>
      <c r="G438" t="s">
        <v>154</v>
      </c>
      <c r="H438" s="216">
        <v>8000000</v>
      </c>
      <c r="I438" s="52">
        <f>IF(J438="","",INDEX(COA!$A$4:$A$123,MATCH(JU!$J438,COA!$B$4:$B$123,0)))</f>
        <v>4102</v>
      </c>
      <c r="J438" t="s">
        <v>62</v>
      </c>
      <c r="K438" s="34">
        <f t="shared" si="37"/>
        <v>8000000</v>
      </c>
    </row>
    <row r="439" spans="1:11" hidden="1">
      <c r="A439" s="50" t="str">
        <f t="shared" si="34"/>
        <v xml:space="preserve">By. Biaya </v>
      </c>
      <c r="B439" s="215">
        <v>46081</v>
      </c>
      <c r="D439" s="218" t="s">
        <v>1154</v>
      </c>
      <c r="F439" s="52">
        <f>IF(G439="","",INDEX(COA!$A$4:$A$123,MATCH(JU!$G439,COA!$B$4:$B$123,0)))</f>
        <v>5102</v>
      </c>
      <c r="G439" t="s">
        <v>201</v>
      </c>
      <c r="H439" s="216">
        <f>3*65000000</f>
        <v>195000000</v>
      </c>
      <c r="I439" s="52">
        <f>IF(J439="","",INDEX(COA!$A$4:$A$123,MATCH(JU!$J439,COA!$B$4:$B$123,0)))</f>
        <v>1302</v>
      </c>
      <c r="J439" t="s">
        <v>31</v>
      </c>
      <c r="K439" s="34">
        <f t="shared" si="37"/>
        <v>195000000</v>
      </c>
    </row>
    <row r="440" spans="1:11" hidden="1">
      <c r="F440" s="52" t="str">
        <f>IF(G440="","",INDEX(COA!$A$4:$A$123,MATCH(JU!$G440,COA!$B$4:$B$123,0)))</f>
        <v/>
      </c>
      <c r="I440" s="52" t="str">
        <f>IF(J440="","",INDEX(COA!$A$4:$A$123,MATCH(JU!$J440,COA!$B$4:$B$123,0)))</f>
        <v/>
      </c>
      <c r="K440" s="34" t="str">
        <f t="shared" si="37"/>
        <v/>
      </c>
    </row>
    <row r="441" spans="1:11" hidden="1">
      <c r="A441" s="50" t="str">
        <f t="shared" ref="A441" si="40">IF(G441="BRI 568","Terima Uang Masuk atas ","By. Biaya ")</f>
        <v xml:space="preserve">Terima Uang Masuk atas </v>
      </c>
      <c r="B441" s="215">
        <v>46082</v>
      </c>
      <c r="C441" s="211" t="s">
        <v>1155</v>
      </c>
      <c r="D441" s="218" t="s">
        <v>1327</v>
      </c>
      <c r="F441" s="52">
        <f>IF(G441="","",INDEX(COA!$A$4:$A$123,MATCH(JU!$G441,COA!$B$4:$B$123,0)))</f>
        <v>1103</v>
      </c>
      <c r="G441" t="s">
        <v>154</v>
      </c>
      <c r="H441" s="216">
        <v>5000000</v>
      </c>
      <c r="I441" s="52">
        <f>IF(J441="","",INDEX(COA!$A$4:$A$123,MATCH(JU!$J441,COA!$B$4:$B$123,0)))</f>
        <v>4102</v>
      </c>
      <c r="J441" t="s">
        <v>62</v>
      </c>
      <c r="K441" s="34">
        <f t="shared" ref="K441" si="41">IF(H441="","",H441)</f>
        <v>5000000</v>
      </c>
    </row>
    <row r="442" spans="1:11" hidden="1">
      <c r="A442" s="50" t="str">
        <f t="shared" ref="A442:A515" si="42">IF(G442="BRI 568","Terima Uang Masuk atas ","By. Biaya ")</f>
        <v xml:space="preserve">Terima Uang Masuk atas </v>
      </c>
      <c r="B442" s="215">
        <v>46082</v>
      </c>
      <c r="C442" s="211" t="s">
        <v>1156</v>
      </c>
      <c r="D442" s="218" t="s">
        <v>1328</v>
      </c>
      <c r="F442" s="52">
        <f>IF(G442="","",INDEX(COA!$A$4:$A$123,MATCH(JU!$G442,COA!$B$4:$B$123,0)))</f>
        <v>1103</v>
      </c>
      <c r="G442" t="s">
        <v>154</v>
      </c>
      <c r="H442" s="216">
        <v>100000000</v>
      </c>
      <c r="I442" s="52">
        <f>IF(J442="","",INDEX(COA!$A$4:$A$123,MATCH(JU!$J442,COA!$B$4:$B$123,0)))</f>
        <v>1108</v>
      </c>
      <c r="J442" t="s">
        <v>155</v>
      </c>
      <c r="K442" s="34">
        <f t="shared" si="37"/>
        <v>100000000</v>
      </c>
    </row>
    <row r="443" spans="1:11" hidden="1">
      <c r="A443" s="50" t="str">
        <f t="shared" ref="A443" si="43">IF(G443="BRI 568","Terima Uang Masuk atas ","By. Biaya ")</f>
        <v xml:space="preserve">Terima Uang Masuk atas </v>
      </c>
      <c r="B443" s="215">
        <v>46082</v>
      </c>
      <c r="C443" s="211" t="s">
        <v>1156</v>
      </c>
      <c r="D443" s="218" t="s">
        <v>1328</v>
      </c>
      <c r="F443" s="52">
        <f>IF(G443="","",INDEX(COA!$A$4:$A$123,MATCH(JU!$G443,COA!$B$4:$B$123,0)))</f>
        <v>1103</v>
      </c>
      <c r="G443" t="s">
        <v>154</v>
      </c>
      <c r="H443" s="216">
        <v>100000000</v>
      </c>
      <c r="I443" s="52">
        <f>IF(J443="","",INDEX(COA!$A$4:$A$123,MATCH(JU!$J443,COA!$B$4:$B$123,0)))</f>
        <v>1108</v>
      </c>
      <c r="J443" t="s">
        <v>155</v>
      </c>
      <c r="K443" s="34">
        <f t="shared" ref="K443" si="44">IF(H443="","",H443)</f>
        <v>100000000</v>
      </c>
    </row>
    <row r="444" spans="1:11" hidden="1">
      <c r="A444" s="50" t="str">
        <f t="shared" ref="A444" si="45">IF(G444="BRI 568","Terima Uang Masuk atas ","By. Biaya ")</f>
        <v xml:space="preserve">Terima Uang Masuk atas </v>
      </c>
      <c r="B444" s="215">
        <v>46082</v>
      </c>
      <c r="C444" s="211" t="s">
        <v>1157</v>
      </c>
      <c r="D444" s="218" t="s">
        <v>1329</v>
      </c>
      <c r="F444" s="52">
        <f>IF(G444="","",INDEX(COA!$A$4:$A$123,MATCH(JU!$G444,COA!$B$4:$B$123,0)))</f>
        <v>1103</v>
      </c>
      <c r="G444" t="s">
        <v>154</v>
      </c>
      <c r="H444" s="216">
        <v>30000000</v>
      </c>
      <c r="I444" s="52">
        <f>IF(J444="","",INDEX(COA!$A$4:$A$123,MATCH(JU!$J444,COA!$B$4:$B$123,0)))</f>
        <v>1202</v>
      </c>
      <c r="J444" t="s">
        <v>27</v>
      </c>
      <c r="K444" s="34">
        <f t="shared" ref="K444" si="46">IF(H444="","",H444)</f>
        <v>30000000</v>
      </c>
    </row>
    <row r="445" spans="1:11" hidden="1">
      <c r="A445" s="50" t="str">
        <f t="shared" si="42"/>
        <v xml:space="preserve">By. Biaya </v>
      </c>
      <c r="B445" s="215">
        <v>46082</v>
      </c>
      <c r="C445" s="211" t="s">
        <v>1158</v>
      </c>
      <c r="D445" s="218" t="s">
        <v>365</v>
      </c>
      <c r="F445" s="52">
        <f>IF(G445="","",INDEX(COA!$A$4:$A$123,MATCH(JU!$G445,COA!$B$4:$B$123,0)))</f>
        <v>6101</v>
      </c>
      <c r="G445" t="s">
        <v>75</v>
      </c>
      <c r="H445" s="216">
        <v>15886188</v>
      </c>
      <c r="I445" s="52">
        <f>IF(J445="","",INDEX(COA!$A$4:$A$123,MATCH(JU!$J445,COA!$B$4:$B$123,0)))</f>
        <v>1103</v>
      </c>
      <c r="J445" t="s">
        <v>154</v>
      </c>
      <c r="K445" s="34">
        <f t="shared" si="37"/>
        <v>15886188</v>
      </c>
    </row>
    <row r="446" spans="1:11" hidden="1">
      <c r="A446" s="50" t="str">
        <f t="shared" si="42"/>
        <v xml:space="preserve">By. Biaya </v>
      </c>
      <c r="B446" s="215">
        <v>46082</v>
      </c>
      <c r="C446" s="211" t="s">
        <v>1159</v>
      </c>
      <c r="D446" s="218" t="s">
        <v>366</v>
      </c>
      <c r="F446" s="52">
        <f>IF(G446="","",INDEX(COA!$A$4:$A$123,MATCH(JU!$G446,COA!$B$4:$B$123,0)))</f>
        <v>6101</v>
      </c>
      <c r="G446" t="s">
        <v>75</v>
      </c>
      <c r="H446" s="216">
        <v>4000000</v>
      </c>
      <c r="I446" s="52">
        <f>IF(J446="","",INDEX(COA!$A$4:$A$123,MATCH(JU!$J446,COA!$B$4:$B$123,0)))</f>
        <v>1103</v>
      </c>
      <c r="J446" t="s">
        <v>154</v>
      </c>
      <c r="K446" s="34">
        <f t="shared" si="37"/>
        <v>4000000</v>
      </c>
    </row>
    <row r="447" spans="1:11" hidden="1">
      <c r="A447" s="50" t="str">
        <f t="shared" si="42"/>
        <v xml:space="preserve">By. Biaya </v>
      </c>
      <c r="B447" s="215">
        <v>46082</v>
      </c>
      <c r="C447" s="211" t="s">
        <v>497</v>
      </c>
      <c r="D447" s="218" t="s">
        <v>367</v>
      </c>
      <c r="F447" s="52">
        <f>IF(G447="","",INDEX(COA!$A$4:$A$123,MATCH(JU!$G447,COA!$B$4:$B$123,0)))</f>
        <v>6111</v>
      </c>
      <c r="G447" t="s">
        <v>150</v>
      </c>
      <c r="H447" s="216">
        <v>30000000</v>
      </c>
      <c r="I447" s="52">
        <f>IF(J447="","",INDEX(COA!$A$4:$A$123,MATCH(JU!$J447,COA!$B$4:$B$123,0)))</f>
        <v>1103</v>
      </c>
      <c r="J447" t="s">
        <v>154</v>
      </c>
      <c r="K447" s="34">
        <f t="shared" si="37"/>
        <v>30000000</v>
      </c>
    </row>
    <row r="448" spans="1:11" hidden="1">
      <c r="A448" s="50" t="str">
        <f t="shared" si="42"/>
        <v xml:space="preserve">By. Biaya </v>
      </c>
      <c r="B448" s="215">
        <v>46082</v>
      </c>
      <c r="C448" s="211" t="s">
        <v>305</v>
      </c>
      <c r="D448" s="218" t="s">
        <v>333</v>
      </c>
      <c r="F448" s="52" t="str">
        <f>IF(G448="","",INDEX(COA!$A$4:$A$123,MATCH(JU!$G448,COA!$B$4:$B$123,0)))</f>
        <v>6303</v>
      </c>
      <c r="G448" t="s">
        <v>87</v>
      </c>
      <c r="H448" s="216">
        <v>2500</v>
      </c>
      <c r="I448" s="52">
        <f>IF(J448="","",INDEX(COA!$A$4:$A$123,MATCH(JU!$J448,COA!$B$4:$B$123,0)))</f>
        <v>1103</v>
      </c>
      <c r="J448" t="s">
        <v>154</v>
      </c>
      <c r="K448" s="34">
        <f t="shared" si="37"/>
        <v>2500</v>
      </c>
    </row>
    <row r="449" spans="1:11" hidden="1">
      <c r="A449" s="50" t="str">
        <f t="shared" si="42"/>
        <v xml:space="preserve">Terima Uang Masuk atas </v>
      </c>
      <c r="B449" s="215">
        <v>46082</v>
      </c>
      <c r="C449" s="211" t="s">
        <v>1160</v>
      </c>
      <c r="D449" s="218" t="s">
        <v>1330</v>
      </c>
      <c r="F449" s="52">
        <f>IF(G449="","",INDEX(COA!$A$4:$A$123,MATCH(JU!$G449,COA!$B$4:$B$123,0)))</f>
        <v>1103</v>
      </c>
      <c r="G449" t="s">
        <v>154</v>
      </c>
      <c r="H449" s="216">
        <v>19863158</v>
      </c>
      <c r="I449" s="52">
        <f>IF(J449="","",INDEX(COA!$A$4:$A$123,MATCH(JU!$J449,COA!$B$4:$B$123,0)))</f>
        <v>6101</v>
      </c>
      <c r="J449" t="s">
        <v>75</v>
      </c>
      <c r="K449" s="34">
        <f t="shared" si="37"/>
        <v>19863158</v>
      </c>
    </row>
    <row r="450" spans="1:11" hidden="1">
      <c r="A450" s="50" t="str">
        <f t="shared" si="42"/>
        <v xml:space="preserve">By. Biaya </v>
      </c>
      <c r="B450" s="215">
        <v>46082</v>
      </c>
      <c r="C450" s="211" t="s">
        <v>1161</v>
      </c>
      <c r="D450" s="218" t="s">
        <v>368</v>
      </c>
      <c r="F450" s="52">
        <f>IF(G450="","",INDEX(COA!$A$4:$A$123,MATCH(JU!$G450,COA!$B$4:$B$123,0)))</f>
        <v>6101</v>
      </c>
      <c r="G450" t="s">
        <v>75</v>
      </c>
      <c r="H450" s="216">
        <v>8563157</v>
      </c>
      <c r="I450" s="52">
        <f>IF(J450="","",INDEX(COA!$A$4:$A$123,MATCH(JU!$J450,COA!$B$4:$B$123,0)))</f>
        <v>1103</v>
      </c>
      <c r="J450" t="s">
        <v>154</v>
      </c>
      <c r="K450" s="34">
        <f t="shared" si="37"/>
        <v>8563157</v>
      </c>
    </row>
    <row r="451" spans="1:11" hidden="1">
      <c r="A451" s="50" t="str">
        <f t="shared" si="42"/>
        <v xml:space="preserve">By. Biaya </v>
      </c>
      <c r="B451" s="215">
        <v>46082</v>
      </c>
      <c r="C451" s="211" t="s">
        <v>1162</v>
      </c>
      <c r="D451" s="218" t="s">
        <v>369</v>
      </c>
      <c r="F451" s="52">
        <f>IF(G451="","",INDEX(COA!$A$4:$A$123,MATCH(JU!$G451,COA!$B$4:$B$123,0)))</f>
        <v>6101</v>
      </c>
      <c r="G451" t="s">
        <v>75</v>
      </c>
      <c r="H451" s="216">
        <v>1500000</v>
      </c>
      <c r="I451" s="52">
        <f>IF(J451="","",INDEX(COA!$A$4:$A$123,MATCH(JU!$J451,COA!$B$4:$B$123,0)))</f>
        <v>1103</v>
      </c>
      <c r="J451" t="s">
        <v>154</v>
      </c>
      <c r="K451" s="34">
        <f t="shared" si="37"/>
        <v>1500000</v>
      </c>
    </row>
    <row r="452" spans="1:11" hidden="1">
      <c r="A452" s="50" t="str">
        <f t="shared" si="42"/>
        <v xml:space="preserve">By. Biaya </v>
      </c>
      <c r="B452" s="215">
        <v>46082</v>
      </c>
      <c r="C452" s="211" t="s">
        <v>1163</v>
      </c>
      <c r="D452" s="218" t="s">
        <v>370</v>
      </c>
      <c r="F452" s="52">
        <f>IF(G452="","",INDEX(COA!$A$4:$A$123,MATCH(JU!$G452,COA!$B$4:$B$123,0)))</f>
        <v>6101</v>
      </c>
      <c r="G452" t="s">
        <v>75</v>
      </c>
      <c r="H452" s="216">
        <v>4800000</v>
      </c>
      <c r="I452" s="52">
        <f>IF(J452="","",INDEX(COA!$A$4:$A$123,MATCH(JU!$J452,COA!$B$4:$B$123,0)))</f>
        <v>1103</v>
      </c>
      <c r="J452" t="s">
        <v>154</v>
      </c>
      <c r="K452" s="34">
        <f t="shared" si="37"/>
        <v>4800000</v>
      </c>
    </row>
    <row r="453" spans="1:11" hidden="1">
      <c r="A453" s="50" t="str">
        <f t="shared" si="42"/>
        <v xml:space="preserve">By. Biaya </v>
      </c>
      <c r="B453" s="215">
        <v>46082</v>
      </c>
      <c r="C453" s="211" t="s">
        <v>1164</v>
      </c>
      <c r="D453" s="218" t="s">
        <v>371</v>
      </c>
      <c r="F453" s="52">
        <f>IF(G453="","",INDEX(COA!$A$4:$A$123,MATCH(JU!$G453,COA!$B$4:$B$123,0)))</f>
        <v>6101</v>
      </c>
      <c r="G453" t="s">
        <v>75</v>
      </c>
      <c r="H453" s="216">
        <v>5000000</v>
      </c>
      <c r="I453" s="52">
        <f>IF(J453="","",INDEX(COA!$A$4:$A$123,MATCH(JU!$J453,COA!$B$4:$B$123,0)))</f>
        <v>1103</v>
      </c>
      <c r="J453" t="s">
        <v>154</v>
      </c>
      <c r="K453" s="34">
        <f t="shared" si="37"/>
        <v>5000000</v>
      </c>
    </row>
    <row r="454" spans="1:11" hidden="1">
      <c r="A454" s="50" t="str">
        <f t="shared" si="42"/>
        <v xml:space="preserve">By. Biaya </v>
      </c>
      <c r="B454" s="215">
        <v>46082</v>
      </c>
      <c r="C454" s="211" t="s">
        <v>305</v>
      </c>
      <c r="D454" s="218" t="s">
        <v>333</v>
      </c>
      <c r="F454" s="52" t="str">
        <f>IF(G454="","",INDEX(COA!$A$4:$A$123,MATCH(JU!$G454,COA!$B$4:$B$123,0)))</f>
        <v>6303</v>
      </c>
      <c r="G454" t="s">
        <v>87</v>
      </c>
      <c r="H454" s="216">
        <v>2500</v>
      </c>
      <c r="I454" s="52">
        <f>IF(J454="","",INDEX(COA!$A$4:$A$123,MATCH(JU!$J454,COA!$B$4:$B$123,0)))</f>
        <v>1103</v>
      </c>
      <c r="J454" t="s">
        <v>154</v>
      </c>
      <c r="K454" s="34">
        <f t="shared" si="37"/>
        <v>2500</v>
      </c>
    </row>
    <row r="455" spans="1:11" hidden="1">
      <c r="A455" s="50" t="str">
        <f t="shared" si="42"/>
        <v xml:space="preserve">By. Biaya </v>
      </c>
      <c r="B455" s="215">
        <v>46082</v>
      </c>
      <c r="C455" s="211" t="s">
        <v>1165</v>
      </c>
      <c r="D455" s="218" t="s">
        <v>372</v>
      </c>
      <c r="F455" s="52">
        <f>IF(G455="","",INDEX(COA!$A$4:$A$123,MATCH(JU!$G455,COA!$B$4:$B$123,0)))</f>
        <v>6101</v>
      </c>
      <c r="G455" t="s">
        <v>75</v>
      </c>
      <c r="H455" s="216">
        <v>250000</v>
      </c>
      <c r="I455" s="52">
        <f>IF(J455="","",INDEX(COA!$A$4:$A$123,MATCH(JU!$J455,COA!$B$4:$B$123,0)))</f>
        <v>1103</v>
      </c>
      <c r="J455" t="s">
        <v>154</v>
      </c>
      <c r="K455" s="34">
        <f t="shared" si="37"/>
        <v>250000</v>
      </c>
    </row>
    <row r="456" spans="1:11" hidden="1">
      <c r="A456" s="50" t="str">
        <f t="shared" si="42"/>
        <v xml:space="preserve">By. Biaya </v>
      </c>
      <c r="B456" s="215">
        <v>46082</v>
      </c>
      <c r="C456" s="211" t="s">
        <v>1166</v>
      </c>
      <c r="D456" s="218" t="s">
        <v>373</v>
      </c>
      <c r="F456" s="52">
        <f>IF(G456="","",INDEX(COA!$A$4:$A$123,MATCH(JU!$G456,COA!$B$4:$B$123,0)))</f>
        <v>6111</v>
      </c>
      <c r="G456" t="s">
        <v>150</v>
      </c>
      <c r="H456" s="216">
        <v>5000000</v>
      </c>
      <c r="I456" s="52">
        <f>IF(J456="","",INDEX(COA!$A$4:$A$123,MATCH(JU!$J456,COA!$B$4:$B$123,0)))</f>
        <v>1103</v>
      </c>
      <c r="J456" t="s">
        <v>154</v>
      </c>
      <c r="K456" s="34">
        <f t="shared" si="37"/>
        <v>5000000</v>
      </c>
    </row>
    <row r="457" spans="1:11" hidden="1">
      <c r="A457" s="50" t="str">
        <f t="shared" ref="A457" si="47">IF(G457="BRI 568","Terima Uang Masuk atas ","By. Biaya ")</f>
        <v xml:space="preserve">By. Biaya </v>
      </c>
      <c r="B457" s="215">
        <v>46082</v>
      </c>
      <c r="C457" s="211" t="s">
        <v>305</v>
      </c>
      <c r="D457" s="218" t="s">
        <v>333</v>
      </c>
      <c r="F457" s="52" t="str">
        <f>IF(G457="","",INDEX(COA!$A$4:$A$123,MATCH(JU!$G457,COA!$B$4:$B$123,0)))</f>
        <v>6303</v>
      </c>
      <c r="G457" t="s">
        <v>87</v>
      </c>
      <c r="H457" s="216">
        <v>2500</v>
      </c>
      <c r="I457" s="52">
        <f>IF(J457="","",INDEX(COA!$A$4:$A$123,MATCH(JU!$J457,COA!$B$4:$B$123,0)))</f>
        <v>1103</v>
      </c>
      <c r="J457" t="s">
        <v>154</v>
      </c>
      <c r="K457" s="34">
        <f t="shared" ref="K457" si="48">IF(H457="","",H457)</f>
        <v>2500</v>
      </c>
    </row>
    <row r="458" spans="1:11" hidden="1">
      <c r="A458" s="50" t="str">
        <f t="shared" si="42"/>
        <v xml:space="preserve">By. Biaya </v>
      </c>
      <c r="B458" s="215">
        <v>46083</v>
      </c>
      <c r="C458" s="211" t="s">
        <v>1167</v>
      </c>
      <c r="D458" s="218" t="s">
        <v>1331</v>
      </c>
      <c r="F458" s="52">
        <f>IF(G458="","",INDEX(COA!$A$4:$A$123,MATCH(JU!$G458,COA!$B$4:$B$123,0)))</f>
        <v>1302</v>
      </c>
      <c r="G458" t="s">
        <v>31</v>
      </c>
      <c r="H458" s="216">
        <v>63375000</v>
      </c>
      <c r="I458" s="52">
        <f>IF(J458="","",INDEX(COA!$A$4:$A$123,MATCH(JU!$J458,COA!$B$4:$B$123,0)))</f>
        <v>1103</v>
      </c>
      <c r="J458" t="s">
        <v>154</v>
      </c>
      <c r="K458" s="34">
        <f t="shared" si="37"/>
        <v>63375000</v>
      </c>
    </row>
    <row r="459" spans="1:11" hidden="1">
      <c r="A459" s="50" t="str">
        <f t="shared" si="42"/>
        <v xml:space="preserve">By. Biaya </v>
      </c>
      <c r="B459" s="215">
        <v>46083</v>
      </c>
      <c r="C459" s="211" t="s">
        <v>645</v>
      </c>
      <c r="D459" s="218" t="s">
        <v>728</v>
      </c>
      <c r="F459" s="52">
        <f>IF(G459="","",INDEX(COA!$A$4:$A$123,MATCH(JU!$G459,COA!$B$4:$B$123,0)))</f>
        <v>1302</v>
      </c>
      <c r="G459" t="s">
        <v>31</v>
      </c>
      <c r="H459" s="216">
        <v>100000000</v>
      </c>
      <c r="I459" s="52">
        <f>IF(J459="","",INDEX(COA!$A$4:$A$123,MATCH(JU!$J459,COA!$B$4:$B$123,0)))</f>
        <v>1103</v>
      </c>
      <c r="J459" t="s">
        <v>154</v>
      </c>
      <c r="K459" s="34">
        <f t="shared" si="37"/>
        <v>100000000</v>
      </c>
    </row>
    <row r="460" spans="1:11" hidden="1">
      <c r="A460" s="50" t="str">
        <f t="shared" si="42"/>
        <v xml:space="preserve">By. Biaya </v>
      </c>
      <c r="B460" s="215">
        <v>46083</v>
      </c>
      <c r="C460" s="211" t="s">
        <v>1168</v>
      </c>
      <c r="D460" s="218" t="s">
        <v>1332</v>
      </c>
      <c r="F460" s="52">
        <f>IF(G460="","",INDEX(COA!$A$4:$A$123,MATCH(JU!$G460,COA!$B$4:$B$123,0)))</f>
        <v>5109</v>
      </c>
      <c r="G460" t="s">
        <v>73</v>
      </c>
      <c r="H460" s="216">
        <v>1000000</v>
      </c>
      <c r="I460" s="52">
        <f>IF(J460="","",INDEX(COA!$A$4:$A$123,MATCH(JU!$J460,COA!$B$4:$B$123,0)))</f>
        <v>1103</v>
      </c>
      <c r="J460" t="s">
        <v>154</v>
      </c>
      <c r="K460" s="34">
        <f t="shared" si="37"/>
        <v>1000000</v>
      </c>
    </row>
    <row r="461" spans="1:11" s="223" customFormat="1" hidden="1">
      <c r="A461" s="221" t="str">
        <f t="shared" si="42"/>
        <v xml:space="preserve">By. Biaya </v>
      </c>
      <c r="B461" s="222">
        <v>46083</v>
      </c>
      <c r="C461" s="211" t="s">
        <v>1169</v>
      </c>
      <c r="D461" s="218" t="s">
        <v>1333</v>
      </c>
      <c r="E461"/>
      <c r="F461" s="225">
        <f>IF(G461="","",INDEX(COA!$A$4:$A$123,MATCH(JU!$G461,COA!$B$4:$B$123,0)))</f>
        <v>6112</v>
      </c>
      <c r="G461" s="223" t="s">
        <v>205</v>
      </c>
      <c r="H461" s="226">
        <v>726000</v>
      </c>
      <c r="I461" s="225">
        <f>IF(J461="","",INDEX(COA!$A$4:$A$123,MATCH(JU!$J461,COA!$B$4:$B$123,0)))</f>
        <v>1103</v>
      </c>
      <c r="J461" s="223" t="s">
        <v>154</v>
      </c>
      <c r="K461" s="227">
        <f t="shared" si="37"/>
        <v>726000</v>
      </c>
    </row>
    <row r="462" spans="1:11">
      <c r="A462" s="50" t="str">
        <f t="shared" si="42"/>
        <v xml:space="preserve">By. Biaya </v>
      </c>
      <c r="B462" s="215">
        <v>46083</v>
      </c>
      <c r="C462" s="211" t="s">
        <v>1170</v>
      </c>
      <c r="D462" s="218" t="s">
        <v>1334</v>
      </c>
      <c r="F462" s="52">
        <f>IF(G462="","",INDEX(COA!$A$4:$A$123,MATCH(JU!$G462,COA!$B$4:$B$123,0)))</f>
        <v>1302</v>
      </c>
      <c r="G462" t="s">
        <v>31</v>
      </c>
      <c r="H462" s="216">
        <v>20000000</v>
      </c>
      <c r="I462" s="52">
        <f>IF(J462="","",INDEX(COA!$A$4:$A$123,MATCH(JU!$J462,COA!$B$4:$B$123,0)))</f>
        <v>1103</v>
      </c>
      <c r="J462" t="s">
        <v>154</v>
      </c>
      <c r="K462" s="34">
        <f t="shared" si="37"/>
        <v>20000000</v>
      </c>
    </row>
    <row r="463" spans="1:11" s="223" customFormat="1" hidden="1">
      <c r="A463" s="221" t="str">
        <f t="shared" ref="A463" si="49">IF(G463="BRI 568","Terima Uang Masuk atas ","By. Biaya ")</f>
        <v xml:space="preserve">By. Biaya </v>
      </c>
      <c r="B463" s="222">
        <v>46083</v>
      </c>
      <c r="C463" s="211" t="s">
        <v>1171</v>
      </c>
      <c r="D463" s="218" t="s">
        <v>1335</v>
      </c>
      <c r="E463"/>
      <c r="F463" s="225">
        <f>IF(G463="","",INDEX(COA!$A$4:$A$123,MATCH(JU!$G463,COA!$B$4:$B$123,0)))</f>
        <v>6112</v>
      </c>
      <c r="G463" s="223" t="s">
        <v>205</v>
      </c>
      <c r="H463" s="226">
        <v>709000</v>
      </c>
      <c r="I463" s="225">
        <f>IF(J463="","",INDEX(COA!$A$4:$A$123,MATCH(JU!$J463,COA!$B$4:$B$123,0)))</f>
        <v>1103</v>
      </c>
      <c r="J463" s="223" t="s">
        <v>154</v>
      </c>
      <c r="K463" s="227">
        <f t="shared" ref="K463" si="50">IF(H463="","",H463)</f>
        <v>709000</v>
      </c>
    </row>
    <row r="464" spans="1:11" hidden="1">
      <c r="A464" s="50" t="str">
        <f t="shared" si="42"/>
        <v xml:space="preserve">By. Biaya </v>
      </c>
      <c r="B464" s="215">
        <v>46083</v>
      </c>
      <c r="C464" s="211" t="s">
        <v>1172</v>
      </c>
      <c r="D464" s="218" t="s">
        <v>1336</v>
      </c>
      <c r="F464" s="52">
        <f>IF(G464="","",INDEX(COA!$A$4:$A$123,MATCH(JU!$G464,COA!$B$4:$B$123,0)))</f>
        <v>1302</v>
      </c>
      <c r="G464" t="s">
        <v>31</v>
      </c>
      <c r="H464" s="216">
        <v>300000</v>
      </c>
      <c r="I464" s="52">
        <f>IF(J464="","",INDEX(COA!$A$4:$A$123,MATCH(JU!$J464,COA!$B$4:$B$123,0)))</f>
        <v>1103</v>
      </c>
      <c r="J464" t="s">
        <v>154</v>
      </c>
      <c r="K464" s="34">
        <f t="shared" si="37"/>
        <v>300000</v>
      </c>
    </row>
    <row r="465" spans="1:11" hidden="1">
      <c r="A465" s="50" t="str">
        <f t="shared" si="42"/>
        <v xml:space="preserve">By. Biaya </v>
      </c>
      <c r="B465" s="215">
        <v>46083</v>
      </c>
      <c r="C465" s="211" t="s">
        <v>1173</v>
      </c>
      <c r="D465" s="218" t="s">
        <v>1337</v>
      </c>
      <c r="F465" s="52">
        <f>IF(G465="","",INDEX(COA!$A$4:$A$123,MATCH(JU!$G465,COA!$B$4:$B$123,0)))</f>
        <v>5109</v>
      </c>
      <c r="G465" t="s">
        <v>73</v>
      </c>
      <c r="H465" s="216">
        <v>2000000</v>
      </c>
      <c r="I465" s="52">
        <f>IF(J465="","",INDEX(COA!$A$4:$A$123,MATCH(JU!$J465,COA!$B$4:$B$123,0)))</f>
        <v>1103</v>
      </c>
      <c r="J465" t="s">
        <v>154</v>
      </c>
      <c r="K465" s="34">
        <f t="shared" si="37"/>
        <v>2000000</v>
      </c>
    </row>
    <row r="466" spans="1:11" hidden="1">
      <c r="A466" s="50" t="str">
        <f t="shared" si="42"/>
        <v xml:space="preserve">By. Biaya </v>
      </c>
      <c r="B466" s="215">
        <v>46083</v>
      </c>
      <c r="C466" s="211" t="s">
        <v>1174</v>
      </c>
      <c r="D466" s="218" t="s">
        <v>1338</v>
      </c>
      <c r="F466" s="52">
        <f>IF(G466="","",INDEX(COA!$A$4:$A$123,MATCH(JU!$G466,COA!$B$4:$B$123,0)))</f>
        <v>5109</v>
      </c>
      <c r="G466" t="s">
        <v>73</v>
      </c>
      <c r="H466" s="216">
        <v>1000000</v>
      </c>
      <c r="I466" s="52">
        <f>IF(J466="","",INDEX(COA!$A$4:$A$123,MATCH(JU!$J466,COA!$B$4:$B$123,0)))</f>
        <v>1103</v>
      </c>
      <c r="J466" t="s">
        <v>154</v>
      </c>
      <c r="K466" s="34">
        <f t="shared" si="37"/>
        <v>1000000</v>
      </c>
    </row>
    <row r="467" spans="1:11" hidden="1">
      <c r="A467" s="50" t="str">
        <f t="shared" si="42"/>
        <v xml:space="preserve">Terima Uang Masuk atas </v>
      </c>
      <c r="B467" s="215">
        <v>46083</v>
      </c>
      <c r="C467" s="211" t="s">
        <v>1175</v>
      </c>
      <c r="D467" s="218" t="s">
        <v>1339</v>
      </c>
      <c r="F467" s="52">
        <f>IF(G467="","",INDEX(COA!$A$4:$A$123,MATCH(JU!$G467,COA!$B$4:$B$123,0)))</f>
        <v>1103</v>
      </c>
      <c r="G467" t="s">
        <v>154</v>
      </c>
      <c r="H467" s="216">
        <v>297000000</v>
      </c>
      <c r="I467" s="52">
        <f>IF(J467="","",INDEX(COA!$A$4:$A$123,MATCH(JU!$J467,COA!$B$4:$B$123,0)))</f>
        <v>1202</v>
      </c>
      <c r="J467" t="s">
        <v>27</v>
      </c>
      <c r="K467" s="34">
        <f t="shared" si="37"/>
        <v>297000000</v>
      </c>
    </row>
    <row r="468" spans="1:11" hidden="1">
      <c r="A468" s="50" t="str">
        <f t="shared" si="42"/>
        <v xml:space="preserve">By. Biaya </v>
      </c>
      <c r="B468" s="215">
        <v>46083</v>
      </c>
      <c r="C468" s="211" t="s">
        <v>431</v>
      </c>
      <c r="D468" s="218" t="s">
        <v>374</v>
      </c>
      <c r="F468" s="52" t="str">
        <f>IF(G468="","",INDEX(COA!$A$4:$A$123,MATCH(JU!$G468,COA!$B$4:$B$123,0)))</f>
        <v>2107</v>
      </c>
      <c r="G468" t="s">
        <v>50</v>
      </c>
      <c r="H468" s="216">
        <v>35000000</v>
      </c>
      <c r="I468" s="52">
        <f>IF(J468="","",INDEX(COA!$A$4:$A$123,MATCH(JU!$J468,COA!$B$4:$B$123,0)))</f>
        <v>1103</v>
      </c>
      <c r="J468" t="s">
        <v>154</v>
      </c>
      <c r="K468" s="34">
        <f t="shared" si="37"/>
        <v>35000000</v>
      </c>
    </row>
    <row r="469" spans="1:11" hidden="1">
      <c r="A469" s="50" t="str">
        <f t="shared" si="42"/>
        <v xml:space="preserve">By. Biaya </v>
      </c>
      <c r="B469" s="215">
        <v>46083</v>
      </c>
      <c r="C469" s="211" t="s">
        <v>305</v>
      </c>
      <c r="D469" s="218" t="s">
        <v>333</v>
      </c>
      <c r="F469" s="52" t="str">
        <f>IF(G469="","",INDEX(COA!$A$4:$A$123,MATCH(JU!$G469,COA!$B$4:$B$123,0)))</f>
        <v>6303</v>
      </c>
      <c r="G469" t="s">
        <v>87</v>
      </c>
      <c r="H469" s="216">
        <v>2500</v>
      </c>
      <c r="I469" s="52">
        <f>IF(J469="","",INDEX(COA!$A$4:$A$123,MATCH(JU!$J469,COA!$B$4:$B$123,0)))</f>
        <v>1103</v>
      </c>
      <c r="J469" t="s">
        <v>154</v>
      </c>
      <c r="K469" s="34">
        <f t="shared" si="37"/>
        <v>2500</v>
      </c>
    </row>
    <row r="470" spans="1:11" hidden="1">
      <c r="A470" s="50" t="str">
        <f t="shared" si="42"/>
        <v xml:space="preserve">By. Biaya </v>
      </c>
      <c r="B470" s="215">
        <v>46083</v>
      </c>
      <c r="C470" s="211" t="s">
        <v>1176</v>
      </c>
      <c r="D470" s="218" t="s">
        <v>1340</v>
      </c>
      <c r="F470" s="52">
        <f>IF(G470="","",INDEX(COA!$A$4:$A$123,MATCH(JU!$G470,COA!$B$4:$B$123,0)))</f>
        <v>1302</v>
      </c>
      <c r="G470" t="s">
        <v>31</v>
      </c>
      <c r="H470" s="216">
        <v>100000000</v>
      </c>
      <c r="I470" s="52">
        <f>IF(J470="","",INDEX(COA!$A$4:$A$123,MATCH(JU!$J470,COA!$B$4:$B$123,0)))</f>
        <v>1103</v>
      </c>
      <c r="J470" t="s">
        <v>154</v>
      </c>
      <c r="K470" s="34">
        <f t="shared" si="37"/>
        <v>100000000</v>
      </c>
    </row>
    <row r="471" spans="1:11" hidden="1">
      <c r="A471" s="50" t="str">
        <f t="shared" si="42"/>
        <v xml:space="preserve">By. Biaya </v>
      </c>
      <c r="B471" s="215">
        <v>46083</v>
      </c>
      <c r="C471" s="211" t="s">
        <v>1177</v>
      </c>
      <c r="D471" s="218" t="s">
        <v>1341</v>
      </c>
      <c r="F471" s="52">
        <f>IF(G471="","",INDEX(COA!$A$4:$A$123,MATCH(JU!$G471,COA!$B$4:$B$123,0)))</f>
        <v>1302</v>
      </c>
      <c r="G471" t="s">
        <v>31</v>
      </c>
      <c r="H471" s="216">
        <v>3340000</v>
      </c>
      <c r="I471" s="52">
        <f>IF(J471="","",INDEX(COA!$A$4:$A$123,MATCH(JU!$J471,COA!$B$4:$B$123,0)))</f>
        <v>1103</v>
      </c>
      <c r="J471" t="s">
        <v>154</v>
      </c>
      <c r="K471" s="34">
        <f t="shared" si="37"/>
        <v>3340000</v>
      </c>
    </row>
    <row r="472" spans="1:11" hidden="1">
      <c r="A472" s="50" t="str">
        <f t="shared" si="42"/>
        <v xml:space="preserve">By. Biaya </v>
      </c>
      <c r="B472" s="215">
        <v>46083</v>
      </c>
      <c r="C472" s="211" t="s">
        <v>1178</v>
      </c>
      <c r="D472" s="218" t="s">
        <v>1342</v>
      </c>
      <c r="F472" s="52" t="str">
        <f>IF(G472="","",INDEX(COA!$A$4:$A$123,MATCH(JU!$G472,COA!$B$4:$B$123,0)))</f>
        <v>6201</v>
      </c>
      <c r="G472" t="s">
        <v>81</v>
      </c>
      <c r="H472" s="216">
        <v>1000000</v>
      </c>
      <c r="I472" s="52">
        <f>IF(J472="","",INDEX(COA!$A$4:$A$123,MATCH(JU!$J472,COA!$B$4:$B$123,0)))</f>
        <v>1103</v>
      </c>
      <c r="J472" t="s">
        <v>154</v>
      </c>
      <c r="K472" s="34">
        <f t="shared" si="37"/>
        <v>1000000</v>
      </c>
    </row>
    <row r="473" spans="1:11" hidden="1">
      <c r="A473" s="50" t="str">
        <f t="shared" si="42"/>
        <v xml:space="preserve">By. Biaya </v>
      </c>
      <c r="B473" s="215">
        <v>46083</v>
      </c>
      <c r="C473" s="211" t="s">
        <v>305</v>
      </c>
      <c r="D473" s="218" t="s">
        <v>333</v>
      </c>
      <c r="F473" s="52" t="str">
        <f>IF(G473="","",INDEX(COA!$A$4:$A$123,MATCH(JU!$G473,COA!$B$4:$B$123,0)))</f>
        <v>6303</v>
      </c>
      <c r="G473" t="s">
        <v>87</v>
      </c>
      <c r="H473" s="216">
        <v>2500</v>
      </c>
      <c r="I473" s="52">
        <f>IF(J473="","",INDEX(COA!$A$4:$A$123,MATCH(JU!$J473,COA!$B$4:$B$123,0)))</f>
        <v>1103</v>
      </c>
      <c r="J473" t="s">
        <v>154</v>
      </c>
      <c r="K473" s="34">
        <f t="shared" si="37"/>
        <v>2500</v>
      </c>
    </row>
    <row r="474" spans="1:11" hidden="1">
      <c r="A474" s="50" t="str">
        <f t="shared" si="42"/>
        <v xml:space="preserve">By. Biaya </v>
      </c>
      <c r="B474" s="215">
        <v>46084</v>
      </c>
      <c r="C474" s="211" t="s">
        <v>1179</v>
      </c>
      <c r="D474" s="218" t="s">
        <v>375</v>
      </c>
      <c r="F474" s="52">
        <f>IF(G474="","",INDEX(COA!$A$4:$A$123,MATCH(JU!$G474,COA!$B$4:$B$123,0)))</f>
        <v>6402</v>
      </c>
      <c r="G474" t="s">
        <v>90</v>
      </c>
      <c r="H474" s="216">
        <v>50000000</v>
      </c>
      <c r="I474" s="52">
        <f>IF(J474="","",INDEX(COA!$A$4:$A$123,MATCH(JU!$J474,COA!$B$4:$B$123,0)))</f>
        <v>1103</v>
      </c>
      <c r="J474" t="s">
        <v>154</v>
      </c>
      <c r="K474" s="34">
        <f t="shared" si="37"/>
        <v>50000000</v>
      </c>
    </row>
    <row r="475" spans="1:11" hidden="1">
      <c r="A475" s="50" t="str">
        <f t="shared" si="42"/>
        <v xml:space="preserve">By. Biaya </v>
      </c>
      <c r="B475" s="215">
        <v>46084</v>
      </c>
      <c r="C475" s="211" t="s">
        <v>1180</v>
      </c>
      <c r="D475" s="218" t="s">
        <v>1343</v>
      </c>
      <c r="F475" s="52">
        <f>IF(G475="","",INDEX(COA!$A$4:$A$123,MATCH(JU!$G475,COA!$B$4:$B$123,0)))</f>
        <v>5109</v>
      </c>
      <c r="G475" t="s">
        <v>73</v>
      </c>
      <c r="H475" s="216">
        <v>1500000</v>
      </c>
      <c r="I475" s="52">
        <f>IF(J475="","",INDEX(COA!$A$4:$A$123,MATCH(JU!$J475,COA!$B$4:$B$123,0)))</f>
        <v>1103</v>
      </c>
      <c r="J475" t="s">
        <v>154</v>
      </c>
      <c r="K475" s="34">
        <f t="shared" si="37"/>
        <v>1500000</v>
      </c>
    </row>
    <row r="476" spans="1:11" hidden="1">
      <c r="A476" s="50" t="str">
        <f t="shared" si="42"/>
        <v xml:space="preserve">By. Biaya </v>
      </c>
      <c r="B476" s="215">
        <v>46084</v>
      </c>
      <c r="C476" s="211" t="s">
        <v>1181</v>
      </c>
      <c r="D476" s="218" t="s">
        <v>1344</v>
      </c>
      <c r="F476" s="52">
        <f>IF(G476="","",INDEX(COA!$A$4:$A$123,MATCH(JU!$G476,COA!$B$4:$B$123,0)))</f>
        <v>6105</v>
      </c>
      <c r="G476" t="s">
        <v>148</v>
      </c>
      <c r="H476" s="216">
        <v>350000</v>
      </c>
      <c r="I476" s="52">
        <f>IF(J476="","",INDEX(COA!$A$4:$A$123,MATCH(JU!$J476,COA!$B$4:$B$123,0)))</f>
        <v>1103</v>
      </c>
      <c r="J476" t="s">
        <v>154</v>
      </c>
      <c r="K476" s="34">
        <f t="shared" si="37"/>
        <v>350000</v>
      </c>
    </row>
    <row r="477" spans="1:11" hidden="1">
      <c r="A477" s="50" t="str">
        <f t="shared" si="42"/>
        <v xml:space="preserve">By. Biaya </v>
      </c>
      <c r="B477" s="215">
        <v>46084</v>
      </c>
      <c r="C477" s="211" t="s">
        <v>1182</v>
      </c>
      <c r="D477" s="218" t="s">
        <v>1345</v>
      </c>
      <c r="F477" s="52">
        <f>IF(G477="","",INDEX(COA!$A$4:$A$123,MATCH(JU!$G477,COA!$B$4:$B$123,0)))</f>
        <v>6112</v>
      </c>
      <c r="G477" t="s">
        <v>205</v>
      </c>
      <c r="H477" s="216">
        <v>30000</v>
      </c>
      <c r="I477" s="52">
        <f>IF(J477="","",INDEX(COA!$A$4:$A$123,MATCH(JU!$J477,COA!$B$4:$B$123,0)))</f>
        <v>1103</v>
      </c>
      <c r="J477" t="s">
        <v>154</v>
      </c>
      <c r="K477" s="34">
        <f t="shared" si="37"/>
        <v>30000</v>
      </c>
    </row>
    <row r="478" spans="1:11" hidden="1">
      <c r="A478" s="50" t="str">
        <f t="shared" si="42"/>
        <v xml:space="preserve">By. Biaya </v>
      </c>
      <c r="B478" s="215">
        <v>46084</v>
      </c>
      <c r="C478" s="211" t="s">
        <v>1183</v>
      </c>
      <c r="D478" s="218" t="s">
        <v>1346</v>
      </c>
      <c r="F478" s="52">
        <f>IF(G478="","",INDEX(COA!$A$4:$A$123,MATCH(JU!$G478,COA!$B$4:$B$123,0)))</f>
        <v>1302</v>
      </c>
      <c r="G478" t="s">
        <v>31</v>
      </c>
      <c r="H478" s="216">
        <v>850000</v>
      </c>
      <c r="I478" s="52">
        <f>IF(J478="","",INDEX(COA!$A$4:$A$123,MATCH(JU!$J478,COA!$B$4:$B$123,0)))</f>
        <v>1103</v>
      </c>
      <c r="J478" t="s">
        <v>154</v>
      </c>
      <c r="K478" s="34">
        <f t="shared" si="37"/>
        <v>850000</v>
      </c>
    </row>
    <row r="479" spans="1:11" hidden="1">
      <c r="A479" s="50" t="str">
        <f t="shared" si="42"/>
        <v xml:space="preserve">By. Biaya </v>
      </c>
      <c r="B479" s="215">
        <v>46084</v>
      </c>
      <c r="C479" s="211" t="s">
        <v>1184</v>
      </c>
      <c r="D479" s="218" t="s">
        <v>1347</v>
      </c>
      <c r="F479" s="52">
        <f>IF(G479="","",INDEX(COA!$A$4:$A$123,MATCH(JU!$G479,COA!$B$4:$B$123,0)))</f>
        <v>1203</v>
      </c>
      <c r="G479" t="s">
        <v>140</v>
      </c>
      <c r="H479" s="216">
        <v>5000000</v>
      </c>
      <c r="I479" s="52">
        <f>IF(J479="","",INDEX(COA!$A$4:$A$123,MATCH(JU!$J479,COA!$B$4:$B$123,0)))</f>
        <v>1103</v>
      </c>
      <c r="J479" t="s">
        <v>154</v>
      </c>
      <c r="K479" s="34">
        <f t="shared" si="37"/>
        <v>5000000</v>
      </c>
    </row>
    <row r="480" spans="1:11" hidden="1">
      <c r="A480" s="50" t="str">
        <f t="shared" si="42"/>
        <v xml:space="preserve">By. Biaya </v>
      </c>
      <c r="B480" s="215">
        <v>46084</v>
      </c>
      <c r="C480" s="211" t="s">
        <v>305</v>
      </c>
      <c r="D480" s="218" t="s">
        <v>333</v>
      </c>
      <c r="F480" s="52" t="str">
        <f>IF(G480="","",INDEX(COA!$A$4:$A$123,MATCH(JU!$G480,COA!$B$4:$B$123,0)))</f>
        <v>6303</v>
      </c>
      <c r="G480" t="s">
        <v>87</v>
      </c>
      <c r="H480" s="216">
        <v>2500</v>
      </c>
      <c r="I480" s="52">
        <f>IF(J480="","",INDEX(COA!$A$4:$A$123,MATCH(JU!$J480,COA!$B$4:$B$123,0)))</f>
        <v>1103</v>
      </c>
      <c r="J480" t="s">
        <v>154</v>
      </c>
      <c r="K480" s="34">
        <f t="shared" si="37"/>
        <v>2500</v>
      </c>
    </row>
    <row r="481" spans="1:11" hidden="1">
      <c r="A481" s="50" t="str">
        <f t="shared" si="42"/>
        <v xml:space="preserve">By. Biaya </v>
      </c>
      <c r="B481" s="215">
        <v>46085</v>
      </c>
      <c r="C481" s="211" t="s">
        <v>1185</v>
      </c>
      <c r="D481" s="218" t="s">
        <v>1348</v>
      </c>
      <c r="F481" s="52">
        <f>IF(G481="","",INDEX(COA!$A$4:$A$123,MATCH(JU!$G481,COA!$B$4:$B$123,0)))</f>
        <v>4102</v>
      </c>
      <c r="G481" t="s">
        <v>62</v>
      </c>
      <c r="H481" s="216">
        <v>5000000</v>
      </c>
      <c r="I481" s="52">
        <f>IF(J481="","",INDEX(COA!$A$4:$A$123,MATCH(JU!$J481,COA!$B$4:$B$123,0)))</f>
        <v>1103</v>
      </c>
      <c r="J481" t="s">
        <v>154</v>
      </c>
      <c r="K481" s="34">
        <f t="shared" si="37"/>
        <v>5000000</v>
      </c>
    </row>
    <row r="482" spans="1:11" hidden="1">
      <c r="A482" s="50" t="str">
        <f t="shared" si="42"/>
        <v xml:space="preserve">By. Biaya </v>
      </c>
      <c r="B482" s="215">
        <v>46085</v>
      </c>
      <c r="C482" s="211" t="s">
        <v>1186</v>
      </c>
      <c r="D482" s="218" t="s">
        <v>1349</v>
      </c>
      <c r="F482" s="52">
        <f>IF(G482="","",INDEX(COA!$A$4:$A$123,MATCH(JU!$G482,COA!$B$4:$B$123,0)))</f>
        <v>1203</v>
      </c>
      <c r="G482" t="s">
        <v>140</v>
      </c>
      <c r="H482" s="216">
        <v>4650000</v>
      </c>
      <c r="I482" s="52">
        <f>IF(J482="","",INDEX(COA!$A$4:$A$123,MATCH(JU!$J482,COA!$B$4:$B$123,0)))</f>
        <v>1103</v>
      </c>
      <c r="J482" t="s">
        <v>154</v>
      </c>
      <c r="K482" s="34">
        <f t="shared" ref="K482:K553" si="51">IF(H482="","",H482)</f>
        <v>4650000</v>
      </c>
    </row>
    <row r="483" spans="1:11" hidden="1">
      <c r="A483" s="50" t="str">
        <f t="shared" si="42"/>
        <v xml:space="preserve">By. Biaya </v>
      </c>
      <c r="B483" s="215">
        <v>46085</v>
      </c>
      <c r="C483" s="211" t="s">
        <v>1187</v>
      </c>
      <c r="D483" s="218" t="s">
        <v>1350</v>
      </c>
      <c r="F483" s="52">
        <f>IF(G483="","",INDEX(COA!$A$4:$A$123,MATCH(JU!$G483,COA!$B$4:$B$123,0)))</f>
        <v>5107</v>
      </c>
      <c r="G483" t="s">
        <v>71</v>
      </c>
      <c r="H483" s="216">
        <v>5870000</v>
      </c>
      <c r="I483" s="52">
        <f>IF(J483="","",INDEX(COA!$A$4:$A$123,MATCH(JU!$J483,COA!$B$4:$B$123,0)))</f>
        <v>1103</v>
      </c>
      <c r="J483" t="s">
        <v>154</v>
      </c>
      <c r="K483" s="34">
        <f t="shared" si="51"/>
        <v>5870000</v>
      </c>
    </row>
    <row r="484" spans="1:11" hidden="1">
      <c r="A484" s="50" t="str">
        <f t="shared" si="42"/>
        <v xml:space="preserve">By. Biaya </v>
      </c>
      <c r="B484" s="215">
        <v>46086</v>
      </c>
      <c r="C484" s="211" t="s">
        <v>1188</v>
      </c>
      <c r="D484" s="258" t="s">
        <v>2341</v>
      </c>
      <c r="F484" s="52" t="str">
        <f>IF(G484="","",INDEX(COA!$A$4:$A$123,MATCH(JU!$G484,COA!$B$4:$B$123,0)))</f>
        <v>2101</v>
      </c>
      <c r="G484" t="s">
        <v>45</v>
      </c>
      <c r="H484" s="216">
        <v>95000000</v>
      </c>
      <c r="I484" s="52">
        <f>IF(J484="","",INDEX(COA!$A$4:$A$123,MATCH(JU!$J484,COA!$B$4:$B$123,0)))</f>
        <v>1103</v>
      </c>
      <c r="J484" t="s">
        <v>154</v>
      </c>
      <c r="K484" s="34">
        <f t="shared" si="51"/>
        <v>95000000</v>
      </c>
    </row>
    <row r="485" spans="1:11" hidden="1">
      <c r="A485" s="50" t="str">
        <f t="shared" si="42"/>
        <v xml:space="preserve">Terima Uang Masuk atas </v>
      </c>
      <c r="B485" s="215">
        <v>46087</v>
      </c>
      <c r="D485" s="258" t="s">
        <v>417</v>
      </c>
      <c r="F485" s="52">
        <f>IF(G485="","",INDEX(COA!$A$4:$A$123,MATCH(JU!$G485,COA!$B$4:$B$123,0)))</f>
        <v>1103</v>
      </c>
      <c r="G485" t="s">
        <v>154</v>
      </c>
      <c r="H485" s="216">
        <v>10000000</v>
      </c>
      <c r="I485" s="52">
        <f>IF(J485="","",INDEX(COA!$A$4:$A$123,MATCH(JU!$J485,COA!$B$4:$B$123,0)))</f>
        <v>4102</v>
      </c>
      <c r="J485" t="s">
        <v>62</v>
      </c>
      <c r="K485" s="34">
        <f t="shared" si="51"/>
        <v>10000000</v>
      </c>
    </row>
    <row r="486" spans="1:11" hidden="1">
      <c r="A486" s="50" t="str">
        <f t="shared" si="42"/>
        <v xml:space="preserve">By. Biaya </v>
      </c>
      <c r="B486" s="215">
        <v>46087</v>
      </c>
      <c r="C486" s="211" t="s">
        <v>1189</v>
      </c>
      <c r="D486" s="218" t="s">
        <v>1351</v>
      </c>
      <c r="F486" s="52">
        <f>IF(G486="","",INDEX(COA!$A$4:$A$123,MATCH(JU!$G486,COA!$B$4:$B$123,0)))</f>
        <v>7101</v>
      </c>
      <c r="G486" t="s">
        <v>93</v>
      </c>
      <c r="H486" s="216">
        <v>9460000</v>
      </c>
      <c r="I486" s="52">
        <f>IF(J486="","",INDEX(COA!$A$4:$A$123,MATCH(JU!$J486,COA!$B$4:$B$123,0)))</f>
        <v>1103</v>
      </c>
      <c r="J486" t="s">
        <v>154</v>
      </c>
      <c r="K486" s="34">
        <f t="shared" si="51"/>
        <v>9460000</v>
      </c>
    </row>
    <row r="487" spans="1:11" hidden="1">
      <c r="A487" s="50" t="str">
        <f t="shared" si="42"/>
        <v xml:space="preserve">By. Biaya </v>
      </c>
      <c r="B487" s="215">
        <v>46087</v>
      </c>
      <c r="C487" s="211" t="s">
        <v>1190</v>
      </c>
      <c r="D487" s="218" t="s">
        <v>1352</v>
      </c>
      <c r="F487" s="52">
        <f>IF(G487="","",INDEX(COA!$A$4:$A$123,MATCH(JU!$G487,COA!$B$4:$B$123,0)))</f>
        <v>1301</v>
      </c>
      <c r="G487" t="s">
        <v>30</v>
      </c>
      <c r="H487" s="216">
        <v>700000</v>
      </c>
      <c r="I487" s="52">
        <f>IF(J487="","",INDEX(COA!$A$4:$A$123,MATCH(JU!$J487,COA!$B$4:$B$123,0)))</f>
        <v>1103</v>
      </c>
      <c r="J487" t="s">
        <v>154</v>
      </c>
      <c r="K487" s="34">
        <f t="shared" si="51"/>
        <v>700000</v>
      </c>
    </row>
    <row r="488" spans="1:11" hidden="1">
      <c r="A488" s="50" t="str">
        <f t="shared" si="42"/>
        <v xml:space="preserve">By. Biaya </v>
      </c>
      <c r="B488" s="215">
        <v>46088</v>
      </c>
      <c r="C488" s="211" t="s">
        <v>1191</v>
      </c>
      <c r="D488" s="218" t="s">
        <v>1353</v>
      </c>
      <c r="F488" s="52">
        <f>IF(G488="","",INDEX(COA!$A$4:$A$123,MATCH(JU!$G488,COA!$B$4:$B$123,0)))</f>
        <v>6402</v>
      </c>
      <c r="G488" t="s">
        <v>90</v>
      </c>
      <c r="H488" s="216">
        <v>300000</v>
      </c>
      <c r="I488" s="52">
        <f>IF(J488="","",INDEX(COA!$A$4:$A$123,MATCH(JU!$J488,COA!$B$4:$B$123,0)))</f>
        <v>1103</v>
      </c>
      <c r="J488" t="s">
        <v>154</v>
      </c>
      <c r="K488" s="34">
        <f t="shared" si="51"/>
        <v>300000</v>
      </c>
    </row>
    <row r="489" spans="1:11" hidden="1">
      <c r="A489" s="50" t="str">
        <f t="shared" si="42"/>
        <v xml:space="preserve">Terima Uang Masuk atas </v>
      </c>
      <c r="B489" s="215">
        <v>46088</v>
      </c>
      <c r="D489" s="258" t="s">
        <v>417</v>
      </c>
      <c r="F489" s="52">
        <f>IF(G489="","",INDEX(COA!$A$4:$A$123,MATCH(JU!$G489,COA!$B$4:$B$123,0)))</f>
        <v>1103</v>
      </c>
      <c r="G489" t="s">
        <v>154</v>
      </c>
      <c r="H489" s="216">
        <v>1500000</v>
      </c>
      <c r="I489" s="52">
        <f>IF(J489="","",INDEX(COA!$A$4:$A$123,MATCH(JU!$J489,COA!$B$4:$B$123,0)))</f>
        <v>4102</v>
      </c>
      <c r="J489" t="s">
        <v>62</v>
      </c>
      <c r="K489" s="34">
        <f t="shared" si="51"/>
        <v>1500000</v>
      </c>
    </row>
    <row r="490" spans="1:11" hidden="1">
      <c r="A490" s="50" t="str">
        <f t="shared" si="42"/>
        <v xml:space="preserve">By. Biaya </v>
      </c>
      <c r="B490" s="215">
        <v>46088</v>
      </c>
      <c r="C490" s="211" t="s">
        <v>1192</v>
      </c>
      <c r="D490" s="218" t="s">
        <v>1354</v>
      </c>
      <c r="F490" s="52">
        <f>IF(G490="","",INDEX(COA!$A$4:$A$123,MATCH(JU!$G490,COA!$B$4:$B$123,0)))</f>
        <v>6402</v>
      </c>
      <c r="G490" t="s">
        <v>90</v>
      </c>
      <c r="H490" s="216">
        <v>425000</v>
      </c>
      <c r="I490" s="52">
        <f>IF(J490="","",INDEX(COA!$A$4:$A$123,MATCH(JU!$J490,COA!$B$4:$B$123,0)))</f>
        <v>1103</v>
      </c>
      <c r="J490" t="s">
        <v>154</v>
      </c>
      <c r="K490" s="34">
        <f t="shared" si="51"/>
        <v>425000</v>
      </c>
    </row>
    <row r="491" spans="1:11" hidden="1">
      <c r="A491" s="50" t="str">
        <f t="shared" si="42"/>
        <v xml:space="preserve">By. Biaya </v>
      </c>
      <c r="B491" s="215">
        <v>46089</v>
      </c>
      <c r="C491" s="211" t="s">
        <v>1193</v>
      </c>
      <c r="D491" s="218" t="s">
        <v>1355</v>
      </c>
      <c r="F491" s="52">
        <f>IF(G491="","",INDEX(COA!$A$4:$A$123,MATCH(JU!$G491,COA!$B$4:$B$123,0)))</f>
        <v>6402</v>
      </c>
      <c r="G491" t="s">
        <v>90</v>
      </c>
      <c r="H491" s="216">
        <v>6500000</v>
      </c>
      <c r="I491" s="52">
        <f>IF(J491="","",INDEX(COA!$A$4:$A$123,MATCH(JU!$J491,COA!$B$4:$B$123,0)))</f>
        <v>1103</v>
      </c>
      <c r="J491" t="s">
        <v>154</v>
      </c>
      <c r="K491" s="34">
        <f t="shared" si="51"/>
        <v>6500000</v>
      </c>
    </row>
    <row r="492" spans="1:11" hidden="1">
      <c r="A492" s="50" t="str">
        <f t="shared" si="42"/>
        <v xml:space="preserve">By. Biaya </v>
      </c>
      <c r="B492" s="215">
        <v>46089</v>
      </c>
      <c r="C492" s="211" t="s">
        <v>1194</v>
      </c>
      <c r="D492" s="218" t="s">
        <v>1356</v>
      </c>
      <c r="F492" s="52">
        <f>IF(G492="","",INDEX(COA!$A$4:$A$123,MATCH(JU!$G492,COA!$B$4:$B$123,0)))</f>
        <v>1302</v>
      </c>
      <c r="G492" t="s">
        <v>31</v>
      </c>
      <c r="H492" s="216">
        <v>2700000</v>
      </c>
      <c r="I492" s="52">
        <f>IF(J492="","",INDEX(COA!$A$4:$A$123,MATCH(JU!$J492,COA!$B$4:$B$123,0)))</f>
        <v>1103</v>
      </c>
      <c r="J492" t="s">
        <v>154</v>
      </c>
      <c r="K492" s="34">
        <f t="shared" si="51"/>
        <v>2700000</v>
      </c>
    </row>
    <row r="493" spans="1:11" hidden="1">
      <c r="A493" s="50" t="str">
        <f t="shared" si="42"/>
        <v xml:space="preserve">By. Biaya </v>
      </c>
      <c r="B493" s="215">
        <v>46090</v>
      </c>
      <c r="C493" s="211" t="s">
        <v>1195</v>
      </c>
      <c r="D493" s="218" t="s">
        <v>1357</v>
      </c>
      <c r="F493" s="52">
        <f>IF(G493="","",INDEX(COA!$A$4:$A$123,MATCH(JU!$G493,COA!$B$4:$B$123,0)))</f>
        <v>6402</v>
      </c>
      <c r="G493" t="s">
        <v>90</v>
      </c>
      <c r="H493" s="216">
        <v>3200000</v>
      </c>
      <c r="I493" s="52">
        <f>IF(J493="","",INDEX(COA!$A$4:$A$123,MATCH(JU!$J493,COA!$B$4:$B$123,0)))</f>
        <v>1103</v>
      </c>
      <c r="J493" t="s">
        <v>154</v>
      </c>
      <c r="K493" s="34">
        <f t="shared" si="51"/>
        <v>3200000</v>
      </c>
    </row>
    <row r="494" spans="1:11" hidden="1">
      <c r="A494" s="50" t="str">
        <f t="shared" si="42"/>
        <v xml:space="preserve">By. Biaya </v>
      </c>
      <c r="B494" s="215">
        <v>46090</v>
      </c>
      <c r="C494" s="211" t="s">
        <v>1196</v>
      </c>
      <c r="D494" s="218" t="s">
        <v>1358</v>
      </c>
      <c r="F494" s="52">
        <f>IF(G494="","",INDEX(COA!$A$4:$A$123,MATCH(JU!$G494,COA!$B$4:$B$123,0)))</f>
        <v>1302</v>
      </c>
      <c r="G494" t="s">
        <v>31</v>
      </c>
      <c r="H494" s="216">
        <v>225000</v>
      </c>
      <c r="I494" s="52">
        <f>IF(J494="","",INDEX(COA!$A$4:$A$123,MATCH(JU!$J494,COA!$B$4:$B$123,0)))</f>
        <v>1103</v>
      </c>
      <c r="J494" t="s">
        <v>154</v>
      </c>
      <c r="K494" s="34">
        <f t="shared" si="51"/>
        <v>225000</v>
      </c>
    </row>
    <row r="495" spans="1:11">
      <c r="A495" s="50" t="str">
        <f t="shared" si="42"/>
        <v xml:space="preserve">By. Biaya </v>
      </c>
      <c r="B495" s="215">
        <v>46090</v>
      </c>
      <c r="C495" s="211" t="s">
        <v>1197</v>
      </c>
      <c r="D495" s="218" t="s">
        <v>1359</v>
      </c>
      <c r="F495" s="52">
        <f>IF(G495="","",INDEX(COA!$A$4:$A$123,MATCH(JU!$G495,COA!$B$4:$B$123,0)))</f>
        <v>1302</v>
      </c>
      <c r="G495" t="s">
        <v>31</v>
      </c>
      <c r="H495" s="216">
        <v>5000000</v>
      </c>
      <c r="I495" s="52">
        <f>IF(J495="","",INDEX(COA!$A$4:$A$123,MATCH(JU!$J495,COA!$B$4:$B$123,0)))</f>
        <v>1103</v>
      </c>
      <c r="J495" t="s">
        <v>154</v>
      </c>
      <c r="K495" s="34">
        <f t="shared" si="51"/>
        <v>5000000</v>
      </c>
    </row>
    <row r="496" spans="1:11" hidden="1">
      <c r="A496" s="50" t="str">
        <f t="shared" si="42"/>
        <v xml:space="preserve">By. Biaya </v>
      </c>
      <c r="B496" s="215">
        <v>46091</v>
      </c>
      <c r="C496" s="211" t="s">
        <v>1198</v>
      </c>
      <c r="D496" s="218" t="s">
        <v>1360</v>
      </c>
      <c r="F496" s="52">
        <f>IF(G496="","",INDEX(COA!$A$4:$A$123,MATCH(JU!$G496,COA!$B$4:$B$123,0)))</f>
        <v>1203</v>
      </c>
      <c r="G496" t="s">
        <v>140</v>
      </c>
      <c r="H496" s="216">
        <v>500000</v>
      </c>
      <c r="I496" s="52">
        <f>IF(J496="","",INDEX(COA!$A$4:$A$123,MATCH(JU!$J496,COA!$B$4:$B$123,0)))</f>
        <v>1103</v>
      </c>
      <c r="J496" t="s">
        <v>154</v>
      </c>
      <c r="K496" s="34">
        <f t="shared" si="51"/>
        <v>500000</v>
      </c>
    </row>
    <row r="497" spans="1:11" s="229" customFormat="1" hidden="1">
      <c r="A497" s="228" t="str">
        <f t="shared" ref="A497" si="52">IF(G497="BRI 568","Terima Uang Masuk atas ","By. Biaya ")</f>
        <v xml:space="preserve">Terima Uang Masuk atas </v>
      </c>
      <c r="B497" s="255">
        <v>46091</v>
      </c>
      <c r="C497" s="211" t="s">
        <v>1199</v>
      </c>
      <c r="D497" s="218" t="s">
        <v>1361</v>
      </c>
      <c r="E497" s="223"/>
      <c r="F497" s="230">
        <f>IF(G497="","",INDEX(COA!$A$4:$A$123,MATCH(JU!$G497,COA!$B$4:$B$123,0)))</f>
        <v>1103</v>
      </c>
      <c r="G497" s="229" t="s">
        <v>154</v>
      </c>
      <c r="H497" s="231">
        <v>15000000</v>
      </c>
      <c r="I497" s="230">
        <f>IF(J497="","",INDEX(COA!$A$4:$A$123,MATCH(JU!$J497,COA!$B$4:$B$123,0)))</f>
        <v>4102</v>
      </c>
      <c r="J497" s="229" t="s">
        <v>62</v>
      </c>
      <c r="K497" s="232">
        <f t="shared" ref="K497" si="53">IF(H497="","",H497)</f>
        <v>15000000</v>
      </c>
    </row>
    <row r="498" spans="1:11" s="229" customFormat="1" hidden="1">
      <c r="A498" s="228" t="str">
        <f t="shared" ref="A498" si="54">IF(G498="BRI 568","Terima Uang Masuk atas ","By. Biaya ")</f>
        <v xml:space="preserve">By. Biaya </v>
      </c>
      <c r="B498" s="255">
        <v>46091</v>
      </c>
      <c r="C498" s="211" t="s">
        <v>1199</v>
      </c>
      <c r="D498" s="218" t="s">
        <v>1447</v>
      </c>
      <c r="E498" s="223"/>
      <c r="F498" s="230">
        <f>IF(G498="","",INDEX(COA!$A$4:$A$123,MATCH(JU!$G498,COA!$B$4:$B$123,0)))</f>
        <v>1202</v>
      </c>
      <c r="G498" s="229" t="s">
        <v>27</v>
      </c>
      <c r="H498" s="231">
        <v>169000000</v>
      </c>
      <c r="I498" s="230">
        <f>IF(J498="","",INDEX(COA!$A$4:$A$123,MATCH(JU!$J498,COA!$B$4:$B$123,0)))</f>
        <v>4102</v>
      </c>
      <c r="J498" s="229" t="s">
        <v>62</v>
      </c>
      <c r="K498" s="232">
        <f t="shared" ref="K498" si="55">IF(H498="","",H498)</f>
        <v>169000000</v>
      </c>
    </row>
    <row r="499" spans="1:11" hidden="1">
      <c r="A499" s="50" t="str">
        <f t="shared" si="42"/>
        <v xml:space="preserve">By. Biaya </v>
      </c>
      <c r="B499" s="215">
        <v>46092</v>
      </c>
      <c r="C499" s="211" t="s">
        <v>1200</v>
      </c>
      <c r="D499" s="218" t="s">
        <v>1362</v>
      </c>
      <c r="F499" s="52">
        <f>IF(G499="","",INDEX(COA!$A$4:$A$123,MATCH(JU!$G499,COA!$B$4:$B$123,0)))</f>
        <v>4102</v>
      </c>
      <c r="G499" t="s">
        <v>62</v>
      </c>
      <c r="H499" s="216">
        <v>8000000</v>
      </c>
      <c r="I499" s="52">
        <f>IF(J499="","",INDEX(COA!$A$4:$A$123,MATCH(JU!$J499,COA!$B$4:$B$123,0)))</f>
        <v>1103</v>
      </c>
      <c r="J499" t="s">
        <v>154</v>
      </c>
      <c r="K499" s="34">
        <f t="shared" si="51"/>
        <v>8000000</v>
      </c>
    </row>
    <row r="500" spans="1:11" hidden="1">
      <c r="A500" s="50" t="str">
        <f t="shared" si="42"/>
        <v xml:space="preserve">By. Biaya </v>
      </c>
      <c r="B500" s="215">
        <v>46092</v>
      </c>
      <c r="C500" s="211" t="s">
        <v>1201</v>
      </c>
      <c r="D500" s="218" t="s">
        <v>1363</v>
      </c>
      <c r="F500" s="52">
        <f>IF(G500="","",INDEX(COA!$A$4:$A$123,MATCH(JU!$G500,COA!$B$4:$B$123,0)))</f>
        <v>5110</v>
      </c>
      <c r="G500" t="s">
        <v>74</v>
      </c>
      <c r="H500" s="216">
        <v>3740000</v>
      </c>
      <c r="I500" s="52">
        <f>IF(J500="","",INDEX(COA!$A$4:$A$123,MATCH(JU!$J500,COA!$B$4:$B$123,0)))</f>
        <v>1103</v>
      </c>
      <c r="J500" t="s">
        <v>154</v>
      </c>
      <c r="K500" s="34">
        <f t="shared" si="51"/>
        <v>3740000</v>
      </c>
    </row>
    <row r="501" spans="1:11" hidden="1">
      <c r="A501" s="50" t="str">
        <f t="shared" si="42"/>
        <v xml:space="preserve">By. Biaya </v>
      </c>
      <c r="B501" s="215">
        <v>46092</v>
      </c>
      <c r="C501" s="211" t="s">
        <v>1202</v>
      </c>
      <c r="D501" s="218" t="s">
        <v>1364</v>
      </c>
      <c r="F501" s="52">
        <f>IF(G501="","",INDEX(COA!$A$4:$A$123,MATCH(JU!$G501,COA!$B$4:$B$123,0)))</f>
        <v>5108</v>
      </c>
      <c r="G501" t="s">
        <v>72</v>
      </c>
      <c r="H501" s="216">
        <v>4000000</v>
      </c>
      <c r="I501" s="52">
        <f>IF(J501="","",INDEX(COA!$A$4:$A$123,MATCH(JU!$J501,COA!$B$4:$B$123,0)))</f>
        <v>1103</v>
      </c>
      <c r="J501" t="s">
        <v>154</v>
      </c>
      <c r="K501" s="34">
        <f t="shared" si="51"/>
        <v>4000000</v>
      </c>
    </row>
    <row r="502" spans="1:11" s="229" customFormat="1" hidden="1">
      <c r="A502" s="228" t="str">
        <f t="shared" si="42"/>
        <v xml:space="preserve">Terima Uang Masuk atas </v>
      </c>
      <c r="B502" s="215">
        <v>46092</v>
      </c>
      <c r="C502" s="211" t="s">
        <v>1203</v>
      </c>
      <c r="D502" s="218" t="s">
        <v>1365</v>
      </c>
      <c r="F502" s="230">
        <f>IF(G502="","",INDEX(COA!$A$4:$A$123,MATCH(JU!$G502,COA!$B$4:$B$123,0)))</f>
        <v>1103</v>
      </c>
      <c r="G502" s="229" t="s">
        <v>154</v>
      </c>
      <c r="H502" s="231">
        <v>8000000</v>
      </c>
      <c r="I502" s="230">
        <f>IF(J502="","",INDEX(COA!$A$4:$A$123,MATCH(JU!$J502,COA!$B$4:$B$123,0)))</f>
        <v>4102</v>
      </c>
      <c r="J502" s="229" t="s">
        <v>62</v>
      </c>
      <c r="K502" s="232">
        <f t="shared" si="51"/>
        <v>8000000</v>
      </c>
    </row>
    <row r="503" spans="1:11" hidden="1">
      <c r="A503" s="50" t="str">
        <f t="shared" si="42"/>
        <v xml:space="preserve">By. Biaya </v>
      </c>
      <c r="B503" s="215">
        <v>46092</v>
      </c>
      <c r="C503" s="211" t="s">
        <v>1204</v>
      </c>
      <c r="D503" s="218" t="s">
        <v>1366</v>
      </c>
      <c r="F503" s="52">
        <f>IF(G503="","",INDEX(COA!$A$4:$A$123,MATCH(JU!$G503,COA!$B$4:$B$123,0)))</f>
        <v>1302</v>
      </c>
      <c r="G503" t="s">
        <v>31</v>
      </c>
      <c r="H503" s="216">
        <v>3915000</v>
      </c>
      <c r="I503" s="52">
        <f>IF(J503="","",INDEX(COA!$A$4:$A$123,MATCH(JU!$J503,COA!$B$4:$B$123,0)))</f>
        <v>1103</v>
      </c>
      <c r="J503" t="s">
        <v>154</v>
      </c>
      <c r="K503" s="34">
        <f t="shared" si="51"/>
        <v>3915000</v>
      </c>
    </row>
    <row r="504" spans="1:11" hidden="1">
      <c r="A504" s="50" t="str">
        <f t="shared" si="42"/>
        <v xml:space="preserve">By. Biaya </v>
      </c>
      <c r="B504" s="215">
        <v>46092</v>
      </c>
      <c r="C504" s="211" t="s">
        <v>1205</v>
      </c>
      <c r="D504" s="218" t="s">
        <v>1367</v>
      </c>
      <c r="F504" s="52">
        <f>IF(G504="","",INDEX(COA!$A$4:$A$123,MATCH(JU!$G504,COA!$B$4:$B$123,0)))</f>
        <v>5108</v>
      </c>
      <c r="G504" t="s">
        <v>72</v>
      </c>
      <c r="H504" s="216">
        <v>500000</v>
      </c>
      <c r="I504" s="52">
        <f>IF(J504="","",INDEX(COA!$A$4:$A$123,MATCH(JU!$J504,COA!$B$4:$B$123,0)))</f>
        <v>1103</v>
      </c>
      <c r="J504" t="s">
        <v>154</v>
      </c>
      <c r="K504" s="34">
        <f t="shared" si="51"/>
        <v>500000</v>
      </c>
    </row>
    <row r="505" spans="1:11" hidden="1">
      <c r="A505" s="50" t="str">
        <f t="shared" si="42"/>
        <v xml:space="preserve">By. Biaya </v>
      </c>
      <c r="B505" s="215">
        <v>46092</v>
      </c>
      <c r="C505" s="211" t="s">
        <v>1206</v>
      </c>
      <c r="D505" s="218" t="s">
        <v>1368</v>
      </c>
      <c r="F505" s="52">
        <f>IF(G505="","",INDEX(COA!$A$4:$A$123,MATCH(JU!$G505,COA!$B$4:$B$123,0)))</f>
        <v>1302</v>
      </c>
      <c r="G505" t="s">
        <v>31</v>
      </c>
      <c r="H505" s="216">
        <v>1545000</v>
      </c>
      <c r="I505" s="52">
        <f>IF(J505="","",INDEX(COA!$A$4:$A$123,MATCH(JU!$J505,COA!$B$4:$B$123,0)))</f>
        <v>1103</v>
      </c>
      <c r="J505" t="s">
        <v>154</v>
      </c>
      <c r="K505" s="34">
        <f t="shared" si="51"/>
        <v>1545000</v>
      </c>
    </row>
    <row r="506" spans="1:11" s="229" customFormat="1">
      <c r="A506" s="228" t="str">
        <f t="shared" ref="A506" si="56">IF(G506="BRI 568","Terima Uang Masuk atas ","By. Biaya ")</f>
        <v xml:space="preserve">By. Biaya </v>
      </c>
      <c r="B506" s="255">
        <v>46092</v>
      </c>
      <c r="C506" s="211" t="s">
        <v>1207</v>
      </c>
      <c r="D506" s="218" t="s">
        <v>1369</v>
      </c>
      <c r="E506" s="223"/>
      <c r="F506" s="230">
        <f>IF(G506="","",INDEX(COA!$A$4:$A$123,MATCH(JU!$G506,COA!$B$4:$B$123,0)))</f>
        <v>4102</v>
      </c>
      <c r="G506" s="229" t="s">
        <v>62</v>
      </c>
      <c r="H506" s="231">
        <v>5000000</v>
      </c>
      <c r="I506" s="230" t="str">
        <f>IF(J506="","",INDEX(COA!$A$4:$A$123,MATCH(JU!$J506,COA!$B$4:$B$123,0)))</f>
        <v>2101</v>
      </c>
      <c r="J506" s="229" t="s">
        <v>45</v>
      </c>
      <c r="K506" s="232">
        <f t="shared" ref="K506" si="57">IF(H506="","",H506)</f>
        <v>5000000</v>
      </c>
    </row>
    <row r="507" spans="1:11" s="229" customFormat="1">
      <c r="A507" s="228" t="str">
        <f t="shared" ref="A507" si="58">IF(G507="BRI 568","Terima Uang Masuk atas ","By. Biaya ")</f>
        <v xml:space="preserve">By. Biaya </v>
      </c>
      <c r="B507" s="255">
        <v>46092</v>
      </c>
      <c r="C507" s="211" t="s">
        <v>1207</v>
      </c>
      <c r="D507" s="218" t="s">
        <v>1369</v>
      </c>
      <c r="E507" s="223"/>
      <c r="F507" s="230">
        <f>IF(G507="","",INDEX(COA!$A$4:$A$123,MATCH(JU!$G507,COA!$B$4:$B$123,0)))</f>
        <v>1302</v>
      </c>
      <c r="G507" s="229" t="s">
        <v>31</v>
      </c>
      <c r="H507" s="231">
        <v>48500000</v>
      </c>
      <c r="I507" s="230" t="str">
        <f>IF(J507="","",INDEX(COA!$A$4:$A$123,MATCH(JU!$J507,COA!$B$4:$B$123,0)))</f>
        <v>2101</v>
      </c>
      <c r="J507" s="229" t="s">
        <v>45</v>
      </c>
      <c r="K507" s="232">
        <f t="shared" ref="K507" si="59">IF(H507="","",H507)</f>
        <v>48500000</v>
      </c>
    </row>
    <row r="508" spans="1:11" s="229" customFormat="1">
      <c r="A508" s="228" t="str">
        <f t="shared" ref="A508" si="60">IF(G508="BRI 568","Terima Uang Masuk atas ","By. Biaya ")</f>
        <v xml:space="preserve">Terima Uang Masuk atas </v>
      </c>
      <c r="B508" s="255">
        <v>46092</v>
      </c>
      <c r="C508" s="211" t="s">
        <v>1207</v>
      </c>
      <c r="D508" s="218" t="s">
        <v>1369</v>
      </c>
      <c r="E508" s="223"/>
      <c r="F508" s="230">
        <f>IF(G508="","",INDEX(COA!$A$4:$A$123,MATCH(JU!$G508,COA!$B$4:$B$123,0)))</f>
        <v>1103</v>
      </c>
      <c r="G508" s="229" t="s">
        <v>154</v>
      </c>
      <c r="H508" s="231">
        <v>41500000</v>
      </c>
      <c r="I508" s="230" t="str">
        <f>IF(J508="","",INDEX(COA!$A$4:$A$123,MATCH(JU!$J508,COA!$B$4:$B$123,0)))</f>
        <v>2101</v>
      </c>
      <c r="J508" s="229" t="s">
        <v>45</v>
      </c>
      <c r="K508" s="232">
        <f t="shared" ref="K508" si="61">IF(H508="","",H508)</f>
        <v>41500000</v>
      </c>
    </row>
    <row r="509" spans="1:11" hidden="1">
      <c r="A509" s="50" t="str">
        <f t="shared" si="42"/>
        <v xml:space="preserve">By. Biaya </v>
      </c>
      <c r="B509" s="215">
        <v>46093</v>
      </c>
      <c r="C509" s="211" t="s">
        <v>1208</v>
      </c>
      <c r="D509" s="218" t="s">
        <v>1370</v>
      </c>
      <c r="F509" s="52">
        <f>IF(G509="","",INDEX(COA!$A$4:$A$123,MATCH(JU!$G509,COA!$B$4:$B$123,0)))</f>
        <v>6105</v>
      </c>
      <c r="G509" t="s">
        <v>148</v>
      </c>
      <c r="H509" s="216">
        <v>100000</v>
      </c>
      <c r="I509" s="52">
        <f>IF(J509="","",INDEX(COA!$A$4:$A$123,MATCH(JU!$J509,COA!$B$4:$B$123,0)))</f>
        <v>1103</v>
      </c>
      <c r="J509" t="s">
        <v>154</v>
      </c>
      <c r="K509" s="34">
        <f t="shared" si="51"/>
        <v>100000</v>
      </c>
    </row>
    <row r="510" spans="1:11" hidden="1">
      <c r="A510" s="50" t="str">
        <f t="shared" si="42"/>
        <v xml:space="preserve">By. Biaya </v>
      </c>
      <c r="B510" s="215">
        <v>46093</v>
      </c>
      <c r="C510" s="211" t="s">
        <v>1209</v>
      </c>
      <c r="D510" s="218" t="s">
        <v>376</v>
      </c>
      <c r="F510" s="52">
        <f>IF(G510="","",INDEX(COA!$A$4:$A$123,MATCH(JU!$G510,COA!$B$4:$B$123,0)))</f>
        <v>6402</v>
      </c>
      <c r="G510" t="s">
        <v>90</v>
      </c>
      <c r="H510" s="216">
        <v>600000</v>
      </c>
      <c r="I510" s="52">
        <f>IF(J510="","",INDEX(COA!$A$4:$A$123,MATCH(JU!$J510,COA!$B$4:$B$123,0)))</f>
        <v>1103</v>
      </c>
      <c r="J510" t="s">
        <v>154</v>
      </c>
      <c r="K510" s="34">
        <f t="shared" si="51"/>
        <v>600000</v>
      </c>
    </row>
    <row r="511" spans="1:11" hidden="1">
      <c r="A511" s="50" t="str">
        <f t="shared" si="42"/>
        <v xml:space="preserve">By. Biaya </v>
      </c>
      <c r="B511" s="215">
        <v>46093</v>
      </c>
      <c r="C511" s="211" t="s">
        <v>1210</v>
      </c>
      <c r="D511" s="218" t="s">
        <v>1371</v>
      </c>
      <c r="F511" s="52">
        <f>IF(G511="","",INDEX(COA!$A$4:$A$123,MATCH(JU!$G511,COA!$B$4:$B$123,0)))</f>
        <v>1203</v>
      </c>
      <c r="G511" t="s">
        <v>140</v>
      </c>
      <c r="H511" s="216">
        <v>5000000</v>
      </c>
      <c r="I511" s="52">
        <f>IF(J511="","",INDEX(COA!$A$4:$A$123,MATCH(JU!$J511,COA!$B$4:$B$123,0)))</f>
        <v>1103</v>
      </c>
      <c r="J511" t="s">
        <v>154</v>
      </c>
      <c r="K511" s="34">
        <f t="shared" si="51"/>
        <v>5000000</v>
      </c>
    </row>
    <row r="512" spans="1:11" hidden="1">
      <c r="A512" s="50" t="str">
        <f t="shared" si="42"/>
        <v xml:space="preserve">By. Biaya </v>
      </c>
      <c r="B512" s="215">
        <v>46093</v>
      </c>
      <c r="C512" s="211" t="s">
        <v>1211</v>
      </c>
      <c r="D512" s="218" t="s">
        <v>1372</v>
      </c>
      <c r="F512" s="52">
        <f>IF(G512="","",INDEX(COA!$A$4:$A$123,MATCH(JU!$G512,COA!$B$4:$B$123,0)))</f>
        <v>1302</v>
      </c>
      <c r="G512" t="s">
        <v>31</v>
      </c>
      <c r="H512" s="216">
        <v>7428000</v>
      </c>
      <c r="I512" s="52">
        <f>IF(J512="","",INDEX(COA!$A$4:$A$123,MATCH(JU!$J512,COA!$B$4:$B$123,0)))</f>
        <v>1103</v>
      </c>
      <c r="J512" t="s">
        <v>154</v>
      </c>
      <c r="K512" s="34">
        <f t="shared" si="51"/>
        <v>7428000</v>
      </c>
    </row>
    <row r="513" spans="1:11" hidden="1">
      <c r="A513" s="50" t="str">
        <f t="shared" si="42"/>
        <v xml:space="preserve">By. Biaya </v>
      </c>
      <c r="B513" s="215">
        <v>46093</v>
      </c>
      <c r="C513" s="211" t="s">
        <v>1212</v>
      </c>
      <c r="D513" s="218" t="s">
        <v>1373</v>
      </c>
      <c r="F513" s="52">
        <f>IF(G513="","",INDEX(COA!$A$4:$A$123,MATCH(JU!$G513,COA!$B$4:$B$123,0)))</f>
        <v>1302</v>
      </c>
      <c r="G513" t="s">
        <v>31</v>
      </c>
      <c r="H513" s="216">
        <v>850000</v>
      </c>
      <c r="I513" s="52">
        <f>IF(J513="","",INDEX(COA!$A$4:$A$123,MATCH(JU!$J513,COA!$B$4:$B$123,0)))</f>
        <v>1103</v>
      </c>
      <c r="J513" t="s">
        <v>154</v>
      </c>
      <c r="K513" s="34">
        <f t="shared" si="51"/>
        <v>850000</v>
      </c>
    </row>
    <row r="514" spans="1:11" hidden="1">
      <c r="A514" s="50" t="str">
        <f t="shared" si="42"/>
        <v xml:space="preserve">By. Biaya </v>
      </c>
      <c r="B514" s="215">
        <v>46094</v>
      </c>
      <c r="C514" s="211" t="s">
        <v>1213</v>
      </c>
      <c r="D514" s="218" t="s">
        <v>1374</v>
      </c>
      <c r="F514" s="52">
        <f>IF(G514="","",INDEX(COA!$A$4:$A$123,MATCH(JU!$G514,COA!$B$4:$B$123,0)))</f>
        <v>5108</v>
      </c>
      <c r="G514" t="s">
        <v>72</v>
      </c>
      <c r="H514" s="216">
        <v>500000</v>
      </c>
      <c r="I514" s="52">
        <f>IF(J514="","",INDEX(COA!$A$4:$A$123,MATCH(JU!$J514,COA!$B$4:$B$123,0)))</f>
        <v>1103</v>
      </c>
      <c r="J514" t="s">
        <v>154</v>
      </c>
      <c r="K514" s="34">
        <f t="shared" si="51"/>
        <v>500000</v>
      </c>
    </row>
    <row r="515" spans="1:11" hidden="1">
      <c r="A515" s="50" t="str">
        <f t="shared" si="42"/>
        <v xml:space="preserve">By. Biaya </v>
      </c>
      <c r="B515" s="215">
        <v>46094</v>
      </c>
      <c r="C515" s="211" t="s">
        <v>1214</v>
      </c>
      <c r="D515" s="218" t="s">
        <v>1375</v>
      </c>
      <c r="F515" s="52">
        <f>IF(G515="","",INDEX(COA!$A$4:$A$123,MATCH(JU!$G515,COA!$B$4:$B$123,0)))</f>
        <v>5110</v>
      </c>
      <c r="G515" t="s">
        <v>74</v>
      </c>
      <c r="H515" s="216">
        <v>3740000</v>
      </c>
      <c r="I515" s="52">
        <f>IF(J515="","",INDEX(COA!$A$4:$A$123,MATCH(JU!$J515,COA!$B$4:$B$123,0)))</f>
        <v>1103</v>
      </c>
      <c r="J515" t="s">
        <v>154</v>
      </c>
      <c r="K515" s="34">
        <f t="shared" si="51"/>
        <v>3740000</v>
      </c>
    </row>
    <row r="516" spans="1:11" hidden="1">
      <c r="A516" s="50" t="str">
        <f t="shared" ref="A516:A581" si="62">IF(G516="BRI 568","Terima Uang Masuk atas ","By. Biaya ")</f>
        <v xml:space="preserve">By. Biaya </v>
      </c>
      <c r="B516" s="215">
        <v>46094</v>
      </c>
      <c r="C516" s="211" t="s">
        <v>1215</v>
      </c>
      <c r="D516" s="218" t="s">
        <v>1376</v>
      </c>
      <c r="F516" s="52">
        <f>IF(G516="","",INDEX(COA!$A$4:$A$123,MATCH(JU!$G516,COA!$B$4:$B$123,0)))</f>
        <v>4102</v>
      </c>
      <c r="G516" t="s">
        <v>62</v>
      </c>
      <c r="H516" s="216">
        <v>8000000</v>
      </c>
      <c r="I516" s="52">
        <f>IF(J516="","",INDEX(COA!$A$4:$A$123,MATCH(JU!$J516,COA!$B$4:$B$123,0)))</f>
        <v>1103</v>
      </c>
      <c r="J516" t="s">
        <v>154</v>
      </c>
      <c r="K516" s="34">
        <f t="shared" si="51"/>
        <v>8000000</v>
      </c>
    </row>
    <row r="517" spans="1:11" hidden="1">
      <c r="A517" s="50" t="str">
        <f t="shared" si="62"/>
        <v xml:space="preserve">Terima Uang Masuk atas </v>
      </c>
      <c r="B517" s="215">
        <v>46094</v>
      </c>
      <c r="C517" s="211" t="s">
        <v>1216</v>
      </c>
      <c r="D517" s="218" t="s">
        <v>1377</v>
      </c>
      <c r="F517" s="52">
        <f>IF(G517="","",INDEX(COA!$A$4:$A$123,MATCH(JU!$G517,COA!$B$4:$B$123,0)))</f>
        <v>1103</v>
      </c>
      <c r="G517" t="s">
        <v>154</v>
      </c>
      <c r="H517" s="216">
        <v>15000000</v>
      </c>
      <c r="I517" s="52">
        <f>IF(J517="","",INDEX(COA!$A$4:$A$123,MATCH(JU!$J517,COA!$B$4:$B$123,0)))</f>
        <v>4102</v>
      </c>
      <c r="J517" t="s">
        <v>62</v>
      </c>
      <c r="K517" s="34">
        <f t="shared" si="51"/>
        <v>15000000</v>
      </c>
    </row>
    <row r="518" spans="1:11" hidden="1">
      <c r="A518" s="50" t="str">
        <f t="shared" ref="A518" si="63">IF(G518="BRI 568","Terima Uang Masuk atas ","By. Biaya ")</f>
        <v xml:space="preserve">By. Biaya </v>
      </c>
      <c r="B518" s="215">
        <v>46094</v>
      </c>
      <c r="C518" s="211" t="s">
        <v>1216</v>
      </c>
      <c r="D518" s="218" t="s">
        <v>1448</v>
      </c>
      <c r="F518" s="52">
        <f>IF(G518="","",INDEX(COA!$A$4:$A$123,MATCH(JU!$G518,COA!$B$4:$B$123,0)))</f>
        <v>1202</v>
      </c>
      <c r="G518" t="s">
        <v>27</v>
      </c>
      <c r="H518" s="216">
        <v>169000000</v>
      </c>
      <c r="I518" s="52">
        <f>IF(J518="","",INDEX(COA!$A$4:$A$123,MATCH(JU!$J518,COA!$B$4:$B$123,0)))</f>
        <v>4102</v>
      </c>
      <c r="J518" t="s">
        <v>62</v>
      </c>
      <c r="K518" s="34">
        <f t="shared" ref="K518" si="64">IF(H518="","",H518)</f>
        <v>169000000</v>
      </c>
    </row>
    <row r="519" spans="1:11" hidden="1">
      <c r="A519" s="50" t="str">
        <f t="shared" si="62"/>
        <v xml:space="preserve">By. Biaya </v>
      </c>
      <c r="B519" s="215">
        <v>46094</v>
      </c>
      <c r="C519" s="211" t="s">
        <v>1217</v>
      </c>
      <c r="D519" s="218" t="s">
        <v>377</v>
      </c>
      <c r="F519" s="52" t="str">
        <f>IF(G519="","",INDEX(COA!$A$4:$A$123,MATCH(JU!$G519,COA!$B$4:$B$123,0)))</f>
        <v>6201</v>
      </c>
      <c r="G519" t="s">
        <v>81</v>
      </c>
      <c r="H519" s="216">
        <v>1000000</v>
      </c>
      <c r="I519" s="52">
        <f>IF(J519="","",INDEX(COA!$A$4:$A$123,MATCH(JU!$J519,COA!$B$4:$B$123,0)))</f>
        <v>1103</v>
      </c>
      <c r="J519" t="s">
        <v>154</v>
      </c>
      <c r="K519" s="34">
        <f t="shared" si="51"/>
        <v>1000000</v>
      </c>
    </row>
    <row r="520" spans="1:11" hidden="1">
      <c r="A520" s="50" t="str">
        <f t="shared" si="62"/>
        <v xml:space="preserve">By. Biaya </v>
      </c>
      <c r="B520" s="215">
        <v>46094</v>
      </c>
      <c r="C520" s="211" t="s">
        <v>305</v>
      </c>
      <c r="D520" s="218" t="s">
        <v>333</v>
      </c>
      <c r="F520" s="52" t="str">
        <f>IF(G520="","",INDEX(COA!$A$4:$A$123,MATCH(JU!$G520,COA!$B$4:$B$123,0)))</f>
        <v>6303</v>
      </c>
      <c r="G520" t="s">
        <v>87</v>
      </c>
      <c r="H520" s="216">
        <v>6500</v>
      </c>
      <c r="I520" s="52">
        <f>IF(J520="","",INDEX(COA!$A$4:$A$123,MATCH(JU!$J520,COA!$B$4:$B$123,0)))</f>
        <v>1103</v>
      </c>
      <c r="J520" t="s">
        <v>154</v>
      </c>
      <c r="K520" s="34">
        <f t="shared" si="51"/>
        <v>6500</v>
      </c>
    </row>
    <row r="521" spans="1:11" hidden="1">
      <c r="A521" s="50" t="str">
        <f t="shared" si="62"/>
        <v xml:space="preserve">By. Biaya </v>
      </c>
      <c r="B521" s="215">
        <v>46094</v>
      </c>
      <c r="C521" s="211" t="s">
        <v>1218</v>
      </c>
      <c r="D521" s="218" t="s">
        <v>1378</v>
      </c>
      <c r="F521" s="52">
        <f>IF(G521="","",INDEX(COA!$A$4:$A$123,MATCH(JU!$G521,COA!$B$4:$B$123,0)))</f>
        <v>4102</v>
      </c>
      <c r="G521" t="s">
        <v>62</v>
      </c>
      <c r="H521" s="216">
        <v>1500000</v>
      </c>
      <c r="I521" s="52">
        <f>IF(J521="","",INDEX(COA!$A$4:$A$123,MATCH(JU!$J521,COA!$B$4:$B$123,0)))</f>
        <v>1103</v>
      </c>
      <c r="J521" t="s">
        <v>154</v>
      </c>
      <c r="K521" s="34">
        <f t="shared" si="51"/>
        <v>1500000</v>
      </c>
    </row>
    <row r="522" spans="1:11" hidden="1">
      <c r="A522" s="50" t="str">
        <f t="shared" si="62"/>
        <v xml:space="preserve">Terima Uang Masuk atas </v>
      </c>
      <c r="B522" s="215">
        <v>46094</v>
      </c>
      <c r="C522" s="211" t="s">
        <v>1219</v>
      </c>
      <c r="D522" s="218" t="s">
        <v>1379</v>
      </c>
      <c r="F522" s="52">
        <f>IF(G522="","",INDEX(COA!$A$4:$A$123,MATCH(JU!$G522,COA!$B$4:$B$123,0)))</f>
        <v>1103</v>
      </c>
      <c r="G522" t="s">
        <v>154</v>
      </c>
      <c r="H522" s="216">
        <v>4000000</v>
      </c>
      <c r="I522" s="52">
        <f>IF(J522="","",INDEX(COA!$A$4:$A$123,MATCH(JU!$J522,COA!$B$4:$B$123,0)))</f>
        <v>4102</v>
      </c>
      <c r="J522" t="s">
        <v>62</v>
      </c>
      <c r="K522" s="34">
        <f t="shared" si="51"/>
        <v>4000000</v>
      </c>
    </row>
    <row r="523" spans="1:11" hidden="1">
      <c r="A523" s="50" t="str">
        <f t="shared" si="62"/>
        <v xml:space="preserve">Terima Uang Masuk atas </v>
      </c>
      <c r="B523" s="215">
        <v>46094</v>
      </c>
      <c r="C523" s="211" t="s">
        <v>1220</v>
      </c>
      <c r="D523" s="218" t="s">
        <v>1380</v>
      </c>
      <c r="F523" s="52">
        <f>IF(G523="","",INDEX(COA!$A$4:$A$123,MATCH(JU!$G523,COA!$B$4:$B$123,0)))</f>
        <v>1103</v>
      </c>
      <c r="G523" t="s">
        <v>154</v>
      </c>
      <c r="H523" s="216">
        <v>227000000</v>
      </c>
      <c r="I523" s="52">
        <f>IF(J523="","",INDEX(COA!$A$4:$A$123,MATCH(JU!$J523,COA!$B$4:$B$123,0)))</f>
        <v>1202</v>
      </c>
      <c r="J523" t="s">
        <v>27</v>
      </c>
      <c r="K523" s="34">
        <f t="shared" si="51"/>
        <v>227000000</v>
      </c>
    </row>
    <row r="524" spans="1:11" hidden="1">
      <c r="A524" s="50" t="str">
        <f t="shared" ref="A524" si="65">IF(G524="BRI 568","Terima Uang Masuk atas ","By. Biaya ")</f>
        <v xml:space="preserve">By. Biaya </v>
      </c>
      <c r="B524" s="215">
        <v>46094</v>
      </c>
      <c r="C524" s="211" t="s">
        <v>1220</v>
      </c>
      <c r="D524" s="218" t="s">
        <v>1449</v>
      </c>
      <c r="F524" s="52" t="str">
        <f>IF(G524="","",INDEX(COA!$A$4:$A$123,MATCH(JU!$G524,COA!$B$4:$B$123,0)))</f>
        <v>2101</v>
      </c>
      <c r="G524" t="s">
        <v>45</v>
      </c>
      <c r="H524" s="216">
        <v>70000000</v>
      </c>
      <c r="I524" s="52">
        <f>IF(J524="","",INDEX(COA!$A$4:$A$123,MATCH(JU!$J524,COA!$B$4:$B$123,0)))</f>
        <v>1202</v>
      </c>
      <c r="J524" t="s">
        <v>27</v>
      </c>
      <c r="K524" s="34">
        <f t="shared" ref="K524" si="66">IF(H524="","",H524)</f>
        <v>70000000</v>
      </c>
    </row>
    <row r="525" spans="1:11" hidden="1">
      <c r="A525" s="50" t="str">
        <f t="shared" si="62"/>
        <v xml:space="preserve">By. Biaya </v>
      </c>
      <c r="B525" s="215">
        <v>46094</v>
      </c>
      <c r="C525" s="211" t="s">
        <v>645</v>
      </c>
      <c r="D525" s="218" t="s">
        <v>728</v>
      </c>
      <c r="F525" s="52">
        <f>IF(G525="","",INDEX(COA!$A$4:$A$123,MATCH(JU!$G525,COA!$B$4:$B$123,0)))</f>
        <v>1302</v>
      </c>
      <c r="G525" t="s">
        <v>31</v>
      </c>
      <c r="H525" s="216">
        <v>50000000</v>
      </c>
      <c r="I525" s="52">
        <f>IF(J525="","",INDEX(COA!$A$4:$A$123,MATCH(JU!$J525,COA!$B$4:$B$123,0)))</f>
        <v>1103</v>
      </c>
      <c r="J525" t="s">
        <v>154</v>
      </c>
      <c r="K525" s="34">
        <f t="shared" si="51"/>
        <v>50000000</v>
      </c>
    </row>
    <row r="526" spans="1:11" hidden="1">
      <c r="A526" s="50" t="str">
        <f t="shared" si="62"/>
        <v xml:space="preserve">Terima Uang Masuk atas </v>
      </c>
      <c r="B526" s="215">
        <v>46094</v>
      </c>
      <c r="C526" s="211" t="s">
        <v>1221</v>
      </c>
      <c r="D526" s="218" t="s">
        <v>1381</v>
      </c>
      <c r="F526" s="52">
        <f>IF(G526="","",INDEX(COA!$A$4:$A$123,MATCH(JU!$G526,COA!$B$4:$B$123,0)))</f>
        <v>1103</v>
      </c>
      <c r="G526" t="s">
        <v>154</v>
      </c>
      <c r="H526" s="216">
        <v>10000000</v>
      </c>
      <c r="I526" s="52">
        <f>IF(J526="","",INDEX(COA!$A$4:$A$123,MATCH(JU!$J526,COA!$B$4:$B$123,0)))</f>
        <v>6101</v>
      </c>
      <c r="J526" t="s">
        <v>75</v>
      </c>
      <c r="K526" s="34">
        <f t="shared" si="51"/>
        <v>10000000</v>
      </c>
    </row>
    <row r="527" spans="1:11" hidden="1">
      <c r="A527" s="50" t="str">
        <f t="shared" si="62"/>
        <v xml:space="preserve">By. Biaya </v>
      </c>
      <c r="B527" s="215">
        <v>46094</v>
      </c>
      <c r="C527" s="211" t="s">
        <v>431</v>
      </c>
      <c r="D527" s="218" t="s">
        <v>374</v>
      </c>
      <c r="F527" s="52" t="str">
        <f>IF(G527="","",INDEX(COA!$A$4:$A$123,MATCH(JU!$G527,COA!$B$4:$B$123,0)))</f>
        <v>2107</v>
      </c>
      <c r="G527" t="s">
        <v>50</v>
      </c>
      <c r="H527" s="216">
        <v>10000000</v>
      </c>
      <c r="I527" s="52">
        <f>IF(J527="","",INDEX(COA!$A$4:$A$123,MATCH(JU!$J527,COA!$B$4:$B$123,0)))</f>
        <v>1103</v>
      </c>
      <c r="J527" t="s">
        <v>154</v>
      </c>
      <c r="K527" s="34">
        <f t="shared" si="51"/>
        <v>10000000</v>
      </c>
    </row>
    <row r="528" spans="1:11" hidden="1">
      <c r="A528" s="50" t="str">
        <f t="shared" si="62"/>
        <v xml:space="preserve">By. Biaya </v>
      </c>
      <c r="B528" s="215">
        <v>46094</v>
      </c>
      <c r="C528" s="211" t="s">
        <v>305</v>
      </c>
      <c r="D528" s="218" t="s">
        <v>333</v>
      </c>
      <c r="F528" s="52" t="str">
        <f>IF(G528="","",INDEX(COA!$A$4:$A$123,MATCH(JU!$G528,COA!$B$4:$B$123,0)))</f>
        <v>6303</v>
      </c>
      <c r="G528" t="s">
        <v>87</v>
      </c>
      <c r="H528" s="216">
        <v>2500</v>
      </c>
      <c r="I528" s="52">
        <f>IF(J528="","",INDEX(COA!$A$4:$A$123,MATCH(JU!$J528,COA!$B$4:$B$123,0)))</f>
        <v>1103</v>
      </c>
      <c r="J528" t="s">
        <v>154</v>
      </c>
      <c r="K528" s="34">
        <f t="shared" si="51"/>
        <v>2500</v>
      </c>
    </row>
    <row r="529" spans="1:11" hidden="1">
      <c r="A529" s="50" t="str">
        <f t="shared" si="62"/>
        <v xml:space="preserve">By. Biaya </v>
      </c>
      <c r="B529" s="215">
        <v>46094</v>
      </c>
      <c r="C529" s="211" t="s">
        <v>1222</v>
      </c>
      <c r="D529" s="218" t="s">
        <v>378</v>
      </c>
      <c r="F529" s="52">
        <f>IF(G529="","",INDEX(COA!$A$4:$A$123,MATCH(JU!$G529,COA!$B$4:$B$123,0)))</f>
        <v>1401</v>
      </c>
      <c r="G529" t="s">
        <v>35</v>
      </c>
      <c r="H529" s="216">
        <v>4000000</v>
      </c>
      <c r="I529" s="52">
        <f>IF(J529="","",INDEX(COA!$A$4:$A$123,MATCH(JU!$J529,COA!$B$4:$B$123,0)))</f>
        <v>1103</v>
      </c>
      <c r="J529" t="s">
        <v>154</v>
      </c>
      <c r="K529" s="34">
        <f t="shared" si="51"/>
        <v>4000000</v>
      </c>
    </row>
    <row r="530" spans="1:11" hidden="1">
      <c r="A530" s="50" t="str">
        <f t="shared" si="62"/>
        <v xml:space="preserve">By. Biaya </v>
      </c>
      <c r="B530" s="215">
        <v>46094</v>
      </c>
      <c r="C530" s="211" t="s">
        <v>305</v>
      </c>
      <c r="D530" s="218" t="s">
        <v>333</v>
      </c>
      <c r="F530" s="52" t="str">
        <f>IF(G530="","",INDEX(COA!$A$4:$A$123,MATCH(JU!$G530,COA!$B$4:$B$123,0)))</f>
        <v>6303</v>
      </c>
      <c r="G530" t="s">
        <v>87</v>
      </c>
      <c r="H530" s="216">
        <v>2500</v>
      </c>
      <c r="I530" s="52">
        <f>IF(J530="","",INDEX(COA!$A$4:$A$123,MATCH(JU!$J530,COA!$B$4:$B$123,0)))</f>
        <v>1103</v>
      </c>
      <c r="J530" t="s">
        <v>154</v>
      </c>
      <c r="K530" s="34">
        <f t="shared" si="51"/>
        <v>2500</v>
      </c>
    </row>
    <row r="531" spans="1:11" hidden="1">
      <c r="A531" s="50" t="str">
        <f t="shared" si="62"/>
        <v xml:space="preserve">By. Biaya </v>
      </c>
      <c r="B531" s="215">
        <v>46094</v>
      </c>
      <c r="C531" s="211" t="s">
        <v>1223</v>
      </c>
      <c r="D531" s="218" t="s">
        <v>1382</v>
      </c>
      <c r="F531" s="52">
        <f>IF(G531="","",INDEX(COA!$A$4:$A$123,MATCH(JU!$G531,COA!$B$4:$B$123,0)))</f>
        <v>5108</v>
      </c>
      <c r="G531" t="s">
        <v>72</v>
      </c>
      <c r="H531" s="216">
        <v>4000000</v>
      </c>
      <c r="I531" s="52">
        <f>IF(J531="","",INDEX(COA!$A$4:$A$123,MATCH(JU!$J531,COA!$B$4:$B$123,0)))</f>
        <v>1103</v>
      </c>
      <c r="J531" t="s">
        <v>154</v>
      </c>
      <c r="K531" s="34">
        <f t="shared" si="51"/>
        <v>4000000</v>
      </c>
    </row>
    <row r="532" spans="1:11" hidden="1">
      <c r="A532" s="50" t="str">
        <f t="shared" si="62"/>
        <v xml:space="preserve">By. Biaya </v>
      </c>
      <c r="B532" s="215">
        <v>46095</v>
      </c>
      <c r="C532" s="211" t="s">
        <v>1224</v>
      </c>
      <c r="D532" s="218" t="s">
        <v>379</v>
      </c>
      <c r="F532" s="52">
        <f>IF(G532="","",INDEX(COA!$A$4:$A$123,MATCH(JU!$G532,COA!$B$4:$B$123,0)))</f>
        <v>6101</v>
      </c>
      <c r="G532" t="s">
        <v>75</v>
      </c>
      <c r="H532" s="216">
        <v>1000000</v>
      </c>
      <c r="I532" s="52">
        <f>IF(J532="","",INDEX(COA!$A$4:$A$123,MATCH(JU!$J532,COA!$B$4:$B$123,0)))</f>
        <v>1103</v>
      </c>
      <c r="J532" t="s">
        <v>154</v>
      </c>
      <c r="K532" s="34">
        <f t="shared" si="51"/>
        <v>1000000</v>
      </c>
    </row>
    <row r="533" spans="1:11" hidden="1">
      <c r="A533" s="50" t="str">
        <f t="shared" si="62"/>
        <v xml:space="preserve">By. Biaya </v>
      </c>
      <c r="B533" s="215">
        <v>46095</v>
      </c>
      <c r="C533" s="211" t="s">
        <v>1225</v>
      </c>
      <c r="D533" s="218" t="s">
        <v>380</v>
      </c>
      <c r="F533" s="52">
        <f>IF(G533="","",INDEX(COA!$A$4:$A$123,MATCH(JU!$G533,COA!$B$4:$B$123,0)))</f>
        <v>6101</v>
      </c>
      <c r="G533" t="s">
        <v>75</v>
      </c>
      <c r="H533" s="216">
        <v>1000000</v>
      </c>
      <c r="I533" s="52">
        <f>IF(J533="","",INDEX(COA!$A$4:$A$123,MATCH(JU!$J533,COA!$B$4:$B$123,0)))</f>
        <v>1103</v>
      </c>
      <c r="J533" t="s">
        <v>154</v>
      </c>
      <c r="K533" s="34">
        <f t="shared" si="51"/>
        <v>1000000</v>
      </c>
    </row>
    <row r="534" spans="1:11" hidden="1">
      <c r="A534" s="50" t="str">
        <f t="shared" si="62"/>
        <v xml:space="preserve">By. Biaya </v>
      </c>
      <c r="B534" s="215">
        <v>46095</v>
      </c>
      <c r="C534" s="211" t="s">
        <v>1226</v>
      </c>
      <c r="D534" s="218" t="s">
        <v>381</v>
      </c>
      <c r="F534" s="52">
        <f>IF(G534="","",INDEX(COA!$A$4:$A$123,MATCH(JU!$G534,COA!$B$4:$B$123,0)))</f>
        <v>6101</v>
      </c>
      <c r="G534" t="s">
        <v>75</v>
      </c>
      <c r="H534" s="216">
        <v>1000000</v>
      </c>
      <c r="I534" s="52">
        <f>IF(J534="","",INDEX(COA!$A$4:$A$123,MATCH(JU!$J534,COA!$B$4:$B$123,0)))</f>
        <v>1103</v>
      </c>
      <c r="J534" t="s">
        <v>154</v>
      </c>
      <c r="K534" s="34">
        <f t="shared" si="51"/>
        <v>1000000</v>
      </c>
    </row>
    <row r="535" spans="1:11" hidden="1">
      <c r="A535" s="50" t="str">
        <f t="shared" si="62"/>
        <v xml:space="preserve">By. Biaya </v>
      </c>
      <c r="B535" s="215">
        <v>46095</v>
      </c>
      <c r="C535" s="211" t="s">
        <v>1227</v>
      </c>
      <c r="D535" s="218" t="s">
        <v>382</v>
      </c>
      <c r="F535" s="52">
        <f>IF(G535="","",INDEX(COA!$A$4:$A$123,MATCH(JU!$G535,COA!$B$4:$B$123,0)))</f>
        <v>6101</v>
      </c>
      <c r="G535" t="s">
        <v>75</v>
      </c>
      <c r="H535" s="216">
        <v>1000000</v>
      </c>
      <c r="I535" s="52">
        <f>IF(J535="","",INDEX(COA!$A$4:$A$123,MATCH(JU!$J535,COA!$B$4:$B$123,0)))</f>
        <v>1103</v>
      </c>
      <c r="J535" t="s">
        <v>154</v>
      </c>
      <c r="K535" s="34">
        <f t="shared" si="51"/>
        <v>1000000</v>
      </c>
    </row>
    <row r="536" spans="1:11" hidden="1">
      <c r="A536" s="50" t="str">
        <f t="shared" si="62"/>
        <v xml:space="preserve">By. Biaya </v>
      </c>
      <c r="B536" s="215">
        <v>46095</v>
      </c>
      <c r="C536" s="211" t="s">
        <v>1228</v>
      </c>
      <c r="D536" s="218" t="s">
        <v>383</v>
      </c>
      <c r="F536" s="52">
        <f>IF(G536="","",INDEX(COA!$A$4:$A$123,MATCH(JU!$G536,COA!$B$4:$B$123,0)))</f>
        <v>6101</v>
      </c>
      <c r="G536" t="s">
        <v>75</v>
      </c>
      <c r="H536" s="216">
        <v>1000000</v>
      </c>
      <c r="I536" s="52">
        <f>IF(J536="","",INDEX(COA!$A$4:$A$123,MATCH(JU!$J536,COA!$B$4:$B$123,0)))</f>
        <v>1103</v>
      </c>
      <c r="J536" t="s">
        <v>154</v>
      </c>
      <c r="K536" s="34">
        <f t="shared" si="51"/>
        <v>1000000</v>
      </c>
    </row>
    <row r="537" spans="1:11" hidden="1">
      <c r="A537" s="50" t="str">
        <f t="shared" si="62"/>
        <v xml:space="preserve">By. Biaya </v>
      </c>
      <c r="B537" s="215">
        <v>46095</v>
      </c>
      <c r="C537" s="211" t="s">
        <v>1229</v>
      </c>
      <c r="D537" s="218" t="s">
        <v>384</v>
      </c>
      <c r="F537" s="52">
        <f>IF(G537="","",INDEX(COA!$A$4:$A$123,MATCH(JU!$G537,COA!$B$4:$B$123,0)))</f>
        <v>6101</v>
      </c>
      <c r="G537" t="s">
        <v>75</v>
      </c>
      <c r="H537" s="216">
        <v>1000000</v>
      </c>
      <c r="I537" s="52">
        <f>IF(J537="","",INDEX(COA!$A$4:$A$123,MATCH(JU!$J537,COA!$B$4:$B$123,0)))</f>
        <v>1103</v>
      </c>
      <c r="J537" t="s">
        <v>154</v>
      </c>
      <c r="K537" s="34">
        <f t="shared" si="51"/>
        <v>1000000</v>
      </c>
    </row>
    <row r="538" spans="1:11" hidden="1">
      <c r="A538" s="50" t="str">
        <f t="shared" si="62"/>
        <v xml:space="preserve">By. Biaya </v>
      </c>
      <c r="B538" s="215">
        <v>46095</v>
      </c>
      <c r="C538" s="211" t="s">
        <v>1230</v>
      </c>
      <c r="D538" s="218" t="s">
        <v>385</v>
      </c>
      <c r="F538" s="52">
        <f>IF(G538="","",INDEX(COA!$A$4:$A$123,MATCH(JU!$G538,COA!$B$4:$B$123,0)))</f>
        <v>6101</v>
      </c>
      <c r="G538" t="s">
        <v>75</v>
      </c>
      <c r="H538" s="216">
        <v>1000000</v>
      </c>
      <c r="I538" s="52">
        <f>IF(J538="","",INDEX(COA!$A$4:$A$123,MATCH(JU!$J538,COA!$B$4:$B$123,0)))</f>
        <v>1103</v>
      </c>
      <c r="J538" t="s">
        <v>154</v>
      </c>
      <c r="K538" s="34">
        <f t="shared" si="51"/>
        <v>1000000</v>
      </c>
    </row>
    <row r="539" spans="1:11" hidden="1">
      <c r="A539" s="50" t="str">
        <f t="shared" si="62"/>
        <v xml:space="preserve">By. Biaya </v>
      </c>
      <c r="B539" s="215">
        <v>46095</v>
      </c>
      <c r="C539" s="211" t="s">
        <v>1231</v>
      </c>
      <c r="D539" s="218" t="s">
        <v>386</v>
      </c>
      <c r="F539" s="52">
        <f>IF(G539="","",INDEX(COA!$A$4:$A$123,MATCH(JU!$G539,COA!$B$4:$B$123,0)))</f>
        <v>6101</v>
      </c>
      <c r="G539" t="s">
        <v>75</v>
      </c>
      <c r="H539" s="216">
        <v>1000000</v>
      </c>
      <c r="I539" s="52">
        <f>IF(J539="","",INDEX(COA!$A$4:$A$123,MATCH(JU!$J539,COA!$B$4:$B$123,0)))</f>
        <v>1103</v>
      </c>
      <c r="J539" t="s">
        <v>154</v>
      </c>
      <c r="K539" s="34">
        <f t="shared" si="51"/>
        <v>1000000</v>
      </c>
    </row>
    <row r="540" spans="1:11" hidden="1">
      <c r="A540" s="50" t="str">
        <f t="shared" si="62"/>
        <v xml:space="preserve">By. Biaya </v>
      </c>
      <c r="B540" s="215">
        <v>46095</v>
      </c>
      <c r="C540" s="211" t="s">
        <v>1232</v>
      </c>
      <c r="D540" s="218" t="s">
        <v>387</v>
      </c>
      <c r="F540" s="52">
        <f>IF(G540="","",INDEX(COA!$A$4:$A$123,MATCH(JU!$G540,COA!$B$4:$B$123,0)))</f>
        <v>6101</v>
      </c>
      <c r="G540" t="s">
        <v>75</v>
      </c>
      <c r="H540" s="216">
        <v>1000000</v>
      </c>
      <c r="I540" s="52">
        <f>IF(J540="","",INDEX(COA!$A$4:$A$123,MATCH(JU!$J540,COA!$B$4:$B$123,0)))</f>
        <v>1103</v>
      </c>
      <c r="J540" t="s">
        <v>154</v>
      </c>
      <c r="K540" s="34">
        <f t="shared" si="51"/>
        <v>1000000</v>
      </c>
    </row>
    <row r="541" spans="1:11" hidden="1">
      <c r="A541" s="50" t="str">
        <f t="shared" si="62"/>
        <v xml:space="preserve">By. Biaya </v>
      </c>
      <c r="B541" s="215">
        <v>46095</v>
      </c>
      <c r="C541" s="211" t="s">
        <v>1233</v>
      </c>
      <c r="D541" s="218" t="s">
        <v>388</v>
      </c>
      <c r="F541" s="52">
        <f>IF(G541="","",INDEX(COA!$A$4:$A$123,MATCH(JU!$G541,COA!$B$4:$B$123,0)))</f>
        <v>6101</v>
      </c>
      <c r="G541" t="s">
        <v>75</v>
      </c>
      <c r="H541" s="216">
        <v>1000000</v>
      </c>
      <c r="I541" s="52">
        <f>IF(J541="","",INDEX(COA!$A$4:$A$123,MATCH(JU!$J541,COA!$B$4:$B$123,0)))</f>
        <v>1103</v>
      </c>
      <c r="J541" t="s">
        <v>154</v>
      </c>
      <c r="K541" s="34">
        <f t="shared" si="51"/>
        <v>1000000</v>
      </c>
    </row>
    <row r="542" spans="1:11" hidden="1">
      <c r="A542" s="50" t="str">
        <f t="shared" si="62"/>
        <v xml:space="preserve">By. Biaya </v>
      </c>
      <c r="B542" s="215">
        <v>46095</v>
      </c>
      <c r="C542" s="211" t="s">
        <v>1234</v>
      </c>
      <c r="D542" s="218" t="s">
        <v>389</v>
      </c>
      <c r="F542" s="52">
        <f>IF(G542="","",INDEX(COA!$A$4:$A$123,MATCH(JU!$G542,COA!$B$4:$B$123,0)))</f>
        <v>6101</v>
      </c>
      <c r="G542" t="s">
        <v>75</v>
      </c>
      <c r="H542" s="216">
        <v>8750000</v>
      </c>
      <c r="I542" s="52">
        <f>IF(J542="","",INDEX(COA!$A$4:$A$123,MATCH(JU!$J542,COA!$B$4:$B$123,0)))</f>
        <v>1103</v>
      </c>
      <c r="J542" t="s">
        <v>154</v>
      </c>
      <c r="K542" s="34">
        <f t="shared" si="51"/>
        <v>8750000</v>
      </c>
    </row>
    <row r="543" spans="1:11" hidden="1">
      <c r="A543" s="50" t="str">
        <f t="shared" si="62"/>
        <v xml:space="preserve">By. Biaya </v>
      </c>
      <c r="B543" s="215">
        <v>46095</v>
      </c>
      <c r="C543" s="211" t="s">
        <v>305</v>
      </c>
      <c r="D543" s="218" t="s">
        <v>333</v>
      </c>
      <c r="F543" s="52" t="str">
        <f>IF(G543="","",INDEX(COA!$A$4:$A$123,MATCH(JU!$G543,COA!$B$4:$B$123,0)))</f>
        <v>6303</v>
      </c>
      <c r="G543" t="s">
        <v>87</v>
      </c>
      <c r="H543" s="216">
        <v>2500</v>
      </c>
      <c r="I543" s="52">
        <f>IF(J543="","",INDEX(COA!$A$4:$A$123,MATCH(JU!$J543,COA!$B$4:$B$123,0)))</f>
        <v>1103</v>
      </c>
      <c r="J543" t="s">
        <v>154</v>
      </c>
      <c r="K543" s="34">
        <f t="shared" si="51"/>
        <v>2500</v>
      </c>
    </row>
    <row r="544" spans="1:11" hidden="1">
      <c r="A544" s="50" t="str">
        <f t="shared" si="62"/>
        <v xml:space="preserve">By. Biaya </v>
      </c>
      <c r="B544" s="215">
        <v>46095</v>
      </c>
      <c r="C544" s="211" t="s">
        <v>1235</v>
      </c>
      <c r="D544" s="218" t="s">
        <v>1383</v>
      </c>
      <c r="F544" s="52">
        <f>IF(G544="","",INDEX(COA!$A$4:$A$123,MATCH(JU!$G544,COA!$B$4:$B$123,0)))</f>
        <v>1302</v>
      </c>
      <c r="G544" t="s">
        <v>31</v>
      </c>
      <c r="H544" s="216">
        <v>6300000</v>
      </c>
      <c r="I544" s="52">
        <f>IF(J544="","",INDEX(COA!$A$4:$A$123,MATCH(JU!$J544,COA!$B$4:$B$123,0)))</f>
        <v>1103</v>
      </c>
      <c r="J544" t="s">
        <v>154</v>
      </c>
      <c r="K544" s="34">
        <f t="shared" si="51"/>
        <v>6300000</v>
      </c>
    </row>
    <row r="545" spans="1:11" hidden="1">
      <c r="A545" s="50" t="str">
        <f t="shared" si="62"/>
        <v xml:space="preserve">By. Biaya </v>
      </c>
      <c r="B545" s="215">
        <v>46095</v>
      </c>
      <c r="C545" s="211" t="s">
        <v>1236</v>
      </c>
      <c r="D545" s="218" t="s">
        <v>1384</v>
      </c>
      <c r="F545" s="52">
        <f>IF(G545="","",INDEX(COA!$A$4:$A$123,MATCH(JU!$G545,COA!$B$4:$B$123,0)))</f>
        <v>1302</v>
      </c>
      <c r="G545" t="s">
        <v>31</v>
      </c>
      <c r="H545" s="216">
        <v>1800000</v>
      </c>
      <c r="I545" s="52">
        <f>IF(J545="","",INDEX(COA!$A$4:$A$123,MATCH(JU!$J545,COA!$B$4:$B$123,0)))</f>
        <v>1103</v>
      </c>
      <c r="J545" t="s">
        <v>154</v>
      </c>
      <c r="K545" s="34">
        <f t="shared" si="51"/>
        <v>1800000</v>
      </c>
    </row>
    <row r="546" spans="1:11" hidden="1">
      <c r="A546" s="50" t="str">
        <f t="shared" si="62"/>
        <v xml:space="preserve">By. Biaya </v>
      </c>
      <c r="B546" s="215">
        <v>46095</v>
      </c>
      <c r="C546" s="211" t="s">
        <v>1237</v>
      </c>
      <c r="D546" s="218" t="s">
        <v>1385</v>
      </c>
      <c r="F546" s="52">
        <f>IF(G546="","",INDEX(COA!$A$4:$A$123,MATCH(JU!$G546,COA!$B$4:$B$123,0)))</f>
        <v>1302</v>
      </c>
      <c r="G546" t="s">
        <v>31</v>
      </c>
      <c r="H546" s="216">
        <v>480000</v>
      </c>
      <c r="I546" s="52">
        <f>IF(J546="","",INDEX(COA!$A$4:$A$123,MATCH(JU!$J546,COA!$B$4:$B$123,0)))</f>
        <v>1103</v>
      </c>
      <c r="J546" t="s">
        <v>154</v>
      </c>
      <c r="K546" s="34">
        <f t="shared" si="51"/>
        <v>480000</v>
      </c>
    </row>
    <row r="547" spans="1:11" hidden="1">
      <c r="A547" s="50" t="str">
        <f t="shared" si="62"/>
        <v xml:space="preserve">By. Biaya </v>
      </c>
      <c r="B547" s="215">
        <v>46095</v>
      </c>
      <c r="C547" s="211" t="s">
        <v>1238</v>
      </c>
      <c r="D547" s="218" t="s">
        <v>1386</v>
      </c>
      <c r="F547" s="52">
        <f>IF(G547="","",INDEX(COA!$A$4:$A$123,MATCH(JU!$G547,COA!$B$4:$B$123,0)))</f>
        <v>1302</v>
      </c>
      <c r="G547" t="s">
        <v>31</v>
      </c>
      <c r="H547" s="216">
        <v>500000</v>
      </c>
      <c r="I547" s="52">
        <f>IF(J547="","",INDEX(COA!$A$4:$A$123,MATCH(JU!$J547,COA!$B$4:$B$123,0)))</f>
        <v>1103</v>
      </c>
      <c r="J547" t="s">
        <v>154</v>
      </c>
      <c r="K547" s="34">
        <f t="shared" si="51"/>
        <v>500000</v>
      </c>
    </row>
    <row r="548" spans="1:11" hidden="1">
      <c r="A548" s="50" t="str">
        <f t="shared" si="62"/>
        <v xml:space="preserve">By. Biaya </v>
      </c>
      <c r="B548" s="215">
        <v>46095</v>
      </c>
      <c r="C548" s="211" t="s">
        <v>1239</v>
      </c>
      <c r="D548" s="218" t="s">
        <v>390</v>
      </c>
      <c r="F548" s="52">
        <f>IF(G548="","",INDEX(COA!$A$4:$A$123,MATCH(JU!$G548,COA!$B$4:$B$123,0)))</f>
        <v>6402</v>
      </c>
      <c r="G548" t="s">
        <v>90</v>
      </c>
      <c r="H548" s="216">
        <v>3000000</v>
      </c>
      <c r="I548" s="52">
        <f>IF(J548="","",INDEX(COA!$A$4:$A$123,MATCH(JU!$J548,COA!$B$4:$B$123,0)))</f>
        <v>1103</v>
      </c>
      <c r="J548" t="s">
        <v>154</v>
      </c>
      <c r="K548" s="34">
        <f t="shared" si="51"/>
        <v>3000000</v>
      </c>
    </row>
    <row r="549" spans="1:11" hidden="1">
      <c r="A549" s="50" t="str">
        <f t="shared" si="62"/>
        <v xml:space="preserve">By. Biaya </v>
      </c>
      <c r="B549" s="215">
        <v>46095</v>
      </c>
      <c r="C549" s="211" t="s">
        <v>1240</v>
      </c>
      <c r="D549" s="218" t="s">
        <v>1387</v>
      </c>
      <c r="F549" s="52">
        <f>IF(G549="","",INDEX(COA!$A$4:$A$123,MATCH(JU!$G549,COA!$B$4:$B$123,0)))</f>
        <v>1203</v>
      </c>
      <c r="G549" t="s">
        <v>140</v>
      </c>
      <c r="H549" s="216">
        <v>7000000</v>
      </c>
      <c r="I549" s="52">
        <f>IF(J549="","",INDEX(COA!$A$4:$A$123,MATCH(JU!$J549,COA!$B$4:$B$123,0)))</f>
        <v>1103</v>
      </c>
      <c r="J549" t="s">
        <v>154</v>
      </c>
      <c r="K549" s="34">
        <f t="shared" si="51"/>
        <v>7000000</v>
      </c>
    </row>
    <row r="550" spans="1:11" hidden="1">
      <c r="A550" s="50" t="str">
        <f t="shared" si="62"/>
        <v xml:space="preserve">Terima Uang Masuk atas </v>
      </c>
      <c r="B550" s="215">
        <v>46096</v>
      </c>
      <c r="C550" s="211" t="s">
        <v>1241</v>
      </c>
      <c r="D550" s="218" t="s">
        <v>1388</v>
      </c>
      <c r="F550" s="52">
        <f>IF(G550="","",INDEX(COA!$A$4:$A$123,MATCH(JU!$G550,COA!$B$4:$B$123,0)))</f>
        <v>1103</v>
      </c>
      <c r="G550" t="s">
        <v>154</v>
      </c>
      <c r="H550" s="216">
        <v>7000000</v>
      </c>
      <c r="I550" s="52">
        <f>IF(J550="","",INDEX(COA!$A$4:$A$123,MATCH(JU!$J550,COA!$B$4:$B$123,0)))</f>
        <v>1203</v>
      </c>
      <c r="J550" t="s">
        <v>140</v>
      </c>
      <c r="K550" s="34">
        <f t="shared" si="51"/>
        <v>7000000</v>
      </c>
    </row>
    <row r="551" spans="1:11" hidden="1">
      <c r="A551" s="50" t="str">
        <f t="shared" si="62"/>
        <v xml:space="preserve">By. Biaya </v>
      </c>
      <c r="B551" s="215">
        <v>46097</v>
      </c>
      <c r="C551" s="211" t="s">
        <v>1242</v>
      </c>
      <c r="D551" s="218" t="s">
        <v>1389</v>
      </c>
      <c r="F551" s="52">
        <f>IF(G551="","",INDEX(COA!$A$4:$A$123,MATCH(JU!$G551,COA!$B$4:$B$123,0)))</f>
        <v>1203</v>
      </c>
      <c r="G551" t="s">
        <v>140</v>
      </c>
      <c r="H551" s="216">
        <v>50000000</v>
      </c>
      <c r="I551" s="52">
        <f>IF(J551="","",INDEX(COA!$A$4:$A$123,MATCH(JU!$J551,COA!$B$4:$B$123,0)))</f>
        <v>1103</v>
      </c>
      <c r="J551" t="s">
        <v>154</v>
      </c>
      <c r="K551" s="34">
        <f t="shared" si="51"/>
        <v>50000000</v>
      </c>
    </row>
    <row r="552" spans="1:11" hidden="1">
      <c r="A552" s="50" t="str">
        <f t="shared" si="62"/>
        <v xml:space="preserve">By. Biaya </v>
      </c>
      <c r="B552" s="215">
        <v>46097</v>
      </c>
      <c r="C552" s="211" t="s">
        <v>1243</v>
      </c>
      <c r="D552" s="218" t="s">
        <v>391</v>
      </c>
      <c r="F552" s="52" t="str">
        <f>IF(G552="","",INDEX(COA!$A$4:$A$123,MATCH(JU!$G552,COA!$B$4:$B$123,0)))</f>
        <v>6201</v>
      </c>
      <c r="G552" t="s">
        <v>81</v>
      </c>
      <c r="H552" s="216">
        <v>260000</v>
      </c>
      <c r="I552" s="52">
        <f>IF(J552="","",INDEX(COA!$A$4:$A$123,MATCH(JU!$J552,COA!$B$4:$B$123,0)))</f>
        <v>1103</v>
      </c>
      <c r="J552" t="s">
        <v>154</v>
      </c>
      <c r="K552" s="34">
        <f t="shared" si="51"/>
        <v>260000</v>
      </c>
    </row>
    <row r="553" spans="1:11" hidden="1">
      <c r="A553" s="50" t="str">
        <f t="shared" si="62"/>
        <v xml:space="preserve">By. Biaya </v>
      </c>
      <c r="B553" s="215">
        <v>46097</v>
      </c>
      <c r="C553" s="211" t="s">
        <v>1244</v>
      </c>
      <c r="D553" s="218" t="s">
        <v>1390</v>
      </c>
      <c r="F553" s="52">
        <f>IF(G553="","",INDEX(COA!$A$4:$A$123,MATCH(JU!$G553,COA!$B$4:$B$123,0)))</f>
        <v>5107</v>
      </c>
      <c r="G553" t="s">
        <v>71</v>
      </c>
      <c r="H553" s="216">
        <v>2532000</v>
      </c>
      <c r="I553" s="52">
        <f>IF(J553="","",INDEX(COA!$A$4:$A$123,MATCH(JU!$J553,COA!$B$4:$B$123,0)))</f>
        <v>1103</v>
      </c>
      <c r="J553" t="s">
        <v>154</v>
      </c>
      <c r="K553" s="34">
        <f t="shared" si="51"/>
        <v>2532000</v>
      </c>
    </row>
    <row r="554" spans="1:11" hidden="1">
      <c r="A554" s="50" t="str">
        <f t="shared" si="62"/>
        <v xml:space="preserve">By. Biaya </v>
      </c>
      <c r="B554" s="215">
        <v>46097</v>
      </c>
      <c r="C554" s="211" t="s">
        <v>1245</v>
      </c>
      <c r="D554" s="218" t="s">
        <v>1391</v>
      </c>
      <c r="F554" s="52">
        <f>IF(G554="","",INDEX(COA!$A$4:$A$123,MATCH(JU!$G554,COA!$B$4:$B$123,0)))</f>
        <v>1302</v>
      </c>
      <c r="G554" t="s">
        <v>31</v>
      </c>
      <c r="H554" s="216">
        <v>29250000</v>
      </c>
      <c r="I554" s="52">
        <f>IF(J554="","",INDEX(COA!$A$4:$A$123,MATCH(JU!$J554,COA!$B$4:$B$123,0)))</f>
        <v>1103</v>
      </c>
      <c r="J554" t="s">
        <v>154</v>
      </c>
      <c r="K554" s="34">
        <f t="shared" ref="K554:K622" si="67">IF(H554="","",H554)</f>
        <v>29250000</v>
      </c>
    </row>
    <row r="555" spans="1:11">
      <c r="A555" s="50" t="str">
        <f t="shared" si="62"/>
        <v xml:space="preserve">By. Biaya </v>
      </c>
      <c r="B555" s="215">
        <v>46097</v>
      </c>
      <c r="C555" s="211" t="s">
        <v>1246</v>
      </c>
      <c r="D555" s="218" t="s">
        <v>1392</v>
      </c>
      <c r="F555" s="52">
        <f>IF(G555="","",INDEX(COA!$A$4:$A$123,MATCH(JU!$G555,COA!$B$4:$B$123,0)))</f>
        <v>1302</v>
      </c>
      <c r="G555" t="s">
        <v>31</v>
      </c>
      <c r="H555" s="216">
        <v>69000000</v>
      </c>
      <c r="I555" s="52">
        <f>IF(J555="","",INDEX(COA!$A$4:$A$123,MATCH(JU!$J555,COA!$B$4:$B$123,0)))</f>
        <v>1103</v>
      </c>
      <c r="J555" t="s">
        <v>154</v>
      </c>
      <c r="K555" s="34">
        <f t="shared" si="67"/>
        <v>69000000</v>
      </c>
    </row>
    <row r="556" spans="1:11" hidden="1">
      <c r="A556" s="50" t="str">
        <f t="shared" si="62"/>
        <v xml:space="preserve">Terima Uang Masuk atas </v>
      </c>
      <c r="B556" s="215">
        <v>46097</v>
      </c>
      <c r="C556" s="211" t="s">
        <v>1247</v>
      </c>
      <c r="D556" s="218" t="s">
        <v>1393</v>
      </c>
      <c r="F556" s="52">
        <f>IF(G556="","",INDEX(COA!$A$4:$A$123,MATCH(JU!$G556,COA!$B$4:$B$123,0)))</f>
        <v>1103</v>
      </c>
      <c r="G556" t="s">
        <v>154</v>
      </c>
      <c r="H556" s="216">
        <v>8000000</v>
      </c>
      <c r="I556" s="52">
        <f>IF(J556="","",INDEX(COA!$A$4:$A$123,MATCH(JU!$J556,COA!$B$4:$B$123,0)))</f>
        <v>4102</v>
      </c>
      <c r="J556" t="s">
        <v>62</v>
      </c>
      <c r="K556" s="34">
        <f t="shared" si="67"/>
        <v>8000000</v>
      </c>
    </row>
    <row r="557" spans="1:11" hidden="1">
      <c r="A557" s="50" t="str">
        <f t="shared" si="62"/>
        <v xml:space="preserve">Terima Uang Masuk atas </v>
      </c>
      <c r="B557" s="215">
        <v>46097</v>
      </c>
      <c r="C557" s="211" t="s">
        <v>1248</v>
      </c>
      <c r="D557" s="218" t="s">
        <v>1394</v>
      </c>
      <c r="F557" s="52">
        <f>IF(G557="","",INDEX(COA!$A$4:$A$123,MATCH(JU!$G557,COA!$B$4:$B$123,0)))</f>
        <v>1103</v>
      </c>
      <c r="G557" t="s">
        <v>154</v>
      </c>
      <c r="H557" s="216">
        <v>50000000</v>
      </c>
      <c r="I557" s="52">
        <f>IF(J557="","",INDEX(COA!$A$4:$A$123,MATCH(JU!$J557,COA!$B$4:$B$123,0)))</f>
        <v>1203</v>
      </c>
      <c r="J557" t="s">
        <v>140</v>
      </c>
      <c r="K557" s="34">
        <f t="shared" si="67"/>
        <v>50000000</v>
      </c>
    </row>
    <row r="558" spans="1:11" hidden="1">
      <c r="A558" s="50" t="str">
        <f t="shared" si="62"/>
        <v xml:space="preserve">Terima Uang Masuk atas </v>
      </c>
      <c r="B558" s="215">
        <v>46097</v>
      </c>
      <c r="C558" s="211" t="s">
        <v>1249</v>
      </c>
      <c r="D558" s="218" t="s">
        <v>1395</v>
      </c>
      <c r="F558" s="52">
        <f>IF(G558="","",INDEX(COA!$A$4:$A$123,MATCH(JU!$G558,COA!$B$4:$B$123,0)))</f>
        <v>1103</v>
      </c>
      <c r="G558" t="s">
        <v>154</v>
      </c>
      <c r="H558" s="216">
        <v>10000000</v>
      </c>
      <c r="I558" s="52">
        <f>IF(J558="","",INDEX(COA!$A$4:$A$123,MATCH(JU!$J558,COA!$B$4:$B$123,0)))</f>
        <v>4101</v>
      </c>
      <c r="J558" t="s">
        <v>61</v>
      </c>
      <c r="K558" s="34">
        <f t="shared" si="67"/>
        <v>10000000</v>
      </c>
    </row>
    <row r="559" spans="1:11" hidden="1">
      <c r="A559" s="50" t="str">
        <f t="shared" si="62"/>
        <v xml:space="preserve">By. Biaya </v>
      </c>
      <c r="B559" s="215">
        <v>46097</v>
      </c>
      <c r="C559" s="211" t="s">
        <v>1250</v>
      </c>
      <c r="D559" s="218" t="s">
        <v>392</v>
      </c>
      <c r="F559" s="52">
        <f>IF(G559="","",INDEX(COA!$A$4:$A$123,MATCH(JU!$G559,COA!$B$4:$B$123,0)))</f>
        <v>6402</v>
      </c>
      <c r="G559" t="s">
        <v>90</v>
      </c>
      <c r="H559" s="216">
        <v>6600000</v>
      </c>
      <c r="I559" s="52">
        <f>IF(J559="","",INDEX(COA!$A$4:$A$123,MATCH(JU!$J559,COA!$B$4:$B$123,0)))</f>
        <v>1103</v>
      </c>
      <c r="J559" t="s">
        <v>154</v>
      </c>
      <c r="K559" s="34">
        <f t="shared" si="67"/>
        <v>6600000</v>
      </c>
    </row>
    <row r="560" spans="1:11" hidden="1">
      <c r="A560" s="50" t="str">
        <f t="shared" si="62"/>
        <v xml:space="preserve">By. Biaya </v>
      </c>
      <c r="B560" s="215">
        <v>46097</v>
      </c>
      <c r="C560" s="211" t="s">
        <v>305</v>
      </c>
      <c r="D560" s="218" t="s">
        <v>333</v>
      </c>
      <c r="F560" s="52" t="str">
        <f>IF(G560="","",INDEX(COA!$A$4:$A$123,MATCH(JU!$G560,COA!$B$4:$B$123,0)))</f>
        <v>6303</v>
      </c>
      <c r="G560" t="s">
        <v>87</v>
      </c>
      <c r="H560" s="216">
        <v>2500</v>
      </c>
      <c r="I560" s="52">
        <f>IF(J560="","",INDEX(COA!$A$4:$A$123,MATCH(JU!$J560,COA!$B$4:$B$123,0)))</f>
        <v>1103</v>
      </c>
      <c r="J560" t="s">
        <v>154</v>
      </c>
      <c r="K560" s="34">
        <f t="shared" si="67"/>
        <v>2500</v>
      </c>
    </row>
    <row r="561" spans="1:11" hidden="1">
      <c r="A561" s="50" t="str">
        <f t="shared" si="62"/>
        <v xml:space="preserve">By. Biaya </v>
      </c>
      <c r="B561" s="215">
        <v>46097</v>
      </c>
      <c r="C561" s="211" t="s">
        <v>1251</v>
      </c>
      <c r="D561" s="218" t="s">
        <v>393</v>
      </c>
      <c r="F561" s="52">
        <f>IF(G561="","",INDEX(COA!$A$4:$A$123,MATCH(JU!$G561,COA!$B$4:$B$123,0)))</f>
        <v>6101</v>
      </c>
      <c r="G561" t="s">
        <v>75</v>
      </c>
      <c r="H561" s="216">
        <v>2750000</v>
      </c>
      <c r="I561" s="52">
        <f>IF(J561="","",INDEX(COA!$A$4:$A$123,MATCH(JU!$J561,COA!$B$4:$B$123,0)))</f>
        <v>1103</v>
      </c>
      <c r="J561" t="s">
        <v>154</v>
      </c>
      <c r="K561" s="34">
        <f t="shared" si="67"/>
        <v>2750000</v>
      </c>
    </row>
    <row r="562" spans="1:11" hidden="1">
      <c r="A562" s="50" t="str">
        <f t="shared" si="62"/>
        <v xml:space="preserve">By. Biaya </v>
      </c>
      <c r="B562" s="215">
        <v>46097</v>
      </c>
      <c r="C562" s="211" t="s">
        <v>1252</v>
      </c>
      <c r="D562" s="218" t="s">
        <v>394</v>
      </c>
      <c r="F562" s="52">
        <f>IF(G562="","",INDEX(COA!$A$4:$A$123,MATCH(JU!$G562,COA!$B$4:$B$123,0)))</f>
        <v>6402</v>
      </c>
      <c r="G562" t="s">
        <v>90</v>
      </c>
      <c r="H562" s="216">
        <v>999000</v>
      </c>
      <c r="I562" s="52">
        <f>IF(J562="","",INDEX(COA!$A$4:$A$123,MATCH(JU!$J562,COA!$B$4:$B$123,0)))</f>
        <v>1103</v>
      </c>
      <c r="J562" t="s">
        <v>154</v>
      </c>
      <c r="K562" s="34">
        <f t="shared" si="67"/>
        <v>999000</v>
      </c>
    </row>
    <row r="563" spans="1:11" hidden="1">
      <c r="A563" s="50" t="str">
        <f t="shared" si="62"/>
        <v xml:space="preserve">By. Biaya </v>
      </c>
      <c r="B563" s="215">
        <v>46097</v>
      </c>
      <c r="C563" s="211" t="s">
        <v>305</v>
      </c>
      <c r="D563" s="218" t="s">
        <v>333</v>
      </c>
      <c r="F563" s="52" t="str">
        <f>IF(G563="","",INDEX(COA!$A$4:$A$123,MATCH(JU!$G563,COA!$B$4:$B$123,0)))</f>
        <v>6303</v>
      </c>
      <c r="G563" t="s">
        <v>87</v>
      </c>
      <c r="H563" s="216">
        <v>2500</v>
      </c>
      <c r="I563" s="52">
        <f>IF(J563="","",INDEX(COA!$A$4:$A$123,MATCH(JU!$J563,COA!$B$4:$B$123,0)))</f>
        <v>1103</v>
      </c>
      <c r="J563" t="s">
        <v>154</v>
      </c>
      <c r="K563" s="34">
        <f t="shared" si="67"/>
        <v>2500</v>
      </c>
    </row>
    <row r="564" spans="1:11" hidden="1">
      <c r="A564" s="50" t="str">
        <f t="shared" si="62"/>
        <v xml:space="preserve">By. Biaya </v>
      </c>
      <c r="B564" s="215">
        <v>46098</v>
      </c>
      <c r="C564" s="211" t="s">
        <v>1253</v>
      </c>
      <c r="D564" s="218" t="s">
        <v>1396</v>
      </c>
      <c r="F564" s="52">
        <f>IF(G564="","",INDEX(COA!$A$4:$A$123,MATCH(JU!$G564,COA!$B$4:$B$123,0)))</f>
        <v>5107</v>
      </c>
      <c r="G564" t="s">
        <v>71</v>
      </c>
      <c r="H564" s="216">
        <v>4635000</v>
      </c>
      <c r="I564" s="52">
        <f>IF(J564="","",INDEX(COA!$A$4:$A$123,MATCH(JU!$J564,COA!$B$4:$B$123,0)))</f>
        <v>1103</v>
      </c>
      <c r="J564" t="s">
        <v>154</v>
      </c>
      <c r="K564" s="34">
        <f t="shared" si="67"/>
        <v>4635000</v>
      </c>
    </row>
    <row r="565" spans="1:11" hidden="1">
      <c r="A565" s="50" t="str">
        <f t="shared" si="62"/>
        <v xml:space="preserve">By. Biaya </v>
      </c>
      <c r="B565" s="215">
        <v>46098</v>
      </c>
      <c r="C565" s="211" t="s">
        <v>1254</v>
      </c>
      <c r="D565" s="218" t="s">
        <v>1397</v>
      </c>
      <c r="F565" s="52">
        <f>IF(G565="","",INDEX(COA!$A$4:$A$123,MATCH(JU!$G565,COA!$B$4:$B$123,0)))</f>
        <v>1203</v>
      </c>
      <c r="G565" t="s">
        <v>140</v>
      </c>
      <c r="H565" s="216">
        <v>25000000</v>
      </c>
      <c r="I565" s="52">
        <f>IF(J565="","",INDEX(COA!$A$4:$A$123,MATCH(JU!$J565,COA!$B$4:$B$123,0)))</f>
        <v>1103</v>
      </c>
      <c r="J565" t="s">
        <v>154</v>
      </c>
      <c r="K565" s="34">
        <f t="shared" si="67"/>
        <v>25000000</v>
      </c>
    </row>
    <row r="566" spans="1:11">
      <c r="A566" s="50" t="str">
        <f t="shared" si="62"/>
        <v xml:space="preserve">By. Biaya </v>
      </c>
      <c r="B566" s="215">
        <v>46098</v>
      </c>
      <c r="C566" s="211" t="s">
        <v>1255</v>
      </c>
      <c r="D566" s="218" t="s">
        <v>1398</v>
      </c>
      <c r="F566" s="52">
        <f>IF(G566="","",INDEX(COA!$A$4:$A$123,MATCH(JU!$G566,COA!$B$4:$B$123,0)))</f>
        <v>1302</v>
      </c>
      <c r="G566" t="s">
        <v>31</v>
      </c>
      <c r="H566" s="216">
        <v>12500000</v>
      </c>
      <c r="I566" s="52">
        <f>IF(J566="","",INDEX(COA!$A$4:$A$123,MATCH(JU!$J566,COA!$B$4:$B$123,0)))</f>
        <v>1103</v>
      </c>
      <c r="J566" t="s">
        <v>154</v>
      </c>
      <c r="K566" s="34">
        <f t="shared" si="67"/>
        <v>12500000</v>
      </c>
    </row>
    <row r="567" spans="1:11" hidden="1">
      <c r="A567" s="50" t="str">
        <f t="shared" si="62"/>
        <v xml:space="preserve">By. Biaya </v>
      </c>
      <c r="B567" s="215">
        <v>46098</v>
      </c>
      <c r="C567" s="211" t="s">
        <v>1256</v>
      </c>
      <c r="D567" s="218" t="s">
        <v>395</v>
      </c>
      <c r="F567" s="52">
        <f>IF(G567="","",INDEX(COA!$A$4:$A$123,MATCH(JU!$G567,COA!$B$4:$B$123,0)))</f>
        <v>6101</v>
      </c>
      <c r="G567" t="s">
        <v>75</v>
      </c>
      <c r="H567" s="216">
        <v>1500000</v>
      </c>
      <c r="I567" s="52">
        <f>IF(J567="","",INDEX(COA!$A$4:$A$123,MATCH(JU!$J567,COA!$B$4:$B$123,0)))</f>
        <v>1103</v>
      </c>
      <c r="J567" t="s">
        <v>154</v>
      </c>
      <c r="K567" s="34">
        <f t="shared" si="67"/>
        <v>1500000</v>
      </c>
    </row>
    <row r="568" spans="1:11" hidden="1">
      <c r="A568" s="50" t="str">
        <f t="shared" si="62"/>
        <v xml:space="preserve">By. Biaya </v>
      </c>
      <c r="B568" s="215">
        <v>46098</v>
      </c>
      <c r="C568" s="211" t="s">
        <v>305</v>
      </c>
      <c r="D568" s="218" t="s">
        <v>333</v>
      </c>
      <c r="F568" s="52" t="str">
        <f>IF(G568="","",INDEX(COA!$A$4:$A$123,MATCH(JU!$G568,COA!$B$4:$B$123,0)))</f>
        <v>6303</v>
      </c>
      <c r="G568" t="s">
        <v>87</v>
      </c>
      <c r="H568" s="216">
        <v>2500</v>
      </c>
      <c r="I568" s="52">
        <f>IF(J568="","",INDEX(COA!$A$4:$A$123,MATCH(JU!$J568,COA!$B$4:$B$123,0)))</f>
        <v>1103</v>
      </c>
      <c r="J568" t="s">
        <v>154</v>
      </c>
      <c r="K568" s="34">
        <f t="shared" si="67"/>
        <v>2500</v>
      </c>
    </row>
    <row r="569" spans="1:11" hidden="1">
      <c r="A569" s="50" t="str">
        <f t="shared" si="62"/>
        <v xml:space="preserve">By. Biaya </v>
      </c>
      <c r="B569" s="215">
        <v>46098</v>
      </c>
      <c r="C569" s="211" t="s">
        <v>1257</v>
      </c>
      <c r="D569" s="218" t="s">
        <v>396</v>
      </c>
      <c r="F569" s="52">
        <f>IF(G569="","",INDEX(COA!$A$4:$A$123,MATCH(JU!$G569,COA!$B$4:$B$123,0)))</f>
        <v>6101</v>
      </c>
      <c r="G569" t="s">
        <v>75</v>
      </c>
      <c r="H569" s="216">
        <v>700000</v>
      </c>
      <c r="I569" s="52">
        <f>IF(J569="","",INDEX(COA!$A$4:$A$123,MATCH(JU!$J569,COA!$B$4:$B$123,0)))</f>
        <v>1103</v>
      </c>
      <c r="J569" t="s">
        <v>154</v>
      </c>
      <c r="K569" s="34">
        <f t="shared" si="67"/>
        <v>700000</v>
      </c>
    </row>
    <row r="570" spans="1:11" hidden="1">
      <c r="A570" s="50" t="str">
        <f t="shared" si="62"/>
        <v xml:space="preserve">By. Biaya </v>
      </c>
      <c r="B570" s="215">
        <v>46098</v>
      </c>
      <c r="C570" s="211" t="s">
        <v>1258</v>
      </c>
      <c r="D570" s="218" t="s">
        <v>397</v>
      </c>
      <c r="F570" s="52">
        <f>IF(G570="","",INDEX(COA!$A$4:$A$123,MATCH(JU!$G570,COA!$B$4:$B$123,0)))</f>
        <v>6101</v>
      </c>
      <c r="G570" t="s">
        <v>75</v>
      </c>
      <c r="H570" s="216">
        <v>500000</v>
      </c>
      <c r="I570" s="52">
        <f>IF(J570="","",INDEX(COA!$A$4:$A$123,MATCH(JU!$J570,COA!$B$4:$B$123,0)))</f>
        <v>1103</v>
      </c>
      <c r="J570" t="s">
        <v>154</v>
      </c>
      <c r="K570" s="34">
        <f t="shared" si="67"/>
        <v>500000</v>
      </c>
    </row>
    <row r="571" spans="1:11" hidden="1">
      <c r="A571" s="50" t="str">
        <f t="shared" si="62"/>
        <v xml:space="preserve">By. Biaya </v>
      </c>
      <c r="B571" s="215">
        <v>46098</v>
      </c>
      <c r="C571" s="211" t="s">
        <v>305</v>
      </c>
      <c r="D571" s="218" t="s">
        <v>333</v>
      </c>
      <c r="F571" s="52" t="str">
        <f>IF(G571="","",INDEX(COA!$A$4:$A$123,MATCH(JU!$G571,COA!$B$4:$B$123,0)))</f>
        <v>6303</v>
      </c>
      <c r="G571" t="s">
        <v>87</v>
      </c>
      <c r="H571" s="216">
        <v>2500</v>
      </c>
      <c r="I571" s="52">
        <f>IF(J571="","",INDEX(COA!$A$4:$A$123,MATCH(JU!$J571,COA!$B$4:$B$123,0)))</f>
        <v>1103</v>
      </c>
      <c r="J571" t="s">
        <v>154</v>
      </c>
      <c r="K571" s="34">
        <f t="shared" si="67"/>
        <v>2500</v>
      </c>
    </row>
    <row r="572" spans="1:11" hidden="1">
      <c r="A572" s="50" t="str">
        <f t="shared" si="62"/>
        <v xml:space="preserve">By. Biaya </v>
      </c>
      <c r="B572" s="215">
        <v>46098</v>
      </c>
      <c r="C572" s="211" t="s">
        <v>1259</v>
      </c>
      <c r="D572" s="218" t="s">
        <v>1399</v>
      </c>
      <c r="F572" s="52">
        <f>IF(G572="","",INDEX(COA!$A$4:$A$123,MATCH(JU!$G572,COA!$B$4:$B$123,0)))</f>
        <v>6112</v>
      </c>
      <c r="G572" t="s">
        <v>205</v>
      </c>
      <c r="H572" s="216">
        <v>187800</v>
      </c>
      <c r="I572" s="52">
        <f>IF(J572="","",INDEX(COA!$A$4:$A$123,MATCH(JU!$J572,COA!$B$4:$B$123,0)))</f>
        <v>1103</v>
      </c>
      <c r="J572" t="s">
        <v>154</v>
      </c>
      <c r="K572" s="34">
        <f t="shared" si="67"/>
        <v>187800</v>
      </c>
    </row>
    <row r="573" spans="1:11" hidden="1">
      <c r="A573" s="50" t="str">
        <f t="shared" si="62"/>
        <v xml:space="preserve">By. Biaya </v>
      </c>
      <c r="B573" s="215">
        <v>46098</v>
      </c>
      <c r="C573" s="211" t="s">
        <v>1260</v>
      </c>
      <c r="D573" s="218" t="s">
        <v>1400</v>
      </c>
      <c r="F573" s="52">
        <f>IF(G573="","",INDEX(COA!$A$4:$A$123,MATCH(JU!$G573,COA!$B$4:$B$123,0)))</f>
        <v>5109</v>
      </c>
      <c r="G573" t="s">
        <v>73</v>
      </c>
      <c r="H573" s="216">
        <v>500000</v>
      </c>
      <c r="I573" s="52">
        <f>IF(J573="","",INDEX(COA!$A$4:$A$123,MATCH(JU!$J573,COA!$B$4:$B$123,0)))</f>
        <v>1103</v>
      </c>
      <c r="J573" t="s">
        <v>154</v>
      </c>
      <c r="K573" s="34">
        <f t="shared" si="67"/>
        <v>500000</v>
      </c>
    </row>
    <row r="574" spans="1:11">
      <c r="A574" s="50" t="str">
        <f t="shared" si="62"/>
        <v xml:space="preserve">By. Biaya </v>
      </c>
      <c r="B574" s="215">
        <v>46099</v>
      </c>
      <c r="C574" s="211" t="s">
        <v>1261</v>
      </c>
      <c r="D574" s="218" t="s">
        <v>1401</v>
      </c>
      <c r="F574" s="52">
        <f>IF(G574="","",INDEX(COA!$A$4:$A$123,MATCH(JU!$G574,COA!$B$4:$B$123,0)))</f>
        <v>1302</v>
      </c>
      <c r="G574" t="s">
        <v>31</v>
      </c>
      <c r="H574" s="216">
        <v>5000000</v>
      </c>
      <c r="I574" s="52">
        <f>IF(J574="","",INDEX(COA!$A$4:$A$123,MATCH(JU!$J574,COA!$B$4:$B$123,0)))</f>
        <v>1103</v>
      </c>
      <c r="J574" t="s">
        <v>154</v>
      </c>
      <c r="K574" s="34">
        <f t="shared" si="67"/>
        <v>5000000</v>
      </c>
    </row>
    <row r="575" spans="1:11" hidden="1">
      <c r="A575" s="50" t="str">
        <f t="shared" si="62"/>
        <v xml:space="preserve">By. Biaya </v>
      </c>
      <c r="B575" s="215">
        <v>46099</v>
      </c>
      <c r="C575" s="211" t="s">
        <v>1210</v>
      </c>
      <c r="D575" s="218" t="s">
        <v>1371</v>
      </c>
      <c r="F575" s="52">
        <f>IF(G575="","",INDEX(COA!$A$4:$A$123,MATCH(JU!$G575,COA!$B$4:$B$123,0)))</f>
        <v>1203</v>
      </c>
      <c r="G575" t="s">
        <v>140</v>
      </c>
      <c r="H575" s="216">
        <v>10000000</v>
      </c>
      <c r="I575" s="52">
        <f>IF(J575="","",INDEX(COA!$A$4:$A$123,MATCH(JU!$J575,COA!$B$4:$B$123,0)))</f>
        <v>1103</v>
      </c>
      <c r="J575" t="s">
        <v>154</v>
      </c>
      <c r="K575" s="34">
        <f t="shared" si="67"/>
        <v>10000000</v>
      </c>
    </row>
    <row r="576" spans="1:11" hidden="1">
      <c r="A576" s="50" t="str">
        <f t="shared" si="62"/>
        <v xml:space="preserve">By. Biaya </v>
      </c>
      <c r="B576" s="215">
        <v>46099</v>
      </c>
      <c r="C576" s="211" t="s">
        <v>1262</v>
      </c>
      <c r="D576" s="218" t="s">
        <v>1402</v>
      </c>
      <c r="F576" s="52">
        <f>IF(G576="","",INDEX(COA!$A$4:$A$123,MATCH(JU!$G576,COA!$B$4:$B$123,0)))</f>
        <v>1302</v>
      </c>
      <c r="G576" t="s">
        <v>31</v>
      </c>
      <c r="H576" s="216">
        <v>2100000</v>
      </c>
      <c r="I576" s="52">
        <f>IF(J576="","",INDEX(COA!$A$4:$A$123,MATCH(JU!$J576,COA!$B$4:$B$123,0)))</f>
        <v>1103</v>
      </c>
      <c r="J576" t="s">
        <v>154</v>
      </c>
      <c r="K576" s="34">
        <f t="shared" si="67"/>
        <v>2100000</v>
      </c>
    </row>
    <row r="577" spans="1:12">
      <c r="A577" s="50" t="str">
        <f t="shared" si="62"/>
        <v xml:space="preserve">By. Biaya </v>
      </c>
      <c r="B577" s="215">
        <v>46099</v>
      </c>
      <c r="C577" s="211" t="s">
        <v>1263</v>
      </c>
      <c r="D577" s="218" t="s">
        <v>1403</v>
      </c>
      <c r="F577" s="52">
        <f>IF(G577="","",INDEX(COA!$A$4:$A$123,MATCH(JU!$G577,COA!$B$4:$B$123,0)))</f>
        <v>1302</v>
      </c>
      <c r="G577" t="s">
        <v>31</v>
      </c>
      <c r="H577" s="216">
        <v>10000000</v>
      </c>
      <c r="I577" s="52">
        <f>IF(J577="","",INDEX(COA!$A$4:$A$123,MATCH(JU!$J577,COA!$B$4:$B$123,0)))</f>
        <v>1103</v>
      </c>
      <c r="J577" t="s">
        <v>154</v>
      </c>
      <c r="K577" s="34">
        <f t="shared" si="67"/>
        <v>10000000</v>
      </c>
    </row>
    <row r="578" spans="1:12">
      <c r="A578" s="50" t="str">
        <f t="shared" si="62"/>
        <v xml:space="preserve">By. Biaya </v>
      </c>
      <c r="B578" s="215">
        <v>46100</v>
      </c>
      <c r="C578" s="211" t="s">
        <v>1264</v>
      </c>
      <c r="D578" s="218" t="s">
        <v>1404</v>
      </c>
      <c r="F578" s="52">
        <f>IF(G578="","",INDEX(COA!$A$4:$A$123,MATCH(JU!$G578,COA!$B$4:$B$123,0)))</f>
        <v>1302</v>
      </c>
      <c r="G578" t="s">
        <v>31</v>
      </c>
      <c r="H578" s="216">
        <v>3000000</v>
      </c>
      <c r="I578" s="52">
        <f>IF(J578="","",INDEX(COA!$A$4:$A$123,MATCH(JU!$J578,COA!$B$4:$B$123,0)))</f>
        <v>1103</v>
      </c>
      <c r="J578" t="s">
        <v>154</v>
      </c>
      <c r="K578" s="34">
        <f t="shared" si="67"/>
        <v>3000000</v>
      </c>
    </row>
    <row r="579" spans="1:12" hidden="1">
      <c r="A579" s="50" t="str">
        <f t="shared" si="62"/>
        <v xml:space="preserve">Terima Uang Masuk atas </v>
      </c>
      <c r="B579" s="215">
        <v>46100</v>
      </c>
      <c r="C579" s="211" t="s">
        <v>1265</v>
      </c>
      <c r="D579" s="218" t="s">
        <v>1405</v>
      </c>
      <c r="F579" s="52">
        <f>IF(G579="","",INDEX(COA!$A$4:$A$123,MATCH(JU!$G579,COA!$B$4:$B$123,0)))</f>
        <v>1103</v>
      </c>
      <c r="G579" t="s">
        <v>154</v>
      </c>
      <c r="H579" s="216">
        <v>1350000000</v>
      </c>
      <c r="I579" s="52" t="str">
        <f>IF(J579="","",INDEX(COA!$A$4:$A$123,MATCH(JU!$J579,COA!$B$4:$B$123,0)))</f>
        <v>2101</v>
      </c>
      <c r="J579" t="s">
        <v>45</v>
      </c>
      <c r="K579" s="34">
        <f t="shared" si="67"/>
        <v>1350000000</v>
      </c>
    </row>
    <row r="580" spans="1:12" hidden="1">
      <c r="A580" s="50" t="str">
        <f t="shared" si="62"/>
        <v xml:space="preserve">By. Biaya </v>
      </c>
      <c r="B580" s="215">
        <v>46101</v>
      </c>
      <c r="C580" s="211" t="s">
        <v>1266</v>
      </c>
      <c r="D580" s="218" t="s">
        <v>1406</v>
      </c>
      <c r="F580" s="52">
        <f>IF(G580="","",INDEX(COA!$A$4:$A$123,MATCH(JU!$G580,COA!$B$4:$B$123,0)))</f>
        <v>1203</v>
      </c>
      <c r="G580" t="s">
        <v>140</v>
      </c>
      <c r="H580" s="216">
        <v>20000000</v>
      </c>
      <c r="I580" s="52">
        <f>IF(J580="","",INDEX(COA!$A$4:$A$123,MATCH(JU!$J580,COA!$B$4:$B$123,0)))</f>
        <v>1103</v>
      </c>
      <c r="J580" t="s">
        <v>154</v>
      </c>
      <c r="K580" s="34">
        <f t="shared" si="67"/>
        <v>20000000</v>
      </c>
    </row>
    <row r="581" spans="1:12" hidden="1">
      <c r="A581" s="50" t="str">
        <f t="shared" si="62"/>
        <v xml:space="preserve">By. Biaya </v>
      </c>
      <c r="B581" s="215">
        <v>46101</v>
      </c>
      <c r="C581" s="211" t="s">
        <v>1176</v>
      </c>
      <c r="D581" s="218" t="s">
        <v>1340</v>
      </c>
      <c r="F581" s="52">
        <f>IF(G581="","",INDEX(COA!$A$4:$A$123,MATCH(JU!$G581,COA!$B$4:$B$123,0)))</f>
        <v>1302</v>
      </c>
      <c r="G581" t="s">
        <v>31</v>
      </c>
      <c r="H581" s="216">
        <v>50000000</v>
      </c>
      <c r="I581" s="52">
        <f>IF(J581="","",INDEX(COA!$A$4:$A$123,MATCH(JU!$J581,COA!$B$4:$B$123,0)))</f>
        <v>1103</v>
      </c>
      <c r="J581" t="s">
        <v>154</v>
      </c>
      <c r="K581" s="34">
        <f t="shared" si="67"/>
        <v>50000000</v>
      </c>
    </row>
    <row r="582" spans="1:12" hidden="1">
      <c r="A582" s="50" t="str">
        <f t="shared" ref="A582:A650" si="68">IF(G582="BRI 568","Terima Uang Masuk atas ","By. Biaya ")</f>
        <v xml:space="preserve">By. Biaya </v>
      </c>
      <c r="B582" s="215">
        <v>46101</v>
      </c>
      <c r="C582" s="211" t="s">
        <v>645</v>
      </c>
      <c r="D582" s="218" t="s">
        <v>728</v>
      </c>
      <c r="F582" s="52">
        <f>IF(G582="","",INDEX(COA!$A$4:$A$123,MATCH(JU!$G582,COA!$B$4:$B$123,0)))</f>
        <v>1302</v>
      </c>
      <c r="G582" t="s">
        <v>31</v>
      </c>
      <c r="H582" s="216">
        <v>50000000</v>
      </c>
      <c r="I582" s="52">
        <f>IF(J582="","",INDEX(COA!$A$4:$A$123,MATCH(JU!$J582,COA!$B$4:$B$123,0)))</f>
        <v>1103</v>
      </c>
      <c r="J582" t="s">
        <v>154</v>
      </c>
      <c r="K582" s="34">
        <f t="shared" si="67"/>
        <v>50000000</v>
      </c>
    </row>
    <row r="583" spans="1:12" hidden="1">
      <c r="A583" s="50" t="str">
        <f t="shared" si="68"/>
        <v xml:space="preserve">By. Biaya </v>
      </c>
      <c r="B583" s="215">
        <v>46101</v>
      </c>
      <c r="C583" s="211" t="s">
        <v>1267</v>
      </c>
      <c r="D583" s="218" t="s">
        <v>398</v>
      </c>
      <c r="F583" s="52">
        <f>IF(G583="","",INDEX(COA!$A$4:$A$123,MATCH(JU!$G583,COA!$B$4:$B$123,0)))</f>
        <v>6402</v>
      </c>
      <c r="G583" t="s">
        <v>90</v>
      </c>
      <c r="H583" s="216">
        <v>3850000</v>
      </c>
      <c r="I583" s="52">
        <f>IF(J583="","",INDEX(COA!$A$4:$A$123,MATCH(JU!$J583,COA!$B$4:$B$123,0)))</f>
        <v>1103</v>
      </c>
      <c r="J583" t="s">
        <v>154</v>
      </c>
      <c r="K583" s="34">
        <f t="shared" si="67"/>
        <v>3850000</v>
      </c>
    </row>
    <row r="584" spans="1:12" hidden="1">
      <c r="A584" s="50" t="str">
        <f t="shared" si="68"/>
        <v xml:space="preserve">By. Biaya </v>
      </c>
      <c r="B584" s="215">
        <v>46101</v>
      </c>
      <c r="C584" s="211" t="s">
        <v>305</v>
      </c>
      <c r="D584" s="218" t="s">
        <v>333</v>
      </c>
      <c r="F584" s="52" t="str">
        <f>IF(G584="","",INDEX(COA!$A$4:$A$123,MATCH(JU!$G584,COA!$B$4:$B$123,0)))</f>
        <v>6303</v>
      </c>
      <c r="G584" t="s">
        <v>87</v>
      </c>
      <c r="H584" s="216">
        <v>2500</v>
      </c>
      <c r="I584" s="52">
        <f>IF(J584="","",INDEX(COA!$A$4:$A$123,MATCH(JU!$J584,COA!$B$4:$B$123,0)))</f>
        <v>1103</v>
      </c>
      <c r="J584" t="s">
        <v>154</v>
      </c>
      <c r="K584" s="34">
        <f t="shared" si="67"/>
        <v>2500</v>
      </c>
    </row>
    <row r="585" spans="1:12" hidden="1">
      <c r="A585" s="50" t="str">
        <f t="shared" si="68"/>
        <v xml:space="preserve">Terima Uang Masuk atas </v>
      </c>
      <c r="B585" s="215">
        <v>46101</v>
      </c>
      <c r="C585" s="211" t="s">
        <v>428</v>
      </c>
      <c r="D585" s="218" t="s">
        <v>519</v>
      </c>
      <c r="F585" s="52">
        <f>IF(G585="","",INDEX(COA!$A$4:$A$123,MATCH(JU!$G585,COA!$B$4:$B$123,0)))</f>
        <v>1103</v>
      </c>
      <c r="G585" t="s">
        <v>154</v>
      </c>
      <c r="H585" s="216">
        <v>1000000</v>
      </c>
      <c r="I585" s="52" t="str">
        <f>IF(J585="","",INDEX(COA!$A$4:$A$123,MATCH(JU!$J585,COA!$B$4:$B$123,0)))</f>
        <v>2107</v>
      </c>
      <c r="J585" t="s">
        <v>50</v>
      </c>
      <c r="K585" s="34">
        <f t="shared" si="67"/>
        <v>1000000</v>
      </c>
    </row>
    <row r="586" spans="1:12" hidden="1">
      <c r="A586" s="50" t="str">
        <f t="shared" si="68"/>
        <v xml:space="preserve">Terima Uang Masuk atas </v>
      </c>
      <c r="B586" s="215">
        <v>46101</v>
      </c>
      <c r="C586" s="211" t="s">
        <v>428</v>
      </c>
      <c r="D586" s="218" t="s">
        <v>519</v>
      </c>
      <c r="F586" s="52">
        <f>IF(G586="","",INDEX(COA!$A$4:$A$123,MATCH(JU!$G586,COA!$B$4:$B$123,0)))</f>
        <v>1103</v>
      </c>
      <c r="G586" t="s">
        <v>154</v>
      </c>
      <c r="H586" s="216">
        <v>6666666</v>
      </c>
      <c r="I586" s="52" t="str">
        <f>IF(J586="","",INDEX(COA!$A$4:$A$123,MATCH(JU!$J586,COA!$B$4:$B$123,0)))</f>
        <v>2107</v>
      </c>
      <c r="J586" t="s">
        <v>50</v>
      </c>
      <c r="K586" s="34">
        <f t="shared" si="67"/>
        <v>6666666</v>
      </c>
    </row>
    <row r="587" spans="1:12" s="53" customFormat="1" hidden="1">
      <c r="A587" s="50" t="str">
        <f t="shared" si="68"/>
        <v xml:space="preserve">By. Biaya </v>
      </c>
      <c r="B587" s="215">
        <v>46101</v>
      </c>
      <c r="C587" s="212" t="s">
        <v>428</v>
      </c>
      <c r="D587" s="218" t="s">
        <v>412</v>
      </c>
      <c r="E587" s="54"/>
      <c r="F587" s="52" t="str">
        <f>IF(G587="","",INDEX(COA!$A$4:$A$123,MATCH(JU!$G587,COA!$B$4:$B$123,0)))</f>
        <v>2107</v>
      </c>
      <c r="G587" t="s">
        <v>50</v>
      </c>
      <c r="H587" s="216">
        <v>7666666</v>
      </c>
      <c r="I587" s="52">
        <f>IF(J587="","",INDEX(COA!$A$4:$A$123,MATCH(JU!$J587,COA!$B$4:$B$123,0)))</f>
        <v>1103</v>
      </c>
      <c r="J587" t="s">
        <v>154</v>
      </c>
      <c r="K587" s="34">
        <f t="shared" si="67"/>
        <v>7666666</v>
      </c>
      <c r="L587"/>
    </row>
    <row r="588" spans="1:12" hidden="1">
      <c r="A588" s="50" t="str">
        <f t="shared" si="68"/>
        <v xml:space="preserve">Terima Uang Masuk atas </v>
      </c>
      <c r="B588" s="215">
        <v>46101</v>
      </c>
      <c r="D588" s="258" t="s">
        <v>417</v>
      </c>
      <c r="F588" s="52">
        <f>IF(G588="","",INDEX(COA!$A$4:$A$123,MATCH(JU!$G588,COA!$B$4:$B$123,0)))</f>
        <v>1103</v>
      </c>
      <c r="G588" t="s">
        <v>154</v>
      </c>
      <c r="H588" s="216">
        <v>253029</v>
      </c>
      <c r="I588" s="52">
        <f>IF(J588="","",INDEX(COA!$A$4:$A$123,MATCH(JU!$J588,COA!$B$4:$B$123,0)))</f>
        <v>4204</v>
      </c>
      <c r="J588" t="s">
        <v>69</v>
      </c>
      <c r="K588" s="34">
        <f t="shared" si="67"/>
        <v>253029</v>
      </c>
    </row>
    <row r="589" spans="1:12" hidden="1">
      <c r="A589" s="50" t="str">
        <f t="shared" si="68"/>
        <v xml:space="preserve">By. Biaya </v>
      </c>
      <c r="B589" s="215">
        <v>46101</v>
      </c>
      <c r="D589" s="258" t="s">
        <v>399</v>
      </c>
      <c r="F589" s="52">
        <f>IF(G589="","",INDEX(COA!$A$4:$A$123,MATCH(JU!$G589,COA!$B$4:$B$123,0)))</f>
        <v>6112</v>
      </c>
      <c r="G589" t="s">
        <v>205</v>
      </c>
      <c r="H589" s="216">
        <v>50606</v>
      </c>
      <c r="I589" s="52">
        <f>IF(J589="","",INDEX(COA!$A$4:$A$123,MATCH(JU!$J589,COA!$B$4:$B$123,0)))</f>
        <v>1103</v>
      </c>
      <c r="J589" t="s">
        <v>154</v>
      </c>
      <c r="K589" s="34">
        <f t="shared" si="67"/>
        <v>50606</v>
      </c>
    </row>
    <row r="590" spans="1:12" hidden="1">
      <c r="A590" s="50" t="str">
        <f t="shared" si="68"/>
        <v xml:space="preserve">By. Biaya </v>
      </c>
      <c r="B590" s="215">
        <v>46101</v>
      </c>
      <c r="C590" s="211" t="s">
        <v>1268</v>
      </c>
      <c r="D590" s="218" t="s">
        <v>1407</v>
      </c>
      <c r="F590" s="52">
        <f>IF(G590="","",INDEX(COA!$A$4:$A$123,MATCH(JU!$G590,COA!$B$4:$B$123,0)))</f>
        <v>6106</v>
      </c>
      <c r="G590" t="s">
        <v>149</v>
      </c>
      <c r="H590" s="216">
        <v>216450</v>
      </c>
      <c r="I590" s="52">
        <f>IF(J590="","",INDEX(COA!$A$4:$A$123,MATCH(JU!$J590,COA!$B$4:$B$123,0)))</f>
        <v>1103</v>
      </c>
      <c r="J590" t="s">
        <v>154</v>
      </c>
      <c r="K590" s="34">
        <f t="shared" si="67"/>
        <v>216450</v>
      </c>
    </row>
    <row r="591" spans="1:12" hidden="1">
      <c r="A591" s="50" t="str">
        <f t="shared" si="68"/>
        <v xml:space="preserve">By. Biaya </v>
      </c>
      <c r="B591" s="215">
        <v>46104</v>
      </c>
      <c r="C591" s="211" t="s">
        <v>305</v>
      </c>
      <c r="D591" s="218" t="s">
        <v>333</v>
      </c>
      <c r="F591" s="52" t="str">
        <f>IF(G591="","",INDEX(COA!$A$4:$A$123,MATCH(JU!$G591,COA!$B$4:$B$123,0)))</f>
        <v>6303</v>
      </c>
      <c r="G591" t="s">
        <v>87</v>
      </c>
      <c r="H591" s="216">
        <v>2800</v>
      </c>
      <c r="I591" s="52">
        <f>IF(J591="","",INDEX(COA!$A$4:$A$123,MATCH(JU!$J591,COA!$B$4:$B$123,0)))</f>
        <v>1103</v>
      </c>
      <c r="J591" t="s">
        <v>154</v>
      </c>
      <c r="K591" s="34">
        <f t="shared" si="67"/>
        <v>2800</v>
      </c>
    </row>
    <row r="592" spans="1:12" hidden="1">
      <c r="A592" s="50" t="str">
        <f t="shared" si="68"/>
        <v xml:space="preserve">By. Biaya </v>
      </c>
      <c r="B592" s="215">
        <v>46104</v>
      </c>
      <c r="C592" s="211" t="s">
        <v>1269</v>
      </c>
      <c r="D592" s="218" t="s">
        <v>400</v>
      </c>
      <c r="F592" s="52" t="str">
        <f>IF(G592="","",INDEX(COA!$A$4:$A$123,MATCH(JU!$G592,COA!$B$4:$B$123,0)))</f>
        <v>6201</v>
      </c>
      <c r="G592" t="s">
        <v>81</v>
      </c>
      <c r="H592" s="216">
        <v>1000000</v>
      </c>
      <c r="I592" s="52">
        <f>IF(J592="","",INDEX(COA!$A$4:$A$123,MATCH(JU!$J592,COA!$B$4:$B$123,0)))</f>
        <v>1103</v>
      </c>
      <c r="J592" t="s">
        <v>154</v>
      </c>
      <c r="K592" s="34">
        <f t="shared" si="67"/>
        <v>1000000</v>
      </c>
    </row>
    <row r="593" spans="1:11" hidden="1">
      <c r="A593" s="50" t="str">
        <f t="shared" si="68"/>
        <v xml:space="preserve">By. Biaya </v>
      </c>
      <c r="B593" s="215">
        <v>46104</v>
      </c>
      <c r="C593" s="211" t="s">
        <v>305</v>
      </c>
      <c r="D593" s="218" t="s">
        <v>333</v>
      </c>
      <c r="F593" s="52" t="str">
        <f>IF(G593="","",INDEX(COA!$A$4:$A$123,MATCH(JU!$G593,COA!$B$4:$B$123,0)))</f>
        <v>6303</v>
      </c>
      <c r="G593" t="s">
        <v>87</v>
      </c>
      <c r="H593" s="216">
        <v>2500</v>
      </c>
      <c r="I593" s="52">
        <f>IF(J593="","",INDEX(COA!$A$4:$A$123,MATCH(JU!$J593,COA!$B$4:$B$123,0)))</f>
        <v>1103</v>
      </c>
      <c r="J593" t="s">
        <v>154</v>
      </c>
      <c r="K593" s="34">
        <f t="shared" si="67"/>
        <v>2500</v>
      </c>
    </row>
    <row r="594" spans="1:11" hidden="1">
      <c r="A594" s="50" t="str">
        <f t="shared" si="68"/>
        <v xml:space="preserve">By. Biaya </v>
      </c>
      <c r="B594" s="215">
        <v>46104</v>
      </c>
      <c r="C594" s="211" t="s">
        <v>1270</v>
      </c>
      <c r="D594" s="218" t="s">
        <v>1408</v>
      </c>
      <c r="F594" s="52" t="str">
        <f>IF(G594="","",INDEX(COA!$A$4:$A$123,MATCH(JU!$G594,COA!$B$4:$B$123,0)))</f>
        <v>2107</v>
      </c>
      <c r="G594" t="s">
        <v>50</v>
      </c>
      <c r="H594" s="216">
        <v>10000000</v>
      </c>
      <c r="I594" s="52">
        <f>IF(J594="","",INDEX(COA!$A$4:$A$123,MATCH(JU!$J594,COA!$B$4:$B$123,0)))</f>
        <v>1103</v>
      </c>
      <c r="J594" t="s">
        <v>154</v>
      </c>
      <c r="K594" s="34">
        <f t="shared" si="67"/>
        <v>10000000</v>
      </c>
    </row>
    <row r="595" spans="1:11" hidden="1">
      <c r="A595" s="50" t="str">
        <f t="shared" ref="A595" si="69">IF(G595="BRI 568","Terima Uang Masuk atas ","By. Biaya ")</f>
        <v xml:space="preserve">By. Biaya </v>
      </c>
      <c r="B595" s="215">
        <v>46104</v>
      </c>
      <c r="C595" s="211" t="s">
        <v>1271</v>
      </c>
      <c r="D595" s="218" t="s">
        <v>2323</v>
      </c>
      <c r="F595" s="52">
        <f>IF(G595="","",INDEX(COA!$A$4:$A$123,MATCH(JU!$G595,COA!$B$4:$B$123,0)))</f>
        <v>1301</v>
      </c>
      <c r="G595" t="s">
        <v>30</v>
      </c>
      <c r="H595" s="216">
        <v>90000000</v>
      </c>
      <c r="I595" s="52" t="str">
        <f>IF(J595="","",INDEX(COA!$A$4:$A$123,MATCH(JU!$J595,COA!$B$4:$B$123,0)))</f>
        <v>2101</v>
      </c>
      <c r="J595" t="s">
        <v>45</v>
      </c>
      <c r="K595" s="34">
        <f t="shared" ref="K595" si="70">IF(H595="","",H595)</f>
        <v>90000000</v>
      </c>
    </row>
    <row r="596" spans="1:11" hidden="1">
      <c r="A596" s="50" t="str">
        <f t="shared" si="68"/>
        <v xml:space="preserve">By. Biaya </v>
      </c>
      <c r="B596" s="215">
        <v>46104</v>
      </c>
      <c r="C596" s="211" t="s">
        <v>1271</v>
      </c>
      <c r="D596" s="218" t="s">
        <v>2322</v>
      </c>
      <c r="F596" s="52" t="str">
        <f>IF(G596="","",INDEX(COA!$A$4:$A$123,MATCH(JU!$G596,COA!$B$4:$B$123,0)))</f>
        <v>2101</v>
      </c>
      <c r="G596" t="s">
        <v>45</v>
      </c>
      <c r="H596" s="216">
        <v>10000000</v>
      </c>
      <c r="I596" s="52">
        <f>IF(J596="","",INDEX(COA!$A$4:$A$123,MATCH(JU!$J596,COA!$B$4:$B$123,0)))</f>
        <v>1103</v>
      </c>
      <c r="J596" t="s">
        <v>154</v>
      </c>
      <c r="K596" s="34">
        <f t="shared" si="67"/>
        <v>10000000</v>
      </c>
    </row>
    <row r="597" spans="1:11" hidden="1">
      <c r="A597" s="50" t="str">
        <f t="shared" si="68"/>
        <v xml:space="preserve">Terima Uang Masuk atas </v>
      </c>
      <c r="B597" s="215">
        <v>46104</v>
      </c>
      <c r="C597" s="211" t="s">
        <v>1272</v>
      </c>
      <c r="D597" s="218" t="s">
        <v>1409</v>
      </c>
      <c r="F597" s="52">
        <f>IF(G597="","",INDEX(COA!$A$4:$A$123,MATCH(JU!$G597,COA!$B$4:$B$123,0)))</f>
        <v>1103</v>
      </c>
      <c r="G597" t="s">
        <v>154</v>
      </c>
      <c r="H597" s="216">
        <v>10000000</v>
      </c>
      <c r="I597" s="52" t="str">
        <f>IF(J597="","",INDEX(COA!$A$4:$A$123,MATCH(JU!$J597,COA!$B$4:$B$123,0)))</f>
        <v>2107</v>
      </c>
      <c r="J597" t="s">
        <v>50</v>
      </c>
      <c r="K597" s="34">
        <f t="shared" si="67"/>
        <v>10000000</v>
      </c>
    </row>
    <row r="598" spans="1:11" hidden="1">
      <c r="A598" s="50" t="str">
        <f t="shared" si="68"/>
        <v xml:space="preserve">By. Biaya </v>
      </c>
      <c r="B598" s="215">
        <v>46105</v>
      </c>
      <c r="C598" s="211" t="s">
        <v>1273</v>
      </c>
      <c r="D598" s="218" t="s">
        <v>1410</v>
      </c>
      <c r="F598" s="52">
        <f>IF(G598="","",INDEX(COA!$A$4:$A$123,MATCH(JU!$G598,COA!$B$4:$B$123,0)))</f>
        <v>6106</v>
      </c>
      <c r="G598" t="s">
        <v>149</v>
      </c>
      <c r="H598" s="216">
        <v>421800</v>
      </c>
      <c r="I598" s="52">
        <f>IF(J598="","",INDEX(COA!$A$4:$A$123,MATCH(JU!$J598,COA!$B$4:$B$123,0)))</f>
        <v>1103</v>
      </c>
      <c r="J598" t="s">
        <v>154</v>
      </c>
      <c r="K598" s="34">
        <f t="shared" si="67"/>
        <v>421800</v>
      </c>
    </row>
    <row r="599" spans="1:11" hidden="1">
      <c r="A599" s="50" t="str">
        <f t="shared" si="68"/>
        <v xml:space="preserve">By. Biaya </v>
      </c>
      <c r="B599" s="215">
        <v>46105</v>
      </c>
      <c r="C599" s="211" t="s">
        <v>305</v>
      </c>
      <c r="D599" s="218" t="s">
        <v>333</v>
      </c>
      <c r="F599" s="52" t="str">
        <f>IF(G599="","",INDEX(COA!$A$4:$A$123,MATCH(JU!$G599,COA!$B$4:$B$123,0)))</f>
        <v>6303</v>
      </c>
      <c r="G599" t="s">
        <v>87</v>
      </c>
      <c r="H599" s="216">
        <v>2800</v>
      </c>
      <c r="I599" s="52">
        <f>IF(J599="","",INDEX(COA!$A$4:$A$123,MATCH(JU!$J599,COA!$B$4:$B$123,0)))</f>
        <v>1103</v>
      </c>
      <c r="J599" t="s">
        <v>154</v>
      </c>
      <c r="K599" s="34">
        <f t="shared" si="67"/>
        <v>2800</v>
      </c>
    </row>
    <row r="600" spans="1:11" hidden="1">
      <c r="A600" s="50" t="str">
        <f t="shared" si="68"/>
        <v xml:space="preserve">By. Biaya </v>
      </c>
      <c r="B600" s="215">
        <v>46105</v>
      </c>
      <c r="C600" s="211" t="s">
        <v>1274</v>
      </c>
      <c r="D600" s="218" t="s">
        <v>1411</v>
      </c>
      <c r="F600" s="52">
        <f>IF(G600="","",INDEX(COA!$A$4:$A$123,MATCH(JU!$G600,COA!$B$4:$B$123,0)))</f>
        <v>6112</v>
      </c>
      <c r="G600" t="s">
        <v>205</v>
      </c>
      <c r="H600" s="216">
        <v>155000</v>
      </c>
      <c r="I600" s="52">
        <f>IF(J600="","",INDEX(COA!$A$4:$A$123,MATCH(JU!$J600,COA!$B$4:$B$123,0)))</f>
        <v>1103</v>
      </c>
      <c r="J600" t="s">
        <v>154</v>
      </c>
      <c r="K600" s="34">
        <f t="shared" si="67"/>
        <v>155000</v>
      </c>
    </row>
    <row r="601" spans="1:11" hidden="1">
      <c r="A601" s="50" t="str">
        <f t="shared" si="68"/>
        <v xml:space="preserve">By. Biaya </v>
      </c>
      <c r="B601" s="215">
        <v>46105</v>
      </c>
      <c r="C601" s="211" t="s">
        <v>1275</v>
      </c>
      <c r="D601" s="218" t="s">
        <v>1412</v>
      </c>
      <c r="F601" s="52">
        <f>IF(G601="","",INDEX(COA!$A$4:$A$123,MATCH(JU!$G601,COA!$B$4:$B$123,0)))</f>
        <v>1203</v>
      </c>
      <c r="G601" t="s">
        <v>140</v>
      </c>
      <c r="H601" s="216">
        <v>1000000</v>
      </c>
      <c r="I601" s="52">
        <f>IF(J601="","",INDEX(COA!$A$4:$A$123,MATCH(JU!$J601,COA!$B$4:$B$123,0)))</f>
        <v>1103</v>
      </c>
      <c r="J601" t="s">
        <v>154</v>
      </c>
      <c r="K601" s="34">
        <f t="shared" si="67"/>
        <v>1000000</v>
      </c>
    </row>
    <row r="602" spans="1:11" hidden="1">
      <c r="A602" s="50" t="str">
        <f t="shared" si="68"/>
        <v xml:space="preserve">Terima Uang Masuk atas </v>
      </c>
      <c r="B602" s="215">
        <v>46105</v>
      </c>
      <c r="C602" s="211" t="s">
        <v>1276</v>
      </c>
      <c r="D602" s="218" t="s">
        <v>1413</v>
      </c>
      <c r="F602" s="52">
        <f>IF(G602="","",INDEX(COA!$A$4:$A$123,MATCH(JU!$G602,COA!$B$4:$B$123,0)))</f>
        <v>1103</v>
      </c>
      <c r="G602" t="s">
        <v>154</v>
      </c>
      <c r="H602" s="216">
        <v>5000000</v>
      </c>
      <c r="I602" s="52">
        <f>IF(J602="","",INDEX(COA!$A$4:$A$123,MATCH(JU!$J602,COA!$B$4:$B$123,0)))</f>
        <v>4102</v>
      </c>
      <c r="J602" t="s">
        <v>62</v>
      </c>
      <c r="K602" s="34">
        <f t="shared" si="67"/>
        <v>5000000</v>
      </c>
    </row>
    <row r="603" spans="1:11" hidden="1">
      <c r="A603" s="50" t="str">
        <f t="shared" si="68"/>
        <v xml:space="preserve">By. Biaya </v>
      </c>
      <c r="B603" s="215">
        <v>46106</v>
      </c>
      <c r="C603" s="211" t="s">
        <v>1277</v>
      </c>
      <c r="D603" s="218" t="s">
        <v>1414</v>
      </c>
      <c r="F603" s="52">
        <f>IF(G603="","",INDEX(COA!$A$4:$A$123,MATCH(JU!$G603,COA!$B$4:$B$123,0)))</f>
        <v>6112</v>
      </c>
      <c r="G603" t="s">
        <v>205</v>
      </c>
      <c r="H603" s="216">
        <v>300000</v>
      </c>
      <c r="I603" s="52">
        <f>IF(J603="","",INDEX(COA!$A$4:$A$123,MATCH(JU!$J603,COA!$B$4:$B$123,0)))</f>
        <v>1103</v>
      </c>
      <c r="J603" t="s">
        <v>154</v>
      </c>
      <c r="K603" s="34">
        <f t="shared" si="67"/>
        <v>300000</v>
      </c>
    </row>
    <row r="604" spans="1:11" hidden="1">
      <c r="A604" s="50" t="str">
        <f t="shared" si="68"/>
        <v xml:space="preserve">By. Biaya </v>
      </c>
      <c r="B604" s="215">
        <v>46106</v>
      </c>
      <c r="C604" s="211" t="s">
        <v>1278</v>
      </c>
      <c r="D604" s="218" t="s">
        <v>1415</v>
      </c>
      <c r="F604" s="52">
        <f>IF(G604="","",INDEX(COA!$A$4:$A$123,MATCH(JU!$G604,COA!$B$4:$B$123,0)))</f>
        <v>5107</v>
      </c>
      <c r="G604" t="s">
        <v>71</v>
      </c>
      <c r="H604" s="216">
        <v>200000</v>
      </c>
      <c r="I604" s="52">
        <f>IF(J604="","",INDEX(COA!$A$4:$A$123,MATCH(JU!$J604,COA!$B$4:$B$123,0)))</f>
        <v>1103</v>
      </c>
      <c r="J604" t="s">
        <v>154</v>
      </c>
      <c r="K604" s="34">
        <f t="shared" si="67"/>
        <v>200000</v>
      </c>
    </row>
    <row r="605" spans="1:11" hidden="1">
      <c r="A605" s="50" t="str">
        <f t="shared" si="68"/>
        <v xml:space="preserve">By. Biaya </v>
      </c>
      <c r="B605" s="215">
        <v>46106</v>
      </c>
      <c r="C605" s="211" t="s">
        <v>1279</v>
      </c>
      <c r="D605" s="218" t="s">
        <v>1416</v>
      </c>
      <c r="F605" s="52">
        <f>IF(G605="","",INDEX(COA!$A$4:$A$123,MATCH(JU!$G605,COA!$B$4:$B$123,0)))</f>
        <v>6101</v>
      </c>
      <c r="G605" t="s">
        <v>75</v>
      </c>
      <c r="H605" s="216">
        <v>1860703</v>
      </c>
      <c r="I605" s="52">
        <f>IF(J605="","",INDEX(COA!$A$4:$A$123,MATCH(JU!$J605,COA!$B$4:$B$123,0)))</f>
        <v>1103</v>
      </c>
      <c r="J605" t="s">
        <v>154</v>
      </c>
      <c r="K605" s="34">
        <f t="shared" si="67"/>
        <v>1860703</v>
      </c>
    </row>
    <row r="606" spans="1:11" hidden="1">
      <c r="A606" s="50" t="str">
        <f t="shared" si="68"/>
        <v xml:space="preserve">By. Biaya </v>
      </c>
      <c r="B606" s="215">
        <v>46106</v>
      </c>
      <c r="C606" s="211" t="s">
        <v>305</v>
      </c>
      <c r="D606" s="218" t="s">
        <v>333</v>
      </c>
      <c r="F606" s="52" t="str">
        <f>IF(G606="","",INDEX(COA!$A$4:$A$123,MATCH(JU!$G606,COA!$B$4:$B$123,0)))</f>
        <v>6303</v>
      </c>
      <c r="G606" t="s">
        <v>87</v>
      </c>
      <c r="H606" s="216">
        <v>2500</v>
      </c>
      <c r="I606" s="52">
        <f>IF(J606="","",INDEX(COA!$A$4:$A$123,MATCH(JU!$J606,COA!$B$4:$B$123,0)))</f>
        <v>1103</v>
      </c>
      <c r="J606" t="s">
        <v>154</v>
      </c>
      <c r="K606" s="34">
        <f t="shared" si="67"/>
        <v>2500</v>
      </c>
    </row>
    <row r="607" spans="1:11" hidden="1">
      <c r="A607" s="50" t="str">
        <f t="shared" ref="A607" si="71">IF(G607="BRI 568","Terima Uang Masuk atas ","By. Biaya ")</f>
        <v xml:space="preserve">By. Biaya </v>
      </c>
      <c r="B607" s="215">
        <v>46106</v>
      </c>
      <c r="C607" s="211" t="s">
        <v>1280</v>
      </c>
      <c r="D607" s="218" t="s">
        <v>2307</v>
      </c>
      <c r="F607" s="52">
        <f>IF(G607="","",INDEX(COA!$A$4:$A$123,MATCH(JU!$G607,COA!$B$4:$B$123,0)))</f>
        <v>1301</v>
      </c>
      <c r="G607" t="s">
        <v>30</v>
      </c>
      <c r="H607" s="216">
        <v>300000000</v>
      </c>
      <c r="I607" s="52" t="str">
        <f>IF(J607="","",INDEX(COA!$A$4:$A$123,MATCH(JU!$J607,COA!$B$4:$B$123,0)))</f>
        <v>2101</v>
      </c>
      <c r="J607" t="s">
        <v>45</v>
      </c>
      <c r="K607" s="34">
        <f t="shared" ref="K607" si="72">IF(H607="","",H607)</f>
        <v>300000000</v>
      </c>
    </row>
    <row r="608" spans="1:11" hidden="1">
      <c r="A608" s="50" t="str">
        <f t="shared" si="68"/>
        <v xml:space="preserve">By. Biaya </v>
      </c>
      <c r="B608" s="215">
        <v>46106</v>
      </c>
      <c r="C608" s="211" t="s">
        <v>1280</v>
      </c>
      <c r="D608" s="218" t="s">
        <v>2306</v>
      </c>
      <c r="F608" s="52" t="str">
        <f>IF(G608="","",INDEX(COA!$A$4:$A$123,MATCH(JU!$G608,COA!$B$4:$B$123,0)))</f>
        <v>2101</v>
      </c>
      <c r="G608" t="s">
        <v>45</v>
      </c>
      <c r="H608" s="216">
        <v>10000000</v>
      </c>
      <c r="I608" s="52">
        <f>IF(J608="","",INDEX(COA!$A$4:$A$123,MATCH(JU!$J608,COA!$B$4:$B$123,0)))</f>
        <v>1103</v>
      </c>
      <c r="J608" t="s">
        <v>154</v>
      </c>
      <c r="K608" s="34">
        <f t="shared" si="67"/>
        <v>10000000</v>
      </c>
    </row>
    <row r="609" spans="1:11" hidden="1">
      <c r="A609" s="50" t="str">
        <f t="shared" si="68"/>
        <v xml:space="preserve">By. Biaya </v>
      </c>
      <c r="B609" s="215">
        <v>46106</v>
      </c>
      <c r="C609" s="211" t="s">
        <v>1281</v>
      </c>
      <c r="D609" s="218" t="s">
        <v>1417</v>
      </c>
      <c r="F609" s="52">
        <f>IF(G609="","",INDEX(COA!$A$4:$A$123,MATCH(JU!$G609,COA!$B$4:$B$123,0)))</f>
        <v>1302</v>
      </c>
      <c r="G609" t="s">
        <v>31</v>
      </c>
      <c r="H609" s="216">
        <v>85000</v>
      </c>
      <c r="I609" s="52">
        <f>IF(J609="","",INDEX(COA!$A$4:$A$123,MATCH(JU!$J609,COA!$B$4:$B$123,0)))</f>
        <v>1103</v>
      </c>
      <c r="J609" t="s">
        <v>154</v>
      </c>
      <c r="K609" s="34">
        <f t="shared" si="67"/>
        <v>85000</v>
      </c>
    </row>
    <row r="610" spans="1:11" s="229" customFormat="1" hidden="1">
      <c r="A610" s="228" t="str">
        <f t="shared" ref="A610" si="73">IF(G610="BRI 568","Terima Uang Masuk atas ","By. Biaya ")</f>
        <v xml:space="preserve">Terima Uang Masuk atas </v>
      </c>
      <c r="B610" s="255">
        <v>46106</v>
      </c>
      <c r="C610" s="211" t="s">
        <v>1282</v>
      </c>
      <c r="D610" s="218" t="s">
        <v>1418</v>
      </c>
      <c r="E610" s="223"/>
      <c r="F610" s="230">
        <f>IF(G610="","",INDEX(COA!$A$4:$A$123,MATCH(JU!$G610,COA!$B$4:$B$123,0)))</f>
        <v>1103</v>
      </c>
      <c r="G610" s="229" t="s">
        <v>154</v>
      </c>
      <c r="H610" s="231">
        <v>5000000</v>
      </c>
      <c r="I610" s="230">
        <f>IF(J610="","",INDEX(COA!$A$4:$A$123,MATCH(JU!$J610,COA!$B$4:$B$123,0)))</f>
        <v>4102</v>
      </c>
      <c r="J610" s="229" t="s">
        <v>62</v>
      </c>
      <c r="K610" s="232">
        <f t="shared" ref="K610" si="74">IF(H610="","",H610)</f>
        <v>5000000</v>
      </c>
    </row>
    <row r="611" spans="1:11" hidden="1">
      <c r="A611" s="50" t="str">
        <f t="shared" si="68"/>
        <v xml:space="preserve">By. Biaya </v>
      </c>
      <c r="B611" s="215">
        <v>46106</v>
      </c>
      <c r="C611" s="211" t="s">
        <v>431</v>
      </c>
      <c r="D611" s="218" t="s">
        <v>374</v>
      </c>
      <c r="F611" s="52" t="str">
        <f>IF(G611="","",INDEX(COA!$A$4:$A$123,MATCH(JU!$G611,COA!$B$4:$B$123,0)))</f>
        <v>2107</v>
      </c>
      <c r="G611" t="s">
        <v>50</v>
      </c>
      <c r="H611" s="216">
        <v>100000000</v>
      </c>
      <c r="I611" s="52">
        <f>IF(J611="","",INDEX(COA!$A$4:$A$123,MATCH(JU!$J611,COA!$B$4:$B$123,0)))</f>
        <v>1103</v>
      </c>
      <c r="J611" t="s">
        <v>154</v>
      </c>
      <c r="K611" s="34">
        <f t="shared" si="67"/>
        <v>100000000</v>
      </c>
    </row>
    <row r="612" spans="1:11" hidden="1">
      <c r="A612" s="50" t="str">
        <f t="shared" si="68"/>
        <v xml:space="preserve">By. Biaya </v>
      </c>
      <c r="B612" s="215">
        <v>46106</v>
      </c>
      <c r="C612" s="211" t="s">
        <v>305</v>
      </c>
      <c r="D612" s="218" t="s">
        <v>333</v>
      </c>
      <c r="F612" s="52" t="str">
        <f>IF(G612="","",INDEX(COA!$A$4:$A$123,MATCH(JU!$G612,COA!$B$4:$B$123,0)))</f>
        <v>6303</v>
      </c>
      <c r="G612" t="s">
        <v>87</v>
      </c>
      <c r="H612" s="216">
        <v>2500</v>
      </c>
      <c r="I612" s="52">
        <f>IF(J612="","",INDEX(COA!$A$4:$A$123,MATCH(JU!$J612,COA!$B$4:$B$123,0)))</f>
        <v>1103</v>
      </c>
      <c r="J612" t="s">
        <v>154</v>
      </c>
      <c r="K612" s="34">
        <f t="shared" si="67"/>
        <v>2500</v>
      </c>
    </row>
    <row r="613" spans="1:11" hidden="1">
      <c r="A613" s="50" t="str">
        <f t="shared" ref="A613" si="75">IF(G613="BRI 568","Terima Uang Masuk atas ","By. Biaya ")</f>
        <v xml:space="preserve">By. Biaya </v>
      </c>
      <c r="B613" s="215">
        <v>46106</v>
      </c>
      <c r="C613" s="211" t="s">
        <v>1283</v>
      </c>
      <c r="D613" s="218" t="s">
        <v>2309</v>
      </c>
      <c r="F613" s="52">
        <f>IF(G613="","",INDEX(COA!$A$4:$A$123,MATCH(JU!$G613,COA!$B$4:$B$123,0)))</f>
        <v>1301</v>
      </c>
      <c r="G613" t="s">
        <v>30</v>
      </c>
      <c r="H613" s="216">
        <v>650000000</v>
      </c>
      <c r="I613" s="52" t="str">
        <f>IF(J613="","",INDEX(COA!$A$4:$A$123,MATCH(JU!$J613,COA!$B$4:$B$123,0)))</f>
        <v>2101</v>
      </c>
      <c r="J613" t="s">
        <v>45</v>
      </c>
      <c r="K613" s="34">
        <f t="shared" ref="K613" si="76">IF(H613="","",H613)</f>
        <v>650000000</v>
      </c>
    </row>
    <row r="614" spans="1:11" hidden="1">
      <c r="A614" s="50" t="str">
        <f t="shared" si="68"/>
        <v xml:space="preserve">By. Biaya </v>
      </c>
      <c r="B614" s="215">
        <v>46106</v>
      </c>
      <c r="C614" s="211" t="s">
        <v>1283</v>
      </c>
      <c r="D614" s="218" t="s">
        <v>2308</v>
      </c>
      <c r="F614" s="52" t="str">
        <f>IF(G614="","",INDEX(COA!$A$4:$A$123,MATCH(JU!$G614,COA!$B$4:$B$123,0)))</f>
        <v>2101</v>
      </c>
      <c r="G614" t="s">
        <v>45</v>
      </c>
      <c r="H614" s="216">
        <v>20000000</v>
      </c>
      <c r="I614" s="52">
        <f>IF(J614="","",INDEX(COA!$A$4:$A$123,MATCH(JU!$J614,COA!$B$4:$B$123,0)))</f>
        <v>1103</v>
      </c>
      <c r="J614" t="s">
        <v>154</v>
      </c>
      <c r="K614" s="34">
        <f t="shared" si="67"/>
        <v>20000000</v>
      </c>
    </row>
    <row r="615" spans="1:11" hidden="1">
      <c r="A615" s="50" t="str">
        <f t="shared" si="68"/>
        <v xml:space="preserve">By. Biaya </v>
      </c>
      <c r="B615" s="215">
        <v>46106</v>
      </c>
      <c r="C615" s="211" t="s">
        <v>305</v>
      </c>
      <c r="D615" s="218" t="s">
        <v>333</v>
      </c>
      <c r="F615" s="52" t="str">
        <f>IF(G615="","",INDEX(COA!$A$4:$A$123,MATCH(JU!$G615,COA!$B$4:$B$123,0)))</f>
        <v>6303</v>
      </c>
      <c r="G615" t="s">
        <v>87</v>
      </c>
      <c r="H615" s="216">
        <v>2500</v>
      </c>
      <c r="I615" s="52">
        <f>IF(J615="","",INDEX(COA!$A$4:$A$123,MATCH(JU!$J615,COA!$B$4:$B$123,0)))</f>
        <v>1103</v>
      </c>
      <c r="J615" t="s">
        <v>154</v>
      </c>
      <c r="K615" s="34">
        <f t="shared" si="67"/>
        <v>2500</v>
      </c>
    </row>
    <row r="616" spans="1:11" hidden="1">
      <c r="A616" s="50" t="str">
        <f t="shared" ref="A616" si="77">IF(G616="BRI 568","Terima Uang Masuk atas ","By. Biaya ")</f>
        <v xml:space="preserve">By. Biaya </v>
      </c>
      <c r="B616" s="215">
        <v>46106</v>
      </c>
      <c r="C616" s="211" t="s">
        <v>1284</v>
      </c>
      <c r="D616" s="218" t="s">
        <v>1450</v>
      </c>
      <c r="F616" s="52">
        <f>IF(G616="","",INDEX(COA!$A$4:$A$123,MATCH(JU!$G616,COA!$B$4:$B$123,0)))</f>
        <v>1301</v>
      </c>
      <c r="G616" t="s">
        <v>30</v>
      </c>
      <c r="H616" s="216">
        <v>220000000</v>
      </c>
      <c r="I616" s="52" t="str">
        <f>IF(J616="","",INDEX(COA!$A$4:$A$123,MATCH(JU!$J616,COA!$B$4:$B$123,0)))</f>
        <v>2101</v>
      </c>
      <c r="J616" t="s">
        <v>45</v>
      </c>
      <c r="K616" s="34">
        <f t="shared" ref="K616" si="78">IF(H616="","",H616)</f>
        <v>220000000</v>
      </c>
    </row>
    <row r="617" spans="1:11" hidden="1">
      <c r="A617" s="50" t="str">
        <f t="shared" si="68"/>
        <v xml:space="preserve">By. Biaya </v>
      </c>
      <c r="B617" s="215">
        <v>46106</v>
      </c>
      <c r="C617" s="211" t="s">
        <v>1284</v>
      </c>
      <c r="D617" s="218" t="s">
        <v>1419</v>
      </c>
      <c r="F617" s="52" t="str">
        <f>IF(G617="","",INDEX(COA!$A$4:$A$123,MATCH(JU!$G617,COA!$B$4:$B$123,0)))</f>
        <v>2101</v>
      </c>
      <c r="G617" t="s">
        <v>45</v>
      </c>
      <c r="H617" s="216">
        <v>20000000</v>
      </c>
      <c r="I617" s="52">
        <f>IF(J617="","",INDEX(COA!$A$4:$A$123,MATCH(JU!$J617,COA!$B$4:$B$123,0)))</f>
        <v>1103</v>
      </c>
      <c r="J617" t="s">
        <v>154</v>
      </c>
      <c r="K617" s="34">
        <f t="shared" si="67"/>
        <v>20000000</v>
      </c>
    </row>
    <row r="618" spans="1:11" hidden="1">
      <c r="A618" s="50" t="str">
        <f t="shared" si="68"/>
        <v xml:space="preserve">By. Biaya </v>
      </c>
      <c r="B618" s="215">
        <v>46107</v>
      </c>
      <c r="C618" s="211" t="s">
        <v>734</v>
      </c>
      <c r="D618" s="218" t="s">
        <v>768</v>
      </c>
      <c r="F618" s="52">
        <f>IF(G618="","",INDEX(COA!$A$4:$A$123,MATCH(JU!$G618,COA!$B$4:$B$123,0)))</f>
        <v>6112</v>
      </c>
      <c r="G618" t="s">
        <v>205</v>
      </c>
      <c r="H618" s="216">
        <v>100000</v>
      </c>
      <c r="I618" s="52">
        <f>IF(J618="","",INDEX(COA!$A$4:$A$123,MATCH(JU!$J618,COA!$B$4:$B$123,0)))</f>
        <v>1103</v>
      </c>
      <c r="J618" t="s">
        <v>154</v>
      </c>
      <c r="K618" s="34">
        <f t="shared" si="67"/>
        <v>100000</v>
      </c>
    </row>
    <row r="619" spans="1:11" hidden="1">
      <c r="A619" s="50" t="str">
        <f t="shared" si="68"/>
        <v xml:space="preserve">By. Biaya </v>
      </c>
      <c r="B619" s="215">
        <v>46107</v>
      </c>
      <c r="C619" s="211" t="s">
        <v>305</v>
      </c>
      <c r="D619" s="218" t="s">
        <v>333</v>
      </c>
      <c r="F619" s="52" t="str">
        <f>IF(G619="","",INDEX(COA!$A$4:$A$123,MATCH(JU!$G619,COA!$B$4:$B$123,0)))</f>
        <v>6303</v>
      </c>
      <c r="G619" t="s">
        <v>87</v>
      </c>
      <c r="H619" s="216">
        <v>3000</v>
      </c>
      <c r="I619" s="52">
        <f>IF(J619="","",INDEX(COA!$A$4:$A$123,MATCH(JU!$J619,COA!$B$4:$B$123,0)))</f>
        <v>1103</v>
      </c>
      <c r="J619" t="s">
        <v>154</v>
      </c>
      <c r="K619" s="34">
        <f t="shared" si="67"/>
        <v>3000</v>
      </c>
    </row>
    <row r="620" spans="1:11" hidden="1">
      <c r="A620" s="50" t="str">
        <f t="shared" si="68"/>
        <v xml:space="preserve">By. Biaya </v>
      </c>
      <c r="B620" s="215">
        <v>46107</v>
      </c>
      <c r="C620" s="211" t="s">
        <v>734</v>
      </c>
      <c r="D620" s="218" t="s">
        <v>768</v>
      </c>
      <c r="F620" s="52">
        <f>IF(G620="","",INDEX(COA!$A$4:$A$123,MATCH(JU!$G620,COA!$B$4:$B$123,0)))</f>
        <v>1302</v>
      </c>
      <c r="G620" t="s">
        <v>31</v>
      </c>
      <c r="H620" s="216">
        <v>100000</v>
      </c>
      <c r="I620" s="52">
        <f>IF(J620="","",INDEX(COA!$A$4:$A$123,MATCH(JU!$J620,COA!$B$4:$B$123,0)))</f>
        <v>1103</v>
      </c>
      <c r="J620" t="s">
        <v>154</v>
      </c>
      <c r="K620" s="34">
        <f t="shared" si="67"/>
        <v>100000</v>
      </c>
    </row>
    <row r="621" spans="1:11" hidden="1">
      <c r="A621" s="50" t="str">
        <f t="shared" si="68"/>
        <v xml:space="preserve">By. Biaya </v>
      </c>
      <c r="B621" s="215">
        <v>46107</v>
      </c>
      <c r="C621" s="211" t="s">
        <v>305</v>
      </c>
      <c r="D621" s="218" t="s">
        <v>333</v>
      </c>
      <c r="F621" s="52" t="str">
        <f>IF(G621="","",INDEX(COA!$A$4:$A$123,MATCH(JU!$G621,COA!$B$4:$B$123,0)))</f>
        <v>6303</v>
      </c>
      <c r="G621" t="s">
        <v>87</v>
      </c>
      <c r="H621" s="216">
        <v>3000</v>
      </c>
      <c r="I621" s="52">
        <f>IF(J621="","",INDEX(COA!$A$4:$A$123,MATCH(JU!$J621,COA!$B$4:$B$123,0)))</f>
        <v>1103</v>
      </c>
      <c r="J621" t="s">
        <v>154</v>
      </c>
      <c r="K621" s="34">
        <f t="shared" si="67"/>
        <v>3000</v>
      </c>
    </row>
    <row r="622" spans="1:11" hidden="1">
      <c r="A622" s="50" t="str">
        <f t="shared" si="68"/>
        <v xml:space="preserve">By. Biaya </v>
      </c>
      <c r="B622" s="215">
        <v>46107</v>
      </c>
      <c r="C622" s="211" t="s">
        <v>1285</v>
      </c>
      <c r="D622" s="218" t="s">
        <v>401</v>
      </c>
      <c r="F622" s="52">
        <f>IF(G622="","",INDEX(COA!$A$4:$A$123,MATCH(JU!$G622,COA!$B$4:$B$123,0)))</f>
        <v>4103</v>
      </c>
      <c r="G622" t="s">
        <v>63</v>
      </c>
      <c r="H622" s="216">
        <v>40000000</v>
      </c>
      <c r="I622" s="52">
        <f>IF(J622="","",INDEX(COA!$A$4:$A$123,MATCH(JU!$J622,COA!$B$4:$B$123,0)))</f>
        <v>1103</v>
      </c>
      <c r="J622" t="s">
        <v>154</v>
      </c>
      <c r="K622" s="34">
        <f t="shared" si="67"/>
        <v>40000000</v>
      </c>
    </row>
    <row r="623" spans="1:11" hidden="1">
      <c r="A623" s="50" t="str">
        <f t="shared" si="68"/>
        <v xml:space="preserve">By. Biaya </v>
      </c>
      <c r="B623" s="215">
        <v>46107</v>
      </c>
      <c r="C623" s="211" t="s">
        <v>1286</v>
      </c>
      <c r="D623" s="218" t="s">
        <v>1420</v>
      </c>
      <c r="F623" s="52" t="str">
        <f>IF(G623="","",INDEX(COA!$A$4:$A$123,MATCH(JU!$G623,COA!$B$4:$B$123,0)))</f>
        <v>2101</v>
      </c>
      <c r="G623" t="s">
        <v>45</v>
      </c>
      <c r="H623" s="216">
        <v>70000000</v>
      </c>
      <c r="I623" s="52">
        <f>IF(J623="","",INDEX(COA!$A$4:$A$123,MATCH(JU!$J623,COA!$B$4:$B$123,0)))</f>
        <v>1103</v>
      </c>
      <c r="J623" t="s">
        <v>154</v>
      </c>
      <c r="K623" s="34">
        <f t="shared" ref="K623:K646" si="79">IF(H623="","",H623)</f>
        <v>70000000</v>
      </c>
    </row>
    <row r="624" spans="1:11" hidden="1">
      <c r="A624" s="50" t="str">
        <f t="shared" si="68"/>
        <v xml:space="preserve">By. Biaya </v>
      </c>
      <c r="B624" s="215">
        <v>46107</v>
      </c>
      <c r="C624" s="211" t="s">
        <v>1176</v>
      </c>
      <c r="D624" s="218" t="s">
        <v>1340</v>
      </c>
      <c r="F624" s="52">
        <f>IF(G624="","",INDEX(COA!$A$4:$A$123,MATCH(JU!$G624,COA!$B$4:$B$123,0)))</f>
        <v>1302</v>
      </c>
      <c r="G624" t="s">
        <v>31</v>
      </c>
      <c r="H624" s="216">
        <v>50000000</v>
      </c>
      <c r="I624" s="52">
        <f>IF(J624="","",INDEX(COA!$A$4:$A$123,MATCH(JU!$J624,COA!$B$4:$B$123,0)))</f>
        <v>1103</v>
      </c>
      <c r="J624" t="s">
        <v>154</v>
      </c>
      <c r="K624" s="34">
        <f t="shared" si="79"/>
        <v>50000000</v>
      </c>
    </row>
    <row r="625" spans="1:11" hidden="1">
      <c r="A625" s="50" t="str">
        <f t="shared" si="68"/>
        <v xml:space="preserve">By. Biaya </v>
      </c>
      <c r="B625" s="215">
        <v>46107</v>
      </c>
      <c r="C625" s="211" t="s">
        <v>1287</v>
      </c>
      <c r="D625" s="218" t="s">
        <v>1421</v>
      </c>
      <c r="F625" s="52">
        <f>IF(G625="","",INDEX(COA!$A$4:$A$123,MATCH(JU!$G625,COA!$B$4:$B$123,0)))</f>
        <v>1302</v>
      </c>
      <c r="G625" t="s">
        <v>31</v>
      </c>
      <c r="H625" s="216">
        <v>2500000</v>
      </c>
      <c r="I625" s="52">
        <f>IF(J625="","",INDEX(COA!$A$4:$A$123,MATCH(JU!$J625,COA!$B$4:$B$123,0)))</f>
        <v>1103</v>
      </c>
      <c r="J625" t="s">
        <v>154</v>
      </c>
      <c r="K625" s="34">
        <f t="shared" si="79"/>
        <v>2500000</v>
      </c>
    </row>
    <row r="626" spans="1:11" hidden="1">
      <c r="A626" s="50" t="str">
        <f t="shared" si="68"/>
        <v xml:space="preserve">By. Biaya </v>
      </c>
      <c r="B626" s="215">
        <v>46107</v>
      </c>
      <c r="C626" s="211" t="s">
        <v>1288</v>
      </c>
      <c r="D626" s="218" t="s">
        <v>1422</v>
      </c>
      <c r="F626" s="52">
        <f>IF(G626="","",INDEX(COA!$A$4:$A$123,MATCH(JU!$G626,COA!$B$4:$B$123,0)))</f>
        <v>1202</v>
      </c>
      <c r="G626" t="s">
        <v>27</v>
      </c>
      <c r="H626" s="216">
        <v>15000000</v>
      </c>
      <c r="I626" s="52">
        <f>IF(J626="","",INDEX(COA!$A$4:$A$123,MATCH(JU!$J626,COA!$B$4:$B$123,0)))</f>
        <v>1103</v>
      </c>
      <c r="J626" t="s">
        <v>154</v>
      </c>
      <c r="K626" s="34">
        <f t="shared" si="79"/>
        <v>15000000</v>
      </c>
    </row>
    <row r="627" spans="1:11" hidden="1">
      <c r="A627" s="50" t="str">
        <f t="shared" si="68"/>
        <v xml:space="preserve">By. Biaya </v>
      </c>
      <c r="B627" s="215">
        <v>46107</v>
      </c>
      <c r="C627" s="211" t="s">
        <v>305</v>
      </c>
      <c r="D627" s="218" t="s">
        <v>333</v>
      </c>
      <c r="F627" s="52" t="str">
        <f>IF(G627="","",INDEX(COA!$A$4:$A$123,MATCH(JU!$G627,COA!$B$4:$B$123,0)))</f>
        <v>6303</v>
      </c>
      <c r="G627" t="s">
        <v>87</v>
      </c>
      <c r="H627" s="216">
        <v>2500</v>
      </c>
      <c r="I627" s="52">
        <f>IF(J627="","",INDEX(COA!$A$4:$A$123,MATCH(JU!$J627,COA!$B$4:$B$123,0)))</f>
        <v>1103</v>
      </c>
      <c r="J627" t="s">
        <v>154</v>
      </c>
      <c r="K627" s="34">
        <f t="shared" si="79"/>
        <v>2500</v>
      </c>
    </row>
    <row r="628" spans="1:11" hidden="1">
      <c r="A628" s="50" t="str">
        <f t="shared" si="68"/>
        <v xml:space="preserve">By. Biaya </v>
      </c>
      <c r="B628" s="215">
        <v>46107</v>
      </c>
      <c r="C628" s="211" t="s">
        <v>889</v>
      </c>
      <c r="D628" s="218" t="s">
        <v>1051</v>
      </c>
      <c r="F628" s="52">
        <f>IF(G628="","",INDEX(COA!$A$4:$A$123,MATCH(JU!$G628,COA!$B$4:$B$123,0)))</f>
        <v>6112</v>
      </c>
      <c r="G628" t="s">
        <v>205</v>
      </c>
      <c r="H628" s="216">
        <v>200000</v>
      </c>
      <c r="I628" s="52">
        <f>IF(J628="","",INDEX(COA!$A$4:$A$123,MATCH(JU!$J628,COA!$B$4:$B$123,0)))</f>
        <v>1103</v>
      </c>
      <c r="J628" t="s">
        <v>154</v>
      </c>
      <c r="K628" s="34">
        <f t="shared" si="79"/>
        <v>200000</v>
      </c>
    </row>
    <row r="629" spans="1:11" hidden="1">
      <c r="A629" s="50" t="str">
        <f t="shared" si="68"/>
        <v xml:space="preserve">By. Biaya </v>
      </c>
      <c r="B629" s="215">
        <v>46107</v>
      </c>
      <c r="C629" s="211" t="s">
        <v>305</v>
      </c>
      <c r="D629" s="218" t="s">
        <v>333</v>
      </c>
      <c r="F629" s="52" t="str">
        <f>IF(G629="","",INDEX(COA!$A$4:$A$123,MATCH(JU!$G629,COA!$B$4:$B$123,0)))</f>
        <v>6303</v>
      </c>
      <c r="G629" t="s">
        <v>87</v>
      </c>
      <c r="H629" s="216">
        <v>3000</v>
      </c>
      <c r="I629" s="52">
        <f>IF(J629="","",INDEX(COA!$A$4:$A$123,MATCH(JU!$J629,COA!$B$4:$B$123,0)))</f>
        <v>1103</v>
      </c>
      <c r="J629" t="s">
        <v>154</v>
      </c>
      <c r="K629" s="34">
        <f t="shared" si="79"/>
        <v>3000</v>
      </c>
    </row>
    <row r="630" spans="1:11" hidden="1">
      <c r="A630" s="50" t="str">
        <f t="shared" si="68"/>
        <v xml:space="preserve">By. Biaya </v>
      </c>
      <c r="B630" s="215">
        <v>46107</v>
      </c>
      <c r="C630" s="211" t="s">
        <v>1289</v>
      </c>
      <c r="D630" s="218" t="s">
        <v>1423</v>
      </c>
      <c r="F630" s="52">
        <f>IF(G630="","",INDEX(COA!$A$4:$A$123,MATCH(JU!$G630,COA!$B$4:$B$123,0)))</f>
        <v>1302</v>
      </c>
      <c r="G630" t="s">
        <v>31</v>
      </c>
      <c r="H630" s="216">
        <v>250000</v>
      </c>
      <c r="I630" s="52">
        <f>IF(J630="","",INDEX(COA!$A$4:$A$123,MATCH(JU!$J630,COA!$B$4:$B$123,0)))</f>
        <v>1103</v>
      </c>
      <c r="J630" t="s">
        <v>154</v>
      </c>
      <c r="K630" s="34">
        <f t="shared" si="79"/>
        <v>250000</v>
      </c>
    </row>
    <row r="631" spans="1:11" hidden="1">
      <c r="A631" s="50" t="str">
        <f t="shared" si="68"/>
        <v xml:space="preserve">Terima Uang Masuk atas </v>
      </c>
      <c r="B631" s="215">
        <v>46107</v>
      </c>
      <c r="C631" s="211" t="s">
        <v>1290</v>
      </c>
      <c r="D631" s="218" t="s">
        <v>1424</v>
      </c>
      <c r="F631" s="52">
        <f>IF(G631="","",INDEX(COA!$A$4:$A$123,MATCH(JU!$G631,COA!$B$4:$B$123,0)))</f>
        <v>1103</v>
      </c>
      <c r="G631" t="s">
        <v>154</v>
      </c>
      <c r="H631" s="216">
        <v>15000000</v>
      </c>
      <c r="I631" s="52">
        <f>IF(J631="","",INDEX(COA!$A$4:$A$123,MATCH(JU!$J631,COA!$B$4:$B$123,0)))</f>
        <v>1204</v>
      </c>
      <c r="J631" t="s">
        <v>1451</v>
      </c>
      <c r="K631" s="34">
        <f t="shared" si="79"/>
        <v>15000000</v>
      </c>
    </row>
    <row r="632" spans="1:11" hidden="1">
      <c r="A632" s="50" t="str">
        <f t="shared" si="68"/>
        <v xml:space="preserve">By. Biaya </v>
      </c>
      <c r="B632" s="215">
        <v>46107</v>
      </c>
      <c r="C632" s="211" t="s">
        <v>1291</v>
      </c>
      <c r="D632" s="218" t="s">
        <v>1425</v>
      </c>
      <c r="F632" s="52">
        <f>IF(G632="","",INDEX(COA!$A$4:$A$123,MATCH(JU!$G632,COA!$B$4:$B$123,0)))</f>
        <v>1203</v>
      </c>
      <c r="G632" t="s">
        <v>140</v>
      </c>
      <c r="H632" s="216">
        <v>15000000</v>
      </c>
      <c r="I632" s="52">
        <f>IF(J632="","",INDEX(COA!$A$4:$A$123,MATCH(JU!$J632,COA!$B$4:$B$123,0)))</f>
        <v>1103</v>
      </c>
      <c r="J632" t="s">
        <v>154</v>
      </c>
      <c r="K632" s="34">
        <f t="shared" si="79"/>
        <v>15000000</v>
      </c>
    </row>
    <row r="633" spans="1:11" hidden="1">
      <c r="A633" s="50" t="str">
        <f t="shared" si="68"/>
        <v xml:space="preserve">By. Biaya </v>
      </c>
      <c r="B633" s="215">
        <v>46107</v>
      </c>
      <c r="C633" s="211" t="s">
        <v>305</v>
      </c>
      <c r="D633" s="218" t="s">
        <v>333</v>
      </c>
      <c r="F633" s="52" t="str">
        <f>IF(G633="","",INDEX(COA!$A$4:$A$123,MATCH(JU!$G633,COA!$B$4:$B$123,0)))</f>
        <v>6303</v>
      </c>
      <c r="G633" t="s">
        <v>87</v>
      </c>
      <c r="H633" s="216">
        <v>2500</v>
      </c>
      <c r="I633" s="52">
        <f>IF(J633="","",INDEX(COA!$A$4:$A$123,MATCH(JU!$J633,COA!$B$4:$B$123,0)))</f>
        <v>1103</v>
      </c>
      <c r="J633" t="s">
        <v>154</v>
      </c>
      <c r="K633" s="34">
        <f t="shared" si="79"/>
        <v>2500</v>
      </c>
    </row>
    <row r="634" spans="1:11" hidden="1">
      <c r="A634" s="50" t="str">
        <f t="shared" si="68"/>
        <v xml:space="preserve">By. Biaya </v>
      </c>
      <c r="B634" s="215">
        <v>46108</v>
      </c>
      <c r="C634" s="211" t="s">
        <v>1292</v>
      </c>
      <c r="D634" s="218" t="s">
        <v>2321</v>
      </c>
      <c r="F634" s="52" t="str">
        <f>IF(G634="","",INDEX(COA!$A$4:$A$123,MATCH(JU!$G634,COA!$B$4:$B$123,0)))</f>
        <v>2101</v>
      </c>
      <c r="G634" t="s">
        <v>45</v>
      </c>
      <c r="H634" s="216">
        <v>80000000</v>
      </c>
      <c r="I634" s="52">
        <f>IF(J634="","",INDEX(COA!$A$4:$A$123,MATCH(JU!$J634,COA!$B$4:$B$123,0)))</f>
        <v>1103</v>
      </c>
      <c r="J634" t="s">
        <v>154</v>
      </c>
      <c r="K634" s="34">
        <f t="shared" si="79"/>
        <v>80000000</v>
      </c>
    </row>
    <row r="635" spans="1:11" hidden="1">
      <c r="A635" s="50" t="str">
        <f t="shared" si="68"/>
        <v xml:space="preserve">By. Biaya </v>
      </c>
      <c r="B635" s="215">
        <v>46108</v>
      </c>
      <c r="C635" s="211" t="s">
        <v>1293</v>
      </c>
      <c r="D635" s="218" t="s">
        <v>403</v>
      </c>
      <c r="F635" s="52" t="str">
        <f>IF(G635="","",INDEX(COA!$A$4:$A$123,MATCH(JU!$G635,COA!$B$4:$B$123,0)))</f>
        <v>2201</v>
      </c>
      <c r="G635" t="s">
        <v>52</v>
      </c>
      <c r="H635" s="216">
        <v>24000000</v>
      </c>
      <c r="I635" s="52">
        <f>IF(J635="","",INDEX(COA!$A$4:$A$123,MATCH(JU!$J635,COA!$B$4:$B$123,0)))</f>
        <v>1103</v>
      </c>
      <c r="J635" t="s">
        <v>154</v>
      </c>
      <c r="K635" s="34">
        <f t="shared" si="79"/>
        <v>24000000</v>
      </c>
    </row>
    <row r="636" spans="1:11" hidden="1">
      <c r="A636" s="50" t="str">
        <f t="shared" si="68"/>
        <v xml:space="preserve">By. Biaya </v>
      </c>
      <c r="B636" s="215">
        <v>46108</v>
      </c>
      <c r="C636" s="211" t="s">
        <v>1294</v>
      </c>
      <c r="D636" s="218" t="s">
        <v>1426</v>
      </c>
      <c r="F636" s="52">
        <f>IF(G636="","",INDEX(COA!$A$4:$A$123,MATCH(JU!$G636,COA!$B$4:$B$123,0)))</f>
        <v>6105</v>
      </c>
      <c r="G636" t="s">
        <v>148</v>
      </c>
      <c r="H636" s="216">
        <v>421000</v>
      </c>
      <c r="I636" s="52">
        <f>IF(J636="","",INDEX(COA!$A$4:$A$123,MATCH(JU!$J636,COA!$B$4:$B$123,0)))</f>
        <v>1103</v>
      </c>
      <c r="J636" t="s">
        <v>154</v>
      </c>
      <c r="K636" s="34">
        <f t="shared" si="79"/>
        <v>421000</v>
      </c>
    </row>
    <row r="637" spans="1:11" hidden="1">
      <c r="A637" s="50" t="str">
        <f t="shared" si="68"/>
        <v xml:space="preserve">By. Biaya </v>
      </c>
      <c r="B637" s="215">
        <v>46108</v>
      </c>
      <c r="C637" s="211" t="s">
        <v>1295</v>
      </c>
      <c r="D637" s="218" t="s">
        <v>404</v>
      </c>
      <c r="F637" s="52">
        <f>IF(G637="","",INDEX(COA!$A$4:$A$123,MATCH(JU!$G637,COA!$B$4:$B$123,0)))</f>
        <v>6112</v>
      </c>
      <c r="G637" t="s">
        <v>205</v>
      </c>
      <c r="H637" s="216">
        <v>3500000</v>
      </c>
      <c r="I637" s="52">
        <f>IF(J637="","",INDEX(COA!$A$4:$A$123,MATCH(JU!$J637,COA!$B$4:$B$123,0)))</f>
        <v>1103</v>
      </c>
      <c r="J637" t="s">
        <v>154</v>
      </c>
      <c r="K637" s="34">
        <f t="shared" si="79"/>
        <v>3500000</v>
      </c>
    </row>
    <row r="638" spans="1:11" hidden="1">
      <c r="A638" s="50" t="str">
        <f t="shared" si="68"/>
        <v xml:space="preserve">By. Biaya </v>
      </c>
      <c r="B638" s="215">
        <v>46108</v>
      </c>
      <c r="C638" s="211" t="s">
        <v>305</v>
      </c>
      <c r="D638" s="218" t="s">
        <v>333</v>
      </c>
      <c r="F638" s="52" t="str">
        <f>IF(G638="","",INDEX(COA!$A$4:$A$123,MATCH(JU!$G638,COA!$B$4:$B$123,0)))</f>
        <v>6303</v>
      </c>
      <c r="G638" t="s">
        <v>87</v>
      </c>
      <c r="H638" s="216">
        <v>2500</v>
      </c>
      <c r="I638" s="52">
        <f>IF(J638="","",INDEX(COA!$A$4:$A$123,MATCH(JU!$J638,COA!$B$4:$B$123,0)))</f>
        <v>1103</v>
      </c>
      <c r="J638" t="s">
        <v>154</v>
      </c>
      <c r="K638" s="34">
        <f t="shared" si="79"/>
        <v>2500</v>
      </c>
    </row>
    <row r="639" spans="1:11" hidden="1">
      <c r="A639" s="50" t="str">
        <f t="shared" si="68"/>
        <v xml:space="preserve">By. Biaya </v>
      </c>
      <c r="B639" s="215">
        <v>46108</v>
      </c>
      <c r="C639" s="211" t="s">
        <v>1296</v>
      </c>
      <c r="D639" s="218" t="s">
        <v>1427</v>
      </c>
      <c r="F639" s="52">
        <f>IF(G639="","",INDEX(COA!$A$4:$A$123,MATCH(JU!$G639,COA!$B$4:$B$123,0)))</f>
        <v>5110</v>
      </c>
      <c r="G639" t="s">
        <v>74</v>
      </c>
      <c r="H639" s="216">
        <v>10000000</v>
      </c>
      <c r="I639" s="52">
        <f>IF(J639="","",INDEX(COA!$A$4:$A$123,MATCH(JU!$J639,COA!$B$4:$B$123,0)))</f>
        <v>1103</v>
      </c>
      <c r="J639" t="s">
        <v>154</v>
      </c>
      <c r="K639" s="34">
        <f t="shared" si="79"/>
        <v>10000000</v>
      </c>
    </row>
    <row r="640" spans="1:11" hidden="1">
      <c r="A640" s="50" t="str">
        <f t="shared" si="68"/>
        <v xml:space="preserve">By. Biaya </v>
      </c>
      <c r="B640" s="215">
        <v>46108</v>
      </c>
      <c r="C640" s="211" t="s">
        <v>1297</v>
      </c>
      <c r="D640" s="218" t="s">
        <v>1428</v>
      </c>
      <c r="F640" s="52">
        <f>IF(G640="","",INDEX(COA!$A$4:$A$123,MATCH(JU!$G640,COA!$B$4:$B$123,0)))</f>
        <v>1302</v>
      </c>
      <c r="G640" t="s">
        <v>31</v>
      </c>
      <c r="H640" s="216">
        <v>400000</v>
      </c>
      <c r="I640" s="52">
        <f>IF(J640="","",INDEX(COA!$A$4:$A$123,MATCH(JU!$J640,COA!$B$4:$B$123,0)))</f>
        <v>1103</v>
      </c>
      <c r="J640" t="s">
        <v>154</v>
      </c>
      <c r="K640" s="34">
        <f t="shared" si="79"/>
        <v>400000</v>
      </c>
    </row>
    <row r="641" spans="1:11" hidden="1">
      <c r="A641" s="50" t="str">
        <f t="shared" si="68"/>
        <v xml:space="preserve">By. Biaya </v>
      </c>
      <c r="B641" s="215">
        <v>46108</v>
      </c>
      <c r="C641" s="211" t="s">
        <v>1298</v>
      </c>
      <c r="D641" s="218" t="s">
        <v>1429</v>
      </c>
      <c r="F641" s="52">
        <f>IF(G641="","",INDEX(COA!$A$4:$A$123,MATCH(JU!$G641,COA!$B$4:$B$123,0)))</f>
        <v>5108</v>
      </c>
      <c r="G641" t="s">
        <v>72</v>
      </c>
      <c r="H641" s="216">
        <v>800000</v>
      </c>
      <c r="I641" s="52">
        <f>IF(J641="","",INDEX(COA!$A$4:$A$123,MATCH(JU!$J641,COA!$B$4:$B$123,0)))</f>
        <v>1103</v>
      </c>
      <c r="J641" t="s">
        <v>154</v>
      </c>
      <c r="K641" s="34">
        <f t="shared" si="79"/>
        <v>800000</v>
      </c>
    </row>
    <row r="642" spans="1:11" hidden="1">
      <c r="A642" s="50" t="str">
        <f t="shared" si="68"/>
        <v xml:space="preserve">By. Biaya </v>
      </c>
      <c r="B642" s="215">
        <v>46108</v>
      </c>
      <c r="C642" s="211" t="s">
        <v>305</v>
      </c>
      <c r="D642" s="218" t="s">
        <v>333</v>
      </c>
      <c r="F642" s="52" t="str">
        <f>IF(G642="","",INDEX(COA!$A$4:$A$123,MATCH(JU!$G642,COA!$B$4:$B$123,0)))</f>
        <v>6303</v>
      </c>
      <c r="G642" t="s">
        <v>87</v>
      </c>
      <c r="H642" s="216">
        <v>2500</v>
      </c>
      <c r="I642" s="52">
        <f>IF(J642="","",INDEX(COA!$A$4:$A$123,MATCH(JU!$J642,COA!$B$4:$B$123,0)))</f>
        <v>1103</v>
      </c>
      <c r="J642" t="s">
        <v>154</v>
      </c>
      <c r="K642" s="34">
        <f t="shared" si="79"/>
        <v>2500</v>
      </c>
    </row>
    <row r="643" spans="1:11" hidden="1">
      <c r="A643" s="50" t="str">
        <f t="shared" si="68"/>
        <v xml:space="preserve">By. Biaya </v>
      </c>
      <c r="B643" s="215">
        <v>46108</v>
      </c>
      <c r="C643" s="211" t="s">
        <v>1299</v>
      </c>
      <c r="D643" s="218" t="s">
        <v>1430</v>
      </c>
      <c r="F643" s="52">
        <f>IF(G643="","",INDEX(COA!$A$4:$A$123,MATCH(JU!$G643,COA!$B$4:$B$123,0)))</f>
        <v>1302</v>
      </c>
      <c r="G643" t="s">
        <v>31</v>
      </c>
      <c r="H643" s="216">
        <v>27347000</v>
      </c>
      <c r="I643" s="52">
        <f>IF(J643="","",INDEX(COA!$A$4:$A$123,MATCH(JU!$J643,COA!$B$4:$B$123,0)))</f>
        <v>1103</v>
      </c>
      <c r="J643" t="s">
        <v>154</v>
      </c>
      <c r="K643" s="34">
        <f t="shared" si="79"/>
        <v>27347000</v>
      </c>
    </row>
    <row r="644" spans="1:11" hidden="1">
      <c r="A644" s="50" t="str">
        <f t="shared" si="68"/>
        <v xml:space="preserve">By. Biaya </v>
      </c>
      <c r="B644" s="215">
        <v>46108</v>
      </c>
      <c r="C644" s="211" t="s">
        <v>305</v>
      </c>
      <c r="D644" s="218" t="s">
        <v>333</v>
      </c>
      <c r="F644" s="52" t="str">
        <f>IF(G644="","",INDEX(COA!$A$4:$A$123,MATCH(JU!$G644,COA!$B$4:$B$123,0)))</f>
        <v>6303</v>
      </c>
      <c r="G644" t="s">
        <v>87</v>
      </c>
      <c r="H644" s="216">
        <v>2500</v>
      </c>
      <c r="I644" s="52">
        <f>IF(J644="","",INDEX(COA!$A$4:$A$123,MATCH(JU!$J644,COA!$B$4:$B$123,0)))</f>
        <v>1103</v>
      </c>
      <c r="J644" t="s">
        <v>154</v>
      </c>
      <c r="K644" s="34">
        <f t="shared" si="79"/>
        <v>2500</v>
      </c>
    </row>
    <row r="645" spans="1:11" hidden="1">
      <c r="A645" s="50" t="str">
        <f t="shared" si="68"/>
        <v xml:space="preserve">By. Biaya </v>
      </c>
      <c r="B645" s="215">
        <v>46109</v>
      </c>
      <c r="C645" s="211" t="s">
        <v>1300</v>
      </c>
      <c r="D645" s="218" t="s">
        <v>1431</v>
      </c>
      <c r="F645" s="52">
        <f>IF(G645="","",INDEX(COA!$A$4:$A$123,MATCH(JU!$G645,COA!$B$4:$B$123,0)))</f>
        <v>1204</v>
      </c>
      <c r="G645" t="s">
        <v>28</v>
      </c>
      <c r="H645" s="216">
        <v>15000000</v>
      </c>
      <c r="I645" s="52">
        <f>IF(J645="","",INDEX(COA!$A$4:$A$123,MATCH(JU!$J645,COA!$B$4:$B$123,0)))</f>
        <v>1103</v>
      </c>
      <c r="J645" t="s">
        <v>154</v>
      </c>
      <c r="K645" s="34">
        <f t="shared" si="79"/>
        <v>15000000</v>
      </c>
    </row>
    <row r="646" spans="1:11" hidden="1">
      <c r="A646" s="50" t="str">
        <f t="shared" si="68"/>
        <v xml:space="preserve">By. Biaya </v>
      </c>
      <c r="B646" s="215">
        <v>46109</v>
      </c>
      <c r="C646" s="211" t="s">
        <v>305</v>
      </c>
      <c r="D646" s="218" t="s">
        <v>333</v>
      </c>
      <c r="F646" s="52" t="str">
        <f>IF(G646="","",INDEX(COA!$A$4:$A$123,MATCH(JU!$G646,COA!$B$4:$B$123,0)))</f>
        <v>6303</v>
      </c>
      <c r="G646" t="s">
        <v>87</v>
      </c>
      <c r="H646" s="216">
        <v>2500</v>
      </c>
      <c r="I646" s="52">
        <f>IF(J646="","",INDEX(COA!$A$4:$A$123,MATCH(JU!$J646,COA!$B$4:$B$123,0)))</f>
        <v>1103</v>
      </c>
      <c r="J646" t="s">
        <v>154</v>
      </c>
      <c r="K646" s="34">
        <f t="shared" si="79"/>
        <v>2500</v>
      </c>
    </row>
    <row r="647" spans="1:11" hidden="1">
      <c r="A647" s="50" t="str">
        <f t="shared" si="68"/>
        <v xml:space="preserve">Terima Uang Masuk atas </v>
      </c>
      <c r="B647" s="215">
        <v>46110</v>
      </c>
      <c r="C647" s="211" t="s">
        <v>1301</v>
      </c>
      <c r="D647" s="218" t="s">
        <v>1432</v>
      </c>
      <c r="F647" s="52">
        <f>IF(G647="","",INDEX(COA!$A$4:$A$123,MATCH(JU!$G647,COA!$B$4:$B$123,0)))</f>
        <v>1103</v>
      </c>
      <c r="G647" t="s">
        <v>154</v>
      </c>
      <c r="H647" s="216">
        <v>20000000</v>
      </c>
      <c r="I647" s="52">
        <f>IF(J647="","",INDEX(COA!$A$4:$A$123,MATCH(JU!$J647,COA!$B$4:$B$123,0)))</f>
        <v>1203</v>
      </c>
      <c r="J647" t="s">
        <v>140</v>
      </c>
      <c r="K647" s="34">
        <f>IF(H647="","",H647)</f>
        <v>20000000</v>
      </c>
    </row>
    <row r="648" spans="1:11" hidden="1">
      <c r="A648" s="50" t="str">
        <f t="shared" si="68"/>
        <v xml:space="preserve">By. Biaya </v>
      </c>
      <c r="B648" s="215">
        <v>46111</v>
      </c>
      <c r="C648" s="211" t="s">
        <v>1302</v>
      </c>
      <c r="D648" s="218" t="s">
        <v>405</v>
      </c>
      <c r="F648" s="52">
        <f>IF(G648="","",INDEX(COA!$A$4:$A$123,MATCH(JU!$G648,COA!$B$4:$B$123,0)))</f>
        <v>1401</v>
      </c>
      <c r="G648" t="s">
        <v>35</v>
      </c>
      <c r="H648" s="216">
        <v>12969718</v>
      </c>
      <c r="I648" s="52">
        <f>IF(J648="","",INDEX(COA!$A$4:$A$123,MATCH(JU!$J648,COA!$B$4:$B$123,0)))</f>
        <v>1103</v>
      </c>
      <c r="J648" t="s">
        <v>154</v>
      </c>
      <c r="K648" s="34">
        <f>IF(H648="","",H648)</f>
        <v>12969718</v>
      </c>
    </row>
    <row r="649" spans="1:11" hidden="1">
      <c r="A649" s="50" t="str">
        <f t="shared" si="68"/>
        <v xml:space="preserve">By. Biaya </v>
      </c>
      <c r="B649" s="215">
        <v>46111</v>
      </c>
      <c r="C649" s="211" t="s">
        <v>1303</v>
      </c>
      <c r="D649" s="218" t="s">
        <v>406</v>
      </c>
      <c r="F649" s="52">
        <f>IF(G649="","",INDEX(COA!$A$4:$A$123,MATCH(JU!$G649,COA!$B$4:$B$123,0)))</f>
        <v>6112</v>
      </c>
      <c r="G649" t="s">
        <v>205</v>
      </c>
      <c r="H649" s="216">
        <v>800000</v>
      </c>
      <c r="I649" s="52">
        <f>IF(J649="","",INDEX(COA!$A$4:$A$123,MATCH(JU!$J649,COA!$B$4:$B$123,0)))</f>
        <v>1103</v>
      </c>
      <c r="J649" t="s">
        <v>154</v>
      </c>
      <c r="K649" s="34">
        <f t="shared" ref="K649:K726" si="80">IF(H649="","",H649)</f>
        <v>800000</v>
      </c>
    </row>
    <row r="650" spans="1:11" hidden="1">
      <c r="A650" s="50" t="str">
        <f t="shared" si="68"/>
        <v xml:space="preserve">By. Biaya </v>
      </c>
      <c r="B650" s="215">
        <v>46111</v>
      </c>
      <c r="C650" s="211" t="s">
        <v>305</v>
      </c>
      <c r="D650" s="218" t="s">
        <v>333</v>
      </c>
      <c r="F650" s="52" t="str">
        <f>IF(G650="","",INDEX(COA!$A$4:$A$123,MATCH(JU!$G650,COA!$B$4:$B$123,0)))</f>
        <v>6303</v>
      </c>
      <c r="G650" t="s">
        <v>87</v>
      </c>
      <c r="H650" s="216">
        <v>2500</v>
      </c>
      <c r="I650" s="52">
        <f>IF(J650="","",INDEX(COA!$A$4:$A$123,MATCH(JU!$J650,COA!$B$4:$B$123,0)))</f>
        <v>1103</v>
      </c>
      <c r="J650" t="s">
        <v>154</v>
      </c>
      <c r="K650" s="34">
        <f t="shared" si="80"/>
        <v>2500</v>
      </c>
    </row>
    <row r="651" spans="1:11" hidden="1">
      <c r="A651" s="50" t="str">
        <f t="shared" ref="A651:A692" si="81">IF(G651="BRI 568","Terima Uang Masuk atas ","By. Biaya ")</f>
        <v xml:space="preserve">By. Biaya </v>
      </c>
      <c r="B651" s="215">
        <v>46111</v>
      </c>
      <c r="C651" s="211" t="s">
        <v>1156</v>
      </c>
      <c r="D651" s="218" t="s">
        <v>1433</v>
      </c>
      <c r="F651" s="52">
        <f>IF(G651="","",INDEX(COA!$A$4:$A$123,MATCH(JU!$G651,COA!$B$4:$B$123,0)))</f>
        <v>1108</v>
      </c>
      <c r="G651" t="s">
        <v>155</v>
      </c>
      <c r="H651" s="216">
        <v>250000000</v>
      </c>
      <c r="I651" s="52">
        <f>IF(J651="","",INDEX(COA!$A$4:$A$123,MATCH(JU!$J651,COA!$B$4:$B$123,0)))</f>
        <v>1103</v>
      </c>
      <c r="J651" t="s">
        <v>154</v>
      </c>
      <c r="K651" s="34">
        <f t="shared" si="80"/>
        <v>250000000</v>
      </c>
    </row>
    <row r="652" spans="1:11" hidden="1">
      <c r="A652" s="50" t="str">
        <f t="shared" si="81"/>
        <v xml:space="preserve">By. Biaya </v>
      </c>
      <c r="B652" s="215">
        <v>46111</v>
      </c>
      <c r="C652" s="211" t="s">
        <v>305</v>
      </c>
      <c r="D652" s="218" t="s">
        <v>333</v>
      </c>
      <c r="F652" s="52" t="str">
        <f>IF(G652="","",INDEX(COA!$A$4:$A$123,MATCH(JU!$G652,COA!$B$4:$B$123,0)))</f>
        <v>6303</v>
      </c>
      <c r="G652" t="s">
        <v>87</v>
      </c>
      <c r="H652" s="216">
        <v>2500</v>
      </c>
      <c r="I652" s="52">
        <f>IF(J652="","",INDEX(COA!$A$4:$A$123,MATCH(JU!$J652,COA!$B$4:$B$123,0)))</f>
        <v>1103</v>
      </c>
      <c r="J652" t="s">
        <v>154</v>
      </c>
      <c r="K652" s="34">
        <f t="shared" si="80"/>
        <v>2500</v>
      </c>
    </row>
    <row r="653" spans="1:11" hidden="1">
      <c r="A653" s="50" t="str">
        <f t="shared" si="81"/>
        <v xml:space="preserve">By. Biaya </v>
      </c>
      <c r="B653" s="215">
        <v>46111</v>
      </c>
      <c r="C653" s="211" t="s">
        <v>1156</v>
      </c>
      <c r="D653" s="218" t="s">
        <v>1433</v>
      </c>
      <c r="F653" s="52">
        <f>IF(G653="","",INDEX(COA!$A$4:$A$123,MATCH(JU!$G653,COA!$B$4:$B$123,0)))</f>
        <v>1108</v>
      </c>
      <c r="G653" t="s">
        <v>155</v>
      </c>
      <c r="H653" s="216">
        <v>250000000</v>
      </c>
      <c r="I653" s="52">
        <f>IF(J653="","",INDEX(COA!$A$4:$A$123,MATCH(JU!$J653,COA!$B$4:$B$123,0)))</f>
        <v>1103</v>
      </c>
      <c r="J653" t="s">
        <v>154</v>
      </c>
      <c r="K653" s="34">
        <f t="shared" si="80"/>
        <v>250000000</v>
      </c>
    </row>
    <row r="654" spans="1:11" hidden="1">
      <c r="A654" s="50" t="str">
        <f t="shared" si="81"/>
        <v xml:space="preserve">By. Biaya </v>
      </c>
      <c r="B654" s="215">
        <v>46111</v>
      </c>
      <c r="C654" s="211" t="s">
        <v>305</v>
      </c>
      <c r="D654" s="218" t="s">
        <v>333</v>
      </c>
      <c r="F654" s="52" t="str">
        <f>IF(G654="","",INDEX(COA!$A$4:$A$123,MATCH(JU!$G654,COA!$B$4:$B$123,0)))</f>
        <v>6303</v>
      </c>
      <c r="G654" t="s">
        <v>87</v>
      </c>
      <c r="H654" s="216">
        <v>2500</v>
      </c>
      <c r="I654" s="52">
        <f>IF(J654="","",INDEX(COA!$A$4:$A$123,MATCH(JU!$J654,COA!$B$4:$B$123,0)))</f>
        <v>1103</v>
      </c>
      <c r="J654" t="s">
        <v>154</v>
      </c>
      <c r="K654" s="34">
        <f t="shared" si="80"/>
        <v>2500</v>
      </c>
    </row>
    <row r="655" spans="1:11" hidden="1">
      <c r="A655" s="50" t="str">
        <f t="shared" si="81"/>
        <v xml:space="preserve">By. Biaya </v>
      </c>
      <c r="B655" s="215">
        <v>46111</v>
      </c>
      <c r="C655" s="211" t="s">
        <v>1304</v>
      </c>
      <c r="D655" s="218" t="s">
        <v>407</v>
      </c>
      <c r="F655" s="52">
        <f>IF(G655="","",INDEX(COA!$A$4:$A$123,MATCH(JU!$G655,COA!$B$4:$B$123,0)))</f>
        <v>1108</v>
      </c>
      <c r="G655" t="s">
        <v>155</v>
      </c>
      <c r="H655" s="216">
        <v>200000000</v>
      </c>
      <c r="I655" s="52">
        <f>IF(J655="","",INDEX(COA!$A$4:$A$123,MATCH(JU!$J655,COA!$B$4:$B$123,0)))</f>
        <v>1103</v>
      </c>
      <c r="J655" t="s">
        <v>154</v>
      </c>
      <c r="K655" s="34">
        <f t="shared" si="80"/>
        <v>200000000</v>
      </c>
    </row>
    <row r="656" spans="1:11" hidden="1">
      <c r="A656" s="50" t="str">
        <f t="shared" si="81"/>
        <v xml:space="preserve">By. Biaya </v>
      </c>
      <c r="B656" s="215">
        <v>46111</v>
      </c>
      <c r="C656" s="211" t="s">
        <v>305</v>
      </c>
      <c r="D656" s="218" t="s">
        <v>333</v>
      </c>
      <c r="F656" s="52" t="str">
        <f>IF(G656="","",INDEX(COA!$A$4:$A$123,MATCH(JU!$G656,COA!$B$4:$B$123,0)))</f>
        <v>6303</v>
      </c>
      <c r="G656" t="s">
        <v>87</v>
      </c>
      <c r="H656" s="216">
        <v>2500</v>
      </c>
      <c r="I656" s="52">
        <f>IF(J656="","",INDEX(COA!$A$4:$A$123,MATCH(JU!$J656,COA!$B$4:$B$123,0)))</f>
        <v>1103</v>
      </c>
      <c r="J656" t="s">
        <v>154</v>
      </c>
      <c r="K656" s="34">
        <f t="shared" si="80"/>
        <v>2500</v>
      </c>
    </row>
    <row r="657" spans="1:11" hidden="1">
      <c r="A657" s="50" t="str">
        <f t="shared" si="81"/>
        <v xml:space="preserve">By. Biaya </v>
      </c>
      <c r="B657" s="215">
        <v>46112</v>
      </c>
      <c r="C657" s="211" t="s">
        <v>1305</v>
      </c>
      <c r="D657" s="218" t="s">
        <v>1434</v>
      </c>
      <c r="F657" s="52">
        <f>IF(G657="","",INDEX(COA!$A$4:$A$123,MATCH(JU!$G657,COA!$B$4:$B$123,0)))</f>
        <v>4102</v>
      </c>
      <c r="G657" t="s">
        <v>62</v>
      </c>
      <c r="H657" s="216">
        <v>8000000</v>
      </c>
      <c r="I657" s="52">
        <f>IF(J657="","",INDEX(COA!$A$4:$A$123,MATCH(JU!$J657,COA!$B$4:$B$123,0)))</f>
        <v>1103</v>
      </c>
      <c r="J657" t="s">
        <v>154</v>
      </c>
      <c r="K657" s="34">
        <f t="shared" si="80"/>
        <v>8000000</v>
      </c>
    </row>
    <row r="658" spans="1:11" hidden="1">
      <c r="A658" s="50" t="str">
        <f t="shared" si="81"/>
        <v xml:space="preserve">By. Biaya </v>
      </c>
      <c r="B658" s="215">
        <v>46112</v>
      </c>
      <c r="C658" s="211" t="s">
        <v>1306</v>
      </c>
      <c r="D658" s="218" t="s">
        <v>1435</v>
      </c>
      <c r="F658" s="52">
        <f>IF(G658="","",INDEX(COA!$A$4:$A$123,MATCH(JU!$G658,COA!$B$4:$B$123,0)))</f>
        <v>5110</v>
      </c>
      <c r="G658" t="s">
        <v>74</v>
      </c>
      <c r="H658" s="216">
        <v>3740000</v>
      </c>
      <c r="I658" s="52">
        <f>IF(J658="","",INDEX(COA!$A$4:$A$123,MATCH(JU!$J658,COA!$B$4:$B$123,0)))</f>
        <v>1103</v>
      </c>
      <c r="J658" t="s">
        <v>154</v>
      </c>
      <c r="K658" s="34">
        <f t="shared" si="80"/>
        <v>3740000</v>
      </c>
    </row>
    <row r="659" spans="1:11" hidden="1">
      <c r="A659" s="50" t="str">
        <f t="shared" si="81"/>
        <v xml:space="preserve">By. Biaya </v>
      </c>
      <c r="B659" s="215">
        <v>46112</v>
      </c>
      <c r="C659" s="211" t="s">
        <v>1307</v>
      </c>
      <c r="D659" s="218" t="s">
        <v>408</v>
      </c>
      <c r="F659" s="52">
        <f>IF(G659="","",INDEX(COA!$A$4:$A$123,MATCH(JU!$G659,COA!$B$4:$B$123,0)))</f>
        <v>6112</v>
      </c>
      <c r="G659" t="s">
        <v>205</v>
      </c>
      <c r="H659" s="216">
        <v>149700</v>
      </c>
      <c r="I659" s="52">
        <f>IF(J659="","",INDEX(COA!$A$4:$A$123,MATCH(JU!$J659,COA!$B$4:$B$123,0)))</f>
        <v>1103</v>
      </c>
      <c r="J659" t="s">
        <v>154</v>
      </c>
      <c r="K659" s="34">
        <f t="shared" si="80"/>
        <v>149700</v>
      </c>
    </row>
    <row r="660" spans="1:11" hidden="1">
      <c r="A660" s="50" t="str">
        <f t="shared" si="81"/>
        <v xml:space="preserve">By. Biaya </v>
      </c>
      <c r="B660" s="215">
        <v>46112</v>
      </c>
      <c r="C660" s="211" t="s">
        <v>1308</v>
      </c>
      <c r="D660" s="218" t="s">
        <v>409</v>
      </c>
      <c r="F660" s="52">
        <f>IF(G660="","",INDEX(COA!$A$4:$A$123,MATCH(JU!$G660,COA!$B$4:$B$123,0)))</f>
        <v>6112</v>
      </c>
      <c r="G660" t="s">
        <v>205</v>
      </c>
      <c r="H660" s="216">
        <v>96000</v>
      </c>
      <c r="I660" s="52">
        <f>IF(J660="","",INDEX(COA!$A$4:$A$123,MATCH(JU!$J660,COA!$B$4:$B$123,0)))</f>
        <v>1103</v>
      </c>
      <c r="J660" t="s">
        <v>154</v>
      </c>
      <c r="K660" s="34">
        <f t="shared" si="80"/>
        <v>96000</v>
      </c>
    </row>
    <row r="661" spans="1:11" hidden="1">
      <c r="A661" s="50" t="str">
        <f t="shared" si="81"/>
        <v xml:space="preserve">Terima Uang Masuk atas </v>
      </c>
      <c r="B661" s="215">
        <v>46112</v>
      </c>
      <c r="C661" s="211" t="s">
        <v>1309</v>
      </c>
      <c r="D661" s="218" t="s">
        <v>1436</v>
      </c>
      <c r="F661" s="52">
        <f>IF(G661="","",INDEX(COA!$A$4:$A$123,MATCH(JU!$G661,COA!$B$4:$B$123,0)))</f>
        <v>1103</v>
      </c>
      <c r="G661" t="s">
        <v>154</v>
      </c>
      <c r="H661" s="216">
        <v>15000000</v>
      </c>
      <c r="I661" s="52">
        <f>IF(J661="","",INDEX(COA!$A$4:$A$123,MATCH(JU!$J661,COA!$B$4:$B$123,0)))</f>
        <v>4102</v>
      </c>
      <c r="J661" t="s">
        <v>62</v>
      </c>
      <c r="K661" s="34">
        <f t="shared" si="80"/>
        <v>15000000</v>
      </c>
    </row>
    <row r="662" spans="1:11" hidden="1">
      <c r="A662" s="50" t="str">
        <f t="shared" ref="A662" si="82">IF(G662="BRI 568","Terima Uang Masuk atas ","By. Biaya ")</f>
        <v xml:space="preserve">By. Biaya </v>
      </c>
      <c r="B662" s="215">
        <v>46112</v>
      </c>
      <c r="C662" s="211" t="s">
        <v>1309</v>
      </c>
      <c r="D662" s="218" t="s">
        <v>1452</v>
      </c>
      <c r="F662" s="52">
        <f>IF(G662="","",INDEX(COA!$A$4:$A$123,MATCH(JU!$G662,COA!$B$4:$B$123,0)))</f>
        <v>1202</v>
      </c>
      <c r="G662" t="s">
        <v>27</v>
      </c>
      <c r="H662" s="216">
        <v>169000000</v>
      </c>
      <c r="I662" s="52">
        <f>IF(J662="","",INDEX(COA!$A$4:$A$123,MATCH(JU!$J662,COA!$B$4:$B$123,0)))</f>
        <v>4102</v>
      </c>
      <c r="J662" t="s">
        <v>62</v>
      </c>
      <c r="K662" s="34">
        <f t="shared" ref="K662" si="83">IF(H662="","",H662)</f>
        <v>169000000</v>
      </c>
    </row>
    <row r="663" spans="1:11" hidden="1">
      <c r="A663" s="50" t="str">
        <f t="shared" si="81"/>
        <v xml:space="preserve">By. Biaya </v>
      </c>
      <c r="B663" s="215">
        <v>46112</v>
      </c>
      <c r="C663" s="211" t="s">
        <v>1310</v>
      </c>
      <c r="D663" s="218" t="s">
        <v>410</v>
      </c>
      <c r="F663" s="52">
        <f>IF(G663="","",INDEX(COA!$A$4:$A$123,MATCH(JU!$G663,COA!$B$4:$B$123,0)))</f>
        <v>6112</v>
      </c>
      <c r="G663" t="s">
        <v>205</v>
      </c>
      <c r="H663" s="216">
        <v>139040</v>
      </c>
      <c r="I663" s="52">
        <f>IF(J663="","",INDEX(COA!$A$4:$A$123,MATCH(JU!$J663,COA!$B$4:$B$123,0)))</f>
        <v>1103</v>
      </c>
      <c r="J663" t="s">
        <v>154</v>
      </c>
      <c r="K663" s="34">
        <f t="shared" si="80"/>
        <v>139040</v>
      </c>
    </row>
    <row r="664" spans="1:11" hidden="1">
      <c r="A664" s="50" t="str">
        <f t="shared" si="81"/>
        <v xml:space="preserve">By. Biaya </v>
      </c>
      <c r="B664" s="215">
        <v>46112</v>
      </c>
      <c r="C664" s="211" t="s">
        <v>1311</v>
      </c>
      <c r="D664" s="218" t="s">
        <v>411</v>
      </c>
      <c r="F664" s="52" t="str">
        <f>IF(G664="","",INDEX(COA!$A$4:$A$123,MATCH(JU!$G664,COA!$B$4:$B$123,0)))</f>
        <v>6201</v>
      </c>
      <c r="G664" t="s">
        <v>81</v>
      </c>
      <c r="H664" s="216">
        <v>150000</v>
      </c>
      <c r="I664" s="52">
        <f>IF(J664="","",INDEX(COA!$A$4:$A$123,MATCH(JU!$J664,COA!$B$4:$B$123,0)))</f>
        <v>1103</v>
      </c>
      <c r="J664" t="s">
        <v>154</v>
      </c>
      <c r="K664" s="34">
        <f t="shared" si="80"/>
        <v>150000</v>
      </c>
    </row>
    <row r="665" spans="1:11" hidden="1">
      <c r="A665" s="50" t="str">
        <f t="shared" si="81"/>
        <v xml:space="preserve">By. Biaya </v>
      </c>
      <c r="B665" s="215">
        <v>46112</v>
      </c>
      <c r="C665" s="211" t="s">
        <v>1312</v>
      </c>
      <c r="D665" s="218" t="s">
        <v>1437</v>
      </c>
      <c r="F665" s="52">
        <f>IF(G665="","",INDEX(COA!$A$4:$A$123,MATCH(JU!$G665,COA!$B$4:$B$123,0)))</f>
        <v>1302</v>
      </c>
      <c r="G665" t="s">
        <v>31</v>
      </c>
      <c r="H665" s="216">
        <v>2745000</v>
      </c>
      <c r="I665" s="52">
        <f>IF(J665="","",INDEX(COA!$A$4:$A$123,MATCH(JU!$J665,COA!$B$4:$B$123,0)))</f>
        <v>1103</v>
      </c>
      <c r="J665" t="s">
        <v>154</v>
      </c>
      <c r="K665" s="34">
        <f t="shared" si="80"/>
        <v>2745000</v>
      </c>
    </row>
    <row r="666" spans="1:11" hidden="1">
      <c r="A666" s="50" t="str">
        <f t="shared" ref="A666:A667" si="84">IF(G666="BRI 568","Terima Uang Masuk atas ","By. Biaya ")</f>
        <v xml:space="preserve">By. Biaya </v>
      </c>
      <c r="B666" s="215">
        <v>46112</v>
      </c>
      <c r="C666" s="211" t="s">
        <v>1312</v>
      </c>
      <c r="D666" s="218" t="s">
        <v>1453</v>
      </c>
      <c r="F666" s="52">
        <f>IF(G666="","",INDEX(COA!$A$4:$A$123,MATCH(JU!$G666,COA!$B$4:$B$123,0)))</f>
        <v>5108</v>
      </c>
      <c r="G666" t="s">
        <v>72</v>
      </c>
      <c r="H666" s="216">
        <v>500000</v>
      </c>
      <c r="I666" s="52">
        <f>IF(J666="","",INDEX(COA!$A$4:$A$123,MATCH(JU!$J666,COA!$B$4:$B$123,0)))</f>
        <v>1103</v>
      </c>
      <c r="J666" t="s">
        <v>154</v>
      </c>
      <c r="K666" s="34">
        <f t="shared" ref="K666:K667" si="85">IF(H666="","",H666)</f>
        <v>500000</v>
      </c>
    </row>
    <row r="667" spans="1:11" hidden="1">
      <c r="A667" s="50" t="str">
        <f t="shared" si="84"/>
        <v xml:space="preserve">By. Biaya </v>
      </c>
      <c r="B667" s="215">
        <v>46112</v>
      </c>
      <c r="C667" s="211" t="s">
        <v>1312</v>
      </c>
      <c r="D667" s="218" t="s">
        <v>1454</v>
      </c>
      <c r="F667" s="52">
        <f>IF(G667="","",INDEX(COA!$A$4:$A$123,MATCH(JU!$G667,COA!$B$4:$B$123,0)))</f>
        <v>7101</v>
      </c>
      <c r="G667" t="s">
        <v>93</v>
      </c>
      <c r="H667" s="216">
        <v>1730000</v>
      </c>
      <c r="I667" s="52">
        <f>IF(J667="","",INDEX(COA!$A$4:$A$123,MATCH(JU!$J667,COA!$B$4:$B$123,0)))</f>
        <v>1103</v>
      </c>
      <c r="J667" t="s">
        <v>154</v>
      </c>
      <c r="K667" s="34">
        <f t="shared" si="85"/>
        <v>1730000</v>
      </c>
    </row>
    <row r="668" spans="1:11" hidden="1">
      <c r="A668" s="50" t="str">
        <f t="shared" si="81"/>
        <v xml:space="preserve">By. Biaya </v>
      </c>
      <c r="B668" s="215">
        <v>46112</v>
      </c>
      <c r="C668" s="211" t="s">
        <v>305</v>
      </c>
      <c r="D668" s="218" t="s">
        <v>333</v>
      </c>
      <c r="F668" s="52" t="str">
        <f>IF(G668="","",INDEX(COA!$A$4:$A$123,MATCH(JU!$G668,COA!$B$4:$B$123,0)))</f>
        <v>6303</v>
      </c>
      <c r="G668" t="s">
        <v>87</v>
      </c>
      <c r="H668" s="216">
        <v>2500</v>
      </c>
      <c r="I668" s="52">
        <f>IF(J668="","",INDEX(COA!$A$4:$A$123,MATCH(JU!$J668,COA!$B$4:$B$123,0)))</f>
        <v>1103</v>
      </c>
      <c r="J668" t="s">
        <v>154</v>
      </c>
      <c r="K668" s="34">
        <f t="shared" si="80"/>
        <v>2500</v>
      </c>
    </row>
    <row r="669" spans="1:11" hidden="1">
      <c r="A669" s="50" t="str">
        <f t="shared" si="81"/>
        <v xml:space="preserve">By. Biaya </v>
      </c>
      <c r="B669" s="215">
        <v>46112</v>
      </c>
      <c r="C669" s="211" t="s">
        <v>1313</v>
      </c>
      <c r="D669" s="218" t="s">
        <v>1438</v>
      </c>
      <c r="F669" s="52">
        <f>IF(G669="","",INDEX(COA!$A$4:$A$123,MATCH(JU!$G669,COA!$B$4:$B$123,0)))</f>
        <v>5108</v>
      </c>
      <c r="G669" t="s">
        <v>72</v>
      </c>
      <c r="H669" s="216">
        <v>4000000</v>
      </c>
      <c r="I669" s="52">
        <f>IF(J669="","",INDEX(COA!$A$4:$A$123,MATCH(JU!$J669,COA!$B$4:$B$123,0)))</f>
        <v>1103</v>
      </c>
      <c r="J669" t="s">
        <v>154</v>
      </c>
      <c r="K669" s="34">
        <f t="shared" si="80"/>
        <v>4000000</v>
      </c>
    </row>
    <row r="670" spans="1:11" hidden="1">
      <c r="A670" s="50" t="str">
        <f t="shared" si="81"/>
        <v xml:space="preserve">By. Biaya </v>
      </c>
      <c r="B670" s="215">
        <v>46112</v>
      </c>
      <c r="C670" s="211" t="s">
        <v>1314</v>
      </c>
      <c r="D670" s="218" t="s">
        <v>1439</v>
      </c>
      <c r="F670" s="52">
        <f>IF(G670="","",INDEX(COA!$A$4:$A$123,MATCH(JU!$G670,COA!$B$4:$B$123,0)))</f>
        <v>6112</v>
      </c>
      <c r="G670" t="s">
        <v>205</v>
      </c>
      <c r="H670" s="216">
        <v>300000</v>
      </c>
      <c r="I670" s="52">
        <f>IF(J670="","",INDEX(COA!$A$4:$A$123,MATCH(JU!$J670,COA!$B$4:$B$123,0)))</f>
        <v>1103</v>
      </c>
      <c r="J670" t="s">
        <v>154</v>
      </c>
      <c r="K670" s="34">
        <f t="shared" si="80"/>
        <v>300000</v>
      </c>
    </row>
    <row r="671" spans="1:11" hidden="1">
      <c r="A671" s="50" t="str">
        <f t="shared" si="81"/>
        <v xml:space="preserve">By. Biaya </v>
      </c>
      <c r="B671" s="215">
        <v>46112</v>
      </c>
      <c r="C671" s="211" t="s">
        <v>305</v>
      </c>
      <c r="D671" s="218" t="s">
        <v>333</v>
      </c>
      <c r="F671" s="52" t="str">
        <f>IF(G671="","",INDEX(COA!$A$4:$A$123,MATCH(JU!$G671,COA!$B$4:$B$123,0)))</f>
        <v>6303</v>
      </c>
      <c r="G671" t="s">
        <v>87</v>
      </c>
      <c r="H671" s="216">
        <v>2500</v>
      </c>
      <c r="I671" s="52">
        <f>IF(J671="","",INDEX(COA!$A$4:$A$123,MATCH(JU!$J671,COA!$B$4:$B$123,0)))</f>
        <v>1103</v>
      </c>
      <c r="J671" t="s">
        <v>154</v>
      </c>
      <c r="K671" s="34">
        <f t="shared" si="80"/>
        <v>2500</v>
      </c>
    </row>
    <row r="672" spans="1:11" hidden="1">
      <c r="A672" s="50" t="str">
        <f t="shared" si="81"/>
        <v xml:space="preserve">By. Biaya </v>
      </c>
      <c r="B672" s="215">
        <v>46112</v>
      </c>
      <c r="C672" s="211" t="s">
        <v>1315</v>
      </c>
      <c r="D672" s="218" t="s">
        <v>1440</v>
      </c>
      <c r="F672" s="52">
        <f>IF(G672="","",INDEX(COA!$A$4:$A$123,MATCH(JU!$G672,COA!$B$4:$B$123,0)))</f>
        <v>1301</v>
      </c>
      <c r="G672" t="s">
        <v>30</v>
      </c>
      <c r="H672" s="216">
        <v>50000</v>
      </c>
      <c r="I672" s="52">
        <f>IF(J672="","",INDEX(COA!$A$4:$A$123,MATCH(JU!$J672,COA!$B$4:$B$123,0)))</f>
        <v>1103</v>
      </c>
      <c r="J672" t="s">
        <v>154</v>
      </c>
      <c r="K672" s="34">
        <f t="shared" si="80"/>
        <v>50000</v>
      </c>
    </row>
    <row r="673" spans="1:11" hidden="1">
      <c r="A673" s="50" t="str">
        <f t="shared" si="81"/>
        <v xml:space="preserve">By. Biaya </v>
      </c>
      <c r="B673" s="215">
        <v>46112</v>
      </c>
      <c r="C673" s="211" t="s">
        <v>1316</v>
      </c>
      <c r="D673" s="218" t="s">
        <v>1441</v>
      </c>
      <c r="F673" s="52">
        <f>IF(G673="","",INDEX(COA!$A$4:$A$123,MATCH(JU!$G673,COA!$B$4:$B$123,0)))</f>
        <v>1302</v>
      </c>
      <c r="G673" t="s">
        <v>31</v>
      </c>
      <c r="H673" s="216">
        <v>80000</v>
      </c>
      <c r="I673" s="52">
        <f>IF(J673="","",INDEX(COA!$A$4:$A$123,MATCH(JU!$J673,COA!$B$4:$B$123,0)))</f>
        <v>1103</v>
      </c>
      <c r="J673" t="s">
        <v>154</v>
      </c>
      <c r="K673" s="34">
        <f t="shared" si="80"/>
        <v>80000</v>
      </c>
    </row>
    <row r="674" spans="1:11" hidden="1">
      <c r="A674" s="50" t="str">
        <f t="shared" si="81"/>
        <v xml:space="preserve">Terima Uang Masuk atas </v>
      </c>
      <c r="B674" s="215">
        <v>46112</v>
      </c>
      <c r="C674" s="211" t="s">
        <v>1317</v>
      </c>
      <c r="D674" s="258" t="s">
        <v>2360</v>
      </c>
      <c r="F674" s="52">
        <f>IF(G674="","",INDEX(COA!$A$4:$A$123,MATCH(JU!$G674,COA!$B$4:$B$123,0)))</f>
        <v>1103</v>
      </c>
      <c r="G674" t="s">
        <v>154</v>
      </c>
      <c r="H674" s="216">
        <v>499872500</v>
      </c>
      <c r="I674" s="52" t="str">
        <f>IF(J674="","",INDEX(COA!$A$4:$A$123,MATCH(JU!$J674,COA!$B$4:$B$123,0)))</f>
        <v>2101</v>
      </c>
      <c r="J674" t="s">
        <v>45</v>
      </c>
      <c r="K674" s="34">
        <f t="shared" si="80"/>
        <v>499872500</v>
      </c>
    </row>
    <row r="675" spans="1:11" hidden="1">
      <c r="A675" s="50" t="str">
        <f t="shared" ref="A675:A676" si="86">IF(G675="BRI 568","Terima Uang Masuk atas ","By. Biaya ")</f>
        <v xml:space="preserve">By. Biaya </v>
      </c>
      <c r="B675" s="215">
        <v>46112</v>
      </c>
      <c r="C675" s="211" t="s">
        <v>1317</v>
      </c>
      <c r="D675" s="258" t="s">
        <v>2358</v>
      </c>
      <c r="F675" s="52" t="str">
        <f>IF(G675="","",INDEX(COA!$A$4:$A$123,MATCH(JU!$G675,COA!$B$4:$B$123,0)))</f>
        <v>2107</v>
      </c>
      <c r="G675" t="s">
        <v>50</v>
      </c>
      <c r="H675" s="216">
        <f>20000000*3</f>
        <v>60000000</v>
      </c>
      <c r="I675" s="52" t="str">
        <f>IF(J675="","",INDEX(COA!$A$4:$A$123,MATCH(JU!$J675,COA!$B$4:$B$123,0)))</f>
        <v>2101</v>
      </c>
      <c r="J675" t="s">
        <v>45</v>
      </c>
      <c r="K675" s="34">
        <f t="shared" ref="K675:K676" si="87">IF(H675="","",H675)</f>
        <v>60000000</v>
      </c>
    </row>
    <row r="676" spans="1:11" hidden="1">
      <c r="A676" s="50" t="str">
        <f t="shared" si="86"/>
        <v xml:space="preserve">By. Biaya </v>
      </c>
      <c r="B676" s="215">
        <v>46112</v>
      </c>
      <c r="C676" s="211" t="s">
        <v>1317</v>
      </c>
      <c r="D676" s="258" t="s">
        <v>2359</v>
      </c>
      <c r="F676" s="52" t="str">
        <f>IF(G676="","",INDEX(COA!$A$4:$A$123,MATCH(JU!$G676,COA!$B$4:$B$123,0)))</f>
        <v>2107</v>
      </c>
      <c r="G676" t="s">
        <v>50</v>
      </c>
      <c r="H676" s="216">
        <v>140000000</v>
      </c>
      <c r="I676" s="52" t="str">
        <f>IF(J676="","",INDEX(COA!$A$4:$A$123,MATCH(JU!$J676,COA!$B$4:$B$123,0)))</f>
        <v>2101</v>
      </c>
      <c r="J676" t="s">
        <v>45</v>
      </c>
      <c r="K676" s="34">
        <f t="shared" si="87"/>
        <v>140000000</v>
      </c>
    </row>
    <row r="677" spans="1:11" hidden="1">
      <c r="A677" s="50" t="str">
        <f t="shared" si="81"/>
        <v xml:space="preserve">Terima Uang Masuk atas </v>
      </c>
      <c r="B677" s="215">
        <v>46112</v>
      </c>
      <c r="C677" s="211" t="s">
        <v>428</v>
      </c>
      <c r="D677" s="218" t="s">
        <v>519</v>
      </c>
      <c r="F677" s="52">
        <f>IF(G677="","",INDEX(COA!$A$4:$A$123,MATCH(JU!$G677,COA!$B$4:$B$123,0)))</f>
        <v>1103</v>
      </c>
      <c r="G677" t="s">
        <v>154</v>
      </c>
      <c r="H677" s="216">
        <v>799872500</v>
      </c>
      <c r="I677" s="52" t="str">
        <f>IF(J677="","",INDEX(COA!$A$4:$A$123,MATCH(JU!$J677,COA!$B$4:$B$123,0)))</f>
        <v>2107</v>
      </c>
      <c r="J677" t="s">
        <v>50</v>
      </c>
      <c r="K677" s="34">
        <f t="shared" si="80"/>
        <v>799872500</v>
      </c>
    </row>
    <row r="678" spans="1:11" hidden="1">
      <c r="A678" s="50" t="str">
        <f t="shared" si="81"/>
        <v xml:space="preserve">Terima Uang Masuk atas </v>
      </c>
      <c r="B678" s="215">
        <v>46112</v>
      </c>
      <c r="C678" s="211" t="s">
        <v>428</v>
      </c>
      <c r="D678" s="218" t="s">
        <v>519</v>
      </c>
      <c r="F678" s="52">
        <f>IF(G678="","",INDEX(COA!$A$4:$A$123,MATCH(JU!$G678,COA!$B$4:$B$123,0)))</f>
        <v>1103</v>
      </c>
      <c r="G678" t="s">
        <v>154</v>
      </c>
      <c r="H678" s="216">
        <v>27007000</v>
      </c>
      <c r="I678" s="52" t="str">
        <f>IF(J678="","",INDEX(COA!$A$4:$A$123,MATCH(JU!$J678,COA!$B$4:$B$123,0)))</f>
        <v>2107</v>
      </c>
      <c r="J678" t="s">
        <v>50</v>
      </c>
      <c r="K678" s="34">
        <f t="shared" si="80"/>
        <v>27007000</v>
      </c>
    </row>
    <row r="679" spans="1:11" hidden="1">
      <c r="A679" s="50" t="str">
        <f t="shared" si="81"/>
        <v xml:space="preserve">By. Biaya </v>
      </c>
      <c r="B679" s="215">
        <v>46112</v>
      </c>
      <c r="C679" s="211" t="s">
        <v>428</v>
      </c>
      <c r="D679" s="218" t="s">
        <v>412</v>
      </c>
      <c r="F679" s="52" t="str">
        <f>IF(G679="","",INDEX(COA!$A$4:$A$123,MATCH(JU!$G679,COA!$B$4:$B$123,0)))</f>
        <v>2107</v>
      </c>
      <c r="G679" t="s">
        <v>50</v>
      </c>
      <c r="H679" s="216">
        <v>826879500</v>
      </c>
      <c r="I679" s="52">
        <f>IF(J679="","",INDEX(COA!$A$4:$A$123,MATCH(JU!$J679,COA!$B$4:$B$123,0)))</f>
        <v>1103</v>
      </c>
      <c r="J679" t="s">
        <v>154</v>
      </c>
      <c r="K679" s="34">
        <f t="shared" si="80"/>
        <v>826879500</v>
      </c>
    </row>
    <row r="680" spans="1:11" hidden="1">
      <c r="A680" s="50" t="str">
        <f t="shared" si="81"/>
        <v xml:space="preserve">By. Biaya </v>
      </c>
      <c r="B680" s="215">
        <v>46112</v>
      </c>
      <c r="C680" s="211" t="s">
        <v>1318</v>
      </c>
      <c r="D680" s="218" t="s">
        <v>1442</v>
      </c>
      <c r="F680" s="52">
        <f>IF(G680="","",INDEX(COA!$A$4:$A$123,MATCH(JU!$G680,COA!$B$4:$B$123,0)))</f>
        <v>6112</v>
      </c>
      <c r="G680" t="s">
        <v>205</v>
      </c>
      <c r="H680" s="216">
        <v>500000</v>
      </c>
      <c r="I680" s="52">
        <f>IF(J680="","",INDEX(COA!$A$4:$A$123,MATCH(JU!$J680,COA!$B$4:$B$123,0)))</f>
        <v>1103</v>
      </c>
      <c r="J680" t="s">
        <v>154</v>
      </c>
      <c r="K680" s="34">
        <f t="shared" si="80"/>
        <v>500000</v>
      </c>
    </row>
    <row r="681" spans="1:11" hidden="1">
      <c r="A681" s="50" t="str">
        <f t="shared" si="81"/>
        <v xml:space="preserve">By. Biaya </v>
      </c>
      <c r="B681" s="215">
        <v>46112</v>
      </c>
      <c r="C681" s="211" t="s">
        <v>1319</v>
      </c>
      <c r="D681" s="218" t="s">
        <v>1443</v>
      </c>
      <c r="F681" s="52">
        <f>IF(G681="","",INDEX(COA!$A$4:$A$123,MATCH(JU!$G681,COA!$B$4:$B$123,0)))</f>
        <v>1203</v>
      </c>
      <c r="G681" t="s">
        <v>140</v>
      </c>
      <c r="H681" s="216">
        <v>100000</v>
      </c>
      <c r="I681" s="52">
        <f>IF(J681="","",INDEX(COA!$A$4:$A$123,MATCH(JU!$J681,COA!$B$4:$B$123,0)))</f>
        <v>1103</v>
      </c>
      <c r="J681" t="s">
        <v>154</v>
      </c>
      <c r="K681" s="34">
        <f t="shared" si="80"/>
        <v>100000</v>
      </c>
    </row>
    <row r="682" spans="1:11" hidden="1">
      <c r="A682" s="50" t="str">
        <f t="shared" si="81"/>
        <v xml:space="preserve">Terima Uang Masuk atas </v>
      </c>
      <c r="B682" s="215">
        <v>46112</v>
      </c>
      <c r="C682" s="211" t="s">
        <v>1320</v>
      </c>
      <c r="D682" s="218" t="s">
        <v>1444</v>
      </c>
      <c r="F682" s="52">
        <f>IF(G682="","",INDEX(COA!$A$4:$A$123,MATCH(JU!$G682,COA!$B$4:$B$123,0)))</f>
        <v>1103</v>
      </c>
      <c r="G682" t="s">
        <v>154</v>
      </c>
      <c r="H682" s="216">
        <v>5000000</v>
      </c>
      <c r="I682" s="52">
        <f>IF(J682="","",INDEX(COA!$A$4:$A$123,MATCH(JU!$J682,COA!$B$4:$B$123,0)))</f>
        <v>4102</v>
      </c>
      <c r="J682" t="s">
        <v>62</v>
      </c>
      <c r="K682" s="34">
        <f t="shared" si="80"/>
        <v>5000000</v>
      </c>
    </row>
    <row r="683" spans="1:11" hidden="1">
      <c r="A683" s="50" t="str">
        <f t="shared" si="81"/>
        <v xml:space="preserve">By. Biaya </v>
      </c>
      <c r="B683" s="215">
        <v>46112</v>
      </c>
      <c r="C683" s="211" t="s">
        <v>1321</v>
      </c>
      <c r="D683" s="218" t="s">
        <v>413</v>
      </c>
      <c r="F683" s="52">
        <f>IF(G683="","",INDEX(COA!$A$4:$A$123,MATCH(JU!$G683,COA!$B$4:$B$123,0)))</f>
        <v>1108</v>
      </c>
      <c r="G683" t="s">
        <v>155</v>
      </c>
      <c r="H683" s="216">
        <v>250000000</v>
      </c>
      <c r="I683" s="52">
        <f>IF(J683="","",INDEX(COA!$A$4:$A$123,MATCH(JU!$J683,COA!$B$4:$B$123,0)))</f>
        <v>1103</v>
      </c>
      <c r="J683" t="s">
        <v>154</v>
      </c>
      <c r="K683" s="34">
        <f t="shared" si="80"/>
        <v>250000000</v>
      </c>
    </row>
    <row r="684" spans="1:11" hidden="1">
      <c r="A684" s="50" t="str">
        <f t="shared" si="81"/>
        <v xml:space="preserve">By. Biaya </v>
      </c>
      <c r="B684" s="215">
        <v>46112</v>
      </c>
      <c r="C684" s="211" t="s">
        <v>305</v>
      </c>
      <c r="D684" s="218" t="s">
        <v>333</v>
      </c>
      <c r="F684" s="52" t="str">
        <f>IF(G684="","",INDEX(COA!$A$4:$A$123,MATCH(JU!$G684,COA!$B$4:$B$123,0)))</f>
        <v>6303</v>
      </c>
      <c r="G684" t="s">
        <v>87</v>
      </c>
      <c r="H684" s="216">
        <v>2500</v>
      </c>
      <c r="I684" s="52">
        <f>IF(J684="","",INDEX(COA!$A$4:$A$123,MATCH(JU!$J684,COA!$B$4:$B$123,0)))</f>
        <v>1103</v>
      </c>
      <c r="J684" t="s">
        <v>154</v>
      </c>
      <c r="K684" s="34">
        <f t="shared" si="80"/>
        <v>2500</v>
      </c>
    </row>
    <row r="685" spans="1:11" hidden="1">
      <c r="A685" s="50" t="str">
        <f t="shared" si="81"/>
        <v xml:space="preserve">By. Biaya </v>
      </c>
      <c r="B685" s="215">
        <v>46112</v>
      </c>
      <c r="C685" s="211" t="s">
        <v>1322</v>
      </c>
      <c r="D685" s="218" t="s">
        <v>414</v>
      </c>
      <c r="F685" s="52">
        <f>IF(G685="","",INDEX(COA!$A$4:$A$123,MATCH(JU!$G685,COA!$B$4:$B$123,0)))</f>
        <v>1108</v>
      </c>
      <c r="G685" t="s">
        <v>155</v>
      </c>
      <c r="H685" s="216">
        <v>100000000</v>
      </c>
      <c r="I685" s="52">
        <f>IF(J685="","",INDEX(COA!$A$4:$A$123,MATCH(JU!$J685,COA!$B$4:$B$123,0)))</f>
        <v>1103</v>
      </c>
      <c r="J685" t="s">
        <v>154</v>
      </c>
      <c r="K685" s="34">
        <f t="shared" si="80"/>
        <v>100000000</v>
      </c>
    </row>
    <row r="686" spans="1:11" hidden="1">
      <c r="A686" s="50" t="str">
        <f t="shared" si="81"/>
        <v xml:space="preserve">By. Biaya </v>
      </c>
      <c r="B686" s="215">
        <v>46112</v>
      </c>
      <c r="C686" s="211" t="s">
        <v>305</v>
      </c>
      <c r="D686" s="218" t="s">
        <v>333</v>
      </c>
      <c r="F686" s="52" t="str">
        <f>IF(G686="","",INDEX(COA!$A$4:$A$123,MATCH(JU!$G686,COA!$B$4:$B$123,0)))</f>
        <v>6303</v>
      </c>
      <c r="G686" t="s">
        <v>87</v>
      </c>
      <c r="H686" s="216">
        <v>2500</v>
      </c>
      <c r="I686" s="52">
        <f>IF(J686="","",INDEX(COA!$A$4:$A$123,MATCH(JU!$J686,COA!$B$4:$B$123,0)))</f>
        <v>1103</v>
      </c>
      <c r="J686" t="s">
        <v>154</v>
      </c>
      <c r="K686" s="34">
        <f t="shared" si="80"/>
        <v>2500</v>
      </c>
    </row>
    <row r="687" spans="1:11" hidden="1">
      <c r="A687" s="50" t="str">
        <f t="shared" si="81"/>
        <v xml:space="preserve">By. Biaya </v>
      </c>
      <c r="B687" s="215">
        <v>46112</v>
      </c>
      <c r="C687" s="211" t="s">
        <v>1323</v>
      </c>
      <c r="D687" s="218" t="s">
        <v>1445</v>
      </c>
      <c r="F687" s="52">
        <f>IF(G687="","",INDEX(COA!$A$4:$A$123,MATCH(JU!$G687,COA!$B$4:$B$123,0)))</f>
        <v>1203</v>
      </c>
      <c r="G687" t="s">
        <v>140</v>
      </c>
      <c r="H687" s="216">
        <v>1000000</v>
      </c>
      <c r="I687" s="52">
        <f>IF(J687="","",INDEX(COA!$A$4:$A$123,MATCH(JU!$J687,COA!$B$4:$B$123,0)))</f>
        <v>1103</v>
      </c>
      <c r="J687" t="s">
        <v>154</v>
      </c>
      <c r="K687" s="34">
        <f t="shared" si="80"/>
        <v>1000000</v>
      </c>
    </row>
    <row r="688" spans="1:11" hidden="1">
      <c r="A688" s="50" t="str">
        <f t="shared" si="81"/>
        <v xml:space="preserve">By. Biaya </v>
      </c>
      <c r="B688" s="215">
        <v>46112</v>
      </c>
      <c r="C688" s="211" t="s">
        <v>305</v>
      </c>
      <c r="D688" s="218" t="s">
        <v>333</v>
      </c>
      <c r="F688" s="52" t="str">
        <f>IF(G688="","",INDEX(COA!$A$4:$A$123,MATCH(JU!$G688,COA!$B$4:$B$123,0)))</f>
        <v>6303</v>
      </c>
      <c r="G688" t="s">
        <v>87</v>
      </c>
      <c r="H688" s="216">
        <v>2500</v>
      </c>
      <c r="I688" s="52">
        <f>IF(J688="","",INDEX(COA!$A$4:$A$123,MATCH(JU!$J688,COA!$B$4:$B$123,0)))</f>
        <v>1103</v>
      </c>
      <c r="J688" t="s">
        <v>154</v>
      </c>
      <c r="K688" s="34">
        <f t="shared" si="80"/>
        <v>2500</v>
      </c>
    </row>
    <row r="689" spans="1:11" hidden="1">
      <c r="A689" s="50" t="str">
        <f t="shared" si="81"/>
        <v xml:space="preserve">By. Biaya </v>
      </c>
      <c r="B689" s="215">
        <v>46112</v>
      </c>
      <c r="C689" s="211" t="s">
        <v>1324</v>
      </c>
      <c r="D689" s="218" t="s">
        <v>415</v>
      </c>
      <c r="F689" s="52">
        <f>IF(G689="","",INDEX(COA!$A$4:$A$123,MATCH(JU!$G689,COA!$B$4:$B$123,0)))</f>
        <v>1108</v>
      </c>
      <c r="G689" t="s">
        <v>155</v>
      </c>
      <c r="H689" s="216">
        <v>150000000</v>
      </c>
      <c r="I689" s="52">
        <f>IF(J689="","",INDEX(COA!$A$4:$A$123,MATCH(JU!$J689,COA!$B$4:$B$123,0)))</f>
        <v>1103</v>
      </c>
      <c r="J689" t="s">
        <v>154</v>
      </c>
      <c r="K689" s="34">
        <f t="shared" si="80"/>
        <v>150000000</v>
      </c>
    </row>
    <row r="690" spans="1:11" hidden="1">
      <c r="A690" s="50" t="str">
        <f t="shared" si="81"/>
        <v xml:space="preserve">By. Biaya </v>
      </c>
      <c r="B690" s="215">
        <v>46112</v>
      </c>
      <c r="C690" s="211" t="s">
        <v>305</v>
      </c>
      <c r="D690" s="218" t="s">
        <v>333</v>
      </c>
      <c r="F690" s="52" t="str">
        <f>IF(G690="","",INDEX(COA!$A$4:$A$123,MATCH(JU!$G690,COA!$B$4:$B$123,0)))</f>
        <v>6303</v>
      </c>
      <c r="G690" t="s">
        <v>87</v>
      </c>
      <c r="H690" s="216">
        <v>2500</v>
      </c>
      <c r="I690" s="52">
        <f>IF(J690="","",INDEX(COA!$A$4:$A$123,MATCH(JU!$J690,COA!$B$4:$B$123,0)))</f>
        <v>1103</v>
      </c>
      <c r="J690" t="s">
        <v>154</v>
      </c>
      <c r="K690" s="34">
        <f t="shared" si="80"/>
        <v>2500</v>
      </c>
    </row>
    <row r="691" spans="1:11" hidden="1">
      <c r="A691" s="50" t="str">
        <f t="shared" si="81"/>
        <v xml:space="preserve">By. Biaya </v>
      </c>
      <c r="B691" s="215">
        <v>46112</v>
      </c>
      <c r="C691" s="211" t="s">
        <v>1325</v>
      </c>
      <c r="D691" s="218" t="s">
        <v>2331</v>
      </c>
      <c r="F691" s="52">
        <f>IF(G691="","",INDEX(COA!$A$4:$A$123,MATCH(JU!$G691,COA!$B$4:$B$123,0)))</f>
        <v>1203</v>
      </c>
      <c r="G691" t="s">
        <v>140</v>
      </c>
      <c r="H691" s="216">
        <v>25000000</v>
      </c>
      <c r="I691" s="52">
        <f>IF(J691="","",INDEX(COA!$A$4:$A$123,MATCH(JU!$J691,COA!$B$4:$B$123,0)))</f>
        <v>1103</v>
      </c>
      <c r="J691" t="s">
        <v>154</v>
      </c>
      <c r="K691" s="34">
        <f t="shared" si="80"/>
        <v>25000000</v>
      </c>
    </row>
    <row r="692" spans="1:11" hidden="1">
      <c r="A692" s="50" t="str">
        <f t="shared" si="81"/>
        <v xml:space="preserve">By. Biaya </v>
      </c>
      <c r="B692" s="215">
        <v>46112</v>
      </c>
      <c r="C692" s="211" t="s">
        <v>305</v>
      </c>
      <c r="D692" s="218" t="s">
        <v>333</v>
      </c>
      <c r="F692" s="52" t="str">
        <f>IF(G692="","",INDEX(COA!$A$4:$A$123,MATCH(JU!$G692,COA!$B$4:$B$123,0)))</f>
        <v>6303</v>
      </c>
      <c r="G692" t="s">
        <v>87</v>
      </c>
      <c r="H692" s="216">
        <v>2500</v>
      </c>
      <c r="I692" s="52">
        <f>IF(J692="","",INDEX(COA!$A$4:$A$123,MATCH(JU!$J692,COA!$B$4:$B$123,0)))</f>
        <v>1103</v>
      </c>
      <c r="J692" t="s">
        <v>154</v>
      </c>
      <c r="K692" s="34">
        <f t="shared" si="80"/>
        <v>2500</v>
      </c>
    </row>
    <row r="693" spans="1:11" s="229" customFormat="1" hidden="1">
      <c r="A693" s="228" t="str">
        <f t="shared" ref="A693" si="88">IF(G693="BRI 568","Terima Uang Masuk atas ","By. Biaya ")</f>
        <v xml:space="preserve">By. Biaya </v>
      </c>
      <c r="B693" s="255">
        <v>46112</v>
      </c>
      <c r="C693" s="211" t="s">
        <v>1326</v>
      </c>
      <c r="D693" s="218" t="s">
        <v>1446</v>
      </c>
      <c r="E693" s="223"/>
      <c r="F693" s="230">
        <f>IF(G693="","",INDEX(COA!$A$4:$A$123,MATCH(JU!$G693,COA!$B$4:$B$123,0)))</f>
        <v>1203</v>
      </c>
      <c r="G693" s="229" t="s">
        <v>140</v>
      </c>
      <c r="H693" s="231">
        <v>1000000</v>
      </c>
      <c r="I693" s="230">
        <f>IF(J693="","",INDEX(COA!$A$4:$A$123,MATCH(JU!$J693,COA!$B$4:$B$123,0)))</f>
        <v>1103</v>
      </c>
      <c r="J693" s="229" t="s">
        <v>154</v>
      </c>
      <c r="K693" s="232">
        <f t="shared" ref="K693" si="89">IF(H693="","",H693)</f>
        <v>1000000</v>
      </c>
    </row>
    <row r="694" spans="1:11" hidden="1">
      <c r="A694" s="50" t="str">
        <f t="shared" ref="A694:A768" si="90">IF(G694="BRI 568","Terima Uang Masuk atas ","By. Biaya ")</f>
        <v xml:space="preserve">By. Biaya </v>
      </c>
      <c r="B694" s="215">
        <v>46112</v>
      </c>
      <c r="D694" s="218" t="s">
        <v>1455</v>
      </c>
      <c r="F694" s="52">
        <f>IF(G694="","",INDEX(COA!$A$4:$A$123,MATCH(JU!$G694,COA!$B$4:$B$123,0)))</f>
        <v>5102</v>
      </c>
      <c r="G694" t="s">
        <v>201</v>
      </c>
      <c r="H694" s="216">
        <f>3*65000000</f>
        <v>195000000</v>
      </c>
      <c r="I694" s="52">
        <f>IF(J694="","",INDEX(COA!$A$4:$A$123,MATCH(JU!$J694,COA!$B$4:$B$123,0)))</f>
        <v>1302</v>
      </c>
      <c r="J694" t="s">
        <v>31</v>
      </c>
      <c r="K694" s="34">
        <f t="shared" ref="K694" si="91">IF(H694="","",H694)</f>
        <v>195000000</v>
      </c>
    </row>
    <row r="695" spans="1:11" hidden="1">
      <c r="A695" s="50"/>
      <c r="F695" s="52" t="str">
        <f>IF(G695="","",INDEX(COA!$A$4:$A$123,MATCH(JU!$G695,COA!$B$4:$B$123,0)))</f>
        <v/>
      </c>
      <c r="I695" s="52" t="str">
        <f>IF(J695="","",INDEX(COA!$A$4:$A$123,MATCH(JU!$J695,COA!$B$4:$B$123,0)))</f>
        <v/>
      </c>
      <c r="K695" s="34" t="str">
        <f t="shared" si="80"/>
        <v/>
      </c>
    </row>
    <row r="696" spans="1:11" hidden="1">
      <c r="A696" s="50" t="str">
        <f t="shared" si="90"/>
        <v xml:space="preserve">By. Biaya </v>
      </c>
      <c r="B696" s="215">
        <v>46113</v>
      </c>
      <c r="C696" s="212" t="s">
        <v>1456</v>
      </c>
      <c r="D696" s="51" t="s">
        <v>1628</v>
      </c>
      <c r="F696" s="52">
        <f>IF(G696="","",INDEX(COA!$A$4:$A$123,MATCH(JU!$G696,COA!$B$4:$B$123,0)))</f>
        <v>1302</v>
      </c>
      <c r="G696" t="s">
        <v>31</v>
      </c>
      <c r="H696" s="216">
        <v>450000</v>
      </c>
      <c r="I696" s="52">
        <f>IF(J696="","",INDEX(COA!$A$4:$A$123,MATCH(JU!$J696,COA!$B$4:$B$123,0)))</f>
        <v>1103</v>
      </c>
      <c r="J696" t="s">
        <v>154</v>
      </c>
      <c r="K696" s="34">
        <f t="shared" si="80"/>
        <v>450000</v>
      </c>
    </row>
    <row r="697" spans="1:11" hidden="1">
      <c r="A697" s="50" t="str">
        <f t="shared" si="90"/>
        <v xml:space="preserve">By. Biaya </v>
      </c>
      <c r="B697" s="215">
        <v>46114</v>
      </c>
      <c r="C697" s="212" t="s">
        <v>1457</v>
      </c>
      <c r="D697" s="51" t="s">
        <v>2037</v>
      </c>
      <c r="F697" s="52">
        <f>IF(G697="","",INDEX(COA!$A$4:$A$123,MATCH(JU!$G697,COA!$B$4:$B$123,0)))</f>
        <v>1302</v>
      </c>
      <c r="G697" t="s">
        <v>31</v>
      </c>
      <c r="H697" s="216">
        <f>1545000*3</f>
        <v>4635000</v>
      </c>
      <c r="I697" s="52">
        <f>IF(J697="","",INDEX(COA!$A$4:$A$123,MATCH(JU!$J697,COA!$B$4:$B$123,0)))</f>
        <v>1103</v>
      </c>
      <c r="J697" t="s">
        <v>154</v>
      </c>
      <c r="K697" s="34">
        <f t="shared" si="80"/>
        <v>4635000</v>
      </c>
    </row>
    <row r="698" spans="1:11" hidden="1">
      <c r="A698" s="50" t="str">
        <f t="shared" ref="A698" si="92">IF(G698="BRI 568","Terima Uang Masuk atas ","By. Biaya ")</f>
        <v xml:space="preserve">By. Biaya </v>
      </c>
      <c r="B698" s="215">
        <v>46114</v>
      </c>
      <c r="C698" s="212" t="s">
        <v>1457</v>
      </c>
      <c r="D698" s="51" t="s">
        <v>2038</v>
      </c>
      <c r="F698" s="52">
        <f>IF(G698="","",INDEX(COA!$A$4:$A$123,MATCH(JU!$G698,COA!$B$4:$B$123,0)))</f>
        <v>5108</v>
      </c>
      <c r="G698" t="s">
        <v>72</v>
      </c>
      <c r="H698" s="216">
        <f>500000*3</f>
        <v>1500000</v>
      </c>
      <c r="I698" s="52">
        <f>IF(J698="","",INDEX(COA!$A$4:$A$123,MATCH(JU!$J698,COA!$B$4:$B$123,0)))</f>
        <v>1103</v>
      </c>
      <c r="J698" t="s">
        <v>154</v>
      </c>
      <c r="K698" s="34">
        <f t="shared" ref="K698" si="93">IF(H698="","",H698)</f>
        <v>1500000</v>
      </c>
    </row>
    <row r="699" spans="1:11" hidden="1">
      <c r="A699" s="50" t="str">
        <f t="shared" ref="A699" si="94">IF(G699="BRI 568","Terima Uang Masuk atas ","By. Biaya ")</f>
        <v xml:space="preserve">By. Biaya </v>
      </c>
      <c r="B699" s="215">
        <v>46114</v>
      </c>
      <c r="C699" s="212" t="s">
        <v>1457</v>
      </c>
      <c r="D699" s="51" t="s">
        <v>2039</v>
      </c>
      <c r="F699" s="52">
        <f>IF(G699="","",INDEX(COA!$A$4:$A$123,MATCH(JU!$G699,COA!$B$4:$B$123,0)))</f>
        <v>7101</v>
      </c>
      <c r="G699" t="s">
        <v>93</v>
      </c>
      <c r="H699" s="216">
        <f>1730000*3</f>
        <v>5190000</v>
      </c>
      <c r="I699" s="52">
        <f>IF(J699="","",INDEX(COA!$A$4:$A$123,MATCH(JU!$J699,COA!$B$4:$B$123,0)))</f>
        <v>1103</v>
      </c>
      <c r="J699" t="s">
        <v>154</v>
      </c>
      <c r="K699" s="34">
        <f t="shared" ref="K699" si="95">IF(H699="","",H699)</f>
        <v>5190000</v>
      </c>
    </row>
    <row r="700" spans="1:11" hidden="1">
      <c r="A700" s="50" t="str">
        <f t="shared" si="90"/>
        <v xml:space="preserve">By. Biaya </v>
      </c>
      <c r="B700" s="215">
        <v>46114</v>
      </c>
      <c r="C700" s="212" t="s">
        <v>1458</v>
      </c>
      <c r="D700" s="51" t="s">
        <v>1629</v>
      </c>
      <c r="F700" s="52">
        <f>IF(G700="","",INDEX(COA!$A$4:$A$123,MATCH(JU!$G700,COA!$B$4:$B$123,0)))</f>
        <v>6112</v>
      </c>
      <c r="G700" t="s">
        <v>205</v>
      </c>
      <c r="H700" s="216">
        <v>75000</v>
      </c>
      <c r="I700" s="52">
        <f>IF(J700="","",INDEX(COA!$A$4:$A$123,MATCH(JU!$J700,COA!$B$4:$B$123,0)))</f>
        <v>1103</v>
      </c>
      <c r="J700" t="s">
        <v>154</v>
      </c>
      <c r="K700" s="34">
        <f t="shared" si="80"/>
        <v>75000</v>
      </c>
    </row>
    <row r="701" spans="1:11" hidden="1">
      <c r="A701" s="50" t="str">
        <f t="shared" si="90"/>
        <v xml:space="preserve">Terima Uang Masuk atas </v>
      </c>
      <c r="B701" s="215">
        <v>46114</v>
      </c>
      <c r="C701" s="212" t="s">
        <v>418</v>
      </c>
      <c r="D701" s="256" t="s">
        <v>1630</v>
      </c>
      <c r="F701" s="52">
        <f>IF(G701="","",INDEX(COA!$A$4:$A$123,MATCH(JU!$G701,COA!$B$4:$B$123,0)))</f>
        <v>1103</v>
      </c>
      <c r="G701" t="s">
        <v>154</v>
      </c>
      <c r="H701" s="216">
        <v>100000000</v>
      </c>
      <c r="I701" s="52">
        <f>IF(J701="","",INDEX(COA!$A$4:$A$123,MATCH(JU!$J701,COA!$B$4:$B$123,0)))</f>
        <v>1108</v>
      </c>
      <c r="J701" t="s">
        <v>155</v>
      </c>
      <c r="K701" s="34">
        <f t="shared" si="80"/>
        <v>100000000</v>
      </c>
    </row>
    <row r="702" spans="1:11" hidden="1">
      <c r="A702" s="50" t="str">
        <f t="shared" si="90"/>
        <v xml:space="preserve">By. Biaya </v>
      </c>
      <c r="B702" s="215">
        <v>46114</v>
      </c>
      <c r="C702" s="212" t="s">
        <v>645</v>
      </c>
      <c r="D702" s="51" t="s">
        <v>728</v>
      </c>
      <c r="F702" s="52">
        <f>IF(G702="","",INDEX(COA!$A$4:$A$123,MATCH(JU!$G702,COA!$B$4:$B$123,0)))</f>
        <v>1302</v>
      </c>
      <c r="G702" t="s">
        <v>31</v>
      </c>
      <c r="H702" s="216">
        <v>50000000</v>
      </c>
      <c r="I702" s="52">
        <f>IF(J702="","",INDEX(COA!$A$4:$A$123,MATCH(JU!$J702,COA!$B$4:$B$123,0)))</f>
        <v>1103</v>
      </c>
      <c r="J702" t="s">
        <v>154</v>
      </c>
      <c r="K702" s="34">
        <f t="shared" si="80"/>
        <v>50000000</v>
      </c>
    </row>
    <row r="703" spans="1:11" hidden="1">
      <c r="A703" s="50" t="str">
        <f t="shared" si="90"/>
        <v xml:space="preserve">By. Biaya </v>
      </c>
      <c r="B703" s="215">
        <v>46114</v>
      </c>
      <c r="C703" s="212" t="s">
        <v>1459</v>
      </c>
      <c r="D703" s="51" t="s">
        <v>1631</v>
      </c>
      <c r="F703" s="52">
        <f>IF(G703="","",INDEX(COA!$A$4:$A$123,MATCH(JU!$G703,COA!$B$4:$B$123,0)))</f>
        <v>1204</v>
      </c>
      <c r="G703" t="s">
        <v>28</v>
      </c>
      <c r="H703" s="216">
        <v>175000</v>
      </c>
      <c r="I703" s="52">
        <f>IF(J703="","",INDEX(COA!$A$4:$A$123,MATCH(JU!$J703,COA!$B$4:$B$123,0)))</f>
        <v>1103</v>
      </c>
      <c r="J703" t="s">
        <v>154</v>
      </c>
      <c r="K703" s="34">
        <f t="shared" si="80"/>
        <v>175000</v>
      </c>
    </row>
    <row r="704" spans="1:11" hidden="1">
      <c r="A704" s="50" t="str">
        <f t="shared" si="90"/>
        <v xml:space="preserve">By. Biaya </v>
      </c>
      <c r="B704" s="215">
        <v>46114</v>
      </c>
      <c r="C704" s="212" t="s">
        <v>1460</v>
      </c>
      <c r="D704" s="51" t="s">
        <v>1632</v>
      </c>
      <c r="F704" s="52">
        <f>IF(G704="","",INDEX(COA!$A$4:$A$123,MATCH(JU!$G704,COA!$B$4:$B$123,0)))</f>
        <v>6112</v>
      </c>
      <c r="G704" t="s">
        <v>205</v>
      </c>
      <c r="H704" s="216">
        <v>434000</v>
      </c>
      <c r="I704" s="52">
        <f>IF(J704="","",INDEX(COA!$A$4:$A$123,MATCH(JU!$J704,COA!$B$4:$B$123,0)))</f>
        <v>1103</v>
      </c>
      <c r="J704" t="s">
        <v>154</v>
      </c>
      <c r="K704" s="34">
        <f t="shared" si="80"/>
        <v>434000</v>
      </c>
    </row>
    <row r="705" spans="1:11" hidden="1">
      <c r="A705" s="50" t="str">
        <f t="shared" si="90"/>
        <v xml:space="preserve">By. Biaya </v>
      </c>
      <c r="B705" s="215">
        <v>46114</v>
      </c>
      <c r="C705" s="212" t="s">
        <v>419</v>
      </c>
      <c r="D705" s="51" t="s">
        <v>1633</v>
      </c>
      <c r="F705" s="52">
        <f>IF(G705="","",INDEX(COA!$A$4:$A$123,MATCH(JU!$G705,COA!$B$4:$B$123,0)))</f>
        <v>6112</v>
      </c>
      <c r="G705" t="s">
        <v>205</v>
      </c>
      <c r="H705" s="216">
        <v>119500</v>
      </c>
      <c r="I705" s="52">
        <f>IF(J705="","",INDEX(COA!$A$4:$A$123,MATCH(JU!$J705,COA!$B$4:$B$123,0)))</f>
        <v>1103</v>
      </c>
      <c r="J705" t="s">
        <v>154</v>
      </c>
      <c r="K705" s="34">
        <f t="shared" si="80"/>
        <v>119500</v>
      </c>
    </row>
    <row r="706" spans="1:11" hidden="1">
      <c r="A706" s="50" t="str">
        <f t="shared" si="90"/>
        <v xml:space="preserve">By. Biaya </v>
      </c>
      <c r="B706" s="215">
        <v>46114</v>
      </c>
      <c r="C706" s="212" t="s">
        <v>1461</v>
      </c>
      <c r="D706" s="51" t="s">
        <v>1634</v>
      </c>
      <c r="F706" s="52" t="str">
        <f>IF(G706="","",INDEX(COA!$A$4:$A$123,MATCH(JU!$G706,COA!$B$4:$B$123,0)))</f>
        <v>6201</v>
      </c>
      <c r="G706" t="s">
        <v>81</v>
      </c>
      <c r="H706" s="216">
        <v>1000000</v>
      </c>
      <c r="I706" s="52">
        <f>IF(J706="","",INDEX(COA!$A$4:$A$123,MATCH(JU!$J706,COA!$B$4:$B$123,0)))</f>
        <v>1103</v>
      </c>
      <c r="J706" t="s">
        <v>154</v>
      </c>
      <c r="K706" s="34">
        <f t="shared" si="80"/>
        <v>1000000</v>
      </c>
    </row>
    <row r="707" spans="1:11" hidden="1">
      <c r="A707" s="50" t="str">
        <f t="shared" si="90"/>
        <v xml:space="preserve">By. Biaya </v>
      </c>
      <c r="B707" s="215">
        <v>46114</v>
      </c>
      <c r="C707" s="212" t="s">
        <v>305</v>
      </c>
      <c r="D707" s="51" t="s">
        <v>333</v>
      </c>
      <c r="F707" s="52" t="str">
        <f>IF(G707="","",INDEX(COA!$A$4:$A$123,MATCH(JU!$G707,COA!$B$4:$B$123,0)))</f>
        <v>6303</v>
      </c>
      <c r="G707" t="s">
        <v>87</v>
      </c>
      <c r="H707" s="216">
        <v>2500</v>
      </c>
      <c r="I707" s="52">
        <f>IF(J707="","",INDEX(COA!$A$4:$A$123,MATCH(JU!$J707,COA!$B$4:$B$123,0)))</f>
        <v>1103</v>
      </c>
      <c r="J707" t="s">
        <v>154</v>
      </c>
      <c r="K707" s="34">
        <f t="shared" si="80"/>
        <v>2500</v>
      </c>
    </row>
    <row r="708" spans="1:11" hidden="1">
      <c r="A708" s="50" t="str">
        <f t="shared" si="90"/>
        <v xml:space="preserve">By. Biaya </v>
      </c>
      <c r="B708" s="215">
        <v>46114</v>
      </c>
      <c r="C708" s="212" t="s">
        <v>420</v>
      </c>
      <c r="D708" s="51" t="s">
        <v>1635</v>
      </c>
      <c r="F708" s="52">
        <f>IF(G708="","",INDEX(COA!$A$4:$A$123,MATCH(JU!$G708,COA!$B$4:$B$123,0)))</f>
        <v>5107</v>
      </c>
      <c r="G708" t="s">
        <v>71</v>
      </c>
      <c r="H708" s="216">
        <v>3950000</v>
      </c>
      <c r="I708" s="52">
        <f>IF(J708="","",INDEX(COA!$A$4:$A$123,MATCH(JU!$J708,COA!$B$4:$B$123,0)))</f>
        <v>1103</v>
      </c>
      <c r="J708" t="s">
        <v>154</v>
      </c>
      <c r="K708" s="34">
        <f t="shared" si="80"/>
        <v>3950000</v>
      </c>
    </row>
    <row r="709" spans="1:11" hidden="1">
      <c r="A709" s="50" t="str">
        <f t="shared" si="90"/>
        <v xml:space="preserve">Terima Uang Masuk atas </v>
      </c>
      <c r="B709" s="215">
        <v>46114</v>
      </c>
      <c r="C709" s="212" t="s">
        <v>1462</v>
      </c>
      <c r="D709" s="51" t="s">
        <v>1636</v>
      </c>
      <c r="F709" s="52">
        <f>IF(G709="","",INDEX(COA!$A$4:$A$123,MATCH(JU!$G709,COA!$B$4:$B$123,0)))</f>
        <v>1103</v>
      </c>
      <c r="G709" t="s">
        <v>154</v>
      </c>
      <c r="H709" s="216">
        <v>5000000</v>
      </c>
      <c r="I709" s="52">
        <f>IF(J709="","",INDEX(COA!$A$4:$A$123,MATCH(JU!$J709,COA!$B$4:$B$123,0)))</f>
        <v>4102</v>
      </c>
      <c r="J709" t="s">
        <v>62</v>
      </c>
      <c r="K709" s="34">
        <f t="shared" si="80"/>
        <v>5000000</v>
      </c>
    </row>
    <row r="710" spans="1:11" hidden="1">
      <c r="A710" s="50" t="str">
        <f t="shared" si="90"/>
        <v xml:space="preserve">By. Biaya </v>
      </c>
      <c r="B710" s="215">
        <v>46114</v>
      </c>
      <c r="C710" s="212" t="s">
        <v>421</v>
      </c>
      <c r="D710" s="51" t="s">
        <v>1637</v>
      </c>
      <c r="F710" s="52">
        <f>IF(G710="","",INDEX(COA!$A$4:$A$123,MATCH(JU!$G710,COA!$B$4:$B$123,0)))</f>
        <v>6112</v>
      </c>
      <c r="G710" t="s">
        <v>205</v>
      </c>
      <c r="H710" s="216">
        <v>445000</v>
      </c>
      <c r="I710" s="52">
        <f>IF(J710="","",INDEX(COA!$A$4:$A$123,MATCH(JU!$J710,COA!$B$4:$B$123,0)))</f>
        <v>1103</v>
      </c>
      <c r="J710" t="s">
        <v>154</v>
      </c>
      <c r="K710" s="34">
        <f t="shared" si="80"/>
        <v>445000</v>
      </c>
    </row>
    <row r="711" spans="1:11" hidden="1">
      <c r="A711" s="50" t="str">
        <f t="shared" si="90"/>
        <v xml:space="preserve">By. Biaya </v>
      </c>
      <c r="B711" s="215">
        <v>46114</v>
      </c>
      <c r="C711" s="212" t="s">
        <v>1463</v>
      </c>
      <c r="D711" s="51" t="s">
        <v>1638</v>
      </c>
      <c r="F711" s="52">
        <f>IF(G711="","",INDEX(COA!$A$4:$A$123,MATCH(JU!$G711,COA!$B$4:$B$123,0)))</f>
        <v>1302</v>
      </c>
      <c r="G711" t="s">
        <v>31</v>
      </c>
      <c r="H711" s="216">
        <v>1275000</v>
      </c>
      <c r="I711" s="52">
        <f>IF(J711="","",INDEX(COA!$A$4:$A$123,MATCH(JU!$J711,COA!$B$4:$B$123,0)))</f>
        <v>1103</v>
      </c>
      <c r="J711" t="s">
        <v>154</v>
      </c>
      <c r="K711" s="34">
        <f t="shared" si="80"/>
        <v>1275000</v>
      </c>
    </row>
    <row r="712" spans="1:11" hidden="1">
      <c r="A712" s="50" t="str">
        <f t="shared" si="90"/>
        <v xml:space="preserve">Terima Uang Masuk atas </v>
      </c>
      <c r="B712" s="215">
        <v>46114</v>
      </c>
      <c r="C712" s="212" t="s">
        <v>1464</v>
      </c>
      <c r="D712" s="51" t="s">
        <v>1639</v>
      </c>
      <c r="F712" s="52">
        <f>IF(G712="","",INDEX(COA!$A$4:$A$123,MATCH(JU!$G712,COA!$B$4:$B$123,0)))</f>
        <v>1103</v>
      </c>
      <c r="G712" t="s">
        <v>154</v>
      </c>
      <c r="H712" s="216">
        <v>10000000</v>
      </c>
      <c r="I712" s="52">
        <f>IF(J712="","",INDEX(COA!$A$4:$A$123,MATCH(JU!$J712,COA!$B$4:$B$123,0)))</f>
        <v>1108</v>
      </c>
      <c r="J712" t="s">
        <v>155</v>
      </c>
      <c r="K712" s="34">
        <f t="shared" si="80"/>
        <v>10000000</v>
      </c>
    </row>
    <row r="713" spans="1:11" hidden="1">
      <c r="A713" s="50" t="str">
        <f t="shared" si="90"/>
        <v xml:space="preserve">Terima Uang Masuk atas </v>
      </c>
      <c r="B713" s="215">
        <v>46114</v>
      </c>
      <c r="C713" s="212" t="s">
        <v>1465</v>
      </c>
      <c r="D713" s="51" t="s">
        <v>1640</v>
      </c>
      <c r="F713" s="52">
        <f>IF(G713="","",INDEX(COA!$A$4:$A$123,MATCH(JU!$G713,COA!$B$4:$B$123,0)))</f>
        <v>1103</v>
      </c>
      <c r="G713" t="s">
        <v>154</v>
      </c>
      <c r="H713" s="216">
        <v>30000000</v>
      </c>
      <c r="I713" s="52">
        <f>IF(J713="","",INDEX(COA!$A$4:$A$123,MATCH(JU!$J713,COA!$B$4:$B$123,0)))</f>
        <v>1108</v>
      </c>
      <c r="J713" t="s">
        <v>155</v>
      </c>
      <c r="K713" s="34">
        <f t="shared" si="80"/>
        <v>30000000</v>
      </c>
    </row>
    <row r="714" spans="1:11" hidden="1">
      <c r="A714" s="50" t="str">
        <f t="shared" si="90"/>
        <v xml:space="preserve">By. Biaya </v>
      </c>
      <c r="B714" s="215">
        <v>46114</v>
      </c>
      <c r="C714" s="212" t="s">
        <v>422</v>
      </c>
      <c r="D714" s="51" t="s">
        <v>1641</v>
      </c>
      <c r="F714" s="52">
        <f>IF(G714="","",INDEX(COA!$A$4:$A$123,MATCH(JU!$G714,COA!$B$4:$B$123,0)))</f>
        <v>6101</v>
      </c>
      <c r="G714" t="s">
        <v>75</v>
      </c>
      <c r="H714" s="216">
        <v>23149651</v>
      </c>
      <c r="I714" s="52">
        <f>IF(J714="","",INDEX(COA!$A$4:$A$123,MATCH(JU!$J714,COA!$B$4:$B$123,0)))</f>
        <v>1103</v>
      </c>
      <c r="J714" t="s">
        <v>154</v>
      </c>
      <c r="K714" s="34">
        <f t="shared" si="80"/>
        <v>23149651</v>
      </c>
    </row>
    <row r="715" spans="1:11" s="229" customFormat="1" hidden="1">
      <c r="A715" s="228" t="str">
        <f t="shared" ref="A715" si="96">IF(G715="BRI 568","Terima Uang Masuk atas ","By. Biaya ")</f>
        <v xml:space="preserve">By. Biaya </v>
      </c>
      <c r="B715" s="255">
        <v>46114</v>
      </c>
      <c r="C715" s="212" t="s">
        <v>1466</v>
      </c>
      <c r="D715" s="262" t="s">
        <v>1642</v>
      </c>
      <c r="F715" s="230">
        <f>IF(G715="","",INDEX(COA!$A$4:$A$123,MATCH(JU!$G715,COA!$B$4:$B$123,0)))</f>
        <v>6101</v>
      </c>
      <c r="G715" s="229" t="s">
        <v>75</v>
      </c>
      <c r="H715" s="231">
        <v>5000000</v>
      </c>
      <c r="I715" s="230">
        <f>IF(J715="","",INDEX(COA!$A$4:$A$123,MATCH(JU!$J715,COA!$B$4:$B$123,0)))</f>
        <v>1103</v>
      </c>
      <c r="J715" s="229" t="s">
        <v>154</v>
      </c>
      <c r="K715" s="232">
        <f t="shared" si="80"/>
        <v>5000000</v>
      </c>
    </row>
    <row r="716" spans="1:11" s="229" customFormat="1" hidden="1">
      <c r="A716" s="228" t="str">
        <f t="shared" ref="A716" si="97">IF(G716="BRI 568","Terima Uang Masuk atas ","By. Biaya ")</f>
        <v xml:space="preserve">By. Biaya </v>
      </c>
      <c r="B716" s="255">
        <v>46114</v>
      </c>
      <c r="C716" s="212" t="s">
        <v>305</v>
      </c>
      <c r="D716" s="262" t="s">
        <v>333</v>
      </c>
      <c r="F716" s="230" t="str">
        <f>IF(G716="","",INDEX(COA!$A$4:$A$123,MATCH(JU!$G716,COA!$B$4:$B$123,0)))</f>
        <v>6303</v>
      </c>
      <c r="G716" s="229" t="s">
        <v>87</v>
      </c>
      <c r="H716" s="231">
        <v>6500</v>
      </c>
      <c r="I716" s="230">
        <f>IF(J716="","",INDEX(COA!$A$4:$A$123,MATCH(JU!$J716,COA!$B$4:$B$123,0)))</f>
        <v>1103</v>
      </c>
      <c r="J716" s="229" t="s">
        <v>154</v>
      </c>
      <c r="K716" s="232">
        <f t="shared" si="80"/>
        <v>6500</v>
      </c>
    </row>
    <row r="717" spans="1:11" s="229" customFormat="1" hidden="1">
      <c r="A717" s="228" t="str">
        <f t="shared" ref="A717" si="98">IF(G717="BRI 568","Terima Uang Masuk atas ","By. Biaya ")</f>
        <v xml:space="preserve">By. Biaya </v>
      </c>
      <c r="B717" s="255">
        <v>46114</v>
      </c>
      <c r="C717" s="212" t="s">
        <v>1467</v>
      </c>
      <c r="D717" s="262" t="s">
        <v>1643</v>
      </c>
      <c r="F717" s="230">
        <f>IF(G717="","",INDEX(COA!$A$4:$A$123,MATCH(JU!$G717,COA!$B$4:$B$123,0)))</f>
        <v>6101</v>
      </c>
      <c r="G717" s="229" t="s">
        <v>75</v>
      </c>
      <c r="H717" s="231">
        <v>1000000</v>
      </c>
      <c r="I717" s="230">
        <f>IF(J717="","",INDEX(COA!$A$4:$A$123,MATCH(JU!$J717,COA!$B$4:$B$123,0)))</f>
        <v>1103</v>
      </c>
      <c r="J717" s="229" t="s">
        <v>154</v>
      </c>
      <c r="K717" s="232">
        <f t="shared" si="80"/>
        <v>1000000</v>
      </c>
    </row>
    <row r="718" spans="1:11" s="229" customFormat="1" hidden="1">
      <c r="A718" s="228" t="str">
        <f t="shared" ref="A718" si="99">IF(G718="BRI 568","Terima Uang Masuk atas ","By. Biaya ")</f>
        <v xml:space="preserve">By. Biaya </v>
      </c>
      <c r="B718" s="255">
        <v>46114</v>
      </c>
      <c r="C718" s="212" t="s">
        <v>305</v>
      </c>
      <c r="D718" s="262" t="s">
        <v>333</v>
      </c>
      <c r="F718" s="230" t="str">
        <f>IF(G718="","",INDEX(COA!$A$4:$A$123,MATCH(JU!$G718,COA!$B$4:$B$123,0)))</f>
        <v>6303</v>
      </c>
      <c r="G718" s="229" t="s">
        <v>87</v>
      </c>
      <c r="H718" s="231">
        <v>2500</v>
      </c>
      <c r="I718" s="230">
        <f>IF(J718="","",INDEX(COA!$A$4:$A$123,MATCH(JU!$J718,COA!$B$4:$B$123,0)))</f>
        <v>1103</v>
      </c>
      <c r="J718" s="229" t="s">
        <v>154</v>
      </c>
      <c r="K718" s="232">
        <f t="shared" si="80"/>
        <v>2500</v>
      </c>
    </row>
    <row r="719" spans="1:11" s="229" customFormat="1" hidden="1">
      <c r="A719" s="228" t="str">
        <f t="shared" ref="A719" si="100">IF(G719="BRI 568","Terima Uang Masuk atas ","By. Biaya ")</f>
        <v xml:space="preserve">By. Biaya </v>
      </c>
      <c r="B719" s="255">
        <v>46114</v>
      </c>
      <c r="C719" s="212" t="s">
        <v>1468</v>
      </c>
      <c r="D719" s="262" t="s">
        <v>1644</v>
      </c>
      <c r="F719" s="230">
        <f>IF(G719="","",INDEX(COA!$A$4:$A$123,MATCH(JU!$G719,COA!$B$4:$B$123,0)))</f>
        <v>6101</v>
      </c>
      <c r="G719" s="229" t="s">
        <v>75</v>
      </c>
      <c r="H719" s="231">
        <v>1500000</v>
      </c>
      <c r="I719" s="230">
        <f>IF(J719="","",INDEX(COA!$A$4:$A$123,MATCH(JU!$J719,COA!$B$4:$B$123,0)))</f>
        <v>1103</v>
      </c>
      <c r="J719" s="229" t="s">
        <v>154</v>
      </c>
      <c r="K719" s="232">
        <f t="shared" si="80"/>
        <v>1500000</v>
      </c>
    </row>
    <row r="720" spans="1:11" s="229" customFormat="1" hidden="1">
      <c r="A720" s="228" t="str">
        <f t="shared" ref="A720" si="101">IF(G720="BRI 568","Terima Uang Masuk atas ","By. Biaya ")</f>
        <v xml:space="preserve">By. Biaya </v>
      </c>
      <c r="B720" s="255">
        <v>46114</v>
      </c>
      <c r="C720" s="212" t="s">
        <v>1469</v>
      </c>
      <c r="D720" s="262" t="s">
        <v>1645</v>
      </c>
      <c r="F720" s="230">
        <f>IF(G720="","",INDEX(COA!$A$4:$A$123,MATCH(JU!$G720,COA!$B$4:$B$123,0)))</f>
        <v>6101</v>
      </c>
      <c r="G720" s="229" t="s">
        <v>75</v>
      </c>
      <c r="H720" s="231">
        <v>250000</v>
      </c>
      <c r="I720" s="230">
        <f>IF(J720="","",INDEX(COA!$A$4:$A$123,MATCH(JU!$J720,COA!$B$4:$B$123,0)))</f>
        <v>1103</v>
      </c>
      <c r="J720" s="229" t="s">
        <v>154</v>
      </c>
      <c r="K720" s="232">
        <f t="shared" si="80"/>
        <v>250000</v>
      </c>
    </row>
    <row r="721" spans="1:11" hidden="1">
      <c r="A721" s="50" t="str">
        <f t="shared" si="90"/>
        <v xml:space="preserve">By. Biaya </v>
      </c>
      <c r="B721" s="215">
        <v>46114</v>
      </c>
      <c r="C721" s="212" t="s">
        <v>423</v>
      </c>
      <c r="D721" s="51" t="s">
        <v>1646</v>
      </c>
      <c r="F721" s="52">
        <f>IF(G721="","",INDEX(COA!$A$4:$A$123,MATCH(JU!$G721,COA!$B$4:$B$123,0)))</f>
        <v>6101</v>
      </c>
      <c r="G721" t="s">
        <v>75</v>
      </c>
      <c r="H721" s="216">
        <v>5050000</v>
      </c>
      <c r="I721" s="52">
        <f>IF(J721="","",INDEX(COA!$A$4:$A$123,MATCH(JU!$J721,COA!$B$4:$B$123,0)))</f>
        <v>1103</v>
      </c>
      <c r="J721" t="s">
        <v>154</v>
      </c>
      <c r="K721" s="34">
        <f t="shared" si="80"/>
        <v>5050000</v>
      </c>
    </row>
    <row r="722" spans="1:11" hidden="1">
      <c r="A722" s="50" t="str">
        <f t="shared" si="90"/>
        <v xml:space="preserve">By. Biaya </v>
      </c>
      <c r="B722" s="215">
        <v>46114</v>
      </c>
      <c r="C722" s="212" t="s">
        <v>1470</v>
      </c>
      <c r="D722" s="51" t="s">
        <v>1647</v>
      </c>
      <c r="F722" s="52">
        <f>IF(G722="","",INDEX(COA!$A$4:$A$123,MATCH(JU!$G722,COA!$B$4:$B$123,0)))</f>
        <v>6111</v>
      </c>
      <c r="G722" t="s">
        <v>150</v>
      </c>
      <c r="H722" s="216">
        <v>35000000</v>
      </c>
      <c r="I722" s="52">
        <f>IF(J722="","",INDEX(COA!$A$4:$A$123,MATCH(JU!$J722,COA!$B$4:$B$123,0)))</f>
        <v>1103</v>
      </c>
      <c r="J722" t="s">
        <v>154</v>
      </c>
      <c r="K722" s="34">
        <f t="shared" si="80"/>
        <v>35000000</v>
      </c>
    </row>
    <row r="723" spans="1:11" hidden="1">
      <c r="A723" s="50" t="str">
        <f t="shared" si="90"/>
        <v xml:space="preserve">By. Biaya </v>
      </c>
      <c r="B723" s="215">
        <v>46114</v>
      </c>
      <c r="C723" s="212" t="s">
        <v>305</v>
      </c>
      <c r="D723" s="51" t="s">
        <v>333</v>
      </c>
      <c r="F723" s="52" t="str">
        <f>IF(G723="","",INDEX(COA!$A$4:$A$123,MATCH(JU!$G723,COA!$B$4:$B$123,0)))</f>
        <v>6303</v>
      </c>
      <c r="G723" t="s">
        <v>87</v>
      </c>
      <c r="H723" s="216">
        <v>2500</v>
      </c>
      <c r="I723" s="52">
        <f>IF(J723="","",INDEX(COA!$A$4:$A$123,MATCH(JU!$J723,COA!$B$4:$B$123,0)))</f>
        <v>1103</v>
      </c>
      <c r="J723" t="s">
        <v>154</v>
      </c>
      <c r="K723" s="34">
        <f t="shared" si="80"/>
        <v>2500</v>
      </c>
    </row>
    <row r="724" spans="1:11" hidden="1">
      <c r="A724" s="50" t="str">
        <f t="shared" si="90"/>
        <v xml:space="preserve">Terima Uang Masuk atas </v>
      </c>
      <c r="B724" s="215">
        <v>46115</v>
      </c>
      <c r="C724" s="212" t="s">
        <v>1471</v>
      </c>
      <c r="D724" s="51" t="s">
        <v>1648</v>
      </c>
      <c r="F724" s="52">
        <f>IF(G724="","",INDEX(COA!$A$4:$A$123,MATCH(JU!$G724,COA!$B$4:$B$123,0)))</f>
        <v>1103</v>
      </c>
      <c r="G724" t="s">
        <v>154</v>
      </c>
      <c r="H724" s="216">
        <v>8000000</v>
      </c>
      <c r="I724" s="52">
        <f>IF(J724="","",INDEX(COA!$A$4:$A$123,MATCH(JU!$J724,COA!$B$4:$B$123,0)))</f>
        <v>4102</v>
      </c>
      <c r="J724" t="s">
        <v>62</v>
      </c>
      <c r="K724" s="34">
        <f t="shared" si="80"/>
        <v>8000000</v>
      </c>
    </row>
    <row r="725" spans="1:11" hidden="1">
      <c r="A725" s="50" t="str">
        <f t="shared" si="90"/>
        <v xml:space="preserve">Terima Uang Masuk atas </v>
      </c>
      <c r="B725" s="215">
        <v>46116</v>
      </c>
      <c r="C725" s="212" t="s">
        <v>1472</v>
      </c>
      <c r="D725" s="51" t="s">
        <v>1649</v>
      </c>
      <c r="F725" s="52">
        <f>IF(G725="","",INDEX(COA!$A$4:$A$123,MATCH(JU!$G725,COA!$B$4:$B$123,0)))</f>
        <v>1103</v>
      </c>
      <c r="G725" t="s">
        <v>154</v>
      </c>
      <c r="H725" s="216">
        <v>40000000</v>
      </c>
      <c r="I725" s="52">
        <f>IF(J725="","",INDEX(COA!$A$4:$A$123,MATCH(JU!$J725,COA!$B$4:$B$123,0)))</f>
        <v>1108</v>
      </c>
      <c r="J725" t="s">
        <v>155</v>
      </c>
      <c r="K725" s="34">
        <f t="shared" si="80"/>
        <v>40000000</v>
      </c>
    </row>
    <row r="726" spans="1:11" hidden="1">
      <c r="A726" s="50" t="str">
        <f t="shared" si="90"/>
        <v xml:space="preserve">Terima Uang Masuk atas </v>
      </c>
      <c r="B726" s="215">
        <v>46116</v>
      </c>
      <c r="C726" s="212" t="s">
        <v>424</v>
      </c>
      <c r="D726" s="51" t="s">
        <v>1650</v>
      </c>
      <c r="F726" s="52">
        <f>IF(G726="","",INDEX(COA!$A$4:$A$123,MATCH(JU!$G726,COA!$B$4:$B$123,0)))</f>
        <v>1103</v>
      </c>
      <c r="G726" t="s">
        <v>154</v>
      </c>
      <c r="H726" s="216">
        <v>10000000</v>
      </c>
      <c r="I726" s="52">
        <f>IF(J726="","",INDEX(COA!$A$4:$A$123,MATCH(JU!$J726,COA!$B$4:$B$123,0)))</f>
        <v>1202</v>
      </c>
      <c r="J726" t="s">
        <v>27</v>
      </c>
      <c r="K726" s="34">
        <f t="shared" si="80"/>
        <v>10000000</v>
      </c>
    </row>
    <row r="727" spans="1:11" hidden="1">
      <c r="A727" s="50" t="str">
        <f t="shared" si="90"/>
        <v xml:space="preserve">By. Biaya </v>
      </c>
      <c r="B727" s="215">
        <v>46116</v>
      </c>
      <c r="C727" s="212" t="s">
        <v>1473</v>
      </c>
      <c r="D727" s="51" t="s">
        <v>1651</v>
      </c>
      <c r="F727" s="52">
        <f>IF(G727="","",INDEX(COA!$A$4:$A$123,MATCH(JU!$G727,COA!$B$4:$B$123,0)))</f>
        <v>1203</v>
      </c>
      <c r="G727" t="s">
        <v>140</v>
      </c>
      <c r="H727" s="216">
        <v>10000000</v>
      </c>
      <c r="I727" s="52">
        <f>IF(J727="","",INDEX(COA!$A$4:$A$123,MATCH(JU!$J727,COA!$B$4:$B$123,0)))</f>
        <v>1103</v>
      </c>
      <c r="J727" t="s">
        <v>154</v>
      </c>
      <c r="K727" s="34">
        <f t="shared" ref="K727:K794" si="102">IF(H727="","",H727)</f>
        <v>10000000</v>
      </c>
    </row>
    <row r="728" spans="1:11" hidden="1">
      <c r="A728" s="50" t="str">
        <f t="shared" si="90"/>
        <v xml:space="preserve">By. Biaya </v>
      </c>
      <c r="B728" s="215">
        <v>46116</v>
      </c>
      <c r="C728" s="212" t="s">
        <v>1474</v>
      </c>
      <c r="D728" s="51" t="s">
        <v>1652</v>
      </c>
      <c r="F728" s="52">
        <f>IF(G728="","",INDEX(COA!$A$4:$A$123,MATCH(JU!$G728,COA!$B$4:$B$123,0)))</f>
        <v>1302</v>
      </c>
      <c r="G728" t="s">
        <v>31</v>
      </c>
      <c r="H728" s="216">
        <v>5000000</v>
      </c>
      <c r="I728" s="52">
        <f>IF(J728="","",INDEX(COA!$A$4:$A$123,MATCH(JU!$J728,COA!$B$4:$B$123,0)))</f>
        <v>1103</v>
      </c>
      <c r="J728" t="s">
        <v>154</v>
      </c>
      <c r="K728" s="34">
        <f t="shared" si="102"/>
        <v>5000000</v>
      </c>
    </row>
    <row r="729" spans="1:11" hidden="1">
      <c r="A729" s="50" t="str">
        <f t="shared" si="90"/>
        <v xml:space="preserve">Terima Uang Masuk atas </v>
      </c>
      <c r="B729" s="215">
        <v>46116</v>
      </c>
      <c r="C729" s="212" t="s">
        <v>1475</v>
      </c>
      <c r="D729" s="51" t="s">
        <v>1653</v>
      </c>
      <c r="F729" s="52">
        <f>IF(G729="","",INDEX(COA!$A$4:$A$123,MATCH(JU!$G729,COA!$B$4:$B$123,0)))</f>
        <v>1103</v>
      </c>
      <c r="G729" t="s">
        <v>154</v>
      </c>
      <c r="H729" s="216">
        <v>5000000</v>
      </c>
      <c r="I729" s="52">
        <f>IF(J729="","",INDEX(COA!$A$4:$A$123,MATCH(JU!$J729,COA!$B$4:$B$123,0)))</f>
        <v>4102</v>
      </c>
      <c r="J729" t="s">
        <v>62</v>
      </c>
      <c r="K729" s="34">
        <f t="shared" si="102"/>
        <v>5000000</v>
      </c>
    </row>
    <row r="730" spans="1:11" hidden="1">
      <c r="A730" s="50" t="str">
        <f t="shared" si="90"/>
        <v xml:space="preserve">By. Biaya </v>
      </c>
      <c r="B730" s="215">
        <v>46118</v>
      </c>
      <c r="C730" s="212" t="s">
        <v>1476</v>
      </c>
      <c r="D730" s="51" t="s">
        <v>1654</v>
      </c>
      <c r="F730" s="52">
        <f>IF(G730="","",INDEX(COA!$A$4:$A$123,MATCH(JU!$G730,COA!$B$4:$B$123,0)))</f>
        <v>1302</v>
      </c>
      <c r="G730" t="s">
        <v>31</v>
      </c>
      <c r="H730" s="216">
        <v>600000</v>
      </c>
      <c r="I730" s="52">
        <f>IF(J730="","",INDEX(COA!$A$4:$A$123,MATCH(JU!$J730,COA!$B$4:$B$123,0)))</f>
        <v>1103</v>
      </c>
      <c r="J730" t="s">
        <v>154</v>
      </c>
      <c r="K730" s="34">
        <f t="shared" si="102"/>
        <v>600000</v>
      </c>
    </row>
    <row r="731" spans="1:11" hidden="1">
      <c r="A731" s="50" t="str">
        <f t="shared" si="90"/>
        <v xml:space="preserve">Terima Uang Masuk atas </v>
      </c>
      <c r="B731" s="215">
        <v>46118</v>
      </c>
      <c r="C731" s="212" t="s">
        <v>1477</v>
      </c>
      <c r="D731" s="51" t="s">
        <v>1655</v>
      </c>
      <c r="F731" s="52">
        <f>IF(G731="","",INDEX(COA!$A$4:$A$123,MATCH(JU!$G731,COA!$B$4:$B$123,0)))</f>
        <v>1103</v>
      </c>
      <c r="G731" t="s">
        <v>154</v>
      </c>
      <c r="H731" s="216">
        <v>15000000</v>
      </c>
      <c r="I731" s="52">
        <f>IF(J731="","",INDEX(COA!$A$4:$A$123,MATCH(JU!$J731,COA!$B$4:$B$123,0)))</f>
        <v>1108</v>
      </c>
      <c r="J731" t="s">
        <v>155</v>
      </c>
      <c r="K731" s="34">
        <f t="shared" si="102"/>
        <v>15000000</v>
      </c>
    </row>
    <row r="732" spans="1:11" hidden="1">
      <c r="A732" s="50" t="str">
        <f t="shared" si="90"/>
        <v xml:space="preserve">By. Biaya </v>
      </c>
      <c r="B732" s="215">
        <v>46118</v>
      </c>
      <c r="C732" s="212" t="s">
        <v>425</v>
      </c>
      <c r="D732" s="51" t="s">
        <v>1656</v>
      </c>
      <c r="F732" s="52">
        <f>IF(G732="","",INDEX(COA!$A$4:$A$123,MATCH(JU!$G732,COA!$B$4:$B$123,0)))</f>
        <v>1401</v>
      </c>
      <c r="G732" t="s">
        <v>35</v>
      </c>
      <c r="H732" s="216">
        <v>74717040</v>
      </c>
      <c r="I732" s="52">
        <f>IF(J732="","",INDEX(COA!$A$4:$A$123,MATCH(JU!$J732,COA!$B$4:$B$123,0)))</f>
        <v>1103</v>
      </c>
      <c r="J732" t="s">
        <v>154</v>
      </c>
      <c r="K732" s="34">
        <f t="shared" si="102"/>
        <v>74717040</v>
      </c>
    </row>
    <row r="733" spans="1:11" hidden="1">
      <c r="A733" s="50" t="str">
        <f t="shared" si="90"/>
        <v xml:space="preserve">Terima Uang Masuk atas </v>
      </c>
      <c r="B733" s="215">
        <v>46118</v>
      </c>
      <c r="C733" s="212" t="s">
        <v>1478</v>
      </c>
      <c r="D733" s="51" t="s">
        <v>1657</v>
      </c>
      <c r="F733" s="52">
        <f>IF(G733="","",INDEX(COA!$A$4:$A$123,MATCH(JU!$G733,COA!$B$4:$B$123,0)))</f>
        <v>1103</v>
      </c>
      <c r="G733" t="s">
        <v>154</v>
      </c>
      <c r="H733" s="216">
        <v>15000000</v>
      </c>
      <c r="I733" s="52">
        <f>IF(J733="","",INDEX(COA!$A$4:$A$123,MATCH(JU!$J733,COA!$B$4:$B$123,0)))</f>
        <v>4102</v>
      </c>
      <c r="J733" t="s">
        <v>62</v>
      </c>
      <c r="K733" s="34">
        <f t="shared" si="102"/>
        <v>15000000</v>
      </c>
    </row>
    <row r="734" spans="1:11" hidden="1">
      <c r="A734" s="50" t="str">
        <f t="shared" ref="A734" si="103">IF(G734="BRI 568","Terima Uang Masuk atas ","By. Biaya ")</f>
        <v xml:space="preserve">By. Biaya </v>
      </c>
      <c r="B734" s="215">
        <v>46118</v>
      </c>
      <c r="C734" s="212" t="s">
        <v>1479</v>
      </c>
      <c r="D734" s="218" t="s">
        <v>2041</v>
      </c>
      <c r="F734" s="52">
        <f>IF(G734="","",INDEX(COA!$A$4:$A$123,MATCH(JU!$G734,COA!$B$4:$B$123,0)))</f>
        <v>1202</v>
      </c>
      <c r="G734" s="229" t="s">
        <v>27</v>
      </c>
      <c r="H734" s="216">
        <v>169000000</v>
      </c>
      <c r="I734" s="52">
        <f>IF(J734="","",INDEX(COA!$A$4:$A$123,MATCH(JU!$J734,COA!$B$4:$B$123,0)))</f>
        <v>4102</v>
      </c>
      <c r="J734" t="s">
        <v>62</v>
      </c>
      <c r="K734" s="34">
        <f t="shared" ref="K734" si="104">IF(H734="","",H734)</f>
        <v>169000000</v>
      </c>
    </row>
    <row r="735" spans="1:11" hidden="1">
      <c r="A735" s="50" t="str">
        <f t="shared" si="90"/>
        <v xml:space="preserve">By. Biaya </v>
      </c>
      <c r="B735" s="215">
        <v>46118</v>
      </c>
      <c r="C735" s="212" t="s">
        <v>1479</v>
      </c>
      <c r="D735" s="51" t="s">
        <v>1658</v>
      </c>
      <c r="F735" s="52">
        <f>IF(G735="","",INDEX(COA!$A$4:$A$123,MATCH(JU!$G735,COA!$B$4:$B$123,0)))</f>
        <v>4102</v>
      </c>
      <c r="G735" t="s">
        <v>62</v>
      </c>
      <c r="H735" s="216">
        <v>8000000</v>
      </c>
      <c r="I735" s="52">
        <f>IF(J735="","",INDEX(COA!$A$4:$A$123,MATCH(JU!$J735,COA!$B$4:$B$123,0)))</f>
        <v>1103</v>
      </c>
      <c r="J735" t="s">
        <v>154</v>
      </c>
      <c r="K735" s="34">
        <f t="shared" si="102"/>
        <v>8000000</v>
      </c>
    </row>
    <row r="736" spans="1:11" hidden="1">
      <c r="A736" s="50" t="str">
        <f t="shared" si="90"/>
        <v xml:space="preserve">By. Biaya </v>
      </c>
      <c r="B736" s="215">
        <v>46118</v>
      </c>
      <c r="C736" s="212" t="s">
        <v>1480</v>
      </c>
      <c r="D736" s="51" t="s">
        <v>1659</v>
      </c>
      <c r="F736" s="52">
        <f>IF(G736="","",INDEX(COA!$A$4:$A$123,MATCH(JU!$G736,COA!$B$4:$B$123,0)))</f>
        <v>5110</v>
      </c>
      <c r="G736" t="s">
        <v>74</v>
      </c>
      <c r="H736" s="216">
        <v>3740000</v>
      </c>
      <c r="I736" s="52">
        <f>IF(J736="","",INDEX(COA!$A$4:$A$123,MATCH(JU!$J736,COA!$B$4:$B$123,0)))</f>
        <v>1103</v>
      </c>
      <c r="J736" t="s">
        <v>154</v>
      </c>
      <c r="K736" s="34">
        <f t="shared" si="102"/>
        <v>3740000</v>
      </c>
    </row>
    <row r="737" spans="1:11" hidden="1">
      <c r="A737" s="50" t="str">
        <f t="shared" si="90"/>
        <v xml:space="preserve">By. Biaya </v>
      </c>
      <c r="B737" s="215">
        <v>46118</v>
      </c>
      <c r="C737" s="212" t="s">
        <v>426</v>
      </c>
      <c r="D737" s="256" t="s">
        <v>1660</v>
      </c>
      <c r="F737" s="52">
        <f>IF(G737="","",INDEX(COA!$A$4:$A$123,MATCH(JU!$G737,COA!$B$4:$B$123,0)))</f>
        <v>5108</v>
      </c>
      <c r="G737" t="s">
        <v>72</v>
      </c>
      <c r="H737" s="216">
        <v>50000</v>
      </c>
      <c r="I737" s="52">
        <f>IF(J737="","",INDEX(COA!$A$4:$A$123,MATCH(JU!$J737,COA!$B$4:$B$123,0)))</f>
        <v>1103</v>
      </c>
      <c r="J737" t="s">
        <v>154</v>
      </c>
      <c r="K737" s="34">
        <f t="shared" si="102"/>
        <v>50000</v>
      </c>
    </row>
    <row r="738" spans="1:11" hidden="1">
      <c r="A738" s="50" t="str">
        <f t="shared" si="90"/>
        <v xml:space="preserve">Terima Uang Masuk atas </v>
      </c>
      <c r="B738" s="215">
        <v>46119</v>
      </c>
      <c r="C738" s="212" t="s">
        <v>1481</v>
      </c>
      <c r="D738" s="51" t="s">
        <v>1661</v>
      </c>
      <c r="F738" s="52">
        <f>IF(G738="","",INDEX(COA!$A$4:$A$123,MATCH(JU!$G738,COA!$B$4:$B$123,0)))</f>
        <v>1103</v>
      </c>
      <c r="G738" t="s">
        <v>154</v>
      </c>
      <c r="H738" s="216">
        <v>3000000</v>
      </c>
      <c r="I738" s="52">
        <f>IF(J738="","",INDEX(COA!$A$4:$A$123,MATCH(JU!$J738,COA!$B$4:$B$123,0)))</f>
        <v>1202</v>
      </c>
      <c r="J738" t="s">
        <v>27</v>
      </c>
      <c r="K738" s="34">
        <f t="shared" si="102"/>
        <v>3000000</v>
      </c>
    </row>
    <row r="739" spans="1:11" hidden="1">
      <c r="A739" s="50" t="str">
        <f t="shared" si="90"/>
        <v xml:space="preserve">By. Biaya </v>
      </c>
      <c r="B739" s="215">
        <v>46119</v>
      </c>
      <c r="C739" s="212" t="s">
        <v>1482</v>
      </c>
      <c r="D739" s="51" t="s">
        <v>1662</v>
      </c>
      <c r="F739" s="52">
        <f>IF(G739="","",INDEX(COA!$A$4:$A$123,MATCH(JU!$G739,COA!$B$4:$B$123,0)))</f>
        <v>1302</v>
      </c>
      <c r="G739" t="s">
        <v>31</v>
      </c>
      <c r="H739" s="216">
        <v>15000000</v>
      </c>
      <c r="I739" s="52">
        <f>IF(J739="","",INDEX(COA!$A$4:$A$123,MATCH(JU!$J739,COA!$B$4:$B$123,0)))</f>
        <v>1103</v>
      </c>
      <c r="J739" t="s">
        <v>154</v>
      </c>
      <c r="K739" s="34">
        <f t="shared" si="102"/>
        <v>15000000</v>
      </c>
    </row>
    <row r="740" spans="1:11" hidden="1">
      <c r="A740" s="50" t="str">
        <f t="shared" si="90"/>
        <v xml:space="preserve">Terima Uang Masuk atas </v>
      </c>
      <c r="B740" s="215">
        <v>46119</v>
      </c>
      <c r="C740" s="212" t="s">
        <v>1483</v>
      </c>
      <c r="D740" s="263" t="s">
        <v>1663</v>
      </c>
      <c r="F740" s="52">
        <f>IF(G740="","",INDEX(COA!$A$4:$A$123,MATCH(JU!$G740,COA!$B$4:$B$123,0)))</f>
        <v>1103</v>
      </c>
      <c r="G740" t="s">
        <v>154</v>
      </c>
      <c r="H740" s="216">
        <v>78500000</v>
      </c>
      <c r="I740" s="52">
        <f>IF(J740="","",INDEX(COA!$A$4:$A$123,MATCH(JU!$J740,COA!$B$4:$B$123,0)))</f>
        <v>1202</v>
      </c>
      <c r="J740" t="s">
        <v>27</v>
      </c>
      <c r="K740" s="34">
        <f t="shared" si="102"/>
        <v>78500000</v>
      </c>
    </row>
    <row r="741" spans="1:11" hidden="1">
      <c r="A741" s="50" t="str">
        <f t="shared" ref="A741" si="105">IF(G741="BRI 568","Terima Uang Masuk atas ","By. Biaya ")</f>
        <v xml:space="preserve">By. Biaya </v>
      </c>
      <c r="B741" s="215">
        <v>46119</v>
      </c>
      <c r="C741" s="212" t="s">
        <v>1483</v>
      </c>
      <c r="D741" s="264" t="s">
        <v>2040</v>
      </c>
      <c r="F741" s="52" t="str">
        <f>IF(G741="","",INDEX(COA!$A$4:$A$123,MATCH(JU!$G741,COA!$B$4:$B$123,0)))</f>
        <v>2101</v>
      </c>
      <c r="G741" s="229" t="s">
        <v>45</v>
      </c>
      <c r="H741" s="216">
        <v>70000000</v>
      </c>
      <c r="I741" s="52">
        <f>IF(J741="","",INDEX(COA!$A$4:$A$123,MATCH(JU!$J741,COA!$B$4:$B$123,0)))</f>
        <v>1202</v>
      </c>
      <c r="J741" t="s">
        <v>27</v>
      </c>
      <c r="K741" s="34">
        <f t="shared" ref="K741" si="106">IF(H741="","",H741)</f>
        <v>70000000</v>
      </c>
    </row>
    <row r="742" spans="1:11" hidden="1">
      <c r="A742" s="50" t="str">
        <f t="shared" si="90"/>
        <v xml:space="preserve">By. Biaya </v>
      </c>
      <c r="B742" s="215">
        <v>46119</v>
      </c>
      <c r="C742" s="212" t="s">
        <v>1484</v>
      </c>
      <c r="D742" s="51" t="s">
        <v>1664</v>
      </c>
      <c r="F742" s="52">
        <f>IF(G742="","",INDEX(COA!$A$4:$A$123,MATCH(JU!$G742,COA!$B$4:$B$123,0)))</f>
        <v>4102</v>
      </c>
      <c r="G742" t="s">
        <v>62</v>
      </c>
      <c r="H742" s="216">
        <v>8000000</v>
      </c>
      <c r="I742" s="52">
        <f>IF(J742="","",INDEX(COA!$A$4:$A$123,MATCH(JU!$J742,COA!$B$4:$B$123,0)))</f>
        <v>1103</v>
      </c>
      <c r="J742" t="s">
        <v>154</v>
      </c>
      <c r="K742" s="34">
        <f t="shared" si="102"/>
        <v>8000000</v>
      </c>
    </row>
    <row r="743" spans="1:11" hidden="1">
      <c r="A743" s="50" t="str">
        <f t="shared" si="90"/>
        <v xml:space="preserve">By. Biaya </v>
      </c>
      <c r="B743" s="215">
        <v>46119</v>
      </c>
      <c r="C743" s="212" t="s">
        <v>1485</v>
      </c>
      <c r="D743" s="51" t="s">
        <v>1665</v>
      </c>
      <c r="F743" s="52">
        <f>IF(G743="","",INDEX(COA!$A$4:$A$123,MATCH(JU!$G743,COA!$B$4:$B$123,0)))</f>
        <v>5108</v>
      </c>
      <c r="G743" s="229" t="s">
        <v>72</v>
      </c>
      <c r="H743" s="216">
        <v>4000000</v>
      </c>
      <c r="I743" s="52">
        <f>IF(J743="","",INDEX(COA!$A$4:$A$123,MATCH(JU!$J743,COA!$B$4:$B$123,0)))</f>
        <v>1103</v>
      </c>
      <c r="J743" t="s">
        <v>154</v>
      </c>
      <c r="K743" s="34">
        <f t="shared" si="102"/>
        <v>4000000</v>
      </c>
    </row>
    <row r="744" spans="1:11" hidden="1">
      <c r="A744" s="50" t="str">
        <f t="shared" si="90"/>
        <v xml:space="preserve">Terima Uang Masuk atas </v>
      </c>
      <c r="B744" s="215">
        <v>46119</v>
      </c>
      <c r="C744" s="212" t="s">
        <v>1486</v>
      </c>
      <c r="D744" s="51" t="s">
        <v>1666</v>
      </c>
      <c r="F744" s="52">
        <f>IF(G744="","",INDEX(COA!$A$4:$A$123,MATCH(JU!$G744,COA!$B$4:$B$123,0)))</f>
        <v>1103</v>
      </c>
      <c r="G744" t="s">
        <v>154</v>
      </c>
      <c r="H744" s="216">
        <v>1000000</v>
      </c>
      <c r="I744" s="52">
        <f>IF(J744="","",INDEX(COA!$A$4:$A$123,MATCH(JU!$J744,COA!$B$4:$B$123,0)))</f>
        <v>1203</v>
      </c>
      <c r="J744" t="s">
        <v>140</v>
      </c>
      <c r="K744" s="34">
        <f t="shared" si="102"/>
        <v>1000000</v>
      </c>
    </row>
    <row r="745" spans="1:11" hidden="1">
      <c r="A745" s="50" t="str">
        <f t="shared" si="90"/>
        <v xml:space="preserve">Terima Uang Masuk atas </v>
      </c>
      <c r="B745" s="215">
        <v>46119</v>
      </c>
      <c r="C745" s="212" t="s">
        <v>1487</v>
      </c>
      <c r="D745" s="51" t="s">
        <v>1667</v>
      </c>
      <c r="F745" s="52">
        <f>IF(G745="","",INDEX(COA!$A$4:$A$123,MATCH(JU!$G745,COA!$B$4:$B$123,0)))</f>
        <v>1103</v>
      </c>
      <c r="G745" t="s">
        <v>154</v>
      </c>
      <c r="H745" s="216">
        <v>15000000</v>
      </c>
      <c r="I745" s="52">
        <f>IF(J745="","",INDEX(COA!$A$4:$A$123,MATCH(JU!$J745,COA!$B$4:$B$123,0)))</f>
        <v>4102</v>
      </c>
      <c r="J745" t="s">
        <v>62</v>
      </c>
      <c r="K745" s="34">
        <f t="shared" si="102"/>
        <v>15000000</v>
      </c>
    </row>
    <row r="746" spans="1:11" hidden="1">
      <c r="A746" s="50" t="str">
        <f t="shared" ref="A746" si="107">IF(G746="BRI 568","Terima Uang Masuk atas ","By. Biaya ")</f>
        <v xml:space="preserve">By. Biaya </v>
      </c>
      <c r="B746" s="215">
        <v>46119</v>
      </c>
      <c r="C746" s="212" t="s">
        <v>1487</v>
      </c>
      <c r="D746" s="218" t="s">
        <v>2042</v>
      </c>
      <c r="F746" s="52">
        <f>IF(G746="","",INDEX(COA!$A$4:$A$123,MATCH(JU!$G746,COA!$B$4:$B$123,0)))</f>
        <v>1202</v>
      </c>
      <c r="G746" s="229" t="s">
        <v>27</v>
      </c>
      <c r="H746" s="216">
        <v>169000000</v>
      </c>
      <c r="I746" s="52">
        <f>IF(J746="","",INDEX(COA!$A$4:$A$123,MATCH(JU!$J746,COA!$B$4:$B$123,0)))</f>
        <v>4102</v>
      </c>
      <c r="J746" t="s">
        <v>62</v>
      </c>
      <c r="K746" s="34">
        <f t="shared" ref="K746" si="108">IF(H746="","",H746)</f>
        <v>169000000</v>
      </c>
    </row>
    <row r="747" spans="1:11" hidden="1">
      <c r="A747" s="50" t="str">
        <f t="shared" si="90"/>
        <v xml:space="preserve">By. Biaya </v>
      </c>
      <c r="B747" s="215">
        <v>46119</v>
      </c>
      <c r="C747" s="212" t="s">
        <v>1488</v>
      </c>
      <c r="D747" s="51" t="s">
        <v>1668</v>
      </c>
      <c r="F747" s="52">
        <f>IF(G747="","",INDEX(COA!$A$4:$A$123,MATCH(JU!$G747,COA!$B$4:$B$123,0)))</f>
        <v>5110</v>
      </c>
      <c r="G747" s="229" t="s">
        <v>74</v>
      </c>
      <c r="H747" s="216">
        <v>3740000</v>
      </c>
      <c r="I747" s="52">
        <f>IF(J747="","",INDEX(COA!$A$4:$A$123,MATCH(JU!$J747,COA!$B$4:$B$123,0)))</f>
        <v>1103</v>
      </c>
      <c r="J747" t="s">
        <v>154</v>
      </c>
      <c r="K747" s="34">
        <f t="shared" si="102"/>
        <v>3740000</v>
      </c>
    </row>
    <row r="748" spans="1:11" hidden="1">
      <c r="A748" s="50" t="str">
        <f t="shared" si="90"/>
        <v xml:space="preserve">By. Biaya </v>
      </c>
      <c r="B748" s="215">
        <v>46119</v>
      </c>
      <c r="C748" s="212" t="s">
        <v>1489</v>
      </c>
      <c r="D748" s="51" t="s">
        <v>1669</v>
      </c>
      <c r="F748" s="52">
        <f>IF(G748="","",INDEX(COA!$A$4:$A$123,MATCH(JU!$G748,COA!$B$4:$B$123,0)))</f>
        <v>5108</v>
      </c>
      <c r="G748" s="229" t="s">
        <v>72</v>
      </c>
      <c r="H748" s="216">
        <v>4000000</v>
      </c>
      <c r="I748" s="52">
        <f>IF(J748="","",INDEX(COA!$A$4:$A$123,MATCH(JU!$J748,COA!$B$4:$B$123,0)))</f>
        <v>1103</v>
      </c>
      <c r="J748" t="s">
        <v>154</v>
      </c>
      <c r="K748" s="34">
        <f t="shared" si="102"/>
        <v>4000000</v>
      </c>
    </row>
    <row r="749" spans="1:11" hidden="1">
      <c r="A749" s="50" t="str">
        <f t="shared" si="90"/>
        <v xml:space="preserve">By. Biaya </v>
      </c>
      <c r="B749" s="215">
        <v>46119</v>
      </c>
      <c r="C749" s="212" t="s">
        <v>1490</v>
      </c>
      <c r="D749" s="51" t="s">
        <v>1670</v>
      </c>
      <c r="F749" s="52">
        <f>IF(G749="","",INDEX(COA!$A$4:$A$123,MATCH(JU!$G749,COA!$B$4:$B$123,0)))</f>
        <v>5107</v>
      </c>
      <c r="G749" s="229" t="s">
        <v>71</v>
      </c>
      <c r="H749" s="216">
        <v>6430000</v>
      </c>
      <c r="I749" s="52">
        <f>IF(J749="","",INDEX(COA!$A$4:$A$123,MATCH(JU!$J749,COA!$B$4:$B$123,0)))</f>
        <v>1103</v>
      </c>
      <c r="J749" t="s">
        <v>154</v>
      </c>
      <c r="K749" s="34">
        <f t="shared" si="102"/>
        <v>6430000</v>
      </c>
    </row>
    <row r="750" spans="1:11" hidden="1">
      <c r="A750" s="50" t="str">
        <f t="shared" si="90"/>
        <v xml:space="preserve">By. Biaya </v>
      </c>
      <c r="B750" s="215">
        <v>46119</v>
      </c>
      <c r="C750" s="212" t="s">
        <v>425</v>
      </c>
      <c r="D750" s="51" t="s">
        <v>1656</v>
      </c>
      <c r="F750" s="52">
        <f>IF(G750="","",INDEX(COA!$A$4:$A$123,MATCH(JU!$G750,COA!$B$4:$B$123,0)))</f>
        <v>1401</v>
      </c>
      <c r="G750" t="s">
        <v>35</v>
      </c>
      <c r="H750" s="216">
        <v>12500000</v>
      </c>
      <c r="I750" s="52">
        <f>IF(J750="","",INDEX(COA!$A$4:$A$123,MATCH(JU!$J750,COA!$B$4:$B$123,0)))</f>
        <v>1103</v>
      </c>
      <c r="J750" t="s">
        <v>154</v>
      </c>
      <c r="K750" s="34">
        <f t="shared" si="102"/>
        <v>12500000</v>
      </c>
    </row>
    <row r="751" spans="1:11" hidden="1">
      <c r="A751" s="50" t="str">
        <f t="shared" si="90"/>
        <v xml:space="preserve">By. Biaya </v>
      </c>
      <c r="B751" s="215">
        <v>46120</v>
      </c>
      <c r="C751" s="212" t="s">
        <v>427</v>
      </c>
      <c r="D751" s="51" t="s">
        <v>1671</v>
      </c>
      <c r="F751" s="52">
        <f>IF(G751="","",INDEX(COA!$A$4:$A$123,MATCH(JU!$G751,COA!$B$4:$B$123,0)))</f>
        <v>6112</v>
      </c>
      <c r="G751" t="s">
        <v>205</v>
      </c>
      <c r="H751" s="216">
        <v>180000</v>
      </c>
      <c r="I751" s="52">
        <f>IF(J751="","",INDEX(COA!$A$4:$A$123,MATCH(JU!$J751,COA!$B$4:$B$123,0)))</f>
        <v>1103</v>
      </c>
      <c r="J751" t="s">
        <v>154</v>
      </c>
      <c r="K751" s="34">
        <f t="shared" si="102"/>
        <v>180000</v>
      </c>
    </row>
    <row r="752" spans="1:11" hidden="1">
      <c r="A752" s="50" t="str">
        <f t="shared" si="90"/>
        <v xml:space="preserve">By. Biaya </v>
      </c>
      <c r="B752" s="215">
        <v>46120</v>
      </c>
      <c r="C752" s="212" t="s">
        <v>1491</v>
      </c>
      <c r="D752" s="51" t="s">
        <v>1672</v>
      </c>
      <c r="F752" s="52">
        <f>IF(G752="","",INDEX(COA!$A$4:$A$123,MATCH(JU!$G752,COA!$B$4:$B$123,0)))</f>
        <v>1302</v>
      </c>
      <c r="G752" t="s">
        <v>31</v>
      </c>
      <c r="H752" s="216">
        <v>850000</v>
      </c>
      <c r="I752" s="52">
        <f>IF(J752="","",INDEX(COA!$A$4:$A$123,MATCH(JU!$J752,COA!$B$4:$B$123,0)))</f>
        <v>1103</v>
      </c>
      <c r="J752" t="s">
        <v>154</v>
      </c>
      <c r="K752" s="34">
        <f t="shared" si="102"/>
        <v>850000</v>
      </c>
    </row>
    <row r="753" spans="1:11" hidden="1">
      <c r="A753" s="50" t="str">
        <f t="shared" si="90"/>
        <v xml:space="preserve">By. Biaya </v>
      </c>
      <c r="B753" s="215">
        <v>46120</v>
      </c>
      <c r="C753" s="212" t="s">
        <v>1492</v>
      </c>
      <c r="D753" s="51" t="s">
        <v>1673</v>
      </c>
      <c r="F753" s="52">
        <f>IF(G753="","",INDEX(COA!$A$4:$A$123,MATCH(JU!$G753,COA!$B$4:$B$123,0)))</f>
        <v>6112</v>
      </c>
      <c r="G753" t="s">
        <v>205</v>
      </c>
      <c r="H753" s="216">
        <v>75000</v>
      </c>
      <c r="I753" s="52">
        <f>IF(J753="","",INDEX(COA!$A$4:$A$123,MATCH(JU!$J753,COA!$B$4:$B$123,0)))</f>
        <v>1103</v>
      </c>
      <c r="J753" t="s">
        <v>154</v>
      </c>
      <c r="K753" s="34">
        <f t="shared" si="102"/>
        <v>75000</v>
      </c>
    </row>
    <row r="754" spans="1:11" hidden="1">
      <c r="A754" s="50" t="str">
        <f t="shared" si="90"/>
        <v xml:space="preserve">By. Biaya </v>
      </c>
      <c r="B754" s="215">
        <v>46120</v>
      </c>
      <c r="C754" s="212" t="s">
        <v>1493</v>
      </c>
      <c r="D754" s="51" t="s">
        <v>1674</v>
      </c>
      <c r="F754" s="52">
        <f>IF(G754="","",INDEX(COA!$A$4:$A$123,MATCH(JU!$G754,COA!$B$4:$B$123,0)))</f>
        <v>1302</v>
      </c>
      <c r="G754" t="s">
        <v>31</v>
      </c>
      <c r="H754" s="216">
        <v>8100000</v>
      </c>
      <c r="I754" s="52">
        <f>IF(J754="","",INDEX(COA!$A$4:$A$123,MATCH(JU!$J754,COA!$B$4:$B$123,0)))</f>
        <v>1103</v>
      </c>
      <c r="J754" t="s">
        <v>154</v>
      </c>
      <c r="K754" s="34">
        <f t="shared" si="102"/>
        <v>8100000</v>
      </c>
    </row>
    <row r="755" spans="1:11" hidden="1">
      <c r="A755" s="50" t="str">
        <f t="shared" si="90"/>
        <v xml:space="preserve">Terima Uang Masuk atas </v>
      </c>
      <c r="B755" s="215">
        <v>46121</v>
      </c>
      <c r="C755" s="212" t="s">
        <v>428</v>
      </c>
      <c r="D755" s="51" t="s">
        <v>519</v>
      </c>
      <c r="F755" s="52">
        <f>IF(G755="","",INDEX(COA!$A$4:$A$123,MATCH(JU!$G755,COA!$B$4:$B$123,0)))</f>
        <v>1103</v>
      </c>
      <c r="G755" t="s">
        <v>154</v>
      </c>
      <c r="H755" s="216">
        <v>574172500</v>
      </c>
      <c r="I755" s="52" t="str">
        <f>IF(J755="","",INDEX(COA!$A$4:$A$123,MATCH(JU!$J755,COA!$B$4:$B$123,0)))</f>
        <v>2107</v>
      </c>
      <c r="J755" t="s">
        <v>50</v>
      </c>
      <c r="K755" s="34">
        <f t="shared" si="102"/>
        <v>574172500</v>
      </c>
    </row>
    <row r="756" spans="1:11" hidden="1">
      <c r="A756" s="50" t="str">
        <f t="shared" si="90"/>
        <v xml:space="preserve">Terima Uang Masuk atas </v>
      </c>
      <c r="B756" s="215">
        <v>46121</v>
      </c>
      <c r="C756" s="212" t="s">
        <v>428</v>
      </c>
      <c r="D756" s="51" t="s">
        <v>519</v>
      </c>
      <c r="F756" s="52">
        <f>IF(G756="","",INDEX(COA!$A$4:$A$123,MATCH(JU!$G756,COA!$B$4:$B$123,0)))</f>
        <v>1103</v>
      </c>
      <c r="G756" t="s">
        <v>154</v>
      </c>
      <c r="H756" s="216">
        <v>574172500</v>
      </c>
      <c r="I756" s="52" t="str">
        <f>IF(J756="","",INDEX(COA!$A$4:$A$123,MATCH(JU!$J756,COA!$B$4:$B$123,0)))</f>
        <v>2107</v>
      </c>
      <c r="J756" t="s">
        <v>50</v>
      </c>
      <c r="K756" s="34">
        <f t="shared" si="102"/>
        <v>574172500</v>
      </c>
    </row>
    <row r="757" spans="1:11" hidden="1">
      <c r="A757" s="50" t="str">
        <f t="shared" si="90"/>
        <v xml:space="preserve">By. Biaya </v>
      </c>
      <c r="B757" s="215">
        <v>46121</v>
      </c>
      <c r="C757" s="212" t="s">
        <v>428</v>
      </c>
      <c r="D757" s="51" t="s">
        <v>412</v>
      </c>
      <c r="F757" s="52" t="str">
        <f>IF(G757="","",INDEX(COA!$A$4:$A$123,MATCH(JU!$G757,COA!$B$4:$B$123,0)))</f>
        <v>2107</v>
      </c>
      <c r="G757" t="s">
        <v>50</v>
      </c>
      <c r="H757" s="216">
        <v>893748028</v>
      </c>
      <c r="I757" s="52">
        <f>IF(J757="","",INDEX(COA!$A$4:$A$123,MATCH(JU!$J757,COA!$B$4:$B$123,0)))</f>
        <v>1103</v>
      </c>
      <c r="J757" t="s">
        <v>154</v>
      </c>
      <c r="K757" s="34">
        <f t="shared" si="102"/>
        <v>893748028</v>
      </c>
    </row>
    <row r="758" spans="1:11" s="229" customFormat="1" hidden="1">
      <c r="A758" s="228" t="str">
        <f t="shared" si="90"/>
        <v xml:space="preserve">By. Biaya </v>
      </c>
      <c r="B758" s="255">
        <v>46121</v>
      </c>
      <c r="C758" s="212" t="s">
        <v>428</v>
      </c>
      <c r="D758" s="262" t="s">
        <v>412</v>
      </c>
      <c r="F758" s="230" t="str">
        <f>IF(G758="","",INDEX(COA!$A$4:$A$123,MATCH(JU!$G758,COA!$B$4:$B$123,0)))</f>
        <v>2107</v>
      </c>
      <c r="G758" s="229" t="s">
        <v>50</v>
      </c>
      <c r="H758" s="231">
        <v>254596972</v>
      </c>
      <c r="I758" s="230">
        <f>IF(J758="","",INDEX(COA!$A$4:$A$123,MATCH(JU!$J758,COA!$B$4:$B$123,0)))</f>
        <v>1103</v>
      </c>
      <c r="J758" s="229" t="s">
        <v>154</v>
      </c>
      <c r="K758" s="232">
        <f t="shared" si="102"/>
        <v>254596972</v>
      </c>
    </row>
    <row r="759" spans="1:11" hidden="1">
      <c r="A759" s="50" t="str">
        <f t="shared" si="90"/>
        <v xml:space="preserve">Terima Uang Masuk atas </v>
      </c>
      <c r="B759" s="215">
        <v>46121</v>
      </c>
      <c r="C759" s="212" t="s">
        <v>1494</v>
      </c>
      <c r="D759" s="51" t="s">
        <v>1675</v>
      </c>
      <c r="F759" s="52">
        <f>IF(G759="","",INDEX(COA!$A$4:$A$123,MATCH(JU!$G759,COA!$B$4:$B$123,0)))</f>
        <v>1103</v>
      </c>
      <c r="G759" t="s">
        <v>154</v>
      </c>
      <c r="H759" s="216">
        <v>8000000</v>
      </c>
      <c r="I759" s="52">
        <f>IF(J759="","",INDEX(COA!$A$4:$A$123,MATCH(JU!$J759,COA!$B$4:$B$123,0)))</f>
        <v>4102</v>
      </c>
      <c r="J759" t="s">
        <v>62</v>
      </c>
      <c r="K759" s="34">
        <f t="shared" si="102"/>
        <v>8000000</v>
      </c>
    </row>
    <row r="760" spans="1:11" hidden="1">
      <c r="A760" s="50" t="str">
        <f t="shared" si="90"/>
        <v xml:space="preserve">By. Biaya </v>
      </c>
      <c r="B760" s="215">
        <v>46122</v>
      </c>
      <c r="C760" s="212" t="s">
        <v>429</v>
      </c>
      <c r="D760" s="51" t="s">
        <v>1676</v>
      </c>
      <c r="F760" s="52">
        <f>IF(G760="","",INDEX(COA!$A$4:$A$123,MATCH(JU!$G760,COA!$B$4:$B$123,0)))</f>
        <v>6111</v>
      </c>
      <c r="G760" t="s">
        <v>150</v>
      </c>
      <c r="H760" s="216">
        <v>16751000</v>
      </c>
      <c r="I760" s="52">
        <f>IF(J760="","",INDEX(COA!$A$4:$A$123,MATCH(JU!$J760,COA!$B$4:$B$123,0)))</f>
        <v>1103</v>
      </c>
      <c r="J760" t="s">
        <v>154</v>
      </c>
      <c r="K760" s="34">
        <f t="shared" si="102"/>
        <v>16751000</v>
      </c>
    </row>
    <row r="761" spans="1:11" hidden="1">
      <c r="A761" s="50" t="str">
        <f t="shared" si="90"/>
        <v xml:space="preserve">By. Biaya </v>
      </c>
      <c r="B761" s="215">
        <v>46122</v>
      </c>
      <c r="C761" s="212" t="s">
        <v>305</v>
      </c>
      <c r="D761" s="51" t="s">
        <v>333</v>
      </c>
      <c r="F761" s="52" t="str">
        <f>IF(G761="","",INDEX(COA!$A$4:$A$123,MATCH(JU!$G761,COA!$B$4:$B$123,0)))</f>
        <v>6303</v>
      </c>
      <c r="G761" t="s">
        <v>87</v>
      </c>
      <c r="H761" s="216">
        <v>2500</v>
      </c>
      <c r="I761" s="52">
        <f>IF(J761="","",INDEX(COA!$A$4:$A$123,MATCH(JU!$J761,COA!$B$4:$B$123,0)))</f>
        <v>1103</v>
      </c>
      <c r="J761" t="s">
        <v>154</v>
      </c>
      <c r="K761" s="34">
        <f t="shared" si="102"/>
        <v>2500</v>
      </c>
    </row>
    <row r="762" spans="1:11" hidden="1">
      <c r="A762" s="50" t="str">
        <f t="shared" si="90"/>
        <v xml:space="preserve">Terima Uang Masuk atas </v>
      </c>
      <c r="B762" s="215">
        <v>46122</v>
      </c>
      <c r="C762" s="213" t="s">
        <v>1495</v>
      </c>
      <c r="D762" s="51" t="s">
        <v>1677</v>
      </c>
      <c r="F762" s="52">
        <f>IF(G762="","",INDEX(COA!$A$4:$A$123,MATCH(JU!$G762,COA!$B$4:$B$123,0)))</f>
        <v>1103</v>
      </c>
      <c r="G762" t="s">
        <v>154</v>
      </c>
      <c r="H762" s="216">
        <v>10000000</v>
      </c>
      <c r="I762" s="52">
        <f>IF(J762="","",INDEX(COA!$A$4:$A$123,MATCH(JU!$J762,COA!$B$4:$B$123,0)))</f>
        <v>1203</v>
      </c>
      <c r="J762" t="s">
        <v>140</v>
      </c>
      <c r="K762" s="34">
        <f t="shared" si="102"/>
        <v>10000000</v>
      </c>
    </row>
    <row r="763" spans="1:11" hidden="1">
      <c r="A763" s="50" t="str">
        <f t="shared" si="90"/>
        <v xml:space="preserve">By. Biaya </v>
      </c>
      <c r="B763" s="215">
        <v>46122</v>
      </c>
      <c r="C763" s="212" t="s">
        <v>430</v>
      </c>
      <c r="D763" s="51" t="s">
        <v>1678</v>
      </c>
      <c r="F763" s="52">
        <f>IF(G763="","",INDEX(COA!$A$4:$A$123,MATCH(JU!$G763,COA!$B$4:$B$123,0)))</f>
        <v>6111</v>
      </c>
      <c r="G763" t="s">
        <v>150</v>
      </c>
      <c r="H763" s="216">
        <v>1935000</v>
      </c>
      <c r="I763" s="52">
        <f>IF(J763="","",INDEX(COA!$A$4:$A$123,MATCH(JU!$J763,COA!$B$4:$B$123,0)))</f>
        <v>1103</v>
      </c>
      <c r="J763" t="s">
        <v>154</v>
      </c>
      <c r="K763" s="34">
        <f t="shared" si="102"/>
        <v>1935000</v>
      </c>
    </row>
    <row r="764" spans="1:11" hidden="1">
      <c r="A764" s="50" t="str">
        <f t="shared" si="90"/>
        <v xml:space="preserve">By. Biaya </v>
      </c>
      <c r="B764" s="215">
        <v>46122</v>
      </c>
      <c r="C764" s="212" t="s">
        <v>305</v>
      </c>
      <c r="D764" s="51" t="s">
        <v>333</v>
      </c>
      <c r="F764" s="52" t="str">
        <f>IF(G764="","",INDEX(COA!$A$4:$A$123,MATCH(JU!$G764,COA!$B$4:$B$123,0)))</f>
        <v>6303</v>
      </c>
      <c r="G764" t="s">
        <v>87</v>
      </c>
      <c r="H764" s="216">
        <v>2500</v>
      </c>
      <c r="I764" s="52">
        <f>IF(J764="","",INDEX(COA!$A$4:$A$123,MATCH(JU!$J764,COA!$B$4:$B$123,0)))</f>
        <v>1103</v>
      </c>
      <c r="J764" t="s">
        <v>154</v>
      </c>
      <c r="K764" s="34">
        <f t="shared" si="102"/>
        <v>2500</v>
      </c>
    </row>
    <row r="765" spans="1:11" hidden="1">
      <c r="A765" s="50" t="str">
        <f t="shared" si="90"/>
        <v xml:space="preserve">Terima Uang Masuk atas </v>
      </c>
      <c r="B765" s="215">
        <v>46122</v>
      </c>
      <c r="C765" s="212" t="s">
        <v>428</v>
      </c>
      <c r="D765" s="51" t="s">
        <v>519</v>
      </c>
      <c r="F765" s="52">
        <f>IF(G765="","",INDEX(COA!$A$4:$A$123,MATCH(JU!$G765,COA!$B$4:$B$123,0)))</f>
        <v>1103</v>
      </c>
      <c r="G765" t="s">
        <v>154</v>
      </c>
      <c r="H765" s="216">
        <v>230972500</v>
      </c>
      <c r="I765" s="52" t="str">
        <f>IF(J765="","",INDEX(COA!$A$4:$A$123,MATCH(JU!$J765,COA!$B$4:$B$123,0)))</f>
        <v>2107</v>
      </c>
      <c r="J765" t="s">
        <v>50</v>
      </c>
      <c r="K765" s="34">
        <f t="shared" si="102"/>
        <v>230972500</v>
      </c>
    </row>
    <row r="766" spans="1:11" hidden="1">
      <c r="A766" s="50" t="str">
        <f t="shared" si="90"/>
        <v xml:space="preserve">Terima Uang Masuk atas </v>
      </c>
      <c r="B766" s="215">
        <v>46122</v>
      </c>
      <c r="C766" s="212" t="s">
        <v>428</v>
      </c>
      <c r="D766" s="51" t="s">
        <v>519</v>
      </c>
      <c r="F766" s="52">
        <f>IF(G766="","",INDEX(COA!$A$4:$A$123,MATCH(JU!$G766,COA!$B$4:$B$123,0)))</f>
        <v>1103</v>
      </c>
      <c r="G766" t="s">
        <v>154</v>
      </c>
      <c r="H766" s="216">
        <v>230972500</v>
      </c>
      <c r="I766" s="52" t="str">
        <f>IF(J766="","",INDEX(COA!$A$4:$A$123,MATCH(JU!$J766,COA!$B$4:$B$123,0)))</f>
        <v>2107</v>
      </c>
      <c r="J766" t="s">
        <v>50</v>
      </c>
      <c r="K766" s="34">
        <f t="shared" si="102"/>
        <v>230972500</v>
      </c>
    </row>
    <row r="767" spans="1:11" hidden="1">
      <c r="A767" s="50" t="str">
        <f t="shared" si="90"/>
        <v xml:space="preserve">By. Biaya </v>
      </c>
      <c r="B767" s="215">
        <v>46122</v>
      </c>
      <c r="C767" s="212" t="s">
        <v>431</v>
      </c>
      <c r="D767" s="51" t="s">
        <v>374</v>
      </c>
      <c r="F767" s="52" t="str">
        <f>IF(G767="","",INDEX(COA!$A$4:$A$123,MATCH(JU!$G767,COA!$B$4:$B$123,0)))</f>
        <v>2107</v>
      </c>
      <c r="G767" t="s">
        <v>50</v>
      </c>
      <c r="H767" s="216">
        <v>27000000</v>
      </c>
      <c r="I767" s="52">
        <f>IF(J767="","",INDEX(COA!$A$4:$A$123,MATCH(JU!$J767,COA!$B$4:$B$123,0)))</f>
        <v>1103</v>
      </c>
      <c r="J767" t="s">
        <v>154</v>
      </c>
      <c r="K767" s="34">
        <f t="shared" si="102"/>
        <v>27000000</v>
      </c>
    </row>
    <row r="768" spans="1:11" hidden="1">
      <c r="A768" s="50" t="str">
        <f t="shared" si="90"/>
        <v xml:space="preserve">By. Biaya </v>
      </c>
      <c r="B768" s="215">
        <v>46122</v>
      </c>
      <c r="C768" s="212" t="s">
        <v>305</v>
      </c>
      <c r="D768" s="51" t="s">
        <v>333</v>
      </c>
      <c r="F768" s="52" t="str">
        <f>IF(G768="","",INDEX(COA!$A$4:$A$123,MATCH(JU!$G768,COA!$B$4:$B$123,0)))</f>
        <v>6303</v>
      </c>
      <c r="G768" t="s">
        <v>87</v>
      </c>
      <c r="H768" s="216">
        <v>2500</v>
      </c>
      <c r="I768" s="52">
        <f>IF(J768="","",INDEX(COA!$A$4:$A$123,MATCH(JU!$J768,COA!$B$4:$B$123,0)))</f>
        <v>1103</v>
      </c>
      <c r="J768" t="s">
        <v>154</v>
      </c>
      <c r="K768" s="34">
        <f t="shared" si="102"/>
        <v>2500</v>
      </c>
    </row>
    <row r="769" spans="1:11" hidden="1">
      <c r="A769" s="50" t="str">
        <f t="shared" ref="A769:A840" si="109">IF(G769="BRI 568","Terima Uang Masuk atas ","By. Biaya ")</f>
        <v xml:space="preserve">Terima Uang Masuk atas </v>
      </c>
      <c r="B769" s="215">
        <v>46122</v>
      </c>
      <c r="C769" s="212" t="s">
        <v>432</v>
      </c>
      <c r="D769" s="51" t="s">
        <v>1679</v>
      </c>
      <c r="F769" s="52">
        <f>IF(G769="","",INDEX(COA!$A$4:$A$123,MATCH(JU!$G769,COA!$B$4:$B$123,0)))</f>
        <v>1103</v>
      </c>
      <c r="G769" t="s">
        <v>154</v>
      </c>
      <c r="H769" s="216">
        <v>5000000</v>
      </c>
      <c r="I769" s="52" t="str">
        <f>IF(J769="","",INDEX(COA!$A$4:$A$123,MATCH(JU!$J769,COA!$B$4:$B$123,0)))</f>
        <v>2107</v>
      </c>
      <c r="J769" t="s">
        <v>50</v>
      </c>
      <c r="K769" s="34">
        <f t="shared" si="102"/>
        <v>5000000</v>
      </c>
    </row>
    <row r="770" spans="1:11" hidden="1">
      <c r="A770" s="50" t="str">
        <f t="shared" si="109"/>
        <v xml:space="preserve">Terima Uang Masuk atas </v>
      </c>
      <c r="B770" s="215">
        <v>46122</v>
      </c>
      <c r="C770" s="212" t="s">
        <v>428</v>
      </c>
      <c r="D770" s="51" t="s">
        <v>519</v>
      </c>
      <c r="F770" s="52">
        <f>IF(G770="","",INDEX(COA!$A$4:$A$123,MATCH(JU!$G770,COA!$B$4:$B$123,0)))</f>
        <v>1103</v>
      </c>
      <c r="G770" t="s">
        <v>154</v>
      </c>
      <c r="H770" s="216">
        <v>230972500</v>
      </c>
      <c r="I770" s="52" t="str">
        <f>IF(J770="","",INDEX(COA!$A$4:$A$123,MATCH(JU!$J770,COA!$B$4:$B$123,0)))</f>
        <v>2107</v>
      </c>
      <c r="J770" t="s">
        <v>50</v>
      </c>
      <c r="K770" s="34">
        <f t="shared" si="102"/>
        <v>230972500</v>
      </c>
    </row>
    <row r="771" spans="1:11" hidden="1">
      <c r="A771" s="50" t="str">
        <f t="shared" si="109"/>
        <v xml:space="preserve">By. Biaya </v>
      </c>
      <c r="B771" s="215">
        <v>46122</v>
      </c>
      <c r="C771" s="212" t="s">
        <v>1496</v>
      </c>
      <c r="D771" s="51" t="s">
        <v>1680</v>
      </c>
      <c r="F771" s="52" t="str">
        <f>IF(G771="","",INDEX(COA!$A$4:$A$123,MATCH(JU!$G771,COA!$B$4:$B$123,0)))</f>
        <v>2107</v>
      </c>
      <c r="G771" t="s">
        <v>50</v>
      </c>
      <c r="H771" s="216">
        <v>5000000</v>
      </c>
      <c r="I771" s="52">
        <f>IF(J771="","",INDEX(COA!$A$4:$A$123,MATCH(JU!$J771,COA!$B$4:$B$123,0)))</f>
        <v>1103</v>
      </c>
      <c r="J771" t="s">
        <v>154</v>
      </c>
      <c r="K771" s="34">
        <f t="shared" si="102"/>
        <v>5000000</v>
      </c>
    </row>
    <row r="772" spans="1:11" hidden="1">
      <c r="A772" s="50" t="str">
        <f t="shared" si="109"/>
        <v xml:space="preserve">By. Biaya </v>
      </c>
      <c r="B772" s="215">
        <v>46122</v>
      </c>
      <c r="C772" s="212" t="s">
        <v>1497</v>
      </c>
      <c r="D772" s="51" t="s">
        <v>1681</v>
      </c>
      <c r="F772" s="52" t="str">
        <f>IF(G772="","",INDEX(COA!$A$4:$A$123,MATCH(JU!$G772,COA!$B$4:$B$123,0)))</f>
        <v>6201</v>
      </c>
      <c r="G772" t="s">
        <v>81</v>
      </c>
      <c r="H772" s="216">
        <v>1000000</v>
      </c>
      <c r="I772" s="52">
        <f>IF(J772="","",INDEX(COA!$A$4:$A$123,MATCH(JU!$J772,COA!$B$4:$B$123,0)))</f>
        <v>1103</v>
      </c>
      <c r="J772" t="s">
        <v>154</v>
      </c>
      <c r="K772" s="34">
        <f t="shared" si="102"/>
        <v>1000000</v>
      </c>
    </row>
    <row r="773" spans="1:11" hidden="1">
      <c r="A773" s="50" t="str">
        <f t="shared" si="109"/>
        <v xml:space="preserve">By. Biaya </v>
      </c>
      <c r="B773" s="215">
        <v>46122</v>
      </c>
      <c r="C773" s="212" t="s">
        <v>305</v>
      </c>
      <c r="D773" s="51" t="s">
        <v>333</v>
      </c>
      <c r="F773" s="52" t="str">
        <f>IF(G773="","",INDEX(COA!$A$4:$A$123,MATCH(JU!$G773,COA!$B$4:$B$123,0)))</f>
        <v>6303</v>
      </c>
      <c r="G773" t="s">
        <v>87</v>
      </c>
      <c r="H773" s="216">
        <v>2500</v>
      </c>
      <c r="I773" s="52">
        <f>IF(J773="","",INDEX(COA!$A$4:$A$123,MATCH(JU!$J773,COA!$B$4:$B$123,0)))</f>
        <v>1103</v>
      </c>
      <c r="J773" t="s">
        <v>154</v>
      </c>
      <c r="K773" s="34">
        <f t="shared" si="102"/>
        <v>2500</v>
      </c>
    </row>
    <row r="774" spans="1:11" hidden="1">
      <c r="A774" s="50" t="str">
        <f t="shared" si="109"/>
        <v xml:space="preserve">By. Biaya </v>
      </c>
      <c r="B774" s="215">
        <v>46122</v>
      </c>
      <c r="C774" s="212" t="s">
        <v>428</v>
      </c>
      <c r="D774" s="51" t="s">
        <v>412</v>
      </c>
      <c r="F774" s="52" t="str">
        <f>IF(G774="","",INDEX(COA!$A$4:$A$123,MATCH(JU!$G774,COA!$B$4:$B$123,0)))</f>
        <v>2107</v>
      </c>
      <c r="G774" t="s">
        <v>50</v>
      </c>
      <c r="H774" s="216">
        <v>524092816</v>
      </c>
      <c r="I774" s="52">
        <f>IF(J774="","",INDEX(COA!$A$4:$A$123,MATCH(JU!$J774,COA!$B$4:$B$123,0)))</f>
        <v>1103</v>
      </c>
      <c r="J774" t="s">
        <v>154</v>
      </c>
      <c r="K774" s="34">
        <f t="shared" si="102"/>
        <v>524092816</v>
      </c>
    </row>
    <row r="775" spans="1:11" hidden="1">
      <c r="A775" s="50" t="str">
        <f t="shared" si="109"/>
        <v xml:space="preserve">By. Biaya </v>
      </c>
      <c r="B775" s="215">
        <v>46122</v>
      </c>
      <c r="C775" s="212" t="s">
        <v>428</v>
      </c>
      <c r="D775" s="51" t="s">
        <v>412</v>
      </c>
      <c r="F775" s="52" t="str">
        <f>IF(G775="","",INDEX(COA!$A$4:$A$123,MATCH(JU!$G775,COA!$B$4:$B$123,0)))</f>
        <v>2107</v>
      </c>
      <c r="G775" t="s">
        <v>50</v>
      </c>
      <c r="H775" s="216">
        <v>168824684</v>
      </c>
      <c r="I775" s="52">
        <f>IF(J775="","",INDEX(COA!$A$4:$A$123,MATCH(JU!$J775,COA!$B$4:$B$123,0)))</f>
        <v>1103</v>
      </c>
      <c r="J775" t="s">
        <v>154</v>
      </c>
      <c r="K775" s="34">
        <f t="shared" si="102"/>
        <v>168824684</v>
      </c>
    </row>
    <row r="776" spans="1:11" hidden="1">
      <c r="A776" s="50" t="str">
        <f t="shared" si="109"/>
        <v xml:space="preserve">Terima Uang Masuk atas </v>
      </c>
      <c r="B776" s="215">
        <v>46122</v>
      </c>
      <c r="C776" s="211" t="s">
        <v>1498</v>
      </c>
      <c r="D776" s="51" t="s">
        <v>1682</v>
      </c>
      <c r="F776" s="52">
        <f>IF(G776="","",INDEX(COA!$A$4:$A$123,MATCH(JU!$G776,COA!$B$4:$B$123,0)))</f>
        <v>1103</v>
      </c>
      <c r="G776" t="s">
        <v>154</v>
      </c>
      <c r="H776" s="216">
        <v>10000000</v>
      </c>
      <c r="I776" s="52">
        <f>IF(J776="","",INDEX(COA!$A$4:$A$123,MATCH(JU!$J776,COA!$B$4:$B$123,0)))</f>
        <v>4102</v>
      </c>
      <c r="J776" t="s">
        <v>62</v>
      </c>
      <c r="K776" s="34">
        <f t="shared" si="102"/>
        <v>10000000</v>
      </c>
    </row>
    <row r="777" spans="1:11" hidden="1">
      <c r="A777" s="50" t="str">
        <f t="shared" si="109"/>
        <v xml:space="preserve">By. Biaya </v>
      </c>
      <c r="B777" s="215">
        <v>46123</v>
      </c>
      <c r="C777" s="212" t="s">
        <v>1499</v>
      </c>
      <c r="D777" s="51" t="s">
        <v>1683</v>
      </c>
      <c r="F777" s="52">
        <f>IF(G777="","",INDEX(COA!$A$4:$A$123,MATCH(JU!$G777,COA!$B$4:$B$123,0)))</f>
        <v>1302</v>
      </c>
      <c r="G777" t="s">
        <v>31</v>
      </c>
      <c r="H777" s="216">
        <v>4590000</v>
      </c>
      <c r="I777" s="52">
        <f>IF(J777="","",INDEX(COA!$A$4:$A$123,MATCH(JU!$J777,COA!$B$4:$B$123,0)))</f>
        <v>1103</v>
      </c>
      <c r="J777" t="s">
        <v>154</v>
      </c>
      <c r="K777" s="34">
        <f t="shared" si="102"/>
        <v>4590000</v>
      </c>
    </row>
    <row r="778" spans="1:11" hidden="1">
      <c r="A778" s="50" t="str">
        <f t="shared" si="109"/>
        <v xml:space="preserve">Terima Uang Masuk atas </v>
      </c>
      <c r="B778" s="215">
        <v>46123</v>
      </c>
      <c r="C778" s="212" t="s">
        <v>1500</v>
      </c>
      <c r="D778" s="51" t="s">
        <v>1684</v>
      </c>
      <c r="F778" s="52">
        <f>IF(G778="","",INDEX(COA!$A$4:$A$123,MATCH(JU!$G778,COA!$B$4:$B$123,0)))</f>
        <v>1103</v>
      </c>
      <c r="G778" t="s">
        <v>154</v>
      </c>
      <c r="H778" s="216">
        <v>100000000</v>
      </c>
      <c r="I778" s="52">
        <f>IF(J778="","",INDEX(COA!$A$4:$A$123,MATCH(JU!$J778,COA!$B$4:$B$123,0)))</f>
        <v>1108</v>
      </c>
      <c r="J778" t="s">
        <v>155</v>
      </c>
      <c r="K778" s="34">
        <f t="shared" si="102"/>
        <v>100000000</v>
      </c>
    </row>
    <row r="779" spans="1:11" hidden="1">
      <c r="A779" s="50" t="str">
        <f t="shared" si="109"/>
        <v xml:space="preserve">By. Biaya </v>
      </c>
      <c r="B779" s="215">
        <v>46123</v>
      </c>
      <c r="C779" s="212" t="s">
        <v>645</v>
      </c>
      <c r="D779" s="51" t="s">
        <v>728</v>
      </c>
      <c r="F779" s="52">
        <f>IF(G779="","",INDEX(COA!$A$4:$A$123,MATCH(JU!$G779,COA!$B$4:$B$123,0)))</f>
        <v>1302</v>
      </c>
      <c r="G779" t="s">
        <v>31</v>
      </c>
      <c r="H779" s="216">
        <v>50000000</v>
      </c>
      <c r="I779" s="52">
        <f>IF(J779="","",INDEX(COA!$A$4:$A$123,MATCH(JU!$J779,COA!$B$4:$B$123,0)))</f>
        <v>1103</v>
      </c>
      <c r="J779" t="s">
        <v>154</v>
      </c>
      <c r="K779" s="34">
        <f t="shared" si="102"/>
        <v>50000000</v>
      </c>
    </row>
    <row r="780" spans="1:11" hidden="1">
      <c r="A780" s="50" t="str">
        <f t="shared" ref="A780" si="110">IF(G780="BRI 568","Terima Uang Masuk atas ","By. Biaya ")</f>
        <v xml:space="preserve">By. Biaya </v>
      </c>
      <c r="B780" s="215">
        <v>46123</v>
      </c>
      <c r="C780" s="212" t="s">
        <v>433</v>
      </c>
      <c r="D780" s="218" t="s">
        <v>2364</v>
      </c>
      <c r="F780" s="52">
        <f>IF(G780="","",INDEX(COA!$A$4:$A$123,MATCH(JU!$G780,COA!$B$4:$B$123,0)))</f>
        <v>1411</v>
      </c>
      <c r="G780" t="s">
        <v>43</v>
      </c>
      <c r="H780" s="216">
        <v>284320000</v>
      </c>
      <c r="I780" s="52" t="str">
        <f>IF(J780="","",INDEX(COA!$A$4:$A$123,MATCH(JU!$J780,COA!$B$4:$B$123,0)))</f>
        <v>2108</v>
      </c>
      <c r="J780" t="s">
        <v>51</v>
      </c>
      <c r="K780" s="34">
        <f t="shared" ref="K780" si="111">IF(H780="","",H780)</f>
        <v>284320000</v>
      </c>
    </row>
    <row r="781" spans="1:11" hidden="1">
      <c r="A781" s="50" t="str">
        <f t="shared" si="109"/>
        <v xml:space="preserve">By. Biaya </v>
      </c>
      <c r="B781" s="215">
        <v>46123</v>
      </c>
      <c r="C781" s="212" t="s">
        <v>433</v>
      </c>
      <c r="D781" s="51" t="s">
        <v>2365</v>
      </c>
      <c r="F781" s="52" t="str">
        <f>IF(G781="","",INDEX(COA!$A$4:$A$123,MATCH(JU!$G781,COA!$B$4:$B$123,0)))</f>
        <v>2108</v>
      </c>
      <c r="G781" t="s">
        <v>51</v>
      </c>
      <c r="H781" s="216">
        <v>22066400</v>
      </c>
      <c r="I781" s="52">
        <f>IF(J781="","",INDEX(COA!$A$4:$A$123,MATCH(JU!$J781,COA!$B$4:$B$123,0)))</f>
        <v>1103</v>
      </c>
      <c r="J781" t="s">
        <v>154</v>
      </c>
      <c r="K781" s="34">
        <f t="shared" si="102"/>
        <v>22066400</v>
      </c>
    </row>
    <row r="782" spans="1:11">
      <c r="A782" s="50" t="str">
        <f t="shared" si="109"/>
        <v xml:space="preserve">By. Biaya </v>
      </c>
      <c r="B782" s="215">
        <v>46125</v>
      </c>
      <c r="C782" s="212" t="s">
        <v>1501</v>
      </c>
      <c r="D782" s="51" t="s">
        <v>1685</v>
      </c>
      <c r="F782" s="52">
        <f>IF(G782="","",INDEX(COA!$A$4:$A$123,MATCH(JU!$G782,COA!$B$4:$B$123,0)))</f>
        <v>1302</v>
      </c>
      <c r="G782" t="s">
        <v>31</v>
      </c>
      <c r="H782" s="216">
        <v>10000000</v>
      </c>
      <c r="I782" s="52">
        <f>IF(J782="","",INDEX(COA!$A$4:$A$123,MATCH(JU!$J782,COA!$B$4:$B$123,0)))</f>
        <v>1103</v>
      </c>
      <c r="J782" t="s">
        <v>154</v>
      </c>
      <c r="K782" s="34">
        <f t="shared" si="102"/>
        <v>10000000</v>
      </c>
    </row>
    <row r="783" spans="1:11" s="229" customFormat="1" hidden="1">
      <c r="A783" s="228" t="str">
        <f t="shared" ref="A783" si="112">IF(G783="BRI 568","Terima Uang Masuk atas ","By. Biaya ")</f>
        <v xml:space="preserve">By. Biaya </v>
      </c>
      <c r="B783" s="255">
        <v>46125</v>
      </c>
      <c r="C783" s="212" t="s">
        <v>1502</v>
      </c>
      <c r="D783" s="262" t="s">
        <v>1686</v>
      </c>
      <c r="F783" s="230" t="str">
        <f>IF(G783="","",INDEX(COA!$A$4:$A$123,MATCH(JU!$G783,COA!$B$4:$B$123,0)))</f>
        <v>6201</v>
      </c>
      <c r="G783" s="229" t="s">
        <v>81</v>
      </c>
      <c r="H783" s="231">
        <v>54000</v>
      </c>
      <c r="I783" s="230">
        <f>IF(J783="","",INDEX(COA!$A$4:$A$123,MATCH(JU!$J783,COA!$B$4:$B$123,0)))</f>
        <v>1103</v>
      </c>
      <c r="J783" s="229" t="s">
        <v>154</v>
      </c>
      <c r="K783" s="232">
        <f t="shared" si="102"/>
        <v>54000</v>
      </c>
    </row>
    <row r="784" spans="1:11" hidden="1">
      <c r="A784" s="50" t="str">
        <f t="shared" si="109"/>
        <v xml:space="preserve">By. Biaya </v>
      </c>
      <c r="B784" s="215">
        <v>46125</v>
      </c>
      <c r="C784" s="212" t="s">
        <v>1503</v>
      </c>
      <c r="D784" s="51" t="s">
        <v>1687</v>
      </c>
      <c r="F784" s="52">
        <f>IF(G784="","",INDEX(COA!$A$4:$A$123,MATCH(JU!$G784,COA!$B$4:$B$123,0)))</f>
        <v>1302</v>
      </c>
      <c r="G784" t="s">
        <v>31</v>
      </c>
      <c r="H784" s="216">
        <v>11197000</v>
      </c>
      <c r="I784" s="52">
        <f>IF(J784="","",INDEX(COA!$A$4:$A$123,MATCH(JU!$J784,COA!$B$4:$B$123,0)))</f>
        <v>1103</v>
      </c>
      <c r="J784" t="s">
        <v>154</v>
      </c>
      <c r="K784" s="34">
        <f t="shared" si="102"/>
        <v>11197000</v>
      </c>
    </row>
    <row r="785" spans="1:11" hidden="1">
      <c r="A785" s="50" t="str">
        <f t="shared" si="109"/>
        <v xml:space="preserve">By. Biaya </v>
      </c>
      <c r="B785" s="215">
        <v>46125</v>
      </c>
      <c r="C785" s="212" t="s">
        <v>1491</v>
      </c>
      <c r="D785" s="51" t="s">
        <v>1672</v>
      </c>
      <c r="F785" s="52">
        <f>IF(G785="","",INDEX(COA!$A$4:$A$123,MATCH(JU!$G785,COA!$B$4:$B$123,0)))</f>
        <v>1302</v>
      </c>
      <c r="G785" t="s">
        <v>31</v>
      </c>
      <c r="H785" s="216">
        <v>850000</v>
      </c>
      <c r="I785" s="52">
        <f>IF(J785="","",INDEX(COA!$A$4:$A$123,MATCH(JU!$J785,COA!$B$4:$B$123,0)))</f>
        <v>1103</v>
      </c>
      <c r="J785" t="s">
        <v>154</v>
      </c>
      <c r="K785" s="34">
        <f t="shared" si="102"/>
        <v>850000</v>
      </c>
    </row>
    <row r="786" spans="1:11" hidden="1">
      <c r="A786" s="50" t="str">
        <f t="shared" si="109"/>
        <v xml:space="preserve">By. Biaya </v>
      </c>
      <c r="B786" s="215">
        <v>46125</v>
      </c>
      <c r="C786" s="212" t="s">
        <v>434</v>
      </c>
      <c r="D786" s="51" t="s">
        <v>1688</v>
      </c>
      <c r="F786" s="52" t="str">
        <f>IF(G786="","",INDEX(COA!$A$4:$A$123,MATCH(JU!$G786,COA!$B$4:$B$123,0)))</f>
        <v>6201</v>
      </c>
      <c r="G786" t="s">
        <v>81</v>
      </c>
      <c r="H786" s="216">
        <v>150000</v>
      </c>
      <c r="I786" s="52">
        <f>IF(J786="","",INDEX(COA!$A$4:$A$123,MATCH(JU!$J786,COA!$B$4:$B$123,0)))</f>
        <v>1103</v>
      </c>
      <c r="J786" t="s">
        <v>154</v>
      </c>
      <c r="K786" s="34">
        <f t="shared" si="102"/>
        <v>150000</v>
      </c>
    </row>
    <row r="787" spans="1:11" hidden="1">
      <c r="A787" s="50" t="str">
        <f t="shared" si="109"/>
        <v xml:space="preserve">By. Biaya </v>
      </c>
      <c r="B787" s="215">
        <v>46125</v>
      </c>
      <c r="C787" s="212" t="s">
        <v>435</v>
      </c>
      <c r="D787" s="51" t="s">
        <v>1689</v>
      </c>
      <c r="F787" s="52" t="str">
        <f>IF(G787="","",INDEX(COA!$A$4:$A$123,MATCH(JU!$G787,COA!$B$4:$B$123,0)))</f>
        <v>6201</v>
      </c>
      <c r="G787" t="s">
        <v>81</v>
      </c>
      <c r="H787" s="216">
        <v>250000</v>
      </c>
      <c r="I787" s="52">
        <f>IF(J787="","",INDEX(COA!$A$4:$A$123,MATCH(JU!$J787,COA!$B$4:$B$123,0)))</f>
        <v>1103</v>
      </c>
      <c r="J787" t="s">
        <v>154</v>
      </c>
      <c r="K787" s="34">
        <f t="shared" si="102"/>
        <v>250000</v>
      </c>
    </row>
    <row r="788" spans="1:11">
      <c r="A788" s="50" t="str">
        <f t="shared" si="109"/>
        <v xml:space="preserve">By. Biaya </v>
      </c>
      <c r="B788" s="215">
        <v>46125</v>
      </c>
      <c r="C788" s="212" t="s">
        <v>1504</v>
      </c>
      <c r="D788" s="51" t="s">
        <v>1690</v>
      </c>
      <c r="F788" s="52">
        <f>IF(G788="","",INDEX(COA!$A$4:$A$123,MATCH(JU!$G788,COA!$B$4:$B$123,0)))</f>
        <v>1302</v>
      </c>
      <c r="G788" t="s">
        <v>31</v>
      </c>
      <c r="H788" s="216">
        <v>2000000</v>
      </c>
      <c r="I788" s="52">
        <f>IF(J788="","",INDEX(COA!$A$4:$A$123,MATCH(JU!$J788,COA!$B$4:$B$123,0)))</f>
        <v>1103</v>
      </c>
      <c r="J788" t="s">
        <v>154</v>
      </c>
      <c r="K788" s="34">
        <f t="shared" si="102"/>
        <v>2000000</v>
      </c>
    </row>
    <row r="789" spans="1:11" hidden="1">
      <c r="A789" s="50" t="str">
        <f t="shared" si="109"/>
        <v xml:space="preserve">By. Biaya </v>
      </c>
      <c r="B789" s="215">
        <v>46125</v>
      </c>
      <c r="C789" s="212" t="s">
        <v>305</v>
      </c>
      <c r="D789" s="51" t="s">
        <v>333</v>
      </c>
      <c r="F789" s="52" t="str">
        <f>IF(G789="","",INDEX(COA!$A$4:$A$123,MATCH(JU!$G789,COA!$B$4:$B$123,0)))</f>
        <v>6303</v>
      </c>
      <c r="G789" t="s">
        <v>87</v>
      </c>
      <c r="H789" s="216">
        <v>2500</v>
      </c>
      <c r="I789" s="52">
        <f>IF(J789="","",INDEX(COA!$A$4:$A$123,MATCH(JU!$J789,COA!$B$4:$B$123,0)))</f>
        <v>1103</v>
      </c>
      <c r="J789" t="s">
        <v>154</v>
      </c>
      <c r="K789" s="34">
        <f t="shared" si="102"/>
        <v>2500</v>
      </c>
    </row>
    <row r="790" spans="1:11" hidden="1">
      <c r="A790" s="50" t="str">
        <f t="shared" si="109"/>
        <v xml:space="preserve">By. Biaya </v>
      </c>
      <c r="B790" s="214">
        <v>46126</v>
      </c>
      <c r="C790" s="211" t="s">
        <v>1505</v>
      </c>
      <c r="D790" s="51" t="s">
        <v>1691</v>
      </c>
      <c r="F790" s="52">
        <f>IF(G790="","",INDEX(COA!$A$4:$A$123,MATCH(JU!$G790,COA!$B$4:$B$123,0)))</f>
        <v>5108</v>
      </c>
      <c r="G790" s="229" t="s">
        <v>72</v>
      </c>
      <c r="H790" s="216">
        <v>35000</v>
      </c>
      <c r="I790" s="52">
        <f>IF(J790="","",INDEX(COA!$A$4:$A$123,MATCH(JU!$J790,COA!$B$4:$B$123,0)))</f>
        <v>1103</v>
      </c>
      <c r="J790" t="s">
        <v>154</v>
      </c>
      <c r="K790" s="34">
        <f t="shared" si="102"/>
        <v>35000</v>
      </c>
    </row>
    <row r="791" spans="1:11" hidden="1">
      <c r="A791" s="50" t="str">
        <f t="shared" si="109"/>
        <v xml:space="preserve">By. Biaya </v>
      </c>
      <c r="B791" s="214">
        <v>46126</v>
      </c>
      <c r="C791" s="211" t="s">
        <v>1506</v>
      </c>
      <c r="D791" s="51" t="s">
        <v>1692</v>
      </c>
      <c r="F791" s="52">
        <f>IF(G791="","",INDEX(COA!$A$4:$A$123,MATCH(JU!$G791,COA!$B$4:$B$123,0)))</f>
        <v>1302</v>
      </c>
      <c r="G791" t="s">
        <v>31</v>
      </c>
      <c r="H791" s="216">
        <v>25000</v>
      </c>
      <c r="I791" s="52">
        <f>IF(J791="","",INDEX(COA!$A$4:$A$123,MATCH(JU!$J791,COA!$B$4:$B$123,0)))</f>
        <v>1103</v>
      </c>
      <c r="J791" t="s">
        <v>154</v>
      </c>
      <c r="K791" s="34">
        <f t="shared" si="102"/>
        <v>25000</v>
      </c>
    </row>
    <row r="792" spans="1:11" hidden="1">
      <c r="A792" s="50" t="str">
        <f t="shared" si="109"/>
        <v xml:space="preserve">By. Biaya </v>
      </c>
      <c r="B792" s="214">
        <v>46126</v>
      </c>
      <c r="C792" s="211" t="s">
        <v>1507</v>
      </c>
      <c r="D792" s="51" t="s">
        <v>1693</v>
      </c>
      <c r="F792" s="52">
        <f>IF(G792="","",INDEX(COA!$A$4:$A$123,MATCH(JU!$G792,COA!$B$4:$B$123,0)))</f>
        <v>1302</v>
      </c>
      <c r="G792" t="s">
        <v>31</v>
      </c>
      <c r="H792" s="216">
        <v>210000</v>
      </c>
      <c r="I792" s="52">
        <f>IF(J792="","",INDEX(COA!$A$4:$A$123,MATCH(JU!$J792,COA!$B$4:$B$123,0)))</f>
        <v>1103</v>
      </c>
      <c r="J792" t="s">
        <v>154</v>
      </c>
      <c r="K792" s="34">
        <f t="shared" si="102"/>
        <v>210000</v>
      </c>
    </row>
    <row r="793" spans="1:11" hidden="1">
      <c r="A793" s="50" t="str">
        <f t="shared" si="109"/>
        <v xml:space="preserve">By. Biaya </v>
      </c>
      <c r="B793" s="214">
        <v>46126</v>
      </c>
      <c r="C793" s="211" t="s">
        <v>437</v>
      </c>
      <c r="D793" s="51" t="s">
        <v>1694</v>
      </c>
      <c r="F793" s="52">
        <f>IF(G793="","",INDEX(COA!$A$4:$A$123,MATCH(JU!$G793,COA!$B$4:$B$123,0)))</f>
        <v>6112</v>
      </c>
      <c r="G793" t="s">
        <v>205</v>
      </c>
      <c r="H793" s="216">
        <v>125000</v>
      </c>
      <c r="I793" s="52">
        <f>IF(J793="","",INDEX(COA!$A$4:$A$123,MATCH(JU!$J793,COA!$B$4:$B$123,0)))</f>
        <v>1103</v>
      </c>
      <c r="J793" t="s">
        <v>154</v>
      </c>
      <c r="K793" s="34">
        <f t="shared" si="102"/>
        <v>125000</v>
      </c>
    </row>
    <row r="794" spans="1:11" hidden="1">
      <c r="A794" s="50" t="str">
        <f t="shared" si="109"/>
        <v xml:space="preserve">By. Biaya </v>
      </c>
      <c r="B794" s="214">
        <v>46126</v>
      </c>
      <c r="C794" s="211" t="s">
        <v>1508</v>
      </c>
      <c r="D794" s="51" t="s">
        <v>1695</v>
      </c>
      <c r="F794" s="52">
        <f>IF(G794="","",INDEX(COA!$A$4:$A$123,MATCH(JU!$G794,COA!$B$4:$B$123,0)))</f>
        <v>1302</v>
      </c>
      <c r="G794" t="s">
        <v>31</v>
      </c>
      <c r="H794" s="216">
        <v>4000000</v>
      </c>
      <c r="I794" s="52">
        <f>IF(J794="","",INDEX(COA!$A$4:$A$123,MATCH(JU!$J794,COA!$B$4:$B$123,0)))</f>
        <v>1103</v>
      </c>
      <c r="J794" t="s">
        <v>154</v>
      </c>
      <c r="K794" s="34">
        <f t="shared" si="102"/>
        <v>4000000</v>
      </c>
    </row>
    <row r="795" spans="1:11" hidden="1">
      <c r="A795" s="50" t="str">
        <f t="shared" si="109"/>
        <v xml:space="preserve">By. Biaya </v>
      </c>
      <c r="B795" s="214">
        <v>46126</v>
      </c>
      <c r="C795" s="211" t="s">
        <v>305</v>
      </c>
      <c r="D795" s="51" t="s">
        <v>333</v>
      </c>
      <c r="F795" s="52" t="str">
        <f>IF(G795="","",INDEX(COA!$A$4:$A$123,MATCH(JU!$G795,COA!$B$4:$B$123,0)))</f>
        <v>6303</v>
      </c>
      <c r="G795" t="s">
        <v>87</v>
      </c>
      <c r="H795" s="216">
        <v>2500</v>
      </c>
      <c r="I795" s="52">
        <f>IF(J795="","",INDEX(COA!$A$4:$A$123,MATCH(JU!$J795,COA!$B$4:$B$123,0)))</f>
        <v>1103</v>
      </c>
      <c r="J795" t="s">
        <v>154</v>
      </c>
      <c r="K795" s="34">
        <f t="shared" ref="K795:K865" si="113">IF(H795="","",H795)</f>
        <v>2500</v>
      </c>
    </row>
    <row r="796" spans="1:11" hidden="1">
      <c r="A796" s="50" t="str">
        <f t="shared" si="109"/>
        <v xml:space="preserve">By. Biaya </v>
      </c>
      <c r="B796" s="214">
        <v>46126</v>
      </c>
      <c r="C796" s="211" t="s">
        <v>1509</v>
      </c>
      <c r="D796" s="51" t="s">
        <v>1696</v>
      </c>
      <c r="F796" s="52">
        <f>IF(G796="","",INDEX(COA!$A$4:$A$123,MATCH(JU!$G796,COA!$B$4:$B$123,0)))</f>
        <v>6112</v>
      </c>
      <c r="G796" t="s">
        <v>205</v>
      </c>
      <c r="H796" s="216">
        <v>509000</v>
      </c>
      <c r="I796" s="52">
        <f>IF(J796="","",INDEX(COA!$A$4:$A$123,MATCH(JU!$J796,COA!$B$4:$B$123,0)))</f>
        <v>1103</v>
      </c>
      <c r="J796" t="s">
        <v>154</v>
      </c>
      <c r="K796" s="34">
        <f t="shared" si="113"/>
        <v>509000</v>
      </c>
    </row>
    <row r="797" spans="1:11" hidden="1">
      <c r="A797" s="50" t="str">
        <f t="shared" si="109"/>
        <v xml:space="preserve">By. Biaya </v>
      </c>
      <c r="B797" s="214">
        <v>46126</v>
      </c>
      <c r="C797" s="211" t="s">
        <v>305</v>
      </c>
      <c r="D797" s="51" t="s">
        <v>333</v>
      </c>
      <c r="F797" s="52" t="str">
        <f>IF(G797="","",INDEX(COA!$A$4:$A$123,MATCH(JU!$G797,COA!$B$4:$B$123,0)))</f>
        <v>6303</v>
      </c>
      <c r="G797" t="s">
        <v>87</v>
      </c>
      <c r="H797" s="216">
        <v>2500</v>
      </c>
      <c r="I797" s="52">
        <f>IF(J797="","",INDEX(COA!$A$4:$A$123,MATCH(JU!$J797,COA!$B$4:$B$123,0)))</f>
        <v>1103</v>
      </c>
      <c r="J797" t="s">
        <v>154</v>
      </c>
      <c r="K797" s="34">
        <f t="shared" si="113"/>
        <v>2500</v>
      </c>
    </row>
    <row r="798" spans="1:11" hidden="1">
      <c r="A798" s="50" t="str">
        <f t="shared" si="109"/>
        <v xml:space="preserve">Terima Uang Masuk atas </v>
      </c>
      <c r="B798" s="214">
        <v>46126</v>
      </c>
      <c r="C798" s="211" t="s">
        <v>438</v>
      </c>
      <c r="D798" s="51" t="s">
        <v>1697</v>
      </c>
      <c r="F798" s="52">
        <f>IF(G798="","",INDEX(COA!$A$4:$A$123,MATCH(JU!$G798,COA!$B$4:$B$123,0)))</f>
        <v>1103</v>
      </c>
      <c r="G798" t="s">
        <v>154</v>
      </c>
      <c r="H798" s="216">
        <v>100000000</v>
      </c>
      <c r="I798" s="52">
        <f>IF(J798="","",INDEX(COA!$A$4:$A$123,MATCH(JU!$J798,COA!$B$4:$B$123,0)))</f>
        <v>1108</v>
      </c>
      <c r="J798" t="s">
        <v>155</v>
      </c>
      <c r="K798" s="34">
        <f t="shared" si="113"/>
        <v>100000000</v>
      </c>
    </row>
    <row r="799" spans="1:11" hidden="1">
      <c r="A799" s="50" t="str">
        <f t="shared" si="109"/>
        <v xml:space="preserve">Terima Uang Masuk atas </v>
      </c>
      <c r="B799" s="214">
        <v>46126</v>
      </c>
      <c r="C799" s="211" t="s">
        <v>438</v>
      </c>
      <c r="D799" s="51" t="s">
        <v>1697</v>
      </c>
      <c r="F799" s="52">
        <f>IF(G799="","",INDEX(COA!$A$4:$A$123,MATCH(JU!$G799,COA!$B$4:$B$123,0)))</f>
        <v>1103</v>
      </c>
      <c r="G799" t="s">
        <v>154</v>
      </c>
      <c r="H799" s="216">
        <v>100000000</v>
      </c>
      <c r="I799" s="52">
        <f>IF(J799="","",INDEX(COA!$A$4:$A$123,MATCH(JU!$J799,COA!$B$4:$B$123,0)))</f>
        <v>1108</v>
      </c>
      <c r="J799" t="s">
        <v>155</v>
      </c>
      <c r="K799" s="34">
        <f t="shared" si="113"/>
        <v>100000000</v>
      </c>
    </row>
    <row r="800" spans="1:11" hidden="1">
      <c r="A800" s="50" t="str">
        <f t="shared" si="109"/>
        <v xml:space="preserve">Terima Uang Masuk atas </v>
      </c>
      <c r="B800" s="214">
        <v>46126</v>
      </c>
      <c r="C800" s="211" t="s">
        <v>438</v>
      </c>
      <c r="D800" s="51" t="s">
        <v>1697</v>
      </c>
      <c r="F800" s="52">
        <f>IF(G800="","",INDEX(COA!$A$4:$A$123,MATCH(JU!$G800,COA!$B$4:$B$123,0)))</f>
        <v>1103</v>
      </c>
      <c r="G800" t="s">
        <v>154</v>
      </c>
      <c r="H800" s="216">
        <v>50000000</v>
      </c>
      <c r="I800" s="52">
        <f>IF(J800="","",INDEX(COA!$A$4:$A$123,MATCH(JU!$J800,COA!$B$4:$B$123,0)))</f>
        <v>1108</v>
      </c>
      <c r="J800" t="s">
        <v>155</v>
      </c>
      <c r="K800" s="34">
        <f t="shared" si="113"/>
        <v>50000000</v>
      </c>
    </row>
    <row r="801" spans="1:11" hidden="1">
      <c r="A801" s="50" t="str">
        <f t="shared" si="109"/>
        <v xml:space="preserve">By. Biaya </v>
      </c>
      <c r="B801" s="214">
        <v>46126</v>
      </c>
      <c r="C801" s="211" t="s">
        <v>439</v>
      </c>
      <c r="D801" s="51" t="s">
        <v>1698</v>
      </c>
      <c r="F801" s="52">
        <f>IF(G801="","",INDEX(COA!$A$4:$A$123,MATCH(JU!$G801,COA!$B$4:$B$123,0)))</f>
        <v>6101</v>
      </c>
      <c r="G801" t="s">
        <v>75</v>
      </c>
      <c r="H801" s="216">
        <v>650000</v>
      </c>
      <c r="I801" s="52">
        <f>IF(J801="","",INDEX(COA!$A$4:$A$123,MATCH(JU!$J801,COA!$B$4:$B$123,0)))</f>
        <v>1103</v>
      </c>
      <c r="J801" t="s">
        <v>154</v>
      </c>
      <c r="K801" s="34">
        <f t="shared" si="113"/>
        <v>650000</v>
      </c>
    </row>
    <row r="802" spans="1:11" hidden="1">
      <c r="A802" s="50" t="str">
        <f t="shared" si="109"/>
        <v xml:space="preserve">Terima Uang Masuk atas </v>
      </c>
      <c r="B802" s="214">
        <v>46127</v>
      </c>
      <c r="C802" s="211" t="s">
        <v>438</v>
      </c>
      <c r="D802" s="51" t="s">
        <v>1697</v>
      </c>
      <c r="F802" s="52">
        <f>IF(G802="","",INDEX(COA!$A$4:$A$123,MATCH(JU!$G802,COA!$B$4:$B$123,0)))</f>
        <v>1103</v>
      </c>
      <c r="G802" t="s">
        <v>154</v>
      </c>
      <c r="H802" s="216">
        <v>500000000</v>
      </c>
      <c r="I802" s="52">
        <f>IF(J802="","",INDEX(COA!$A$4:$A$123,MATCH(JU!$J802,COA!$B$4:$B$123,0)))</f>
        <v>1108</v>
      </c>
      <c r="J802" t="s">
        <v>155</v>
      </c>
      <c r="K802" s="34">
        <f t="shared" si="113"/>
        <v>500000000</v>
      </c>
    </row>
    <row r="803" spans="1:11" hidden="1">
      <c r="A803" s="50" t="str">
        <f t="shared" si="109"/>
        <v xml:space="preserve">Terima Uang Masuk atas </v>
      </c>
      <c r="B803" s="214">
        <v>46127</v>
      </c>
      <c r="C803" s="211" t="s">
        <v>438</v>
      </c>
      <c r="D803" s="51" t="s">
        <v>1697</v>
      </c>
      <c r="F803" s="52">
        <f>IF(G803="","",INDEX(COA!$A$4:$A$123,MATCH(JU!$G803,COA!$B$4:$B$123,0)))</f>
        <v>1103</v>
      </c>
      <c r="G803" t="s">
        <v>154</v>
      </c>
      <c r="H803" s="216">
        <v>89000000</v>
      </c>
      <c r="I803" s="52">
        <f>IF(J803="","",INDEX(COA!$A$4:$A$123,MATCH(JU!$J803,COA!$B$4:$B$123,0)))</f>
        <v>1108</v>
      </c>
      <c r="J803" t="s">
        <v>155</v>
      </c>
      <c r="K803" s="34">
        <f t="shared" si="113"/>
        <v>89000000</v>
      </c>
    </row>
    <row r="804" spans="1:11" hidden="1">
      <c r="A804" s="50" t="str">
        <f t="shared" si="109"/>
        <v xml:space="preserve">Terima Uang Masuk atas </v>
      </c>
      <c r="B804" s="214">
        <v>46127</v>
      </c>
      <c r="C804" s="211" t="s">
        <v>438</v>
      </c>
      <c r="D804" s="51" t="s">
        <v>1697</v>
      </c>
      <c r="F804" s="52">
        <f>IF(G804="","",INDEX(COA!$A$4:$A$123,MATCH(JU!$G804,COA!$B$4:$B$123,0)))</f>
        <v>1103</v>
      </c>
      <c r="G804" t="s">
        <v>154</v>
      </c>
      <c r="H804" s="216">
        <v>50000000</v>
      </c>
      <c r="I804" s="52">
        <f>IF(J804="","",INDEX(COA!$A$4:$A$123,MATCH(JU!$J804,COA!$B$4:$B$123,0)))</f>
        <v>1108</v>
      </c>
      <c r="J804" t="s">
        <v>155</v>
      </c>
      <c r="K804" s="34">
        <f t="shared" si="113"/>
        <v>50000000</v>
      </c>
    </row>
    <row r="805" spans="1:11" hidden="1">
      <c r="A805" s="50" t="str">
        <f t="shared" si="109"/>
        <v xml:space="preserve">By. Biaya </v>
      </c>
      <c r="B805" s="214">
        <v>46127</v>
      </c>
      <c r="C805" s="211" t="s">
        <v>1510</v>
      </c>
      <c r="D805" s="51" t="s">
        <v>1699</v>
      </c>
      <c r="F805" s="52">
        <f>IF(G805="","",INDEX(COA!$A$4:$A$123,MATCH(JU!$G805,COA!$B$4:$B$123,0)))</f>
        <v>1302</v>
      </c>
      <c r="G805" t="s">
        <v>31</v>
      </c>
      <c r="H805" s="216">
        <v>7072000</v>
      </c>
      <c r="I805" s="52">
        <f>IF(J805="","",INDEX(COA!$A$4:$A$123,MATCH(JU!$J805,COA!$B$4:$B$123,0)))</f>
        <v>1103</v>
      </c>
      <c r="J805" t="s">
        <v>154</v>
      </c>
      <c r="K805" s="34">
        <f t="shared" si="113"/>
        <v>7072000</v>
      </c>
    </row>
    <row r="806" spans="1:11" hidden="1">
      <c r="A806" s="50" t="str">
        <f t="shared" si="109"/>
        <v xml:space="preserve">By. Biaya </v>
      </c>
      <c r="B806" s="214">
        <v>46127</v>
      </c>
      <c r="C806" s="211" t="s">
        <v>440</v>
      </c>
      <c r="D806" s="218" t="s">
        <v>2320</v>
      </c>
      <c r="F806" s="52" t="str">
        <f>IF(G806="","",INDEX(COA!$A$4:$A$123,MATCH(JU!$G806,COA!$B$4:$B$123,0)))</f>
        <v>2101</v>
      </c>
      <c r="G806" s="229" t="s">
        <v>45</v>
      </c>
      <c r="H806" s="216">
        <v>140000000</v>
      </c>
      <c r="I806" s="52">
        <f>IF(J806="","",INDEX(COA!$A$4:$A$123,MATCH(JU!$J806,COA!$B$4:$B$123,0)))</f>
        <v>1103</v>
      </c>
      <c r="J806" t="s">
        <v>154</v>
      </c>
      <c r="K806" s="34">
        <f t="shared" si="113"/>
        <v>140000000</v>
      </c>
    </row>
    <row r="807" spans="1:11" hidden="1">
      <c r="A807" s="50" t="str">
        <f t="shared" ref="A807" si="114">IF(G807="BRI 568","Terima Uang Masuk atas ","By. Biaya ")</f>
        <v xml:space="preserve">By. Biaya </v>
      </c>
      <c r="B807" s="214">
        <v>46127</v>
      </c>
      <c r="C807" s="211" t="s">
        <v>440</v>
      </c>
      <c r="D807" s="51" t="s">
        <v>2318</v>
      </c>
      <c r="F807" s="52" t="str">
        <f>IF(G807="","",INDEX(COA!$A$4:$A$123,MATCH(JU!$G807,COA!$B$4:$B$123,0)))</f>
        <v>2101</v>
      </c>
      <c r="G807" s="229" t="s">
        <v>45</v>
      </c>
      <c r="H807" s="216">
        <v>350000000</v>
      </c>
      <c r="I807" s="52">
        <f>IF(J807="","",INDEX(COA!$A$4:$A$123,MATCH(JU!$J807,COA!$B$4:$B$123,0)))</f>
        <v>1103</v>
      </c>
      <c r="J807" t="s">
        <v>154</v>
      </c>
      <c r="K807" s="34">
        <f t="shared" ref="K807" si="115">IF(H807="","",H807)</f>
        <v>350000000</v>
      </c>
    </row>
    <row r="808" spans="1:11" hidden="1">
      <c r="A808" s="50" t="str">
        <f t="shared" ref="A808" si="116">IF(G808="BRI 568","Terima Uang Masuk atas ","By. Biaya ")</f>
        <v xml:space="preserve">By. Biaya </v>
      </c>
      <c r="B808" s="214">
        <v>46127</v>
      </c>
      <c r="C808" s="211" t="s">
        <v>440</v>
      </c>
      <c r="D808" s="51" t="s">
        <v>2319</v>
      </c>
      <c r="F808" s="52" t="str">
        <f>IF(G808="","",INDEX(COA!$A$4:$A$123,MATCH(JU!$G808,COA!$B$4:$B$123,0)))</f>
        <v>2101</v>
      </c>
      <c r="G808" s="229" t="s">
        <v>45</v>
      </c>
      <c r="H808" s="216">
        <v>340000000</v>
      </c>
      <c r="I808" s="52">
        <f>IF(J808="","",INDEX(COA!$A$4:$A$123,MATCH(JU!$J808,COA!$B$4:$B$123,0)))</f>
        <v>1103</v>
      </c>
      <c r="J808" t="s">
        <v>154</v>
      </c>
      <c r="K808" s="34">
        <f t="shared" ref="K808" si="117">IF(H808="","",H808)</f>
        <v>340000000</v>
      </c>
    </row>
    <row r="809" spans="1:11" hidden="1">
      <c r="A809" s="50" t="str">
        <f t="shared" si="109"/>
        <v xml:space="preserve">By. Biaya </v>
      </c>
      <c r="B809" s="214">
        <v>46127</v>
      </c>
      <c r="C809" s="211" t="s">
        <v>305</v>
      </c>
      <c r="D809" s="51" t="s">
        <v>333</v>
      </c>
      <c r="F809" s="52" t="str">
        <f>IF(G809="","",INDEX(COA!$A$4:$A$123,MATCH(JU!$G809,COA!$B$4:$B$123,0)))</f>
        <v>6303</v>
      </c>
      <c r="G809" t="s">
        <v>87</v>
      </c>
      <c r="H809" s="216">
        <v>30000</v>
      </c>
      <c r="I809" s="52">
        <f>IF(J809="","",INDEX(COA!$A$4:$A$123,MATCH(JU!$J809,COA!$B$4:$B$123,0)))</f>
        <v>1103</v>
      </c>
      <c r="J809" t="s">
        <v>154</v>
      </c>
      <c r="K809" s="34">
        <f t="shared" si="113"/>
        <v>30000</v>
      </c>
    </row>
    <row r="810" spans="1:11" hidden="1">
      <c r="A810" s="50" t="str">
        <f t="shared" si="109"/>
        <v xml:space="preserve">By. Biaya </v>
      </c>
      <c r="B810" s="214">
        <v>46128</v>
      </c>
      <c r="C810" s="211" t="s">
        <v>431</v>
      </c>
      <c r="D810" s="51" t="s">
        <v>374</v>
      </c>
      <c r="F810" s="52" t="str">
        <f>IF(G810="","",INDEX(COA!$A$4:$A$123,MATCH(JU!$G810,COA!$B$4:$B$123,0)))</f>
        <v>2107</v>
      </c>
      <c r="G810" t="s">
        <v>50</v>
      </c>
      <c r="H810" s="216">
        <v>50000000</v>
      </c>
      <c r="I810" s="52">
        <f>IF(J810="","",INDEX(COA!$A$4:$A$123,MATCH(JU!$J810,COA!$B$4:$B$123,0)))</f>
        <v>1103</v>
      </c>
      <c r="J810" t="s">
        <v>154</v>
      </c>
      <c r="K810" s="34">
        <f t="shared" si="113"/>
        <v>50000000</v>
      </c>
    </row>
    <row r="811" spans="1:11" hidden="1">
      <c r="A811" s="50" t="str">
        <f t="shared" si="109"/>
        <v xml:space="preserve">By. Biaya </v>
      </c>
      <c r="B811" s="214">
        <v>46128</v>
      </c>
      <c r="C811" s="211" t="s">
        <v>305</v>
      </c>
      <c r="D811" s="51" t="s">
        <v>333</v>
      </c>
      <c r="F811" s="52" t="str">
        <f>IF(G811="","",INDEX(COA!$A$4:$A$123,MATCH(JU!$G811,COA!$B$4:$B$123,0)))</f>
        <v>6303</v>
      </c>
      <c r="G811" t="s">
        <v>87</v>
      </c>
      <c r="H811" s="216">
        <v>2500</v>
      </c>
      <c r="I811" s="52">
        <f>IF(J811="","",INDEX(COA!$A$4:$A$123,MATCH(JU!$J811,COA!$B$4:$B$123,0)))</f>
        <v>1103</v>
      </c>
      <c r="J811" t="s">
        <v>154</v>
      </c>
      <c r="K811" s="34">
        <f t="shared" si="113"/>
        <v>2500</v>
      </c>
    </row>
    <row r="812" spans="1:11" hidden="1">
      <c r="A812" s="50" t="str">
        <f t="shared" si="109"/>
        <v xml:space="preserve">By. Biaya </v>
      </c>
      <c r="B812" s="214">
        <v>46128</v>
      </c>
      <c r="C812" s="211" t="s">
        <v>441</v>
      </c>
      <c r="D812" s="51" t="s">
        <v>1700</v>
      </c>
      <c r="F812" s="52">
        <f>IF(G812="","",INDEX(COA!$A$4:$A$123,MATCH(JU!$G812,COA!$B$4:$B$123,0)))</f>
        <v>1302</v>
      </c>
      <c r="G812" t="s">
        <v>31</v>
      </c>
      <c r="H812" s="216">
        <v>5000000</v>
      </c>
      <c r="I812" s="52">
        <f>IF(J812="","",INDEX(COA!$A$4:$A$123,MATCH(JU!$J812,COA!$B$4:$B$123,0)))</f>
        <v>1103</v>
      </c>
      <c r="J812" t="s">
        <v>154</v>
      </c>
      <c r="K812" s="34">
        <f t="shared" si="113"/>
        <v>5000000</v>
      </c>
    </row>
    <row r="813" spans="1:11" hidden="1">
      <c r="A813" s="50" t="str">
        <f t="shared" si="109"/>
        <v xml:space="preserve">By. Biaya </v>
      </c>
      <c r="B813" s="214">
        <v>46128</v>
      </c>
      <c r="C813" s="211" t="s">
        <v>442</v>
      </c>
      <c r="D813" s="51" t="s">
        <v>1701</v>
      </c>
      <c r="F813" s="52">
        <f>IF(G813="","",INDEX(COA!$A$4:$A$123,MATCH(JU!$G813,COA!$B$4:$B$123,0)))</f>
        <v>1302</v>
      </c>
      <c r="G813" t="s">
        <v>31</v>
      </c>
      <c r="H813" s="216">
        <v>1000000</v>
      </c>
      <c r="I813" s="52">
        <f>IF(J813="","",INDEX(COA!$A$4:$A$123,MATCH(JU!$J813,COA!$B$4:$B$123,0)))</f>
        <v>1103</v>
      </c>
      <c r="J813" t="s">
        <v>154</v>
      </c>
      <c r="K813" s="34">
        <f t="shared" si="113"/>
        <v>1000000</v>
      </c>
    </row>
    <row r="814" spans="1:11" hidden="1">
      <c r="A814" s="50" t="str">
        <f t="shared" si="109"/>
        <v xml:space="preserve">By. Biaya </v>
      </c>
      <c r="B814" s="214">
        <v>46128</v>
      </c>
      <c r="C814" s="211" t="s">
        <v>1511</v>
      </c>
      <c r="D814" s="51" t="s">
        <v>1702</v>
      </c>
      <c r="F814" s="52" t="str">
        <f>IF(G814="","",INDEX(COA!$A$4:$A$123,MATCH(JU!$G814,COA!$B$4:$B$123,0)))</f>
        <v>6201</v>
      </c>
      <c r="G814" t="s">
        <v>81</v>
      </c>
      <c r="H814" s="216">
        <v>1000000</v>
      </c>
      <c r="I814" s="52">
        <f>IF(J814="","",INDEX(COA!$A$4:$A$123,MATCH(JU!$J814,COA!$B$4:$B$123,0)))</f>
        <v>1103</v>
      </c>
      <c r="J814" t="s">
        <v>154</v>
      </c>
      <c r="K814" s="34">
        <f t="shared" si="113"/>
        <v>1000000</v>
      </c>
    </row>
    <row r="815" spans="1:11" hidden="1">
      <c r="A815" s="50" t="str">
        <f t="shared" si="109"/>
        <v xml:space="preserve">By. Biaya </v>
      </c>
      <c r="B815" s="214">
        <v>46128</v>
      </c>
      <c r="C815" s="211" t="s">
        <v>305</v>
      </c>
      <c r="D815" s="51" t="s">
        <v>333</v>
      </c>
      <c r="F815" s="52" t="str">
        <f>IF(G815="","",INDEX(COA!$A$4:$A$123,MATCH(JU!$G815,COA!$B$4:$B$123,0)))</f>
        <v>6303</v>
      </c>
      <c r="G815" t="s">
        <v>87</v>
      </c>
      <c r="H815" s="216">
        <v>2500</v>
      </c>
      <c r="I815" s="52">
        <f>IF(J815="","",INDEX(COA!$A$4:$A$123,MATCH(JU!$J815,COA!$B$4:$B$123,0)))</f>
        <v>1103</v>
      </c>
      <c r="J815" t="s">
        <v>154</v>
      </c>
      <c r="K815" s="34">
        <f t="shared" si="113"/>
        <v>2500</v>
      </c>
    </row>
    <row r="816" spans="1:11" hidden="1">
      <c r="A816" s="50" t="str">
        <f t="shared" si="109"/>
        <v xml:space="preserve">By. Biaya </v>
      </c>
      <c r="B816" s="214">
        <v>46128</v>
      </c>
      <c r="C816" s="211" t="s">
        <v>1512</v>
      </c>
      <c r="D816" s="51" t="s">
        <v>1703</v>
      </c>
      <c r="F816" s="52">
        <f>IF(G816="","",INDEX(COA!$A$4:$A$123,MATCH(JU!$G816,COA!$B$4:$B$123,0)))</f>
        <v>6112</v>
      </c>
      <c r="G816" t="s">
        <v>205</v>
      </c>
      <c r="H816" s="216">
        <v>200000</v>
      </c>
      <c r="I816" s="52">
        <f>IF(J816="","",INDEX(COA!$A$4:$A$123,MATCH(JU!$J816,COA!$B$4:$B$123,0)))</f>
        <v>1103</v>
      </c>
      <c r="J816" t="s">
        <v>154</v>
      </c>
      <c r="K816" s="34">
        <f t="shared" si="113"/>
        <v>200000</v>
      </c>
    </row>
    <row r="817" spans="1:11" hidden="1">
      <c r="A817" s="50" t="str">
        <f t="shared" si="109"/>
        <v xml:space="preserve">By. Biaya </v>
      </c>
      <c r="B817" s="214">
        <v>46128</v>
      </c>
      <c r="C817" s="211" t="s">
        <v>1513</v>
      </c>
      <c r="D817" s="218" t="s">
        <v>2043</v>
      </c>
      <c r="F817" s="52">
        <f>IF(G817="","",INDEX(COA!$A$4:$A$123,MATCH(JU!$G817,COA!$B$4:$B$123,0)))</f>
        <v>5108</v>
      </c>
      <c r="G817" s="229" t="s">
        <v>72</v>
      </c>
      <c r="H817" s="216">
        <v>500000</v>
      </c>
      <c r="I817" s="52">
        <f>IF(J817="","",INDEX(COA!$A$4:$A$123,MATCH(JU!$J817,COA!$B$4:$B$123,0)))</f>
        <v>1103</v>
      </c>
      <c r="J817" t="s">
        <v>154</v>
      </c>
      <c r="K817" s="34">
        <f t="shared" si="113"/>
        <v>500000</v>
      </c>
    </row>
    <row r="818" spans="1:11" hidden="1">
      <c r="A818" s="50" t="str">
        <f t="shared" ref="A818" si="118">IF(G818="BRI 568","Terima Uang Masuk atas ","By. Biaya ")</f>
        <v xml:space="preserve">By. Biaya </v>
      </c>
      <c r="B818" s="214">
        <v>46128</v>
      </c>
      <c r="C818" s="211" t="s">
        <v>1513</v>
      </c>
      <c r="D818" s="218" t="s">
        <v>2044</v>
      </c>
      <c r="F818" s="52">
        <f>IF(G818="","",INDEX(COA!$A$4:$A$123,MATCH(JU!$G818,COA!$B$4:$B$123,0)))</f>
        <v>1302</v>
      </c>
      <c r="G818" t="s">
        <v>31</v>
      </c>
      <c r="H818" s="216">
        <v>1545000</v>
      </c>
      <c r="I818" s="52">
        <f>IF(J818="","",INDEX(COA!$A$4:$A$123,MATCH(JU!$J818,COA!$B$4:$B$123,0)))</f>
        <v>1103</v>
      </c>
      <c r="J818" t="s">
        <v>154</v>
      </c>
      <c r="K818" s="34">
        <f t="shared" ref="K818" si="119">IF(H818="","",H818)</f>
        <v>1545000</v>
      </c>
    </row>
    <row r="819" spans="1:11" hidden="1">
      <c r="A819" s="50" t="str">
        <f t="shared" si="109"/>
        <v xml:space="preserve">By. Biaya </v>
      </c>
      <c r="B819" s="214">
        <v>46128</v>
      </c>
      <c r="C819" s="211" t="s">
        <v>1514</v>
      </c>
      <c r="D819" s="51" t="s">
        <v>1704</v>
      </c>
      <c r="F819" s="52">
        <f>IF(G819="","",INDEX(COA!$A$4:$A$123,MATCH(JU!$G819,COA!$B$4:$B$123,0)))</f>
        <v>7101</v>
      </c>
      <c r="G819" t="s">
        <v>93</v>
      </c>
      <c r="H819" s="216">
        <v>1730000</v>
      </c>
      <c r="I819" s="52">
        <f>IF(J819="","",INDEX(COA!$A$4:$A$123,MATCH(JU!$J819,COA!$B$4:$B$123,0)))</f>
        <v>1103</v>
      </c>
      <c r="J819" t="s">
        <v>154</v>
      </c>
      <c r="K819" s="34">
        <f t="shared" si="113"/>
        <v>1730000</v>
      </c>
    </row>
    <row r="820" spans="1:11" hidden="1">
      <c r="A820" s="50" t="str">
        <f t="shared" si="109"/>
        <v xml:space="preserve">By. Biaya </v>
      </c>
      <c r="B820" s="214">
        <v>46128</v>
      </c>
      <c r="C820" s="211" t="s">
        <v>443</v>
      </c>
      <c r="D820" s="51" t="s">
        <v>1705</v>
      </c>
      <c r="F820" s="52" t="str">
        <f>IF(G820="","",INDEX(COA!$A$4:$A$123,MATCH(JU!$G820,COA!$B$4:$B$123,0)))</f>
        <v>6301</v>
      </c>
      <c r="G820" t="s">
        <v>85</v>
      </c>
      <c r="H820" s="216">
        <v>5100000</v>
      </c>
      <c r="I820" s="52">
        <f>IF(J820="","",INDEX(COA!$A$4:$A$123,MATCH(JU!$J820,COA!$B$4:$B$123,0)))</f>
        <v>1103</v>
      </c>
      <c r="J820" t="s">
        <v>154</v>
      </c>
      <c r="K820" s="34">
        <f t="shared" si="113"/>
        <v>5100000</v>
      </c>
    </row>
    <row r="821" spans="1:11" hidden="1">
      <c r="A821" s="50" t="str">
        <f t="shared" si="109"/>
        <v xml:space="preserve">Terima Uang Masuk atas </v>
      </c>
      <c r="B821" s="214">
        <v>46128</v>
      </c>
      <c r="C821" s="211" t="s">
        <v>1515</v>
      </c>
      <c r="D821" s="263" t="s">
        <v>1706</v>
      </c>
      <c r="F821" s="52">
        <f>IF(G821="","",INDEX(COA!$A$4:$A$123,MATCH(JU!$G821,COA!$B$4:$B$123,0)))</f>
        <v>1103</v>
      </c>
      <c r="G821" t="s">
        <v>154</v>
      </c>
      <c r="H821" s="216">
        <v>157000000</v>
      </c>
      <c r="I821" s="52">
        <f>IF(J821="","",INDEX(COA!$A$4:$A$123,MATCH(JU!$J821,COA!$B$4:$B$123,0)))</f>
        <v>1202</v>
      </c>
      <c r="J821" s="229" t="s">
        <v>27</v>
      </c>
      <c r="K821" s="34">
        <f t="shared" si="113"/>
        <v>157000000</v>
      </c>
    </row>
    <row r="822" spans="1:11" hidden="1">
      <c r="A822" s="50" t="str">
        <f t="shared" ref="A822" si="120">IF(G822="BRI 568","Terima Uang Masuk atas ","By. Biaya ")</f>
        <v xml:space="preserve">By. Biaya </v>
      </c>
      <c r="B822" s="214">
        <v>46128</v>
      </c>
      <c r="C822" s="211" t="s">
        <v>1515</v>
      </c>
      <c r="D822" s="264" t="s">
        <v>2045</v>
      </c>
      <c r="F822" s="52" t="str">
        <f>IF(G822="","",INDEX(COA!$A$4:$A$123,MATCH(JU!$G822,COA!$B$4:$B$123,0)))</f>
        <v>2101</v>
      </c>
      <c r="G822" s="229" t="s">
        <v>45</v>
      </c>
      <c r="H822" s="216">
        <v>140000000</v>
      </c>
      <c r="I822" s="52">
        <f>IF(J822="","",INDEX(COA!$A$4:$A$123,MATCH(JU!$J822,COA!$B$4:$B$123,0)))</f>
        <v>1202</v>
      </c>
      <c r="J822" s="229" t="s">
        <v>27</v>
      </c>
      <c r="K822" s="34">
        <f t="shared" ref="K822" si="121">IF(H822="","",H822)</f>
        <v>140000000</v>
      </c>
    </row>
    <row r="823" spans="1:11">
      <c r="A823" s="50" t="str">
        <f t="shared" si="109"/>
        <v xml:space="preserve">By. Biaya </v>
      </c>
      <c r="B823" s="214">
        <v>46128</v>
      </c>
      <c r="C823" s="211" t="s">
        <v>444</v>
      </c>
      <c r="D823" s="51" t="s">
        <v>1707</v>
      </c>
      <c r="F823" s="52">
        <f>IF(G823="","",INDEX(COA!$A$4:$A$123,MATCH(JU!$G823,COA!$B$4:$B$123,0)))</f>
        <v>1302</v>
      </c>
      <c r="G823" t="s">
        <v>31</v>
      </c>
      <c r="H823" s="216">
        <v>25000000</v>
      </c>
      <c r="I823" s="52">
        <f>IF(J823="","",INDEX(COA!$A$4:$A$123,MATCH(JU!$J823,COA!$B$4:$B$123,0)))</f>
        <v>1103</v>
      </c>
      <c r="J823" t="s">
        <v>154</v>
      </c>
      <c r="K823" s="34">
        <f t="shared" si="113"/>
        <v>25000000</v>
      </c>
    </row>
    <row r="824" spans="1:11" hidden="1">
      <c r="A824" s="50" t="str">
        <f t="shared" si="109"/>
        <v xml:space="preserve">By. Biaya </v>
      </c>
      <c r="B824" s="214">
        <v>46128</v>
      </c>
      <c r="C824" s="211" t="s">
        <v>445</v>
      </c>
      <c r="D824" s="51" t="s">
        <v>1708</v>
      </c>
      <c r="F824" s="52">
        <f>IF(G824="","",INDEX(COA!$A$4:$A$123,MATCH(JU!$G824,COA!$B$4:$B$123,0)))</f>
        <v>6112</v>
      </c>
      <c r="G824" t="s">
        <v>205</v>
      </c>
      <c r="H824" s="216">
        <v>300000</v>
      </c>
      <c r="I824" s="52">
        <f>IF(J824="","",INDEX(COA!$A$4:$A$123,MATCH(JU!$J824,COA!$B$4:$B$123,0)))</f>
        <v>1103</v>
      </c>
      <c r="J824" t="s">
        <v>154</v>
      </c>
      <c r="K824" s="34">
        <f t="shared" si="113"/>
        <v>300000</v>
      </c>
    </row>
    <row r="825" spans="1:11" hidden="1">
      <c r="A825" s="50" t="str">
        <f t="shared" si="109"/>
        <v xml:space="preserve">By. Biaya </v>
      </c>
      <c r="B825" s="214">
        <v>46128</v>
      </c>
      <c r="C825" s="211" t="s">
        <v>1516</v>
      </c>
      <c r="D825" s="51" t="s">
        <v>1709</v>
      </c>
      <c r="F825" s="52">
        <f>IF(G825="","",INDEX(COA!$A$4:$A$123,MATCH(JU!$G825,COA!$B$4:$B$123,0)))</f>
        <v>4102</v>
      </c>
      <c r="G825" t="s">
        <v>62</v>
      </c>
      <c r="H825" s="216">
        <v>8000000</v>
      </c>
      <c r="I825" s="52">
        <f>IF(J825="","",INDEX(COA!$A$4:$A$123,MATCH(JU!$J825,COA!$B$4:$B$123,0)))</f>
        <v>1103</v>
      </c>
      <c r="J825" t="s">
        <v>154</v>
      </c>
      <c r="K825" s="34">
        <f t="shared" si="113"/>
        <v>8000000</v>
      </c>
    </row>
    <row r="826" spans="1:11" hidden="1">
      <c r="A826" s="50" t="str">
        <f t="shared" si="109"/>
        <v xml:space="preserve">By. Biaya </v>
      </c>
      <c r="B826" s="214">
        <v>46128</v>
      </c>
      <c r="C826" s="211" t="s">
        <v>1517</v>
      </c>
      <c r="D826" s="51" t="s">
        <v>1710</v>
      </c>
      <c r="F826" s="52">
        <f>IF(G826="","",INDEX(COA!$A$4:$A$123,MATCH(JU!$G826,COA!$B$4:$B$123,0)))</f>
        <v>5110</v>
      </c>
      <c r="G826" s="229" t="s">
        <v>74</v>
      </c>
      <c r="H826" s="216">
        <v>3740000</v>
      </c>
      <c r="I826" s="52">
        <f>IF(J826="","",INDEX(COA!$A$4:$A$123,MATCH(JU!$J826,COA!$B$4:$B$123,0)))</f>
        <v>1103</v>
      </c>
      <c r="J826" t="s">
        <v>154</v>
      </c>
      <c r="K826" s="34">
        <f t="shared" si="113"/>
        <v>3740000</v>
      </c>
    </row>
    <row r="827" spans="1:11" hidden="1">
      <c r="A827" s="50" t="str">
        <f t="shared" si="109"/>
        <v xml:space="preserve">Terima Uang Masuk atas </v>
      </c>
      <c r="B827" s="214">
        <v>46128</v>
      </c>
      <c r="C827" s="211" t="s">
        <v>1518</v>
      </c>
      <c r="D827" s="51" t="s">
        <v>1711</v>
      </c>
      <c r="F827" s="52">
        <f>IF(G827="","",INDEX(COA!$A$4:$A$123,MATCH(JU!$G827,COA!$B$4:$B$123,0)))</f>
        <v>1103</v>
      </c>
      <c r="G827" t="s">
        <v>154</v>
      </c>
      <c r="H827" s="216">
        <v>8000000</v>
      </c>
      <c r="I827" s="52">
        <f>IF(J827="","",INDEX(COA!$A$4:$A$123,MATCH(JU!$J827,COA!$B$4:$B$123,0)))</f>
        <v>4102</v>
      </c>
      <c r="J827" t="s">
        <v>62</v>
      </c>
      <c r="K827" s="34">
        <f t="shared" si="113"/>
        <v>8000000</v>
      </c>
    </row>
    <row r="828" spans="1:11" hidden="1">
      <c r="A828" s="50" t="str">
        <f t="shared" si="109"/>
        <v xml:space="preserve">By. Biaya </v>
      </c>
      <c r="B828" s="214">
        <v>46128</v>
      </c>
      <c r="C828" s="211" t="s">
        <v>446</v>
      </c>
      <c r="D828" s="51" t="s">
        <v>1712</v>
      </c>
      <c r="F828" s="52">
        <f>IF(G828="","",INDEX(COA!$A$4:$A$123,MATCH(JU!$G828,COA!$B$4:$B$123,0)))</f>
        <v>6112</v>
      </c>
      <c r="G828" t="s">
        <v>205</v>
      </c>
      <c r="H828" s="216">
        <v>350000</v>
      </c>
      <c r="I828" s="52">
        <f>IF(J828="","",INDEX(COA!$A$4:$A$123,MATCH(JU!$J828,COA!$B$4:$B$123,0)))</f>
        <v>1103</v>
      </c>
      <c r="J828" t="s">
        <v>154</v>
      </c>
      <c r="K828" s="34">
        <f t="shared" si="113"/>
        <v>350000</v>
      </c>
    </row>
    <row r="829" spans="1:11" s="223" customFormat="1" hidden="1">
      <c r="A829" s="221" t="str">
        <f t="shared" ref="A829" si="122">IF(G829="BRI 568","Terima Uang Masuk atas ","By. Biaya ")</f>
        <v xml:space="preserve">Terima Uang Masuk atas </v>
      </c>
      <c r="B829" s="222">
        <v>46128</v>
      </c>
      <c r="D829" s="265" t="s">
        <v>417</v>
      </c>
      <c r="E829"/>
      <c r="F829" s="225">
        <f>IF(G829="","",INDEX(COA!$A$4:$A$123,MATCH(JU!$G829,COA!$B$4:$B$123,0)))</f>
        <v>1103</v>
      </c>
      <c r="G829" s="223" t="s">
        <v>154</v>
      </c>
      <c r="H829" s="226">
        <v>12000000</v>
      </c>
      <c r="I829" s="225">
        <f>IF(J829="","",INDEX(COA!$A$4:$A$123,MATCH(JU!$J829,COA!$B$4:$B$123,0)))</f>
        <v>4102</v>
      </c>
      <c r="J829" s="223" t="s">
        <v>62</v>
      </c>
      <c r="K829" s="227">
        <f t="shared" ref="K829" si="123">IF(H829="","",H829)</f>
        <v>12000000</v>
      </c>
    </row>
    <row r="830" spans="1:11" hidden="1">
      <c r="A830" s="50" t="str">
        <f t="shared" si="109"/>
        <v xml:space="preserve">Terima Uang Masuk atas </v>
      </c>
      <c r="B830" s="214">
        <v>46128</v>
      </c>
      <c r="D830" s="256" t="s">
        <v>417</v>
      </c>
      <c r="F830" s="52">
        <f>IF(G830="","",INDEX(COA!$A$4:$A$123,MATCH(JU!$G830,COA!$B$4:$B$123,0)))</f>
        <v>1103</v>
      </c>
      <c r="G830" t="s">
        <v>154</v>
      </c>
      <c r="H830" s="216">
        <v>4000000</v>
      </c>
      <c r="I830" s="52">
        <f>IF(J830="","",INDEX(COA!$A$4:$A$123,MATCH(JU!$J830,COA!$B$4:$B$123,0)))</f>
        <v>4102</v>
      </c>
      <c r="J830" t="s">
        <v>62</v>
      </c>
      <c r="K830" s="34">
        <f t="shared" si="113"/>
        <v>4000000</v>
      </c>
    </row>
    <row r="831" spans="1:11" hidden="1">
      <c r="A831" s="50" t="str">
        <f t="shared" si="109"/>
        <v xml:space="preserve">Terima Uang Masuk atas </v>
      </c>
      <c r="B831" s="214">
        <v>46128</v>
      </c>
      <c r="C831" s="211" t="s">
        <v>1519</v>
      </c>
      <c r="D831" s="51" t="s">
        <v>1713</v>
      </c>
      <c r="F831" s="52">
        <f>IF(G831="","",INDEX(COA!$A$4:$A$123,MATCH(JU!$G831,COA!$B$4:$B$123,0)))</f>
        <v>1103</v>
      </c>
      <c r="G831" t="s">
        <v>154</v>
      </c>
      <c r="H831" s="216">
        <v>15000000</v>
      </c>
      <c r="I831" s="52">
        <f>IF(J831="","",INDEX(COA!$A$4:$A$123,MATCH(JU!$J831,COA!$B$4:$B$123,0)))</f>
        <v>4102</v>
      </c>
      <c r="J831" t="s">
        <v>62</v>
      </c>
      <c r="K831" s="34">
        <f t="shared" si="113"/>
        <v>15000000</v>
      </c>
    </row>
    <row r="832" spans="1:11" hidden="1">
      <c r="A832" s="50" t="str">
        <f t="shared" ref="A832" si="124">IF(G832="BRI 568","Terima Uang Masuk atas ","By. Biaya ")</f>
        <v xml:space="preserve">By. Biaya </v>
      </c>
      <c r="B832" s="214">
        <v>46128</v>
      </c>
      <c r="C832" s="211" t="s">
        <v>1518</v>
      </c>
      <c r="D832" s="218" t="s">
        <v>2046</v>
      </c>
      <c r="F832" s="52">
        <f>IF(G832="","",INDEX(COA!$A$4:$A$123,MATCH(JU!$G832,COA!$B$4:$B$123,0)))</f>
        <v>1202</v>
      </c>
      <c r="G832" s="229" t="s">
        <v>27</v>
      </c>
      <c r="H832" s="216">
        <v>169000000</v>
      </c>
      <c r="I832" s="52">
        <f>IF(J832="","",INDEX(COA!$A$4:$A$123,MATCH(JU!$J832,COA!$B$4:$B$123,0)))</f>
        <v>4102</v>
      </c>
      <c r="J832" t="s">
        <v>62</v>
      </c>
      <c r="K832" s="34">
        <f t="shared" ref="K832" si="125">IF(H832="","",H832)</f>
        <v>169000000</v>
      </c>
    </row>
    <row r="833" spans="1:12" hidden="1">
      <c r="A833" s="50" t="str">
        <f t="shared" si="109"/>
        <v xml:space="preserve">By. Biaya </v>
      </c>
      <c r="B833" s="214">
        <v>46128</v>
      </c>
      <c r="C833" s="211" t="s">
        <v>1520</v>
      </c>
      <c r="D833" s="51" t="s">
        <v>1714</v>
      </c>
      <c r="F833" s="52">
        <f>IF(G833="","",INDEX(COA!$A$4:$A$123,MATCH(JU!$G833,COA!$B$4:$B$123,0)))</f>
        <v>5108</v>
      </c>
      <c r="G833" s="229" t="s">
        <v>72</v>
      </c>
      <c r="H833" s="216">
        <v>4000000</v>
      </c>
      <c r="I833" s="52">
        <f>IF(J833="","",INDEX(COA!$A$4:$A$123,MATCH(JU!$J833,COA!$B$4:$B$123,0)))</f>
        <v>1103</v>
      </c>
      <c r="J833" t="s">
        <v>154</v>
      </c>
      <c r="K833" s="34">
        <f t="shared" si="113"/>
        <v>4000000</v>
      </c>
    </row>
    <row r="834" spans="1:12" hidden="1">
      <c r="A834" s="50" t="str">
        <f t="shared" si="109"/>
        <v xml:space="preserve">By. Biaya </v>
      </c>
      <c r="B834" s="214">
        <v>46129</v>
      </c>
      <c r="C834" s="211" t="s">
        <v>447</v>
      </c>
      <c r="D834" s="51" t="s">
        <v>1715</v>
      </c>
      <c r="F834" s="52" t="str">
        <f>IF(G834="","",INDEX(COA!$A$4:$A$123,MATCH(JU!$G834,COA!$B$4:$B$123,0)))</f>
        <v>2108</v>
      </c>
      <c r="G834" t="s">
        <v>51</v>
      </c>
      <c r="H834" s="216">
        <v>3838000</v>
      </c>
      <c r="I834" s="52">
        <f>IF(J834="","",INDEX(COA!$A$4:$A$123,MATCH(JU!$J834,COA!$B$4:$B$123,0)))</f>
        <v>1103</v>
      </c>
      <c r="J834" t="s">
        <v>154</v>
      </c>
      <c r="K834" s="34">
        <f t="shared" si="113"/>
        <v>3838000</v>
      </c>
      <c r="L834" s="237">
        <f>K834/2</f>
        <v>1919000</v>
      </c>
    </row>
    <row r="835" spans="1:12" hidden="1">
      <c r="A835" s="50" t="str">
        <f t="shared" si="109"/>
        <v xml:space="preserve">By. Biaya </v>
      </c>
      <c r="B835" s="214">
        <v>46129</v>
      </c>
      <c r="C835" s="211" t="s">
        <v>448</v>
      </c>
      <c r="D835" s="51" t="s">
        <v>1716</v>
      </c>
      <c r="F835" s="52">
        <f>IF(G835="","",INDEX(COA!$A$4:$A$123,MATCH(JU!$G835,COA!$B$4:$B$123,0)))</f>
        <v>1301</v>
      </c>
      <c r="G835" t="s">
        <v>30</v>
      </c>
      <c r="H835" s="216">
        <v>5000000</v>
      </c>
      <c r="I835" s="52">
        <f>IF(J835="","",INDEX(COA!$A$4:$A$123,MATCH(JU!$J835,COA!$B$4:$B$123,0)))</f>
        <v>1103</v>
      </c>
      <c r="J835" t="s">
        <v>154</v>
      </c>
      <c r="K835" s="34">
        <f t="shared" si="113"/>
        <v>5000000</v>
      </c>
    </row>
    <row r="836" spans="1:12" hidden="1">
      <c r="A836" s="50" t="str">
        <f t="shared" si="109"/>
        <v xml:space="preserve">By. Biaya </v>
      </c>
      <c r="B836" s="214">
        <v>46129</v>
      </c>
      <c r="C836" s="211" t="s">
        <v>305</v>
      </c>
      <c r="D836" s="51" t="s">
        <v>333</v>
      </c>
      <c r="F836" s="52" t="str">
        <f>IF(G836="","",INDEX(COA!$A$4:$A$123,MATCH(JU!$G836,COA!$B$4:$B$123,0)))</f>
        <v>6303</v>
      </c>
      <c r="G836" t="s">
        <v>87</v>
      </c>
      <c r="H836" s="216">
        <v>2500</v>
      </c>
      <c r="I836" s="52">
        <f>IF(J836="","",INDEX(COA!$A$4:$A$123,MATCH(JU!$J836,COA!$B$4:$B$123,0)))</f>
        <v>1103</v>
      </c>
      <c r="J836" t="s">
        <v>154</v>
      </c>
      <c r="K836" s="34">
        <f t="shared" si="113"/>
        <v>2500</v>
      </c>
    </row>
    <row r="837" spans="1:12" hidden="1">
      <c r="A837" s="50" t="str">
        <f t="shared" si="109"/>
        <v xml:space="preserve">By. Biaya </v>
      </c>
      <c r="B837" s="214">
        <v>46129</v>
      </c>
      <c r="C837" s="211" t="s">
        <v>449</v>
      </c>
      <c r="D837" s="51" t="s">
        <v>1717</v>
      </c>
      <c r="F837" s="52" t="str">
        <f>IF(G837="","",INDEX(COA!$A$4:$A$123,MATCH(JU!$G837,COA!$B$4:$B$123,0)))</f>
        <v>6301</v>
      </c>
      <c r="G837" t="s">
        <v>85</v>
      </c>
      <c r="H837" s="216">
        <v>12500000</v>
      </c>
      <c r="I837" s="52">
        <f>IF(J837="","",INDEX(COA!$A$4:$A$123,MATCH(JU!$J837,COA!$B$4:$B$123,0)))</f>
        <v>1103</v>
      </c>
      <c r="J837" t="s">
        <v>154</v>
      </c>
      <c r="K837" s="34">
        <f t="shared" si="113"/>
        <v>12500000</v>
      </c>
    </row>
    <row r="838" spans="1:12" hidden="1">
      <c r="A838" s="50" t="str">
        <f t="shared" si="109"/>
        <v xml:space="preserve">By. Biaya </v>
      </c>
      <c r="B838" s="214">
        <v>46129</v>
      </c>
      <c r="C838" s="211" t="s">
        <v>1521</v>
      </c>
      <c r="D838" s="51" t="s">
        <v>1718</v>
      </c>
      <c r="F838" s="52">
        <f>IF(G838="","",INDEX(COA!$A$4:$A$123,MATCH(JU!$G838,COA!$B$4:$B$123,0)))</f>
        <v>6112</v>
      </c>
      <c r="G838" s="229" t="s">
        <v>205</v>
      </c>
      <c r="H838" s="216">
        <v>2282800</v>
      </c>
      <c r="I838" s="52">
        <f>IF(J838="","",INDEX(COA!$A$4:$A$123,MATCH(JU!$J838,COA!$B$4:$B$123,0)))</f>
        <v>1103</v>
      </c>
      <c r="J838" t="s">
        <v>154</v>
      </c>
      <c r="K838" s="34">
        <f t="shared" si="113"/>
        <v>2282800</v>
      </c>
    </row>
    <row r="839" spans="1:12" hidden="1">
      <c r="A839" s="50" t="str">
        <f t="shared" si="109"/>
        <v xml:space="preserve">By. Biaya </v>
      </c>
      <c r="B839" s="214">
        <v>46129</v>
      </c>
      <c r="C839" s="211" t="s">
        <v>305</v>
      </c>
      <c r="D839" s="51" t="s">
        <v>333</v>
      </c>
      <c r="F839" s="52" t="str">
        <f>IF(G839="","",INDEX(COA!$A$4:$A$123,MATCH(JU!$G839,COA!$B$4:$B$123,0)))</f>
        <v>6303</v>
      </c>
      <c r="G839" t="s">
        <v>87</v>
      </c>
      <c r="H839" s="216">
        <v>2500</v>
      </c>
      <c r="I839" s="52">
        <f>IF(J839="","",INDEX(COA!$A$4:$A$123,MATCH(JU!$J839,COA!$B$4:$B$123,0)))</f>
        <v>1103</v>
      </c>
      <c r="J839" t="s">
        <v>154</v>
      </c>
      <c r="K839" s="34">
        <f t="shared" si="113"/>
        <v>2500</v>
      </c>
    </row>
    <row r="840" spans="1:12" hidden="1">
      <c r="A840" s="50" t="str">
        <f t="shared" si="109"/>
        <v xml:space="preserve">By. Biaya </v>
      </c>
      <c r="B840" s="214">
        <v>46129</v>
      </c>
      <c r="C840" s="211" t="s">
        <v>450</v>
      </c>
      <c r="D840" s="51" t="s">
        <v>1719</v>
      </c>
      <c r="F840" s="52">
        <f>IF(G840="","",INDEX(COA!$A$4:$A$123,MATCH(JU!$G840,COA!$B$4:$B$123,0)))</f>
        <v>1301</v>
      </c>
      <c r="G840" t="s">
        <v>30</v>
      </c>
      <c r="H840" s="216">
        <v>1000000</v>
      </c>
      <c r="I840" s="52">
        <f>IF(J840="","",INDEX(COA!$A$4:$A$123,MATCH(JU!$J840,COA!$B$4:$B$123,0)))</f>
        <v>1103</v>
      </c>
      <c r="J840" t="s">
        <v>154</v>
      </c>
      <c r="K840" s="34">
        <f t="shared" si="113"/>
        <v>1000000</v>
      </c>
    </row>
    <row r="841" spans="1:12" hidden="1">
      <c r="A841" s="50" t="str">
        <f t="shared" ref="A841:A910" si="126">IF(G841="BRI 568","Terima Uang Masuk atas ","By. Biaya ")</f>
        <v xml:space="preserve">Terima Uang Masuk atas </v>
      </c>
      <c r="B841" s="214">
        <v>46129</v>
      </c>
      <c r="C841" s="211" t="s">
        <v>1522</v>
      </c>
      <c r="D841" s="51" t="s">
        <v>1720</v>
      </c>
      <c r="F841" s="52">
        <f>IF(G841="","",INDEX(COA!$A$4:$A$123,MATCH(JU!$G841,COA!$B$4:$B$123,0)))</f>
        <v>1103</v>
      </c>
      <c r="G841" t="s">
        <v>154</v>
      </c>
      <c r="H841" s="216">
        <v>5000000</v>
      </c>
      <c r="I841" s="52">
        <f>IF(J841="","",INDEX(COA!$A$4:$A$123,MATCH(JU!$J841,COA!$B$4:$B$123,0)))</f>
        <v>4102</v>
      </c>
      <c r="J841" t="s">
        <v>62</v>
      </c>
      <c r="K841" s="34">
        <f t="shared" si="113"/>
        <v>5000000</v>
      </c>
    </row>
    <row r="842" spans="1:12" hidden="1">
      <c r="A842" s="50" t="str">
        <f t="shared" si="126"/>
        <v xml:space="preserve">By. Biaya </v>
      </c>
      <c r="B842" s="214">
        <v>46129</v>
      </c>
      <c r="C842" s="211" t="s">
        <v>1523</v>
      </c>
      <c r="D842" s="51" t="s">
        <v>1721</v>
      </c>
      <c r="F842" s="52">
        <f>IF(G842="","",INDEX(COA!$A$4:$A$123,MATCH(JU!$G842,COA!$B$4:$B$123,0)))</f>
        <v>4102</v>
      </c>
      <c r="G842" t="s">
        <v>62</v>
      </c>
      <c r="H842" s="216">
        <v>8000000</v>
      </c>
      <c r="I842" s="52">
        <f>IF(J842="","",INDEX(COA!$A$4:$A$123,MATCH(JU!$J842,COA!$B$4:$B$123,0)))</f>
        <v>1103</v>
      </c>
      <c r="J842" t="s">
        <v>154</v>
      </c>
      <c r="K842" s="34">
        <f t="shared" si="113"/>
        <v>8000000</v>
      </c>
    </row>
    <row r="843" spans="1:12" hidden="1">
      <c r="A843" s="50" t="str">
        <f t="shared" si="126"/>
        <v xml:space="preserve">By. Biaya </v>
      </c>
      <c r="B843" s="214">
        <v>46129</v>
      </c>
      <c r="C843" s="211" t="s">
        <v>1524</v>
      </c>
      <c r="D843" s="51" t="s">
        <v>1722</v>
      </c>
      <c r="F843" s="52">
        <f>IF(G843="","",INDEX(COA!$A$4:$A$123,MATCH(JU!$G843,COA!$B$4:$B$123,0)))</f>
        <v>5110</v>
      </c>
      <c r="G843" s="229" t="s">
        <v>74</v>
      </c>
      <c r="H843" s="216">
        <v>3740000</v>
      </c>
      <c r="I843" s="52">
        <f>IF(J843="","",INDEX(COA!$A$4:$A$123,MATCH(JU!$J843,COA!$B$4:$B$123,0)))</f>
        <v>1103</v>
      </c>
      <c r="J843" t="s">
        <v>154</v>
      </c>
      <c r="K843" s="34">
        <f t="shared" si="113"/>
        <v>3740000</v>
      </c>
    </row>
    <row r="844" spans="1:12" hidden="1">
      <c r="A844" s="50" t="str">
        <f t="shared" si="126"/>
        <v xml:space="preserve">By. Biaya </v>
      </c>
      <c r="B844" s="214">
        <v>46129</v>
      </c>
      <c r="C844" s="211" t="s">
        <v>1525</v>
      </c>
      <c r="D844" s="51" t="s">
        <v>1723</v>
      </c>
      <c r="F844" s="52">
        <f>IF(G844="","",INDEX(COA!$A$4:$A$123,MATCH(JU!$G844,COA!$B$4:$B$123,0)))</f>
        <v>5108</v>
      </c>
      <c r="G844" s="229" t="s">
        <v>72</v>
      </c>
      <c r="H844" s="216">
        <v>4000000</v>
      </c>
      <c r="I844" s="52">
        <f>IF(J844="","",INDEX(COA!$A$4:$A$123,MATCH(JU!$J844,COA!$B$4:$B$123,0)))</f>
        <v>1103</v>
      </c>
      <c r="J844" t="s">
        <v>154</v>
      </c>
      <c r="K844" s="34">
        <f t="shared" si="113"/>
        <v>4000000</v>
      </c>
    </row>
    <row r="845" spans="1:12" hidden="1">
      <c r="A845" s="50" t="str">
        <f t="shared" si="126"/>
        <v xml:space="preserve">Terima Uang Masuk atas </v>
      </c>
      <c r="B845" s="214">
        <v>46129</v>
      </c>
      <c r="C845" s="211" t="s">
        <v>1526</v>
      </c>
      <c r="D845" s="51" t="s">
        <v>1724</v>
      </c>
      <c r="F845" s="52">
        <f>IF(G845="","",INDEX(COA!$A$4:$A$123,MATCH(JU!$G845,COA!$B$4:$B$123,0)))</f>
        <v>1103</v>
      </c>
      <c r="G845" t="s">
        <v>154</v>
      </c>
      <c r="H845" s="216">
        <v>2000000</v>
      </c>
      <c r="I845" s="52">
        <f>IF(J845="","",INDEX(COA!$A$4:$A$123,MATCH(JU!$J845,COA!$B$4:$B$123,0)))</f>
        <v>4101</v>
      </c>
      <c r="J845" t="s">
        <v>61</v>
      </c>
      <c r="K845" s="34">
        <f t="shared" si="113"/>
        <v>2000000</v>
      </c>
    </row>
    <row r="846" spans="1:12" hidden="1">
      <c r="A846" s="50" t="str">
        <f t="shared" si="126"/>
        <v xml:space="preserve">By. Biaya </v>
      </c>
      <c r="B846" s="214">
        <v>46129</v>
      </c>
      <c r="C846" s="211" t="s">
        <v>1527</v>
      </c>
      <c r="D846" s="51" t="s">
        <v>1725</v>
      </c>
      <c r="F846" s="52">
        <f>IF(G846="","",INDEX(COA!$A$4:$A$123,MATCH(JU!$G846,COA!$B$4:$B$123,0)))</f>
        <v>6112</v>
      </c>
      <c r="G846" t="s">
        <v>205</v>
      </c>
      <c r="H846" s="216">
        <v>250000</v>
      </c>
      <c r="I846" s="52">
        <f>IF(J846="","",INDEX(COA!$A$4:$A$123,MATCH(JU!$J846,COA!$B$4:$B$123,0)))</f>
        <v>1103</v>
      </c>
      <c r="J846" t="s">
        <v>154</v>
      </c>
      <c r="K846" s="34">
        <f t="shared" si="113"/>
        <v>250000</v>
      </c>
    </row>
    <row r="847" spans="1:12" hidden="1">
      <c r="A847" s="50" t="str">
        <f t="shared" si="126"/>
        <v xml:space="preserve">By. Biaya </v>
      </c>
      <c r="B847" s="214">
        <v>46129</v>
      </c>
      <c r="C847" s="211" t="s">
        <v>1528</v>
      </c>
      <c r="D847" s="51" t="s">
        <v>1726</v>
      </c>
      <c r="F847" s="52">
        <f>IF(G847="","",INDEX(COA!$A$4:$A$123,MATCH(JU!$G847,COA!$B$4:$B$123,0)))</f>
        <v>1203</v>
      </c>
      <c r="G847" t="s">
        <v>140</v>
      </c>
      <c r="H847" s="216">
        <v>580000</v>
      </c>
      <c r="I847" s="52">
        <f>IF(J847="","",INDEX(COA!$A$4:$A$123,MATCH(JU!$J847,COA!$B$4:$B$123,0)))</f>
        <v>1103</v>
      </c>
      <c r="J847" t="s">
        <v>154</v>
      </c>
      <c r="K847" s="34">
        <f t="shared" si="113"/>
        <v>580000</v>
      </c>
    </row>
    <row r="848" spans="1:12" hidden="1">
      <c r="A848" s="50" t="str">
        <f t="shared" si="126"/>
        <v xml:space="preserve">By. Biaya </v>
      </c>
      <c r="B848" s="214">
        <v>46129</v>
      </c>
      <c r="C848" s="211" t="s">
        <v>305</v>
      </c>
      <c r="D848" s="51" t="s">
        <v>333</v>
      </c>
      <c r="F848" s="52" t="str">
        <f>IF(G848="","",INDEX(COA!$A$4:$A$123,MATCH(JU!$G848,COA!$B$4:$B$123,0)))</f>
        <v>6303</v>
      </c>
      <c r="G848" t="s">
        <v>87</v>
      </c>
      <c r="H848" s="216">
        <v>2500</v>
      </c>
      <c r="I848" s="52">
        <f>IF(J848="","",INDEX(COA!$A$4:$A$123,MATCH(JU!$J848,COA!$B$4:$B$123,0)))</f>
        <v>1103</v>
      </c>
      <c r="J848" t="s">
        <v>154</v>
      </c>
      <c r="K848" s="34">
        <f t="shared" si="113"/>
        <v>2500</v>
      </c>
    </row>
    <row r="849" spans="1:11" hidden="1">
      <c r="A849" s="50" t="str">
        <f t="shared" si="126"/>
        <v xml:space="preserve">By. Biaya </v>
      </c>
      <c r="B849" s="214">
        <v>46129</v>
      </c>
      <c r="C849" s="211" t="s">
        <v>1529</v>
      </c>
      <c r="D849" s="51" t="s">
        <v>1727</v>
      </c>
      <c r="F849" s="52">
        <f>IF(G849="","",INDEX(COA!$A$4:$A$123,MATCH(JU!$G849,COA!$B$4:$B$123,0)))</f>
        <v>6105</v>
      </c>
      <c r="G849" t="s">
        <v>148</v>
      </c>
      <c r="H849" s="216">
        <v>140000</v>
      </c>
      <c r="I849" s="52">
        <f>IF(J849="","",INDEX(COA!$A$4:$A$123,MATCH(JU!$J849,COA!$B$4:$B$123,0)))</f>
        <v>1103</v>
      </c>
      <c r="J849" t="s">
        <v>154</v>
      </c>
      <c r="K849" s="34">
        <f t="shared" si="113"/>
        <v>140000</v>
      </c>
    </row>
    <row r="850" spans="1:11" hidden="1">
      <c r="A850" s="50" t="str">
        <f t="shared" si="126"/>
        <v xml:space="preserve">By. Biaya </v>
      </c>
      <c r="B850" s="214">
        <v>46129</v>
      </c>
      <c r="C850" s="211" t="s">
        <v>1529</v>
      </c>
      <c r="D850" s="51" t="s">
        <v>1727</v>
      </c>
      <c r="F850" s="52">
        <f>IF(G850="","",INDEX(COA!$A$4:$A$123,MATCH(JU!$G850,COA!$B$4:$B$123,0)))</f>
        <v>6105</v>
      </c>
      <c r="G850" t="s">
        <v>148</v>
      </c>
      <c r="H850" s="216">
        <v>140000</v>
      </c>
      <c r="I850" s="52">
        <f>IF(J850="","",INDEX(COA!$A$4:$A$123,MATCH(JU!$J850,COA!$B$4:$B$123,0)))</f>
        <v>1103</v>
      </c>
      <c r="J850" t="s">
        <v>154</v>
      </c>
      <c r="K850" s="34">
        <f t="shared" si="113"/>
        <v>140000</v>
      </c>
    </row>
    <row r="851" spans="1:11" hidden="1">
      <c r="A851" s="50" t="str">
        <f t="shared" si="126"/>
        <v xml:space="preserve">Terima Uang Masuk atas </v>
      </c>
      <c r="B851" s="214">
        <v>46129</v>
      </c>
      <c r="C851" s="211" t="s">
        <v>1530</v>
      </c>
      <c r="D851" s="51" t="s">
        <v>1728</v>
      </c>
      <c r="F851" s="52">
        <f>IF(G851="","",INDEX(COA!$A$4:$A$123,MATCH(JU!$G851,COA!$B$4:$B$123,0)))</f>
        <v>1103</v>
      </c>
      <c r="G851" t="s">
        <v>154</v>
      </c>
      <c r="H851" s="216">
        <v>140000</v>
      </c>
      <c r="I851" s="52">
        <f>IF(J851="","",INDEX(COA!$A$4:$A$123,MATCH(JU!$J851,COA!$B$4:$B$123,0)))</f>
        <v>6105</v>
      </c>
      <c r="J851" t="s">
        <v>148</v>
      </c>
      <c r="K851" s="34">
        <f t="shared" si="113"/>
        <v>140000</v>
      </c>
    </row>
    <row r="852" spans="1:11">
      <c r="A852" s="50" t="str">
        <f t="shared" si="126"/>
        <v xml:space="preserve">By. Biaya </v>
      </c>
      <c r="B852" s="214">
        <v>46129</v>
      </c>
      <c r="C852" s="211" t="s">
        <v>1531</v>
      </c>
      <c r="D852" s="51" t="s">
        <v>1729</v>
      </c>
      <c r="F852" s="52">
        <f>IF(G852="","",INDEX(COA!$A$4:$A$123,MATCH(JU!$G852,COA!$B$4:$B$123,0)))</f>
        <v>1302</v>
      </c>
      <c r="G852" t="s">
        <v>31</v>
      </c>
      <c r="H852" s="216">
        <v>1500000</v>
      </c>
      <c r="I852" s="52">
        <f>IF(J852="","",INDEX(COA!$A$4:$A$123,MATCH(JU!$J852,COA!$B$4:$B$123,0)))</f>
        <v>1103</v>
      </c>
      <c r="J852" t="s">
        <v>154</v>
      </c>
      <c r="K852" s="34">
        <f t="shared" si="113"/>
        <v>1500000</v>
      </c>
    </row>
    <row r="853" spans="1:11" hidden="1">
      <c r="A853" s="50" t="str">
        <f t="shared" si="126"/>
        <v xml:space="preserve">By. Biaya </v>
      </c>
      <c r="B853" s="214">
        <v>46129</v>
      </c>
      <c r="C853" s="211" t="s">
        <v>1532</v>
      </c>
      <c r="D853" s="51" t="s">
        <v>2342</v>
      </c>
      <c r="F853" s="52">
        <f>IF(G853="","",INDEX(COA!$A$4:$A$123,MATCH(JU!$G853,COA!$B$4:$B$123,0)))</f>
        <v>1203</v>
      </c>
      <c r="G853" t="s">
        <v>140</v>
      </c>
      <c r="H853" s="216">
        <v>25000000</v>
      </c>
      <c r="I853" s="52">
        <f>IF(J853="","",INDEX(COA!$A$4:$A$123,MATCH(JU!$J853,COA!$B$4:$B$123,0)))</f>
        <v>1103</v>
      </c>
      <c r="J853" t="s">
        <v>154</v>
      </c>
      <c r="K853" s="34">
        <f t="shared" si="113"/>
        <v>25000000</v>
      </c>
    </row>
    <row r="854" spans="1:11" hidden="1">
      <c r="A854" s="50" t="str">
        <f t="shared" si="126"/>
        <v xml:space="preserve">By. Biaya </v>
      </c>
      <c r="B854" s="214">
        <v>46129</v>
      </c>
      <c r="C854" s="211" t="s">
        <v>305</v>
      </c>
      <c r="D854" s="51" t="s">
        <v>333</v>
      </c>
      <c r="F854" s="52" t="str">
        <f>IF(G854="","",INDEX(COA!$A$4:$A$123,MATCH(JU!$G854,COA!$B$4:$B$123,0)))</f>
        <v>6303</v>
      </c>
      <c r="G854" t="s">
        <v>87</v>
      </c>
      <c r="H854" s="216">
        <v>2500</v>
      </c>
      <c r="I854" s="52">
        <f>IF(J854="","",INDEX(COA!$A$4:$A$123,MATCH(JU!$J854,COA!$B$4:$B$123,0)))</f>
        <v>1103</v>
      </c>
      <c r="J854" t="s">
        <v>154</v>
      </c>
      <c r="K854" s="34">
        <f t="shared" si="113"/>
        <v>2500</v>
      </c>
    </row>
    <row r="855" spans="1:11" hidden="1">
      <c r="A855" s="50" t="str">
        <f t="shared" si="126"/>
        <v xml:space="preserve">By. Biaya </v>
      </c>
      <c r="B855" s="214">
        <v>46130</v>
      </c>
      <c r="C855" s="211" t="s">
        <v>431</v>
      </c>
      <c r="D855" s="51" t="s">
        <v>374</v>
      </c>
      <c r="F855" s="52" t="str">
        <f>IF(G855="","",INDEX(COA!$A$4:$A$123,MATCH(JU!$G855,COA!$B$4:$B$123,0)))</f>
        <v>2107</v>
      </c>
      <c r="G855" t="s">
        <v>50</v>
      </c>
      <c r="H855" s="216">
        <v>50000000</v>
      </c>
      <c r="I855" s="52">
        <f>IF(J855="","",INDEX(COA!$A$4:$A$123,MATCH(JU!$J855,COA!$B$4:$B$123,0)))</f>
        <v>1103</v>
      </c>
      <c r="J855" t="s">
        <v>154</v>
      </c>
      <c r="K855" s="34">
        <f t="shared" si="113"/>
        <v>50000000</v>
      </c>
    </row>
    <row r="856" spans="1:11" hidden="1">
      <c r="A856" s="50" t="str">
        <f t="shared" si="126"/>
        <v xml:space="preserve">By. Biaya </v>
      </c>
      <c r="B856" s="214">
        <v>46130</v>
      </c>
      <c r="C856" s="211" t="s">
        <v>305</v>
      </c>
      <c r="D856" s="51" t="s">
        <v>333</v>
      </c>
      <c r="F856" s="52" t="str">
        <f>IF(G856="","",INDEX(COA!$A$4:$A$123,MATCH(JU!$G856,COA!$B$4:$B$123,0)))</f>
        <v>6303</v>
      </c>
      <c r="G856" t="s">
        <v>87</v>
      </c>
      <c r="H856" s="216">
        <v>2500</v>
      </c>
      <c r="I856" s="52">
        <f>IF(J856="","",INDEX(COA!$A$4:$A$123,MATCH(JU!$J856,COA!$B$4:$B$123,0)))</f>
        <v>1103</v>
      </c>
      <c r="J856" t="s">
        <v>154</v>
      </c>
      <c r="K856" s="34">
        <f t="shared" si="113"/>
        <v>2500</v>
      </c>
    </row>
    <row r="857" spans="1:11" hidden="1">
      <c r="A857" s="50" t="str">
        <f t="shared" si="126"/>
        <v xml:space="preserve">Terima Uang Masuk atas </v>
      </c>
      <c r="B857" s="214">
        <v>46130</v>
      </c>
      <c r="C857" s="211" t="s">
        <v>1533</v>
      </c>
      <c r="D857" s="51" t="s">
        <v>1730</v>
      </c>
      <c r="F857" s="52">
        <f>IF(G857="","",INDEX(COA!$A$4:$A$123,MATCH(JU!$G857,COA!$B$4:$B$123,0)))</f>
        <v>1103</v>
      </c>
      <c r="G857" t="s">
        <v>154</v>
      </c>
      <c r="H857" s="216">
        <v>10000000</v>
      </c>
      <c r="I857" s="52">
        <f>IF(J857="","",INDEX(COA!$A$4:$A$123,MATCH(JU!$J857,COA!$B$4:$B$123,0)))</f>
        <v>1204</v>
      </c>
      <c r="J857" t="s">
        <v>28</v>
      </c>
      <c r="K857" s="34">
        <f t="shared" si="113"/>
        <v>10000000</v>
      </c>
    </row>
    <row r="858" spans="1:11" hidden="1">
      <c r="A858" s="50" t="str">
        <f t="shared" si="126"/>
        <v xml:space="preserve">Terima Uang Masuk atas </v>
      </c>
      <c r="B858" s="214">
        <v>46130</v>
      </c>
      <c r="C858" s="211" t="s">
        <v>1534</v>
      </c>
      <c r="D858" s="51" t="s">
        <v>1731</v>
      </c>
      <c r="F858" s="52">
        <f>IF(G858="","",INDEX(COA!$A$4:$A$123,MATCH(JU!$G858,COA!$B$4:$B$123,0)))</f>
        <v>1103</v>
      </c>
      <c r="G858" t="s">
        <v>154</v>
      </c>
      <c r="H858" s="216">
        <v>8000000</v>
      </c>
      <c r="I858" s="52">
        <f>IF(J858="","",INDEX(COA!$A$4:$A$123,MATCH(JU!$J858,COA!$B$4:$B$123,0)))</f>
        <v>4102</v>
      </c>
      <c r="J858" t="s">
        <v>62</v>
      </c>
      <c r="K858" s="34">
        <f t="shared" si="113"/>
        <v>8000000</v>
      </c>
    </row>
    <row r="859" spans="1:11" hidden="1">
      <c r="A859" s="50" t="str">
        <f t="shared" si="126"/>
        <v xml:space="preserve">By. Biaya </v>
      </c>
      <c r="B859" s="214">
        <v>46132</v>
      </c>
      <c r="C859" s="211" t="s">
        <v>451</v>
      </c>
      <c r="D859" s="51" t="s">
        <v>1732</v>
      </c>
      <c r="F859" s="52">
        <f>IF(G859="","",INDEX(COA!$A$4:$A$123,MATCH(JU!$G859,COA!$B$4:$B$123,0)))</f>
        <v>1301</v>
      </c>
      <c r="G859" t="s">
        <v>30</v>
      </c>
      <c r="H859" s="216">
        <v>500000</v>
      </c>
      <c r="I859" s="52">
        <f>IF(J859="","",INDEX(COA!$A$4:$A$123,MATCH(JU!$J859,COA!$B$4:$B$123,0)))</f>
        <v>1103</v>
      </c>
      <c r="J859" t="s">
        <v>154</v>
      </c>
      <c r="K859" s="34">
        <f t="shared" si="113"/>
        <v>500000</v>
      </c>
    </row>
    <row r="860" spans="1:11" hidden="1">
      <c r="A860" s="50" t="str">
        <f t="shared" si="126"/>
        <v xml:space="preserve">By. Biaya </v>
      </c>
      <c r="B860" s="214">
        <v>46132</v>
      </c>
      <c r="C860" s="211" t="s">
        <v>1535</v>
      </c>
      <c r="D860" s="51" t="s">
        <v>1733</v>
      </c>
      <c r="F860" s="52">
        <f>IF(G860="","",INDEX(COA!$A$4:$A$123,MATCH(JU!$G860,COA!$B$4:$B$123,0)))</f>
        <v>1302</v>
      </c>
      <c r="G860" t="s">
        <v>31</v>
      </c>
      <c r="H860" s="216">
        <v>13800000</v>
      </c>
      <c r="I860" s="52">
        <f>IF(J860="","",INDEX(COA!$A$4:$A$123,MATCH(JU!$J860,COA!$B$4:$B$123,0)))</f>
        <v>1103</v>
      </c>
      <c r="J860" t="s">
        <v>154</v>
      </c>
      <c r="K860" s="34">
        <f t="shared" si="113"/>
        <v>13800000</v>
      </c>
    </row>
    <row r="861" spans="1:11" hidden="1">
      <c r="A861" s="50" t="str">
        <f t="shared" si="126"/>
        <v xml:space="preserve">By. Biaya </v>
      </c>
      <c r="B861" s="214">
        <v>46132</v>
      </c>
      <c r="C861" s="211" t="s">
        <v>1536</v>
      </c>
      <c r="D861" s="51" t="s">
        <v>1734</v>
      </c>
      <c r="F861" s="52">
        <f>IF(G861="","",INDEX(COA!$A$4:$A$123,MATCH(JU!$G861,COA!$B$4:$B$123,0)))</f>
        <v>1302</v>
      </c>
      <c r="G861" t="s">
        <v>31</v>
      </c>
      <c r="H861" s="216">
        <v>100000</v>
      </c>
      <c r="I861" s="52">
        <f>IF(J861="","",INDEX(COA!$A$4:$A$123,MATCH(JU!$J861,COA!$B$4:$B$123,0)))</f>
        <v>1103</v>
      </c>
      <c r="J861" t="s">
        <v>154</v>
      </c>
      <c r="K861" s="34">
        <f t="shared" si="113"/>
        <v>100000</v>
      </c>
    </row>
    <row r="862" spans="1:11" hidden="1">
      <c r="A862" s="50" t="str">
        <f t="shared" si="126"/>
        <v xml:space="preserve">By. Biaya </v>
      </c>
      <c r="B862" s="214">
        <v>46132</v>
      </c>
      <c r="C862" s="211" t="s">
        <v>1537</v>
      </c>
      <c r="D862" s="51" t="s">
        <v>2047</v>
      </c>
      <c r="F862" s="52">
        <f>IF(G862="","",INDEX(COA!$A$4:$A$123,MATCH(JU!$G862,COA!$B$4:$B$123,0)))</f>
        <v>1302</v>
      </c>
      <c r="G862" t="s">
        <v>31</v>
      </c>
      <c r="H862" s="216">
        <f>1545000*2</f>
        <v>3090000</v>
      </c>
      <c r="I862" s="52">
        <f>IF(J862="","",INDEX(COA!$A$4:$A$123,MATCH(JU!$J862,COA!$B$4:$B$123,0)))</f>
        <v>1103</v>
      </c>
      <c r="J862" t="s">
        <v>154</v>
      </c>
      <c r="K862" s="34">
        <f t="shared" si="113"/>
        <v>3090000</v>
      </c>
    </row>
    <row r="863" spans="1:11" hidden="1">
      <c r="A863" s="50" t="str">
        <f t="shared" ref="A863" si="127">IF(G863="BRI 568","Terima Uang Masuk atas ","By. Biaya ")</f>
        <v xml:space="preserve">By. Biaya </v>
      </c>
      <c r="B863" s="214">
        <v>46132</v>
      </c>
      <c r="C863" s="211" t="s">
        <v>1537</v>
      </c>
      <c r="D863" s="51" t="s">
        <v>2048</v>
      </c>
      <c r="F863" s="52">
        <f>IF(G863="","",INDEX(COA!$A$4:$A$123,MATCH(JU!$G863,COA!$B$4:$B$123,0)))</f>
        <v>5108</v>
      </c>
      <c r="G863" t="s">
        <v>72</v>
      </c>
      <c r="H863" s="216">
        <v>1000000</v>
      </c>
      <c r="I863" s="52">
        <f>IF(J863="","",INDEX(COA!$A$4:$A$123,MATCH(JU!$J863,COA!$B$4:$B$123,0)))</f>
        <v>1103</v>
      </c>
      <c r="J863" t="s">
        <v>154</v>
      </c>
      <c r="K863" s="34">
        <f t="shared" ref="K863" si="128">IF(H863="","",H863)</f>
        <v>1000000</v>
      </c>
    </row>
    <row r="864" spans="1:11" hidden="1">
      <c r="A864" s="50" t="str">
        <f t="shared" si="126"/>
        <v xml:space="preserve">By. Biaya </v>
      </c>
      <c r="B864" s="214">
        <v>46132</v>
      </c>
      <c r="C864" s="211" t="s">
        <v>452</v>
      </c>
      <c r="D864" s="51" t="s">
        <v>1735</v>
      </c>
      <c r="F864" s="52">
        <f>IF(G864="","",INDEX(COA!$A$4:$A$123,MATCH(JU!$G864,COA!$B$4:$B$123,0)))</f>
        <v>5107</v>
      </c>
      <c r="G864" t="s">
        <v>71</v>
      </c>
      <c r="H864" s="216">
        <v>103000</v>
      </c>
      <c r="I864" s="52">
        <f>IF(J864="","",INDEX(COA!$A$4:$A$123,MATCH(JU!$J864,COA!$B$4:$B$123,0)))</f>
        <v>1103</v>
      </c>
      <c r="J864" t="s">
        <v>154</v>
      </c>
      <c r="K864" s="34">
        <f t="shared" si="113"/>
        <v>103000</v>
      </c>
    </row>
    <row r="865" spans="1:11" hidden="1">
      <c r="A865" s="50" t="str">
        <f t="shared" si="126"/>
        <v xml:space="preserve">By. Biaya </v>
      </c>
      <c r="B865" s="214">
        <v>46132</v>
      </c>
      <c r="C865" s="211" t="s">
        <v>645</v>
      </c>
      <c r="D865" s="51" t="s">
        <v>728</v>
      </c>
      <c r="F865" s="52">
        <f>IF(G865="","",INDEX(COA!$A$4:$A$123,MATCH(JU!$G865,COA!$B$4:$B$123,0)))</f>
        <v>1302</v>
      </c>
      <c r="G865" t="s">
        <v>31</v>
      </c>
      <c r="H865" s="216">
        <v>25000000</v>
      </c>
      <c r="I865" s="52">
        <f>IF(J865="","",INDEX(COA!$A$4:$A$123,MATCH(JU!$J865,COA!$B$4:$B$123,0)))</f>
        <v>1103</v>
      </c>
      <c r="J865" t="s">
        <v>154</v>
      </c>
      <c r="K865" s="34">
        <f t="shared" si="113"/>
        <v>25000000</v>
      </c>
    </row>
    <row r="866" spans="1:11" hidden="1">
      <c r="A866" s="50" t="str">
        <f t="shared" si="126"/>
        <v xml:space="preserve">Terima Uang Masuk atas </v>
      </c>
      <c r="B866" s="214">
        <v>46132</v>
      </c>
      <c r="C866" s="211" t="s">
        <v>1538</v>
      </c>
      <c r="D866" s="51" t="s">
        <v>1736</v>
      </c>
      <c r="F866" s="52">
        <f>IF(G866="","",INDEX(COA!$A$4:$A$123,MATCH(JU!$G866,COA!$B$4:$B$123,0)))</f>
        <v>1103</v>
      </c>
      <c r="G866" t="s">
        <v>154</v>
      </c>
      <c r="H866" s="216">
        <v>15000000</v>
      </c>
      <c r="I866" s="52">
        <f>IF(J866="","",INDEX(COA!$A$4:$A$123,MATCH(JU!$J866,COA!$B$4:$B$123,0)))</f>
        <v>4102</v>
      </c>
      <c r="J866" t="s">
        <v>62</v>
      </c>
      <c r="K866" s="34">
        <f t="shared" ref="K866:K941" si="129">IF(H866="","",H866)</f>
        <v>15000000</v>
      </c>
    </row>
    <row r="867" spans="1:11" hidden="1">
      <c r="A867" s="50" t="str">
        <f t="shared" ref="A867" si="130">IF(G867="BRI 568","Terima Uang Masuk atas ","By. Biaya ")</f>
        <v xml:space="preserve">By. Biaya </v>
      </c>
      <c r="B867" s="214">
        <v>46132</v>
      </c>
      <c r="C867" s="211" t="s">
        <v>1538</v>
      </c>
      <c r="D867" s="51" t="s">
        <v>2049</v>
      </c>
      <c r="F867" s="52">
        <f>IF(G867="","",INDEX(COA!$A$4:$A$123,MATCH(JU!$G867,COA!$B$4:$B$123,0)))</f>
        <v>1202</v>
      </c>
      <c r="G867" t="s">
        <v>27</v>
      </c>
      <c r="H867" s="216">
        <v>169000000</v>
      </c>
      <c r="I867" s="52">
        <f>IF(J867="","",INDEX(COA!$A$4:$A$123,MATCH(JU!$J867,COA!$B$4:$B$123,0)))</f>
        <v>4102</v>
      </c>
      <c r="J867" t="s">
        <v>62</v>
      </c>
      <c r="K867" s="34">
        <f t="shared" ref="K867" si="131">IF(H867="","",H867)</f>
        <v>169000000</v>
      </c>
    </row>
    <row r="868" spans="1:11" hidden="1">
      <c r="A868" s="50" t="str">
        <f t="shared" si="126"/>
        <v xml:space="preserve">Terima Uang Masuk atas </v>
      </c>
      <c r="B868" s="214">
        <v>46132</v>
      </c>
      <c r="C868" s="211" t="s">
        <v>453</v>
      </c>
      <c r="D868" s="51" t="s">
        <v>550</v>
      </c>
      <c r="F868" s="52">
        <f>IF(G868="","",INDEX(COA!$A$4:$A$123,MATCH(JU!$G868,COA!$B$4:$B$123,0)))</f>
        <v>1103</v>
      </c>
      <c r="G868" t="s">
        <v>154</v>
      </c>
      <c r="H868" s="216">
        <v>300000000</v>
      </c>
      <c r="I868" s="52" t="str">
        <f>IF(J868="","",INDEX(COA!$A$4:$A$123,MATCH(JU!$J868,COA!$B$4:$B$123,0)))</f>
        <v>2101</v>
      </c>
      <c r="J868" t="s">
        <v>45</v>
      </c>
      <c r="K868" s="34">
        <f t="shared" si="129"/>
        <v>300000000</v>
      </c>
    </row>
    <row r="869" spans="1:11">
      <c r="A869" s="50" t="str">
        <f t="shared" si="126"/>
        <v xml:space="preserve">By. Biaya </v>
      </c>
      <c r="B869" s="214">
        <v>46132</v>
      </c>
      <c r="C869" s="211" t="s">
        <v>1539</v>
      </c>
      <c r="D869" s="51" t="s">
        <v>1737</v>
      </c>
      <c r="F869" s="52">
        <f>IF(G869="","",INDEX(COA!$A$4:$A$123,MATCH(JU!$G869,COA!$B$4:$B$123,0)))</f>
        <v>1302</v>
      </c>
      <c r="G869" t="s">
        <v>31</v>
      </c>
      <c r="H869" s="216">
        <v>54800000</v>
      </c>
      <c r="I869" s="52">
        <f>IF(J869="","",INDEX(COA!$A$4:$A$123,MATCH(JU!$J869,COA!$B$4:$B$123,0)))</f>
        <v>1103</v>
      </c>
      <c r="J869" t="s">
        <v>154</v>
      </c>
      <c r="K869" s="34">
        <f t="shared" si="129"/>
        <v>54800000</v>
      </c>
    </row>
    <row r="870" spans="1:11" hidden="1">
      <c r="A870" s="50" t="str">
        <f t="shared" si="126"/>
        <v xml:space="preserve">By. Biaya </v>
      </c>
      <c r="B870" s="214">
        <v>46132</v>
      </c>
      <c r="C870" s="211" t="s">
        <v>1540</v>
      </c>
      <c r="D870" s="51" t="s">
        <v>1738</v>
      </c>
      <c r="F870" s="52">
        <f>IF(G870="","",INDEX(COA!$A$4:$A$123,MATCH(JU!$G870,COA!$B$4:$B$123,0)))</f>
        <v>7101</v>
      </c>
      <c r="G870" t="s">
        <v>93</v>
      </c>
      <c r="H870" s="216">
        <v>1730000</v>
      </c>
      <c r="I870" s="52">
        <f>IF(J870="","",INDEX(COA!$A$4:$A$123,MATCH(JU!$J870,COA!$B$4:$B$123,0)))</f>
        <v>1103</v>
      </c>
      <c r="J870" t="s">
        <v>154</v>
      </c>
      <c r="K870" s="34">
        <f t="shared" si="129"/>
        <v>1730000</v>
      </c>
    </row>
    <row r="871" spans="1:11" hidden="1">
      <c r="A871" s="50" t="str">
        <f t="shared" si="126"/>
        <v xml:space="preserve">Terima Uang Masuk atas </v>
      </c>
      <c r="B871" s="214">
        <v>46132</v>
      </c>
      <c r="C871" s="211" t="s">
        <v>1541</v>
      </c>
      <c r="D871" s="51" t="s">
        <v>1739</v>
      </c>
      <c r="F871" s="52">
        <f>IF(G871="","",INDEX(COA!$A$4:$A$123,MATCH(JU!$G871,COA!$B$4:$B$123,0)))</f>
        <v>1103</v>
      </c>
      <c r="G871" t="s">
        <v>154</v>
      </c>
      <c r="H871" s="216">
        <v>15000000</v>
      </c>
      <c r="I871" s="52">
        <f>IF(J871="","",INDEX(COA!$A$4:$A$123,MATCH(JU!$J871,COA!$B$4:$B$123,0)))</f>
        <v>4102</v>
      </c>
      <c r="J871" t="s">
        <v>62</v>
      </c>
      <c r="K871" s="34">
        <f t="shared" si="129"/>
        <v>15000000</v>
      </c>
    </row>
    <row r="872" spans="1:11" hidden="1">
      <c r="A872" s="50" t="str">
        <f t="shared" ref="A872" si="132">IF(G872="BRI 568","Terima Uang Masuk atas ","By. Biaya ")</f>
        <v xml:space="preserve">By. Biaya </v>
      </c>
      <c r="B872" s="214">
        <v>46132</v>
      </c>
      <c r="C872" s="211" t="s">
        <v>1541</v>
      </c>
      <c r="D872" s="51" t="s">
        <v>2051</v>
      </c>
      <c r="F872" s="52">
        <f>IF(G872="","",INDEX(COA!$A$4:$A$123,MATCH(JU!$G872,COA!$B$4:$B$123,0)))</f>
        <v>1202</v>
      </c>
      <c r="G872" t="s">
        <v>27</v>
      </c>
      <c r="H872" s="216">
        <v>169000000</v>
      </c>
      <c r="I872" s="52">
        <f>IF(J872="","",INDEX(COA!$A$4:$A$123,MATCH(JU!$J872,COA!$B$4:$B$123,0)))</f>
        <v>4102</v>
      </c>
      <c r="J872" t="s">
        <v>62</v>
      </c>
      <c r="K872" s="34">
        <f t="shared" ref="K872" si="133">IF(H872="","",H872)</f>
        <v>169000000</v>
      </c>
    </row>
    <row r="873" spans="1:11" hidden="1">
      <c r="A873" s="50" t="str">
        <f t="shared" si="126"/>
        <v xml:space="preserve">Terima Uang Masuk atas </v>
      </c>
      <c r="B873" s="214">
        <v>46132</v>
      </c>
      <c r="C873" s="211" t="s">
        <v>1542</v>
      </c>
      <c r="D873" s="51" t="s">
        <v>1740</v>
      </c>
      <c r="F873" s="52">
        <f>IF(G873="","",INDEX(COA!$A$4:$A$123,MATCH(JU!$G873,COA!$B$4:$B$123,0)))</f>
        <v>1103</v>
      </c>
      <c r="G873" t="s">
        <v>154</v>
      </c>
      <c r="H873" s="216">
        <v>15000000</v>
      </c>
      <c r="I873" s="52">
        <f>IF(J873="","",INDEX(COA!$A$4:$A$123,MATCH(JU!$J873,COA!$B$4:$B$123,0)))</f>
        <v>4102</v>
      </c>
      <c r="J873" t="s">
        <v>62</v>
      </c>
      <c r="K873" s="34">
        <f t="shared" si="129"/>
        <v>15000000</v>
      </c>
    </row>
    <row r="874" spans="1:11" hidden="1">
      <c r="A874" s="50" t="str">
        <f t="shared" ref="A874" si="134">IF(G874="BRI 568","Terima Uang Masuk atas ","By. Biaya ")</f>
        <v xml:space="preserve">By. Biaya </v>
      </c>
      <c r="B874" s="214">
        <v>46132</v>
      </c>
      <c r="C874" s="211" t="s">
        <v>1542</v>
      </c>
      <c r="D874" s="51" t="s">
        <v>2050</v>
      </c>
      <c r="F874" s="52">
        <f>IF(G874="","",INDEX(COA!$A$4:$A$123,MATCH(JU!$G874,COA!$B$4:$B$123,0)))</f>
        <v>1202</v>
      </c>
      <c r="G874" t="s">
        <v>27</v>
      </c>
      <c r="H874" s="216">
        <v>169000000</v>
      </c>
      <c r="I874" s="52">
        <f>IF(J874="","",INDEX(COA!$A$4:$A$123,MATCH(JU!$J874,COA!$B$4:$B$123,0)))</f>
        <v>4102</v>
      </c>
      <c r="J874" t="s">
        <v>62</v>
      </c>
      <c r="K874" s="34">
        <f t="shared" ref="K874" si="135">IF(H874="","",H874)</f>
        <v>169000000</v>
      </c>
    </row>
    <row r="875" spans="1:11" hidden="1">
      <c r="A875" s="50" t="str">
        <f t="shared" si="126"/>
        <v xml:space="preserve">Terima Uang Masuk atas </v>
      </c>
      <c r="B875" s="214">
        <v>46132</v>
      </c>
      <c r="C875" s="211" t="s">
        <v>1543</v>
      </c>
      <c r="D875" s="51" t="s">
        <v>1741</v>
      </c>
      <c r="F875" s="52">
        <f>IF(G875="","",INDEX(COA!$A$4:$A$123,MATCH(JU!$G875,COA!$B$4:$B$123,0)))</f>
        <v>1103</v>
      </c>
      <c r="G875" t="s">
        <v>154</v>
      </c>
      <c r="H875" s="216">
        <v>5000000</v>
      </c>
      <c r="I875" s="52">
        <f>IF(J875="","",INDEX(COA!$A$4:$A$123,MATCH(JU!$J875,COA!$B$4:$B$123,0)))</f>
        <v>4102</v>
      </c>
      <c r="J875" t="s">
        <v>62</v>
      </c>
      <c r="K875" s="34">
        <f t="shared" si="129"/>
        <v>5000000</v>
      </c>
    </row>
    <row r="876" spans="1:11" hidden="1">
      <c r="A876" s="50" t="str">
        <f t="shared" si="126"/>
        <v xml:space="preserve">By. Biaya </v>
      </c>
      <c r="B876" s="214">
        <v>46132</v>
      </c>
      <c r="C876" s="213" t="s">
        <v>454</v>
      </c>
      <c r="D876" s="51" t="s">
        <v>1742</v>
      </c>
      <c r="F876" s="52">
        <f>IF(G876="","",INDEX(COA!$A$4:$A$123,MATCH(JU!$G876,COA!$B$4:$B$123,0)))</f>
        <v>5107</v>
      </c>
      <c r="G876" t="s">
        <v>71</v>
      </c>
      <c r="H876" s="216">
        <v>400000</v>
      </c>
      <c r="I876" s="52">
        <f>IF(J876="","",INDEX(COA!$A$4:$A$123,MATCH(JU!$J876,COA!$B$4:$B$123,0)))</f>
        <v>1103</v>
      </c>
      <c r="J876" t="s">
        <v>154</v>
      </c>
      <c r="K876" s="34">
        <f t="shared" si="129"/>
        <v>400000</v>
      </c>
    </row>
    <row r="877" spans="1:11" hidden="1">
      <c r="A877" s="50" t="str">
        <f t="shared" si="126"/>
        <v xml:space="preserve">By. Biaya </v>
      </c>
      <c r="B877" s="214">
        <v>46132</v>
      </c>
      <c r="C877" s="211" t="s">
        <v>1544</v>
      </c>
      <c r="D877" s="51" t="s">
        <v>1743</v>
      </c>
      <c r="F877" s="52">
        <f>IF(G877="","",INDEX(COA!$A$4:$A$123,MATCH(JU!$G877,COA!$B$4:$B$123,0)))</f>
        <v>1203</v>
      </c>
      <c r="G877" t="s">
        <v>140</v>
      </c>
      <c r="H877" s="216">
        <v>250000</v>
      </c>
      <c r="I877" s="52">
        <f>IF(J877="","",INDEX(COA!$A$4:$A$123,MATCH(JU!$J877,COA!$B$4:$B$123,0)))</f>
        <v>1103</v>
      </c>
      <c r="J877" t="s">
        <v>154</v>
      </c>
      <c r="K877" s="34">
        <f t="shared" si="129"/>
        <v>250000</v>
      </c>
    </row>
    <row r="878" spans="1:11" hidden="1">
      <c r="A878" s="50" t="str">
        <f t="shared" si="126"/>
        <v xml:space="preserve">By. Biaya </v>
      </c>
      <c r="B878" s="214">
        <v>46132</v>
      </c>
      <c r="C878" s="211" t="s">
        <v>305</v>
      </c>
      <c r="D878" s="51" t="s">
        <v>333</v>
      </c>
      <c r="F878" s="52" t="str">
        <f>IF(G878="","",INDEX(COA!$A$4:$A$123,MATCH(JU!$G878,COA!$B$4:$B$123,0)))</f>
        <v>6303</v>
      </c>
      <c r="G878" t="s">
        <v>87</v>
      </c>
      <c r="H878" s="216">
        <v>2500</v>
      </c>
      <c r="I878" s="52">
        <f>IF(J878="","",INDEX(COA!$A$4:$A$123,MATCH(JU!$J878,COA!$B$4:$B$123,0)))</f>
        <v>1103</v>
      </c>
      <c r="J878" t="s">
        <v>154</v>
      </c>
      <c r="K878" s="34">
        <f t="shared" si="129"/>
        <v>2500</v>
      </c>
    </row>
    <row r="879" spans="1:11" hidden="1">
      <c r="A879" s="50" t="str">
        <f t="shared" si="126"/>
        <v xml:space="preserve">By. Biaya </v>
      </c>
      <c r="B879" s="214">
        <v>46132</v>
      </c>
      <c r="C879" s="211" t="s">
        <v>1545</v>
      </c>
      <c r="D879" s="51" t="s">
        <v>1744</v>
      </c>
      <c r="F879" s="52">
        <f>IF(G879="","",INDEX(COA!$A$4:$A$123,MATCH(JU!$G879,COA!$B$4:$B$123,0)))</f>
        <v>4102</v>
      </c>
      <c r="G879" t="s">
        <v>62</v>
      </c>
      <c r="H879" s="216">
        <v>8000000</v>
      </c>
      <c r="I879" s="52">
        <f>IF(J879="","",INDEX(COA!$A$4:$A$123,MATCH(JU!$J879,COA!$B$4:$B$123,0)))</f>
        <v>1103</v>
      </c>
      <c r="J879" t="s">
        <v>154</v>
      </c>
      <c r="K879" s="34">
        <f t="shared" si="129"/>
        <v>8000000</v>
      </c>
    </row>
    <row r="880" spans="1:11" hidden="1">
      <c r="A880" s="50" t="str">
        <f t="shared" si="126"/>
        <v xml:space="preserve">By. Biaya </v>
      </c>
      <c r="B880" s="214">
        <v>46132</v>
      </c>
      <c r="C880" s="211" t="s">
        <v>1546</v>
      </c>
      <c r="D880" s="51" t="s">
        <v>1745</v>
      </c>
      <c r="F880" s="52">
        <f>IF(G880="","",INDEX(COA!$A$4:$A$123,MATCH(JU!$G880,COA!$B$4:$B$123,0)))</f>
        <v>5110</v>
      </c>
      <c r="G880" t="s">
        <v>74</v>
      </c>
      <c r="H880" s="216">
        <v>3740000</v>
      </c>
      <c r="I880" s="52">
        <f>IF(J880="","",INDEX(COA!$A$4:$A$123,MATCH(JU!$J880,COA!$B$4:$B$123,0)))</f>
        <v>1103</v>
      </c>
      <c r="J880" t="s">
        <v>154</v>
      </c>
      <c r="K880" s="34">
        <f t="shared" si="129"/>
        <v>3740000</v>
      </c>
    </row>
    <row r="881" spans="1:11" hidden="1">
      <c r="A881" s="50" t="str">
        <f t="shared" si="126"/>
        <v xml:space="preserve">By. Biaya </v>
      </c>
      <c r="B881" s="214">
        <v>46132</v>
      </c>
      <c r="C881" s="211" t="s">
        <v>1547</v>
      </c>
      <c r="D881" s="51" t="s">
        <v>1746</v>
      </c>
      <c r="F881" s="52">
        <f>IF(G881="","",INDEX(COA!$A$4:$A$123,MATCH(JU!$G881,COA!$B$4:$B$123,0)))</f>
        <v>1302</v>
      </c>
      <c r="G881" t="s">
        <v>31</v>
      </c>
      <c r="H881" s="216">
        <v>3400000</v>
      </c>
      <c r="I881" s="52">
        <f>IF(J881="","",INDEX(COA!$A$4:$A$123,MATCH(JU!$J881,COA!$B$4:$B$123,0)))</f>
        <v>1103</v>
      </c>
      <c r="J881" t="s">
        <v>154</v>
      </c>
      <c r="K881" s="34">
        <f t="shared" si="129"/>
        <v>3400000</v>
      </c>
    </row>
    <row r="882" spans="1:11" hidden="1">
      <c r="A882" s="50" t="str">
        <f t="shared" si="126"/>
        <v xml:space="preserve">Terima Uang Masuk atas </v>
      </c>
      <c r="B882" s="214">
        <v>46132</v>
      </c>
      <c r="C882" s="211" t="s">
        <v>1548</v>
      </c>
      <c r="D882" s="51" t="s">
        <v>1747</v>
      </c>
      <c r="F882" s="52">
        <f>IF(G882="","",INDEX(COA!$A$4:$A$123,MATCH(JU!$G882,COA!$B$4:$B$123,0)))</f>
        <v>1103</v>
      </c>
      <c r="G882" t="s">
        <v>154</v>
      </c>
      <c r="H882" s="216">
        <v>8000000</v>
      </c>
      <c r="I882" s="52">
        <f>IF(J882="","",INDEX(COA!$A$4:$A$123,MATCH(JU!$J882,COA!$B$4:$B$123,0)))</f>
        <v>4102</v>
      </c>
      <c r="J882" t="s">
        <v>62</v>
      </c>
      <c r="K882" s="34">
        <f t="shared" si="129"/>
        <v>8000000</v>
      </c>
    </row>
    <row r="883" spans="1:11" hidden="1">
      <c r="A883" s="50" t="str">
        <f t="shared" si="126"/>
        <v xml:space="preserve">By. Biaya </v>
      </c>
      <c r="B883" s="214">
        <v>46132</v>
      </c>
      <c r="C883" s="211" t="s">
        <v>1547</v>
      </c>
      <c r="D883" s="51" t="s">
        <v>1746</v>
      </c>
      <c r="F883" s="52">
        <f>IF(G883="","",INDEX(COA!$A$4:$A$123,MATCH(JU!$G883,COA!$B$4:$B$123,0)))</f>
        <v>1302</v>
      </c>
      <c r="G883" t="s">
        <v>31</v>
      </c>
      <c r="H883" s="216">
        <v>4500000</v>
      </c>
      <c r="I883" s="52">
        <f>IF(J883="","",INDEX(COA!$A$4:$A$123,MATCH(JU!$J883,COA!$B$4:$B$123,0)))</f>
        <v>1103</v>
      </c>
      <c r="J883" t="s">
        <v>154</v>
      </c>
      <c r="K883" s="34">
        <f t="shared" si="129"/>
        <v>4500000</v>
      </c>
    </row>
    <row r="884" spans="1:11" hidden="1">
      <c r="A884" s="50" t="str">
        <f t="shared" si="126"/>
        <v xml:space="preserve">Terima Uang Masuk atas </v>
      </c>
      <c r="B884" s="214">
        <v>46132</v>
      </c>
      <c r="D884" s="256" t="s">
        <v>417</v>
      </c>
      <c r="F884" s="52">
        <f>IF(G884="","",INDEX(COA!$A$4:$A$123,MATCH(JU!$G884,COA!$B$4:$B$123,0)))</f>
        <v>1103</v>
      </c>
      <c r="G884" t="s">
        <v>154</v>
      </c>
      <c r="H884" s="216">
        <v>454254</v>
      </c>
      <c r="I884" s="52">
        <f>IF(J884="","",INDEX(COA!$A$4:$A$123,MATCH(JU!$J884,COA!$B$4:$B$123,0)))</f>
        <v>4204</v>
      </c>
      <c r="J884" t="s">
        <v>69</v>
      </c>
      <c r="K884" s="34">
        <f t="shared" si="129"/>
        <v>454254</v>
      </c>
    </row>
    <row r="885" spans="1:11" hidden="1">
      <c r="A885" s="50" t="str">
        <f t="shared" si="126"/>
        <v xml:space="preserve">By. Biaya </v>
      </c>
      <c r="B885" s="214">
        <v>46132</v>
      </c>
      <c r="D885" s="256" t="s">
        <v>399</v>
      </c>
      <c r="F885" s="52">
        <f>IF(G885="","",INDEX(COA!$A$4:$A$123,MATCH(JU!$G885,COA!$B$4:$B$123,0)))</f>
        <v>6112</v>
      </c>
      <c r="G885" t="s">
        <v>205</v>
      </c>
      <c r="H885" s="216">
        <v>90851</v>
      </c>
      <c r="I885" s="52">
        <f>IF(J885="","",INDEX(COA!$A$4:$A$123,MATCH(JU!$J885,COA!$B$4:$B$123,0)))</f>
        <v>1103</v>
      </c>
      <c r="J885" t="s">
        <v>154</v>
      </c>
      <c r="K885" s="34">
        <f t="shared" si="129"/>
        <v>90851</v>
      </c>
    </row>
    <row r="886" spans="1:11" hidden="1">
      <c r="A886" s="50" t="str">
        <f t="shared" si="126"/>
        <v xml:space="preserve">By. Biaya </v>
      </c>
      <c r="B886" s="214">
        <v>46133</v>
      </c>
      <c r="C886" s="211" t="s">
        <v>1549</v>
      </c>
      <c r="D886" s="51" t="s">
        <v>1748</v>
      </c>
      <c r="F886" s="52">
        <f>IF(G886="","",INDEX(COA!$A$4:$A$123,MATCH(JU!$G886,COA!$B$4:$B$123,0)))</f>
        <v>1302</v>
      </c>
      <c r="G886" t="s">
        <v>31</v>
      </c>
      <c r="H886" s="216">
        <v>525000</v>
      </c>
      <c r="I886" s="52">
        <f>IF(J886="","",INDEX(COA!$A$4:$A$123,MATCH(JU!$J886,COA!$B$4:$B$123,0)))</f>
        <v>1103</v>
      </c>
      <c r="J886" t="s">
        <v>154</v>
      </c>
      <c r="K886" s="34">
        <f t="shared" si="129"/>
        <v>525000</v>
      </c>
    </row>
    <row r="887" spans="1:11" hidden="1">
      <c r="A887" s="50" t="str">
        <f t="shared" si="126"/>
        <v xml:space="preserve">By. Biaya </v>
      </c>
      <c r="B887" s="214">
        <v>46133</v>
      </c>
      <c r="C887" s="211" t="s">
        <v>455</v>
      </c>
      <c r="D887" s="51" t="s">
        <v>1749</v>
      </c>
      <c r="F887" s="52">
        <f>IF(G887="","",INDEX(COA!$A$4:$A$123,MATCH(JU!$G887,COA!$B$4:$B$123,0)))</f>
        <v>1302</v>
      </c>
      <c r="G887" t="s">
        <v>31</v>
      </c>
      <c r="H887" s="216">
        <v>157000</v>
      </c>
      <c r="I887" s="52">
        <f>IF(J887="","",INDEX(COA!$A$4:$A$123,MATCH(JU!$J887,COA!$B$4:$B$123,0)))</f>
        <v>1103</v>
      </c>
      <c r="J887" t="s">
        <v>154</v>
      </c>
      <c r="K887" s="34">
        <f t="shared" si="129"/>
        <v>157000</v>
      </c>
    </row>
    <row r="888" spans="1:11" hidden="1">
      <c r="A888" s="50" t="str">
        <f t="shared" si="126"/>
        <v xml:space="preserve">By. Biaya </v>
      </c>
      <c r="B888" s="214">
        <v>46133</v>
      </c>
      <c r="C888" s="211" t="s">
        <v>456</v>
      </c>
      <c r="D888" s="51" t="s">
        <v>1750</v>
      </c>
      <c r="F888" s="52">
        <f>IF(G888="","",INDEX(COA!$A$4:$A$123,MATCH(JU!$G888,COA!$B$4:$B$123,0)))</f>
        <v>1302</v>
      </c>
      <c r="G888" t="s">
        <v>31</v>
      </c>
      <c r="H888" s="216">
        <v>600000</v>
      </c>
      <c r="I888" s="52">
        <f>IF(J888="","",INDEX(COA!$A$4:$A$123,MATCH(JU!$J888,COA!$B$4:$B$123,0)))</f>
        <v>1103</v>
      </c>
      <c r="J888" t="s">
        <v>154</v>
      </c>
      <c r="K888" s="34">
        <f t="shared" si="129"/>
        <v>600000</v>
      </c>
    </row>
    <row r="889" spans="1:11" hidden="1">
      <c r="A889" s="50" t="str">
        <f t="shared" si="126"/>
        <v xml:space="preserve">By. Biaya </v>
      </c>
      <c r="B889" s="214">
        <v>46133</v>
      </c>
      <c r="C889" s="211" t="s">
        <v>1550</v>
      </c>
      <c r="D889" s="51" t="s">
        <v>1751</v>
      </c>
      <c r="F889" s="52">
        <f>IF(G889="","",INDEX(COA!$A$4:$A$123,MATCH(JU!$G889,COA!$B$4:$B$123,0)))</f>
        <v>7101</v>
      </c>
      <c r="G889" t="s">
        <v>93</v>
      </c>
      <c r="H889" s="216">
        <v>1730000</v>
      </c>
      <c r="I889" s="52">
        <f>IF(J889="","",INDEX(COA!$A$4:$A$123,MATCH(JU!$J889,COA!$B$4:$B$123,0)))</f>
        <v>1103</v>
      </c>
      <c r="J889" t="s">
        <v>154</v>
      </c>
      <c r="K889" s="34">
        <f t="shared" si="129"/>
        <v>1730000</v>
      </c>
    </row>
    <row r="890" spans="1:11" hidden="1">
      <c r="A890" s="50" t="str">
        <f t="shared" si="126"/>
        <v xml:space="preserve">By. Biaya </v>
      </c>
      <c r="B890" s="214">
        <v>46133</v>
      </c>
      <c r="C890" s="211" t="s">
        <v>1551</v>
      </c>
      <c r="D890" s="51" t="s">
        <v>1752</v>
      </c>
      <c r="F890" s="52">
        <f>IF(G890="","",INDEX(COA!$A$4:$A$123,MATCH(JU!$G890,COA!$B$4:$B$123,0)))</f>
        <v>1203</v>
      </c>
      <c r="G890" t="s">
        <v>140</v>
      </c>
      <c r="H890" s="216">
        <v>230000</v>
      </c>
      <c r="I890" s="52">
        <f>IF(J890="","",INDEX(COA!$A$4:$A$123,MATCH(JU!$J890,COA!$B$4:$B$123,0)))</f>
        <v>1103</v>
      </c>
      <c r="J890" t="s">
        <v>154</v>
      </c>
      <c r="K890" s="34">
        <f t="shared" si="129"/>
        <v>230000</v>
      </c>
    </row>
    <row r="891" spans="1:11" hidden="1">
      <c r="A891" s="50" t="str">
        <f t="shared" si="126"/>
        <v xml:space="preserve">By. Biaya </v>
      </c>
      <c r="B891" s="214">
        <v>46133</v>
      </c>
      <c r="C891" s="211" t="s">
        <v>1551</v>
      </c>
      <c r="D891" s="51" t="s">
        <v>1752</v>
      </c>
      <c r="F891" s="52">
        <f>IF(G891="","",INDEX(COA!$A$4:$A$123,MATCH(JU!$G891,COA!$B$4:$B$123,0)))</f>
        <v>1203</v>
      </c>
      <c r="G891" t="s">
        <v>140</v>
      </c>
      <c r="H891" s="216">
        <v>229770000</v>
      </c>
      <c r="I891" s="52">
        <f>IF(J891="","",INDEX(COA!$A$4:$A$123,MATCH(JU!$J891,COA!$B$4:$B$123,0)))</f>
        <v>1103</v>
      </c>
      <c r="J891" t="s">
        <v>154</v>
      </c>
      <c r="K891" s="34">
        <f t="shared" si="129"/>
        <v>229770000</v>
      </c>
    </row>
    <row r="892" spans="1:11" hidden="1">
      <c r="A892" s="50" t="str">
        <f t="shared" si="126"/>
        <v xml:space="preserve">By. Biaya </v>
      </c>
      <c r="B892" s="214">
        <v>46133</v>
      </c>
      <c r="C892" s="211" t="s">
        <v>645</v>
      </c>
      <c r="D892" s="51" t="s">
        <v>728</v>
      </c>
      <c r="F892" s="52">
        <f>IF(G892="","",INDEX(COA!$A$4:$A$123,MATCH(JU!$G892,COA!$B$4:$B$123,0)))</f>
        <v>1302</v>
      </c>
      <c r="G892" t="s">
        <v>31</v>
      </c>
      <c r="H892" s="216">
        <v>25000000</v>
      </c>
      <c r="I892" s="52">
        <f>IF(J892="","",INDEX(COA!$A$4:$A$123,MATCH(JU!$J892,COA!$B$4:$B$123,0)))</f>
        <v>1103</v>
      </c>
      <c r="J892" t="s">
        <v>154</v>
      </c>
      <c r="K892" s="34">
        <f t="shared" si="129"/>
        <v>25000000</v>
      </c>
    </row>
    <row r="893" spans="1:11" hidden="1">
      <c r="A893" s="50" t="str">
        <f t="shared" si="126"/>
        <v xml:space="preserve">Terima Uang Masuk atas </v>
      </c>
      <c r="B893" s="214">
        <v>46133</v>
      </c>
      <c r="C893" s="211" t="s">
        <v>1552</v>
      </c>
      <c r="D893" s="263" t="s">
        <v>1753</v>
      </c>
      <c r="F893" s="52">
        <f>IF(G893="","",INDEX(COA!$A$4:$A$123,MATCH(JU!$G893,COA!$B$4:$B$123,0)))</f>
        <v>1103</v>
      </c>
      <c r="G893" t="s">
        <v>154</v>
      </c>
      <c r="H893" s="216">
        <v>78500000</v>
      </c>
      <c r="I893" s="52">
        <f>IF(J893="","",INDEX(COA!$A$4:$A$123,MATCH(JU!$J893,COA!$B$4:$B$123,0)))</f>
        <v>1202</v>
      </c>
      <c r="J893" t="s">
        <v>27</v>
      </c>
      <c r="K893" s="34">
        <f t="shared" si="129"/>
        <v>78500000</v>
      </c>
    </row>
    <row r="894" spans="1:11" hidden="1">
      <c r="A894" s="50" t="str">
        <f t="shared" ref="A894" si="136">IF(G894="BRI 568","Terima Uang Masuk atas ","By. Biaya ")</f>
        <v xml:space="preserve">By. Biaya </v>
      </c>
      <c r="B894" s="214">
        <v>46133</v>
      </c>
      <c r="C894" s="211" t="s">
        <v>1552</v>
      </c>
      <c r="D894" s="263" t="s">
        <v>2052</v>
      </c>
      <c r="F894" s="52" t="str">
        <f>IF(G894="","",INDEX(COA!$A$4:$A$123,MATCH(JU!$G894,COA!$B$4:$B$123,0)))</f>
        <v>2101</v>
      </c>
      <c r="G894" t="s">
        <v>45</v>
      </c>
      <c r="H894" s="216">
        <v>70000000</v>
      </c>
      <c r="I894" s="52">
        <f>IF(J894="","",INDEX(COA!$A$4:$A$123,MATCH(JU!$J894,COA!$B$4:$B$123,0)))</f>
        <v>1202</v>
      </c>
      <c r="J894" t="s">
        <v>27</v>
      </c>
      <c r="K894" s="34">
        <f t="shared" ref="K894" si="137">IF(H894="","",H894)</f>
        <v>70000000</v>
      </c>
    </row>
    <row r="895" spans="1:11" hidden="1">
      <c r="A895" s="50" t="str">
        <f t="shared" si="126"/>
        <v xml:space="preserve">Terima Uang Masuk atas </v>
      </c>
      <c r="B895" s="214">
        <v>46133</v>
      </c>
      <c r="C895" s="211" t="s">
        <v>1553</v>
      </c>
      <c r="D895" s="51" t="s">
        <v>1754</v>
      </c>
      <c r="F895" s="52">
        <f>IF(G895="","",INDEX(COA!$A$4:$A$123,MATCH(JU!$G895,COA!$B$4:$B$123,0)))</f>
        <v>1103</v>
      </c>
      <c r="G895" t="s">
        <v>154</v>
      </c>
      <c r="H895" s="216">
        <v>50000000</v>
      </c>
      <c r="I895" s="52">
        <f>IF(J895="","",INDEX(COA!$A$4:$A$123,MATCH(JU!$J895,COA!$B$4:$B$123,0)))</f>
        <v>1203</v>
      </c>
      <c r="J895" t="s">
        <v>140</v>
      </c>
      <c r="K895" s="34">
        <f t="shared" si="129"/>
        <v>50000000</v>
      </c>
    </row>
    <row r="896" spans="1:11" hidden="1">
      <c r="A896" s="50" t="str">
        <f t="shared" si="126"/>
        <v xml:space="preserve">By. Biaya </v>
      </c>
      <c r="B896" s="214">
        <v>46133</v>
      </c>
      <c r="C896" s="211" t="s">
        <v>1554</v>
      </c>
      <c r="D896" s="51" t="s">
        <v>1755</v>
      </c>
      <c r="F896" s="52">
        <f>IF(G896="","",INDEX(COA!$A$4:$A$123,MATCH(JU!$G896,COA!$B$4:$B$123,0)))</f>
        <v>1203</v>
      </c>
      <c r="G896" t="s">
        <v>140</v>
      </c>
      <c r="H896" s="216">
        <v>83740000</v>
      </c>
      <c r="I896" s="52">
        <f>IF(J896="","",INDEX(COA!$A$4:$A$123,MATCH(JU!$J896,COA!$B$4:$B$123,0)))</f>
        <v>1103</v>
      </c>
      <c r="J896" t="s">
        <v>154</v>
      </c>
      <c r="K896" s="34">
        <f t="shared" si="129"/>
        <v>83740000</v>
      </c>
    </row>
    <row r="897" spans="1:11" hidden="1">
      <c r="A897" s="50" t="str">
        <f t="shared" si="126"/>
        <v xml:space="preserve">By. Biaya </v>
      </c>
      <c r="B897" s="214">
        <v>46133</v>
      </c>
      <c r="C897" s="211" t="s">
        <v>458</v>
      </c>
      <c r="D897" s="51" t="s">
        <v>1756</v>
      </c>
      <c r="F897" s="52">
        <f>IF(G897="","",INDEX(COA!$A$4:$A$123,MATCH(JU!$G897,COA!$B$4:$B$123,0)))</f>
        <v>1302</v>
      </c>
      <c r="G897" t="s">
        <v>31</v>
      </c>
      <c r="H897" s="216">
        <v>25000000</v>
      </c>
      <c r="I897" s="52">
        <f>IF(J897="","",INDEX(COA!$A$4:$A$123,MATCH(JU!$J897,COA!$B$4:$B$123,0)))</f>
        <v>1103</v>
      </c>
      <c r="J897" t="s">
        <v>154</v>
      </c>
      <c r="K897" s="34">
        <f t="shared" si="129"/>
        <v>25000000</v>
      </c>
    </row>
    <row r="898" spans="1:11" s="229" customFormat="1" hidden="1">
      <c r="A898" s="228" t="str">
        <f t="shared" ref="A898" si="138">IF(G898="BRI 568","Terima Uang Masuk atas ","By. Biaya ")</f>
        <v xml:space="preserve">By. Biaya </v>
      </c>
      <c r="B898" s="255">
        <v>46133</v>
      </c>
      <c r="C898" s="211" t="s">
        <v>1555</v>
      </c>
      <c r="D898" s="262" t="s">
        <v>1757</v>
      </c>
      <c r="F898" s="230">
        <f>IF(G898="","",INDEX(COA!$A$4:$A$123,MATCH(JU!$G898,COA!$B$4:$B$123,0)))</f>
        <v>5107</v>
      </c>
      <c r="G898" s="229" t="s">
        <v>71</v>
      </c>
      <c r="H898" s="231">
        <v>5490000</v>
      </c>
      <c r="I898" s="230">
        <f>IF(J898="","",INDEX(COA!$A$4:$A$123,MATCH(JU!$J898,COA!$B$4:$B$123,0)))</f>
        <v>1103</v>
      </c>
      <c r="J898" s="229" t="s">
        <v>154</v>
      </c>
      <c r="K898" s="232">
        <f t="shared" ref="K898" si="139">IF(H898="","",H898)</f>
        <v>5490000</v>
      </c>
    </row>
    <row r="899" spans="1:11" hidden="1">
      <c r="A899" s="50" t="str">
        <f t="shared" si="126"/>
        <v xml:space="preserve">By. Biaya </v>
      </c>
      <c r="B899" s="214">
        <v>46134</v>
      </c>
      <c r="C899" s="211" t="s">
        <v>1556</v>
      </c>
      <c r="D899" s="51" t="s">
        <v>1758</v>
      </c>
      <c r="F899" s="52">
        <f>IF(G899="","",INDEX(COA!$A$4:$A$123,MATCH(JU!$G899,COA!$B$4:$B$123,0)))</f>
        <v>1302</v>
      </c>
      <c r="G899" t="s">
        <v>31</v>
      </c>
      <c r="H899" s="216">
        <v>1545000</v>
      </c>
      <c r="I899" s="52">
        <f>IF(J899="","",INDEX(COA!$A$4:$A$123,MATCH(JU!$J899,COA!$B$4:$B$123,0)))</f>
        <v>1103</v>
      </c>
      <c r="J899" t="s">
        <v>154</v>
      </c>
      <c r="K899" s="34">
        <f t="shared" si="129"/>
        <v>1545000</v>
      </c>
    </row>
    <row r="900" spans="1:11" hidden="1">
      <c r="A900" s="50" t="str">
        <f t="shared" si="126"/>
        <v xml:space="preserve">By. Biaya </v>
      </c>
      <c r="B900" s="214">
        <v>46134</v>
      </c>
      <c r="C900" s="211" t="s">
        <v>1557</v>
      </c>
      <c r="D900" s="51" t="s">
        <v>1759</v>
      </c>
      <c r="F900" s="52">
        <f>IF(G900="","",INDEX(COA!$A$4:$A$123,MATCH(JU!$G900,COA!$B$4:$B$123,0)))</f>
        <v>6112</v>
      </c>
      <c r="G900" s="229" t="s">
        <v>205</v>
      </c>
      <c r="H900" s="216">
        <v>50000</v>
      </c>
      <c r="I900" s="52">
        <f>IF(J900="","",INDEX(COA!$A$4:$A$123,MATCH(JU!$J900,COA!$B$4:$B$123,0)))</f>
        <v>1103</v>
      </c>
      <c r="J900" t="s">
        <v>154</v>
      </c>
      <c r="K900" s="34">
        <f t="shared" si="129"/>
        <v>50000</v>
      </c>
    </row>
    <row r="901" spans="1:11" hidden="1">
      <c r="A901" s="50" t="str">
        <f t="shared" si="126"/>
        <v xml:space="preserve">By. Biaya </v>
      </c>
      <c r="B901" s="214">
        <v>46134</v>
      </c>
      <c r="C901" s="211" t="s">
        <v>1558</v>
      </c>
      <c r="D901" s="51" t="s">
        <v>1760</v>
      </c>
      <c r="F901" s="52">
        <f>IF(G901="","",INDEX(COA!$A$4:$A$123,MATCH(JU!$G901,COA!$B$4:$B$123,0)))</f>
        <v>1302</v>
      </c>
      <c r="G901" t="s">
        <v>31</v>
      </c>
      <c r="H901" s="216">
        <v>125000</v>
      </c>
      <c r="I901" s="52">
        <f>IF(J901="","",INDEX(COA!$A$4:$A$123,MATCH(JU!$J901,COA!$B$4:$B$123,0)))</f>
        <v>1103</v>
      </c>
      <c r="J901" t="s">
        <v>154</v>
      </c>
      <c r="K901" s="34">
        <f t="shared" si="129"/>
        <v>125000</v>
      </c>
    </row>
    <row r="902" spans="1:11" hidden="1">
      <c r="A902" s="50" t="str">
        <f t="shared" si="126"/>
        <v xml:space="preserve">By. Biaya </v>
      </c>
      <c r="B902" s="214">
        <v>46134</v>
      </c>
      <c r="C902" s="211" t="s">
        <v>1559</v>
      </c>
      <c r="D902" s="51" t="s">
        <v>1761</v>
      </c>
      <c r="F902" s="52">
        <f>IF(G902="","",INDEX(COA!$A$4:$A$123,MATCH(JU!$G902,COA!$B$4:$B$123,0)))</f>
        <v>1302</v>
      </c>
      <c r="G902" t="s">
        <v>31</v>
      </c>
      <c r="H902" s="216">
        <v>112500</v>
      </c>
      <c r="I902" s="52">
        <f>IF(J902="","",INDEX(COA!$A$4:$A$123,MATCH(JU!$J902,COA!$B$4:$B$123,0)))</f>
        <v>1103</v>
      </c>
      <c r="J902" t="s">
        <v>154</v>
      </c>
      <c r="K902" s="34">
        <f t="shared" si="129"/>
        <v>112500</v>
      </c>
    </row>
    <row r="903" spans="1:11" hidden="1">
      <c r="A903" s="50" t="str">
        <f t="shared" si="126"/>
        <v xml:space="preserve">By. Biaya </v>
      </c>
      <c r="B903" s="214">
        <v>46134</v>
      </c>
      <c r="C903" s="211" t="s">
        <v>1560</v>
      </c>
      <c r="D903" s="51" t="s">
        <v>1762</v>
      </c>
      <c r="F903" s="52">
        <f>IF(G903="","",INDEX(COA!$A$4:$A$123,MATCH(JU!$G903,COA!$B$4:$B$123,0)))</f>
        <v>1302</v>
      </c>
      <c r="G903" t="s">
        <v>31</v>
      </c>
      <c r="H903" s="216">
        <v>600000</v>
      </c>
      <c r="I903" s="52">
        <f>IF(J903="","",INDEX(COA!$A$4:$A$123,MATCH(JU!$J903,COA!$B$4:$B$123,0)))</f>
        <v>1103</v>
      </c>
      <c r="J903" t="s">
        <v>154</v>
      </c>
      <c r="K903" s="34">
        <f t="shared" si="129"/>
        <v>600000</v>
      </c>
    </row>
    <row r="904" spans="1:11" hidden="1">
      <c r="A904" s="50" t="str">
        <f t="shared" si="126"/>
        <v xml:space="preserve">By. Biaya </v>
      </c>
      <c r="B904" s="214">
        <v>46134</v>
      </c>
      <c r="C904" s="211" t="s">
        <v>459</v>
      </c>
      <c r="D904" s="51" t="s">
        <v>1763</v>
      </c>
      <c r="F904" s="52">
        <f>IF(G904="","",INDEX(COA!$A$4:$A$123,MATCH(JU!$G904,COA!$B$4:$B$123,0)))</f>
        <v>6106</v>
      </c>
      <c r="G904" t="s">
        <v>149</v>
      </c>
      <c r="H904" s="216">
        <v>421800</v>
      </c>
      <c r="I904" s="52">
        <f>IF(J904="","",INDEX(COA!$A$4:$A$123,MATCH(JU!$J904,COA!$B$4:$B$123,0)))</f>
        <v>1103</v>
      </c>
      <c r="J904" t="s">
        <v>154</v>
      </c>
      <c r="K904" s="34">
        <f t="shared" si="129"/>
        <v>421800</v>
      </c>
    </row>
    <row r="905" spans="1:11" hidden="1">
      <c r="A905" s="50" t="str">
        <f t="shared" si="126"/>
        <v xml:space="preserve">By. Biaya </v>
      </c>
      <c r="B905" s="214">
        <v>46134</v>
      </c>
      <c r="C905" s="211" t="s">
        <v>305</v>
      </c>
      <c r="D905" s="51" t="s">
        <v>333</v>
      </c>
      <c r="F905" s="52" t="str">
        <f>IF(G905="","",INDEX(COA!$A$4:$A$123,MATCH(JU!$G905,COA!$B$4:$B$123,0)))</f>
        <v>6303</v>
      </c>
      <c r="G905" t="s">
        <v>87</v>
      </c>
      <c r="H905" s="216">
        <v>2800</v>
      </c>
      <c r="I905" s="52">
        <f>IF(J905="","",INDEX(COA!$A$4:$A$123,MATCH(JU!$J905,COA!$B$4:$B$123,0)))</f>
        <v>1103</v>
      </c>
      <c r="J905" t="s">
        <v>154</v>
      </c>
      <c r="K905" s="34">
        <f t="shared" si="129"/>
        <v>2800</v>
      </c>
    </row>
    <row r="906" spans="1:11" hidden="1">
      <c r="A906" s="50" t="str">
        <f t="shared" si="126"/>
        <v xml:space="preserve">By. Biaya </v>
      </c>
      <c r="B906" s="214">
        <v>46134</v>
      </c>
      <c r="C906" s="211" t="s">
        <v>329</v>
      </c>
      <c r="D906" s="51" t="s">
        <v>358</v>
      </c>
      <c r="F906" s="52">
        <f>IF(G906="","",INDEX(COA!$A$4:$A$123,MATCH(JU!$G906,COA!$B$4:$B$123,0)))</f>
        <v>6106</v>
      </c>
      <c r="G906" t="s">
        <v>149</v>
      </c>
      <c r="H906" s="216">
        <v>216450</v>
      </c>
      <c r="I906" s="52">
        <f>IF(J906="","",INDEX(COA!$A$4:$A$123,MATCH(JU!$J906,COA!$B$4:$B$123,0)))</f>
        <v>1103</v>
      </c>
      <c r="J906" t="s">
        <v>154</v>
      </c>
      <c r="K906" s="34">
        <f t="shared" si="129"/>
        <v>216450</v>
      </c>
    </row>
    <row r="907" spans="1:11" hidden="1">
      <c r="A907" s="50" t="str">
        <f t="shared" si="126"/>
        <v xml:space="preserve">By. Biaya </v>
      </c>
      <c r="B907" s="214">
        <v>46134</v>
      </c>
      <c r="C907" s="211" t="s">
        <v>305</v>
      </c>
      <c r="D907" s="51" t="s">
        <v>333</v>
      </c>
      <c r="F907" s="52" t="str">
        <f>IF(G907="","",INDEX(COA!$A$4:$A$123,MATCH(JU!$G907,COA!$B$4:$B$123,0)))</f>
        <v>6303</v>
      </c>
      <c r="G907" t="s">
        <v>87</v>
      </c>
      <c r="H907" s="216">
        <v>2800</v>
      </c>
      <c r="I907" s="52">
        <f>IF(J907="","",INDEX(COA!$A$4:$A$123,MATCH(JU!$J907,COA!$B$4:$B$123,0)))</f>
        <v>1103</v>
      </c>
      <c r="J907" t="s">
        <v>154</v>
      </c>
      <c r="K907" s="34">
        <f t="shared" si="129"/>
        <v>2800</v>
      </c>
    </row>
    <row r="908" spans="1:11" hidden="1">
      <c r="A908" s="50" t="str">
        <f t="shared" si="126"/>
        <v xml:space="preserve">By. Biaya </v>
      </c>
      <c r="B908" s="214">
        <v>46134</v>
      </c>
      <c r="C908" s="211" t="s">
        <v>1561</v>
      </c>
      <c r="D908" s="51" t="s">
        <v>1764</v>
      </c>
      <c r="F908" s="52">
        <f>IF(G908="","",INDEX(COA!$A$4:$A$123,MATCH(JU!$G908,COA!$B$4:$B$123,0)))</f>
        <v>4102</v>
      </c>
      <c r="G908" t="s">
        <v>62</v>
      </c>
      <c r="H908" s="216">
        <v>8000000</v>
      </c>
      <c r="I908" s="52">
        <f>IF(J908="","",INDEX(COA!$A$4:$A$123,MATCH(JU!$J908,COA!$B$4:$B$123,0)))</f>
        <v>1103</v>
      </c>
      <c r="J908" t="s">
        <v>154</v>
      </c>
      <c r="K908" s="34">
        <f t="shared" si="129"/>
        <v>8000000</v>
      </c>
    </row>
    <row r="909" spans="1:11" hidden="1">
      <c r="A909" s="50" t="str">
        <f t="shared" si="126"/>
        <v xml:space="preserve">By. Biaya </v>
      </c>
      <c r="B909" s="214">
        <v>46134</v>
      </c>
      <c r="C909" s="211" t="s">
        <v>1562</v>
      </c>
      <c r="D909" s="51" t="s">
        <v>1765</v>
      </c>
      <c r="F909" s="52">
        <f>IF(G909="","",INDEX(COA!$A$4:$A$123,MATCH(JU!$G909,COA!$B$4:$B$123,0)))</f>
        <v>5110</v>
      </c>
      <c r="G909" s="229" t="s">
        <v>74</v>
      </c>
      <c r="H909" s="216">
        <v>3740000</v>
      </c>
      <c r="I909" s="52">
        <f>IF(J909="","",INDEX(COA!$A$4:$A$123,MATCH(JU!$J909,COA!$B$4:$B$123,0)))</f>
        <v>1103</v>
      </c>
      <c r="J909" t="s">
        <v>154</v>
      </c>
      <c r="K909" s="34">
        <f t="shared" si="129"/>
        <v>3740000</v>
      </c>
    </row>
    <row r="910" spans="1:11" hidden="1">
      <c r="A910" s="50" t="str">
        <f t="shared" si="126"/>
        <v xml:space="preserve">By. Biaya </v>
      </c>
      <c r="B910" s="214">
        <v>46134</v>
      </c>
      <c r="C910" s="211" t="s">
        <v>1563</v>
      </c>
      <c r="D910" s="51" t="s">
        <v>1766</v>
      </c>
      <c r="F910" s="52">
        <f>IF(G910="","",INDEX(COA!$A$4:$A$123,MATCH(JU!$G910,COA!$B$4:$B$123,0)))</f>
        <v>7101</v>
      </c>
      <c r="G910" s="229" t="s">
        <v>93</v>
      </c>
      <c r="H910" s="216">
        <v>1730000</v>
      </c>
      <c r="I910" s="52">
        <f>IF(J910="","",INDEX(COA!$A$4:$A$123,MATCH(JU!$J910,COA!$B$4:$B$123,0)))</f>
        <v>1103</v>
      </c>
      <c r="J910" t="s">
        <v>154</v>
      </c>
      <c r="K910" s="34">
        <f t="shared" si="129"/>
        <v>1730000</v>
      </c>
    </row>
    <row r="911" spans="1:11" hidden="1">
      <c r="A911" s="50" t="str">
        <f t="shared" ref="A911" si="140">IF(G911="BRI 568","Terima Uang Masuk atas ","By. Biaya ")</f>
        <v xml:space="preserve">By. Biaya </v>
      </c>
      <c r="B911" s="214">
        <v>46134</v>
      </c>
      <c r="C911" s="211" t="s">
        <v>1563</v>
      </c>
      <c r="D911" s="218" t="s">
        <v>2053</v>
      </c>
      <c r="F911" s="52">
        <f>IF(G911="","",INDEX(COA!$A$4:$A$123,MATCH(JU!$G911,COA!$B$4:$B$123,0)))</f>
        <v>5108</v>
      </c>
      <c r="G911" s="229" t="s">
        <v>72</v>
      </c>
      <c r="H911" s="216">
        <v>500000</v>
      </c>
      <c r="I911" s="52">
        <f>IF(J911="","",INDEX(COA!$A$4:$A$123,MATCH(JU!$J911,COA!$B$4:$B$123,0)))</f>
        <v>1103</v>
      </c>
      <c r="J911" t="s">
        <v>154</v>
      </c>
      <c r="K911" s="34">
        <f t="shared" ref="K911" si="141">IF(H911="","",H911)</f>
        <v>500000</v>
      </c>
    </row>
    <row r="912" spans="1:11" hidden="1">
      <c r="A912" s="50" t="str">
        <f t="shared" ref="A912:A985" si="142">IF(G912="BRI 568","Terima Uang Masuk atas ","By. Biaya ")</f>
        <v xml:space="preserve">By. Biaya </v>
      </c>
      <c r="B912" s="214">
        <v>46134</v>
      </c>
      <c r="C912" s="211" t="s">
        <v>460</v>
      </c>
      <c r="D912" s="51" t="s">
        <v>1767</v>
      </c>
      <c r="F912" s="52">
        <f>IF(G912="","",INDEX(COA!$A$4:$A$123,MATCH(JU!$G912,COA!$B$4:$B$123,0)))</f>
        <v>6112</v>
      </c>
      <c r="G912" t="s">
        <v>205</v>
      </c>
      <c r="H912" s="216">
        <v>37150</v>
      </c>
      <c r="I912" s="52">
        <f>IF(J912="","",INDEX(COA!$A$4:$A$123,MATCH(JU!$J912,COA!$B$4:$B$123,0)))</f>
        <v>1103</v>
      </c>
      <c r="J912" t="s">
        <v>154</v>
      </c>
      <c r="K912" s="34">
        <f t="shared" si="129"/>
        <v>37150</v>
      </c>
    </row>
    <row r="913" spans="1:11" hidden="1">
      <c r="A913" s="50" t="str">
        <f t="shared" si="142"/>
        <v xml:space="preserve">By. Biaya </v>
      </c>
      <c r="B913" s="214">
        <v>46134</v>
      </c>
      <c r="C913" s="211" t="s">
        <v>461</v>
      </c>
      <c r="D913" s="51" t="s">
        <v>1768</v>
      </c>
      <c r="F913" s="52">
        <f>IF(G913="","",INDEX(COA!$A$4:$A$123,MATCH(JU!$G913,COA!$B$4:$B$123,0)))</f>
        <v>6112</v>
      </c>
      <c r="G913" t="s">
        <v>205</v>
      </c>
      <c r="H913" s="216">
        <v>155200</v>
      </c>
      <c r="I913" s="52">
        <f>IF(J913="","",INDEX(COA!$A$4:$A$123,MATCH(JU!$J913,COA!$B$4:$B$123,0)))</f>
        <v>1103</v>
      </c>
      <c r="J913" t="s">
        <v>154</v>
      </c>
      <c r="K913" s="34">
        <f t="shared" si="129"/>
        <v>155200</v>
      </c>
    </row>
    <row r="914" spans="1:11" hidden="1">
      <c r="A914" s="50" t="str">
        <f t="shared" si="142"/>
        <v xml:space="preserve">By. Biaya </v>
      </c>
      <c r="B914" s="214">
        <v>46134</v>
      </c>
      <c r="C914" s="211" t="s">
        <v>462</v>
      </c>
      <c r="D914" s="51" t="s">
        <v>1769</v>
      </c>
      <c r="F914" s="52">
        <f>IF(G914="","",INDEX(COA!$A$4:$A$123,MATCH(JU!$G914,COA!$B$4:$B$123,0)))</f>
        <v>6112</v>
      </c>
      <c r="G914" t="s">
        <v>205</v>
      </c>
      <c r="H914" s="216">
        <v>155920</v>
      </c>
      <c r="I914" s="52">
        <f>IF(J914="","",INDEX(COA!$A$4:$A$123,MATCH(JU!$J914,COA!$B$4:$B$123,0)))</f>
        <v>1103</v>
      </c>
      <c r="J914" t="s">
        <v>154</v>
      </c>
      <c r="K914" s="34">
        <f t="shared" si="129"/>
        <v>155920</v>
      </c>
    </row>
    <row r="915" spans="1:11" hidden="1">
      <c r="A915" s="50" t="str">
        <f t="shared" si="142"/>
        <v xml:space="preserve">Terima Uang Masuk atas </v>
      </c>
      <c r="B915" s="214">
        <v>46134</v>
      </c>
      <c r="C915" s="211" t="s">
        <v>1564</v>
      </c>
      <c r="D915" s="51" t="s">
        <v>1770</v>
      </c>
      <c r="F915" s="52">
        <f>IF(G915="","",INDEX(COA!$A$4:$A$123,MATCH(JU!$G915,COA!$B$4:$B$123,0)))</f>
        <v>1103</v>
      </c>
      <c r="G915" t="s">
        <v>154</v>
      </c>
      <c r="H915" s="216">
        <v>8000000</v>
      </c>
      <c r="I915" s="52">
        <f>IF(J915="","",INDEX(COA!$A$4:$A$123,MATCH(JU!$J915,COA!$B$4:$B$123,0)))</f>
        <v>4102</v>
      </c>
      <c r="J915" t="s">
        <v>62</v>
      </c>
      <c r="K915" s="34">
        <f t="shared" si="129"/>
        <v>8000000</v>
      </c>
    </row>
    <row r="916" spans="1:11" hidden="1">
      <c r="A916" s="50" t="str">
        <f t="shared" si="142"/>
        <v xml:space="preserve">By. Biaya </v>
      </c>
      <c r="B916" s="214">
        <v>46134</v>
      </c>
      <c r="C916" s="211" t="s">
        <v>1565</v>
      </c>
      <c r="D916" s="218" t="s">
        <v>2055</v>
      </c>
      <c r="F916" s="52">
        <f>IF(G916="","",INDEX(COA!$A$4:$A$123,MATCH(JU!$G916,COA!$B$4:$B$123,0)))</f>
        <v>4102</v>
      </c>
      <c r="G916" t="s">
        <v>62</v>
      </c>
      <c r="H916" s="216">
        <v>8000000</v>
      </c>
      <c r="I916" s="52">
        <f>IF(J916="","",INDEX(COA!$A$4:$A$123,MATCH(JU!$J916,COA!$B$4:$B$123,0)))</f>
        <v>1103</v>
      </c>
      <c r="J916" t="s">
        <v>154</v>
      </c>
      <c r="K916" s="34">
        <f t="shared" si="129"/>
        <v>8000000</v>
      </c>
    </row>
    <row r="917" spans="1:11" hidden="1">
      <c r="A917" s="50" t="str">
        <f t="shared" ref="A917" si="143">IF(G917="BRI 568","Terima Uang Masuk atas ","By. Biaya ")</f>
        <v xml:space="preserve">By. Biaya </v>
      </c>
      <c r="B917" s="214">
        <v>46134</v>
      </c>
      <c r="C917" s="211" t="s">
        <v>1565</v>
      </c>
      <c r="D917" s="218" t="s">
        <v>2054</v>
      </c>
      <c r="F917" s="52">
        <f>IF(G917="","",INDEX(COA!$A$4:$A$123,MATCH(JU!$G917,COA!$B$4:$B$123,0)))</f>
        <v>5110</v>
      </c>
      <c r="G917" s="229" t="s">
        <v>74</v>
      </c>
      <c r="H917" s="216">
        <v>3740000</v>
      </c>
      <c r="I917" s="52">
        <f>IF(J917="","",INDEX(COA!$A$4:$A$123,MATCH(JU!$J917,COA!$B$4:$B$123,0)))</f>
        <v>1103</v>
      </c>
      <c r="J917" t="s">
        <v>154</v>
      </c>
      <c r="K917" s="34">
        <f t="shared" ref="K917" si="144">IF(H917="","",H917)</f>
        <v>3740000</v>
      </c>
    </row>
    <row r="918" spans="1:11" hidden="1">
      <c r="A918" s="50" t="str">
        <f t="shared" si="142"/>
        <v xml:space="preserve">Terima Uang Masuk atas </v>
      </c>
      <c r="B918" s="214">
        <v>46134</v>
      </c>
      <c r="C918" s="211" t="s">
        <v>1566</v>
      </c>
      <c r="D918" s="51" t="s">
        <v>1771</v>
      </c>
      <c r="F918" s="52">
        <f>IF(G918="","",INDEX(COA!$A$4:$A$123,MATCH(JU!$G918,COA!$B$4:$B$123,0)))</f>
        <v>1103</v>
      </c>
      <c r="G918" t="s">
        <v>154</v>
      </c>
      <c r="H918" s="216">
        <v>8000000</v>
      </c>
      <c r="I918" s="52">
        <f>IF(J918="","",INDEX(COA!$A$4:$A$123,MATCH(JU!$J918,COA!$B$4:$B$123,0)))</f>
        <v>4102</v>
      </c>
      <c r="J918" t="s">
        <v>62</v>
      </c>
      <c r="K918" s="34">
        <f t="shared" si="129"/>
        <v>8000000</v>
      </c>
    </row>
    <row r="919" spans="1:11" hidden="1">
      <c r="A919" s="50" t="str">
        <f t="shared" si="142"/>
        <v xml:space="preserve">By. Biaya </v>
      </c>
      <c r="B919" s="214">
        <v>46134</v>
      </c>
      <c r="C919" s="211" t="s">
        <v>1567</v>
      </c>
      <c r="D919" s="51" t="s">
        <v>1772</v>
      </c>
      <c r="F919" s="52">
        <f>IF(G919="","",INDEX(COA!$A$4:$A$123,MATCH(JU!$G919,COA!$B$4:$B$123,0)))</f>
        <v>1302</v>
      </c>
      <c r="G919" t="s">
        <v>31</v>
      </c>
      <c r="H919" s="216">
        <v>30000000</v>
      </c>
      <c r="I919" s="52">
        <f>IF(J919="","",INDEX(COA!$A$4:$A$123,MATCH(JU!$J919,COA!$B$4:$B$123,0)))</f>
        <v>1103</v>
      </c>
      <c r="J919" t="s">
        <v>154</v>
      </c>
      <c r="K919" s="34">
        <f t="shared" si="129"/>
        <v>30000000</v>
      </c>
    </row>
    <row r="920" spans="1:11" hidden="1">
      <c r="A920" s="50" t="str">
        <f t="shared" si="142"/>
        <v xml:space="preserve">By. Biaya </v>
      </c>
      <c r="B920" s="214">
        <v>46134</v>
      </c>
      <c r="C920" s="211" t="s">
        <v>1568</v>
      </c>
      <c r="D920" s="51" t="s">
        <v>1773</v>
      </c>
      <c r="F920" s="52">
        <f>IF(G920="","",INDEX(COA!$A$4:$A$123,MATCH(JU!$G920,COA!$B$4:$B$123,0)))</f>
        <v>1302</v>
      </c>
      <c r="G920" t="s">
        <v>31</v>
      </c>
      <c r="H920" s="216">
        <v>700000</v>
      </c>
      <c r="I920" s="52">
        <f>IF(J920="","",INDEX(COA!$A$4:$A$123,MATCH(JU!$J920,COA!$B$4:$B$123,0)))</f>
        <v>1103</v>
      </c>
      <c r="J920" t="s">
        <v>154</v>
      </c>
      <c r="K920" s="34">
        <f t="shared" si="129"/>
        <v>700000</v>
      </c>
    </row>
    <row r="921" spans="1:11" hidden="1">
      <c r="A921" s="50" t="str">
        <f t="shared" si="142"/>
        <v xml:space="preserve">By. Biaya </v>
      </c>
      <c r="B921" s="214">
        <v>46135</v>
      </c>
      <c r="C921" s="211" t="s">
        <v>463</v>
      </c>
      <c r="D921" s="51" t="s">
        <v>1774</v>
      </c>
      <c r="F921" s="52" t="str">
        <f>IF(G921="","",INDEX(COA!$A$4:$A$123,MATCH(JU!$G921,COA!$B$4:$B$123,0)))</f>
        <v>6303</v>
      </c>
      <c r="G921" t="s">
        <v>87</v>
      </c>
      <c r="H921" s="216">
        <v>15000000</v>
      </c>
      <c r="I921" s="52">
        <f>IF(J921="","",INDEX(COA!$A$4:$A$123,MATCH(JU!$J921,COA!$B$4:$B$123,0)))</f>
        <v>1103</v>
      </c>
      <c r="J921" t="s">
        <v>154</v>
      </c>
      <c r="K921" s="34">
        <f t="shared" si="129"/>
        <v>15000000</v>
      </c>
    </row>
    <row r="922" spans="1:11" hidden="1">
      <c r="A922" s="50" t="str">
        <f t="shared" si="142"/>
        <v xml:space="preserve">By. Biaya </v>
      </c>
      <c r="B922" s="214">
        <v>46135</v>
      </c>
      <c r="C922" s="211" t="s">
        <v>305</v>
      </c>
      <c r="D922" s="51" t="s">
        <v>333</v>
      </c>
      <c r="F922" s="52" t="str">
        <f>IF(G922="","",INDEX(COA!$A$4:$A$123,MATCH(JU!$G922,COA!$B$4:$B$123,0)))</f>
        <v>6303</v>
      </c>
      <c r="G922" t="s">
        <v>87</v>
      </c>
      <c r="H922" s="216">
        <v>2500</v>
      </c>
      <c r="I922" s="52">
        <f>IF(J922="","",INDEX(COA!$A$4:$A$123,MATCH(JU!$J922,COA!$B$4:$B$123,0)))</f>
        <v>1103</v>
      </c>
      <c r="J922" t="s">
        <v>154</v>
      </c>
      <c r="K922" s="34">
        <f t="shared" si="129"/>
        <v>2500</v>
      </c>
    </row>
    <row r="923" spans="1:11">
      <c r="A923" s="50" t="str">
        <f t="shared" si="142"/>
        <v xml:space="preserve">By. Biaya </v>
      </c>
      <c r="B923" s="214">
        <v>46135</v>
      </c>
      <c r="C923" s="211" t="s">
        <v>1569</v>
      </c>
      <c r="D923" s="51" t="s">
        <v>1775</v>
      </c>
      <c r="F923" s="52">
        <f>IF(G923="","",INDEX(COA!$A$4:$A$123,MATCH(JU!$G923,COA!$B$4:$B$123,0)))</f>
        <v>1302</v>
      </c>
      <c r="G923" t="s">
        <v>31</v>
      </c>
      <c r="H923" s="216">
        <v>3000000</v>
      </c>
      <c r="I923" s="52">
        <f>IF(J923="","",INDEX(COA!$A$4:$A$123,MATCH(JU!$J923,COA!$B$4:$B$123,0)))</f>
        <v>1103</v>
      </c>
      <c r="J923" t="s">
        <v>154</v>
      </c>
      <c r="K923" s="34">
        <f t="shared" si="129"/>
        <v>3000000</v>
      </c>
    </row>
    <row r="924" spans="1:11" hidden="1">
      <c r="A924" s="50" t="str">
        <f t="shared" si="142"/>
        <v xml:space="preserve">By. Biaya </v>
      </c>
      <c r="B924" s="214">
        <v>46135</v>
      </c>
      <c r="C924" s="211" t="s">
        <v>464</v>
      </c>
      <c r="D924" s="51" t="s">
        <v>1776</v>
      </c>
      <c r="F924" s="52">
        <f>IF(G924="","",INDEX(COA!$A$4:$A$123,MATCH(JU!$G924,COA!$B$4:$B$123,0)))</f>
        <v>6112</v>
      </c>
      <c r="G924" t="s">
        <v>205</v>
      </c>
      <c r="H924" s="216">
        <v>60000</v>
      </c>
      <c r="I924" s="52">
        <f>IF(J924="","",INDEX(COA!$A$4:$A$123,MATCH(JU!$J924,COA!$B$4:$B$123,0)))</f>
        <v>1103</v>
      </c>
      <c r="J924" t="s">
        <v>154</v>
      </c>
      <c r="K924" s="34">
        <f t="shared" si="129"/>
        <v>60000</v>
      </c>
    </row>
    <row r="925" spans="1:11" hidden="1">
      <c r="A925" s="50" t="str">
        <f t="shared" si="142"/>
        <v xml:space="preserve">By. Biaya </v>
      </c>
      <c r="B925" s="214">
        <v>46135</v>
      </c>
      <c r="C925" s="211" t="s">
        <v>1570</v>
      </c>
      <c r="D925" s="51" t="s">
        <v>1777</v>
      </c>
      <c r="F925" s="52">
        <f>IF(G925="","",INDEX(COA!$A$4:$A$123,MATCH(JU!$G925,COA!$B$4:$B$123,0)))</f>
        <v>6105</v>
      </c>
      <c r="G925" t="s">
        <v>148</v>
      </c>
      <c r="H925" s="216">
        <v>500000</v>
      </c>
      <c r="I925" s="52">
        <f>IF(J925="","",INDEX(COA!$A$4:$A$123,MATCH(JU!$J925,COA!$B$4:$B$123,0)))</f>
        <v>1103</v>
      </c>
      <c r="J925" t="s">
        <v>154</v>
      </c>
      <c r="K925" s="34">
        <f t="shared" si="129"/>
        <v>500000</v>
      </c>
    </row>
    <row r="926" spans="1:11" hidden="1">
      <c r="A926" s="50" t="str">
        <f t="shared" si="142"/>
        <v xml:space="preserve">Terima Uang Masuk atas </v>
      </c>
      <c r="B926" s="214">
        <v>46136</v>
      </c>
      <c r="C926" s="211" t="s">
        <v>1571</v>
      </c>
      <c r="D926" s="263" t="s">
        <v>1778</v>
      </c>
      <c r="F926" s="52">
        <f>IF(G926="","",INDEX(COA!$A$4:$A$123,MATCH(JU!$G926,COA!$B$4:$B$123,0)))</f>
        <v>1103</v>
      </c>
      <c r="G926" t="s">
        <v>154</v>
      </c>
      <c r="H926" s="216">
        <v>15000000</v>
      </c>
      <c r="I926" s="52">
        <f>IF(J926="","",INDEX(COA!$A$4:$A$123,MATCH(JU!$J926,COA!$B$4:$B$123,0)))</f>
        <v>4102</v>
      </c>
      <c r="J926" t="s">
        <v>62</v>
      </c>
      <c r="K926" s="34">
        <f t="shared" si="129"/>
        <v>15000000</v>
      </c>
    </row>
    <row r="927" spans="1:11" hidden="1">
      <c r="A927" s="50" t="str">
        <f t="shared" ref="A927" si="145">IF(G927="BRI 568","Terima Uang Masuk atas ","By. Biaya ")</f>
        <v xml:space="preserve">By. Biaya </v>
      </c>
      <c r="B927" s="214">
        <v>46136</v>
      </c>
      <c r="C927" s="211" t="s">
        <v>1571</v>
      </c>
      <c r="D927" s="264" t="s">
        <v>2056</v>
      </c>
      <c r="F927" s="52">
        <f>IF(G927="","",INDEX(COA!$A$4:$A$123,MATCH(JU!$G927,COA!$B$4:$B$123,0)))</f>
        <v>1202</v>
      </c>
      <c r="G927" s="229" t="s">
        <v>27</v>
      </c>
      <c r="H927" s="216">
        <v>169000000</v>
      </c>
      <c r="I927" s="52">
        <f>IF(J927="","",INDEX(COA!$A$4:$A$123,MATCH(JU!$J927,COA!$B$4:$B$123,0)))</f>
        <v>4102</v>
      </c>
      <c r="J927" t="s">
        <v>62</v>
      </c>
      <c r="K927" s="34">
        <f t="shared" ref="K927" si="146">IF(H927="","",H927)</f>
        <v>169000000</v>
      </c>
    </row>
    <row r="928" spans="1:11" hidden="1">
      <c r="A928" s="50" t="str">
        <f t="shared" si="142"/>
        <v xml:space="preserve">Terima Uang Masuk atas </v>
      </c>
      <c r="B928" s="214">
        <v>46136</v>
      </c>
      <c r="C928" s="211" t="s">
        <v>1572</v>
      </c>
      <c r="D928" s="51" t="s">
        <v>1779</v>
      </c>
      <c r="F928" s="52">
        <f>IF(G928="","",INDEX(COA!$A$4:$A$123,MATCH(JU!$G928,COA!$B$4:$B$123,0)))</f>
        <v>1103</v>
      </c>
      <c r="G928" t="s">
        <v>154</v>
      </c>
      <c r="H928" s="216">
        <v>435000000</v>
      </c>
      <c r="I928" s="52" t="str">
        <f>IF(J928="","",INDEX(COA!$A$4:$A$123,MATCH(JU!$J928,COA!$B$4:$B$123,0)))</f>
        <v>2201</v>
      </c>
      <c r="J928" t="s">
        <v>52</v>
      </c>
      <c r="K928" s="34">
        <f t="shared" si="129"/>
        <v>435000000</v>
      </c>
    </row>
    <row r="929" spans="1:12" hidden="1">
      <c r="A929" s="50" t="str">
        <f t="shared" ref="A929" si="147">IF(G929="BRI 568","Terima Uang Masuk atas ","By. Biaya ")</f>
        <v xml:space="preserve">By. Biaya </v>
      </c>
      <c r="B929" s="214">
        <v>46136</v>
      </c>
      <c r="C929" s="211" t="s">
        <v>1572</v>
      </c>
      <c r="D929" s="51" t="s">
        <v>1779</v>
      </c>
      <c r="F929" s="52">
        <f>IF(G929="","",INDEX(COA!$A$4:$A$123,MATCH(JU!$G929,COA!$B$4:$B$123,0)))</f>
        <v>1208</v>
      </c>
      <c r="G929" t="s">
        <v>34</v>
      </c>
      <c r="H929" s="216">
        <v>62500000</v>
      </c>
      <c r="I929" s="52" t="str">
        <f>IF(J929="","",INDEX(COA!$A$4:$A$123,MATCH(JU!$J929,COA!$B$4:$B$123,0)))</f>
        <v>2201</v>
      </c>
      <c r="J929" t="s">
        <v>52</v>
      </c>
      <c r="K929" s="34">
        <f t="shared" ref="K929" si="148">IF(H929="","",H929)</f>
        <v>62500000</v>
      </c>
    </row>
    <row r="930" spans="1:12" hidden="1">
      <c r="A930" s="50" t="str">
        <f t="shared" ref="A930" si="149">IF(G930="BRI 568","Terima Uang Masuk atas ","By. Biaya ")</f>
        <v xml:space="preserve">By. Biaya </v>
      </c>
      <c r="B930" s="214">
        <v>46136</v>
      </c>
      <c r="C930" s="211" t="s">
        <v>1572</v>
      </c>
      <c r="D930" s="51" t="s">
        <v>1779</v>
      </c>
      <c r="F930" s="52" t="str">
        <f>IF(G930="","",INDEX(COA!$A$4:$A$123,MATCH(JU!$G930,COA!$B$4:$B$123,0)))</f>
        <v>6303</v>
      </c>
      <c r="G930" t="s">
        <v>87</v>
      </c>
      <c r="H930" s="216">
        <v>3500000</v>
      </c>
      <c r="I930" s="52" t="str">
        <f>IF(J930="","",INDEX(COA!$A$4:$A$123,MATCH(JU!$J930,COA!$B$4:$B$123,0)))</f>
        <v>2201</v>
      </c>
      <c r="J930" t="s">
        <v>52</v>
      </c>
      <c r="K930" s="34">
        <f t="shared" ref="K930" si="150">IF(H930="","",H930)</f>
        <v>3500000</v>
      </c>
    </row>
    <row r="931" spans="1:12" hidden="1">
      <c r="A931" s="50" t="str">
        <f t="shared" ref="A931" si="151">IF(G931="BRI 568","Terima Uang Masuk atas ","By. Biaya ")</f>
        <v xml:space="preserve">By. Biaya </v>
      </c>
      <c r="B931" s="214">
        <v>46136</v>
      </c>
      <c r="C931" s="211" t="s">
        <v>1572</v>
      </c>
      <c r="D931" s="51" t="s">
        <v>1779</v>
      </c>
      <c r="F931" s="52" t="str">
        <f>IF(G931="","",INDEX(COA!$A$4:$A$123,MATCH(JU!$G931,COA!$B$4:$B$123,0)))</f>
        <v>6303</v>
      </c>
      <c r="G931" t="s">
        <v>87</v>
      </c>
      <c r="H931" s="216">
        <v>7500000</v>
      </c>
      <c r="I931" s="52" t="str">
        <f>IF(J931="","",INDEX(COA!$A$4:$A$123,MATCH(JU!$J931,COA!$B$4:$B$123,0)))</f>
        <v>2201</v>
      </c>
      <c r="J931" t="s">
        <v>52</v>
      </c>
      <c r="K931" s="34">
        <f t="shared" ref="K931" si="152">IF(H931="","",H931)</f>
        <v>7500000</v>
      </c>
    </row>
    <row r="932" spans="1:12" hidden="1">
      <c r="A932" s="50" t="str">
        <f t="shared" ref="A932" si="153">IF(G932="BRI 568","Terima Uang Masuk atas ","By. Biaya ")</f>
        <v xml:space="preserve">By. Biaya </v>
      </c>
      <c r="B932" s="214">
        <v>46136</v>
      </c>
      <c r="C932" s="211" t="s">
        <v>1572</v>
      </c>
      <c r="D932" s="51" t="s">
        <v>1779</v>
      </c>
      <c r="F932" s="52" t="str">
        <f>IF(G932="","",INDEX(COA!$A$4:$A$123,MATCH(JU!$G932,COA!$B$4:$B$123,0)))</f>
        <v>6303</v>
      </c>
      <c r="G932" t="s">
        <v>87</v>
      </c>
      <c r="H932" s="216">
        <v>5900000</v>
      </c>
      <c r="I932" s="52" t="str">
        <f>IF(J932="","",INDEX(COA!$A$4:$A$123,MATCH(JU!$J932,COA!$B$4:$B$123,0)))</f>
        <v>2201</v>
      </c>
      <c r="J932" t="s">
        <v>52</v>
      </c>
      <c r="K932" s="34">
        <f t="shared" ref="K932" si="154">IF(H932="","",H932)</f>
        <v>5900000</v>
      </c>
    </row>
    <row r="933" spans="1:12" s="53" customFormat="1" hidden="1">
      <c r="A933" s="50" t="str">
        <f t="shared" si="142"/>
        <v xml:space="preserve">By. Biaya </v>
      </c>
      <c r="B933" s="215">
        <v>46136</v>
      </c>
      <c r="C933" s="212" t="s">
        <v>645</v>
      </c>
      <c r="D933" s="51" t="s">
        <v>728</v>
      </c>
      <c r="E933" s="54"/>
      <c r="F933" s="52">
        <f>IF(G933="","",INDEX(COA!$A$4:$A$123,MATCH(JU!$G933,COA!$B$4:$B$123,0)))</f>
        <v>1302</v>
      </c>
      <c r="G933" t="s">
        <v>31</v>
      </c>
      <c r="H933" s="216">
        <v>25000000</v>
      </c>
      <c r="I933" s="52">
        <f>IF(J933="","",INDEX(COA!$A$4:$A$123,MATCH(JU!$J933,COA!$B$4:$B$123,0)))</f>
        <v>1103</v>
      </c>
      <c r="J933" t="s">
        <v>154</v>
      </c>
      <c r="K933" s="34">
        <f t="shared" si="129"/>
        <v>25000000</v>
      </c>
      <c r="L933"/>
    </row>
    <row r="934" spans="1:12">
      <c r="A934" s="50" t="str">
        <f t="shared" si="142"/>
        <v xml:space="preserve">By. Biaya </v>
      </c>
      <c r="B934" s="214">
        <v>46136</v>
      </c>
      <c r="C934" s="211" t="s">
        <v>1573</v>
      </c>
      <c r="D934" s="51" t="s">
        <v>1780</v>
      </c>
      <c r="F934" s="52">
        <f>IF(G934="","",INDEX(COA!$A$4:$A$123,MATCH(JU!$G934,COA!$B$4:$B$123,0)))</f>
        <v>1302</v>
      </c>
      <c r="G934" t="s">
        <v>31</v>
      </c>
      <c r="H934" s="216">
        <v>10000000</v>
      </c>
      <c r="I934" s="52">
        <f>IF(J934="","",INDEX(COA!$A$4:$A$123,MATCH(JU!$J934,COA!$B$4:$B$123,0)))</f>
        <v>1103</v>
      </c>
      <c r="J934" t="s">
        <v>154</v>
      </c>
      <c r="K934" s="34">
        <f t="shared" si="129"/>
        <v>10000000</v>
      </c>
    </row>
    <row r="935" spans="1:12" hidden="1">
      <c r="A935" s="50" t="str">
        <f t="shared" si="142"/>
        <v xml:space="preserve">By. Biaya </v>
      </c>
      <c r="B935" s="214">
        <v>46136</v>
      </c>
      <c r="C935" s="211" t="s">
        <v>1574</v>
      </c>
      <c r="D935" s="51" t="s">
        <v>1781</v>
      </c>
      <c r="F935" s="52">
        <f>IF(G935="","",INDEX(COA!$A$4:$A$123,MATCH(JU!$G935,COA!$B$4:$B$123,0)))</f>
        <v>6112</v>
      </c>
      <c r="G935" t="s">
        <v>205</v>
      </c>
      <c r="H935" s="216">
        <v>5000000</v>
      </c>
      <c r="I935" s="52">
        <f>IF(J935="","",INDEX(COA!$A$4:$A$123,MATCH(JU!$J935,COA!$B$4:$B$123,0)))</f>
        <v>1103</v>
      </c>
      <c r="J935" t="s">
        <v>154</v>
      </c>
      <c r="K935" s="34">
        <f t="shared" si="129"/>
        <v>5000000</v>
      </c>
    </row>
    <row r="936" spans="1:12" hidden="1">
      <c r="A936" s="50" t="str">
        <f t="shared" si="142"/>
        <v xml:space="preserve">By. Biaya </v>
      </c>
      <c r="B936" s="214">
        <v>46136</v>
      </c>
      <c r="C936" s="211" t="s">
        <v>1575</v>
      </c>
      <c r="D936" s="51" t="s">
        <v>1782</v>
      </c>
      <c r="F936" s="52">
        <f>IF(G936="","",INDEX(COA!$A$4:$A$123,MATCH(JU!$G936,COA!$B$4:$B$123,0)))</f>
        <v>1302</v>
      </c>
      <c r="G936" t="s">
        <v>31</v>
      </c>
      <c r="H936" s="216">
        <v>255600</v>
      </c>
      <c r="I936" s="52">
        <f>IF(J936="","",INDEX(COA!$A$4:$A$123,MATCH(JU!$J936,COA!$B$4:$B$123,0)))</f>
        <v>1103</v>
      </c>
      <c r="J936" t="s">
        <v>154</v>
      </c>
      <c r="K936" s="34">
        <f t="shared" si="129"/>
        <v>255600</v>
      </c>
    </row>
    <row r="937" spans="1:12" hidden="1">
      <c r="A937" s="50" t="str">
        <f t="shared" si="142"/>
        <v xml:space="preserve">By. Biaya </v>
      </c>
      <c r="B937" s="214">
        <v>46136</v>
      </c>
      <c r="C937" s="211" t="s">
        <v>305</v>
      </c>
      <c r="D937" s="51" t="s">
        <v>333</v>
      </c>
      <c r="F937" s="52" t="str">
        <f>IF(G937="","",INDEX(COA!$A$4:$A$123,MATCH(JU!$G937,COA!$B$4:$B$123,0)))</f>
        <v>6303</v>
      </c>
      <c r="G937" t="s">
        <v>87</v>
      </c>
      <c r="H937" s="216">
        <v>2500</v>
      </c>
      <c r="I937" s="52">
        <f>IF(J937="","",INDEX(COA!$A$4:$A$123,MATCH(JU!$J937,COA!$B$4:$B$123,0)))</f>
        <v>1103</v>
      </c>
      <c r="J937" t="s">
        <v>154</v>
      </c>
      <c r="K937" s="34">
        <f t="shared" si="129"/>
        <v>2500</v>
      </c>
    </row>
    <row r="938" spans="1:12" hidden="1">
      <c r="A938" s="50" t="str">
        <f t="shared" si="142"/>
        <v xml:space="preserve">By. Biaya </v>
      </c>
      <c r="B938" s="214">
        <v>46136</v>
      </c>
      <c r="C938" s="211" t="s">
        <v>1576</v>
      </c>
      <c r="D938" s="51" t="s">
        <v>1783</v>
      </c>
      <c r="F938" s="52" t="str">
        <f>IF(G938="","",INDEX(COA!$A$4:$A$123,MATCH(JU!$G938,COA!$B$4:$B$123,0)))</f>
        <v>6201</v>
      </c>
      <c r="G938" t="s">
        <v>81</v>
      </c>
      <c r="H938" s="216">
        <v>1000000</v>
      </c>
      <c r="I938" s="52">
        <f>IF(J938="","",INDEX(COA!$A$4:$A$123,MATCH(JU!$J938,COA!$B$4:$B$123,0)))</f>
        <v>1103</v>
      </c>
      <c r="J938" t="s">
        <v>154</v>
      </c>
      <c r="K938" s="34">
        <f t="shared" si="129"/>
        <v>1000000</v>
      </c>
    </row>
    <row r="939" spans="1:12" hidden="1">
      <c r="A939" s="50" t="str">
        <f t="shared" si="142"/>
        <v xml:space="preserve">By. Biaya </v>
      </c>
      <c r="B939" s="214">
        <v>46136</v>
      </c>
      <c r="C939" s="211" t="s">
        <v>305</v>
      </c>
      <c r="D939" s="51" t="s">
        <v>333</v>
      </c>
      <c r="F939" s="52" t="str">
        <f>IF(G939="","",INDEX(COA!$A$4:$A$123,MATCH(JU!$G939,COA!$B$4:$B$123,0)))</f>
        <v>6303</v>
      </c>
      <c r="G939" t="s">
        <v>87</v>
      </c>
      <c r="H939" s="216">
        <v>2500</v>
      </c>
      <c r="I939" s="52">
        <f>IF(J939="","",INDEX(COA!$A$4:$A$123,MATCH(JU!$J939,COA!$B$4:$B$123,0)))</f>
        <v>1103</v>
      </c>
      <c r="J939" t="s">
        <v>154</v>
      </c>
      <c r="K939" s="34">
        <f t="shared" si="129"/>
        <v>2500</v>
      </c>
    </row>
    <row r="940" spans="1:12" hidden="1">
      <c r="A940" s="50" t="str">
        <f t="shared" si="142"/>
        <v xml:space="preserve">By. Biaya </v>
      </c>
      <c r="B940" s="214">
        <v>46136</v>
      </c>
      <c r="C940" s="211" t="s">
        <v>466</v>
      </c>
      <c r="D940" s="51" t="s">
        <v>1784</v>
      </c>
      <c r="F940" s="52" t="str">
        <f>IF(G940="","",INDEX(COA!$A$4:$A$123,MATCH(JU!$G940,COA!$B$4:$B$123,0)))</f>
        <v>6201</v>
      </c>
      <c r="G940" t="s">
        <v>81</v>
      </c>
      <c r="H940" s="216">
        <v>250000</v>
      </c>
      <c r="I940" s="52">
        <f>IF(J940="","",INDEX(COA!$A$4:$A$123,MATCH(JU!$J940,COA!$B$4:$B$123,0)))</f>
        <v>1103</v>
      </c>
      <c r="J940" t="s">
        <v>154</v>
      </c>
      <c r="K940" s="34">
        <f t="shared" si="129"/>
        <v>250000</v>
      </c>
    </row>
    <row r="941" spans="1:12" hidden="1">
      <c r="A941" s="50" t="str">
        <f t="shared" si="142"/>
        <v xml:space="preserve">By. Biaya </v>
      </c>
      <c r="B941" s="214">
        <v>46136</v>
      </c>
      <c r="C941" s="211" t="s">
        <v>645</v>
      </c>
      <c r="D941" s="51" t="s">
        <v>728</v>
      </c>
      <c r="F941" s="52">
        <f>IF(G941="","",INDEX(COA!$A$4:$A$123,MATCH(JU!$G941,COA!$B$4:$B$123,0)))</f>
        <v>1302</v>
      </c>
      <c r="G941" t="s">
        <v>31</v>
      </c>
      <c r="H941" s="216">
        <v>50000000</v>
      </c>
      <c r="I941" s="52">
        <f>IF(J941="","",INDEX(COA!$A$4:$A$123,MATCH(JU!$J941,COA!$B$4:$B$123,0)))</f>
        <v>1103</v>
      </c>
      <c r="J941" t="s">
        <v>154</v>
      </c>
      <c r="K941" s="34">
        <f t="shared" si="129"/>
        <v>50000000</v>
      </c>
    </row>
    <row r="942" spans="1:12">
      <c r="A942" s="50" t="str">
        <f t="shared" si="142"/>
        <v xml:space="preserve">By. Biaya </v>
      </c>
      <c r="B942" s="214">
        <v>46136</v>
      </c>
      <c r="C942" s="211" t="s">
        <v>1577</v>
      </c>
      <c r="D942" s="51" t="s">
        <v>1785</v>
      </c>
      <c r="F942" s="52">
        <f>IF(G942="","",INDEX(COA!$A$4:$A$123,MATCH(JU!$G942,COA!$B$4:$B$123,0)))</f>
        <v>1302</v>
      </c>
      <c r="G942" t="s">
        <v>31</v>
      </c>
      <c r="H942" s="216">
        <v>12000000</v>
      </c>
      <c r="I942" s="52">
        <f>IF(J942="","",INDEX(COA!$A$4:$A$123,MATCH(JU!$J942,COA!$B$4:$B$123,0)))</f>
        <v>1103</v>
      </c>
      <c r="J942" t="s">
        <v>154</v>
      </c>
      <c r="K942" s="34">
        <f t="shared" ref="K942:K1009" si="155">IF(H942="","",H942)</f>
        <v>12000000</v>
      </c>
    </row>
    <row r="943" spans="1:12" hidden="1">
      <c r="A943" s="50" t="str">
        <f t="shared" si="142"/>
        <v xml:space="preserve">By. Biaya </v>
      </c>
      <c r="B943" s="214">
        <v>46136</v>
      </c>
      <c r="C943" s="211" t="s">
        <v>467</v>
      </c>
      <c r="D943" s="51" t="s">
        <v>1786</v>
      </c>
      <c r="F943" s="52">
        <f>IF(G943="","",INDEX(COA!$A$4:$A$123,MATCH(JU!$G943,COA!$B$4:$B$123,0)))</f>
        <v>6402</v>
      </c>
      <c r="G943" t="s">
        <v>90</v>
      </c>
      <c r="H943" s="216">
        <v>1000000</v>
      </c>
      <c r="I943" s="52">
        <f>IF(J943="","",INDEX(COA!$A$4:$A$123,MATCH(JU!$J943,COA!$B$4:$B$123,0)))</f>
        <v>1103</v>
      </c>
      <c r="J943" t="s">
        <v>154</v>
      </c>
      <c r="K943" s="34">
        <f t="shared" si="155"/>
        <v>1000000</v>
      </c>
    </row>
    <row r="944" spans="1:12" hidden="1">
      <c r="A944" s="50" t="str">
        <f t="shared" si="142"/>
        <v xml:space="preserve">By. Biaya </v>
      </c>
      <c r="B944" s="214">
        <v>46136</v>
      </c>
      <c r="C944" s="211" t="s">
        <v>468</v>
      </c>
      <c r="D944" s="51" t="s">
        <v>552</v>
      </c>
      <c r="F944" s="52" t="str">
        <f>IF(G944="","",INDEX(COA!$A$4:$A$123,MATCH(JU!$G944,COA!$B$4:$B$123,0)))</f>
        <v>2101</v>
      </c>
      <c r="G944" t="s">
        <v>45</v>
      </c>
      <c r="H944" s="216">
        <v>50000000</v>
      </c>
      <c r="I944" s="52">
        <f>IF(J944="","",INDEX(COA!$A$4:$A$123,MATCH(JU!$J944,COA!$B$4:$B$123,0)))</f>
        <v>1103</v>
      </c>
      <c r="J944" t="s">
        <v>154</v>
      </c>
      <c r="K944" s="34">
        <f t="shared" si="155"/>
        <v>50000000</v>
      </c>
    </row>
    <row r="945" spans="1:11" hidden="1">
      <c r="A945" s="50" t="str">
        <f t="shared" si="142"/>
        <v xml:space="preserve">Terima Uang Masuk atas </v>
      </c>
      <c r="B945" s="214">
        <v>46136</v>
      </c>
      <c r="C945" s="211" t="s">
        <v>469</v>
      </c>
      <c r="D945" s="263" t="s">
        <v>1787</v>
      </c>
      <c r="F945" s="52">
        <f>IF(G945="","",INDEX(COA!$A$4:$A$123,MATCH(JU!$G945,COA!$B$4:$B$123,0)))</f>
        <v>1103</v>
      </c>
      <c r="G945" t="s">
        <v>154</v>
      </c>
      <c r="H945" s="216">
        <v>314000000</v>
      </c>
      <c r="I945" s="52">
        <f>IF(J945="","",INDEX(COA!$A$4:$A$123,MATCH(JU!$J945,COA!$B$4:$B$123,0)))</f>
        <v>1202</v>
      </c>
      <c r="J945" s="229" t="s">
        <v>27</v>
      </c>
      <c r="K945" s="34">
        <f t="shared" si="155"/>
        <v>314000000</v>
      </c>
    </row>
    <row r="946" spans="1:11" hidden="1">
      <c r="A946" s="50" t="str">
        <f t="shared" ref="A946" si="156">IF(G946="BRI 568","Terima Uang Masuk atas ","By. Biaya ")</f>
        <v xml:space="preserve">By. Biaya </v>
      </c>
      <c r="B946" s="214">
        <v>46136</v>
      </c>
      <c r="C946" s="211" t="s">
        <v>469</v>
      </c>
      <c r="D946" s="264" t="s">
        <v>2057</v>
      </c>
      <c r="F946" s="52" t="str">
        <f>IF(G946="","",INDEX(COA!$A$4:$A$123,MATCH(JU!$G946,COA!$B$4:$B$123,0)))</f>
        <v>2101</v>
      </c>
      <c r="G946" s="229" t="s">
        <v>45</v>
      </c>
      <c r="H946" s="216">
        <f>4*70000000</f>
        <v>280000000</v>
      </c>
      <c r="I946" s="52">
        <f>IF(J946="","",INDEX(COA!$A$4:$A$123,MATCH(JU!$J946,COA!$B$4:$B$123,0)))</f>
        <v>1202</v>
      </c>
      <c r="J946" s="229" t="s">
        <v>27</v>
      </c>
      <c r="K946" s="34">
        <f t="shared" ref="K946" si="157">IF(H946="","",H946)</f>
        <v>280000000</v>
      </c>
    </row>
    <row r="947" spans="1:11" hidden="1">
      <c r="A947" s="50" t="str">
        <f t="shared" si="142"/>
        <v xml:space="preserve">By. Biaya </v>
      </c>
      <c r="B947" s="214">
        <v>46136</v>
      </c>
      <c r="C947" s="211" t="s">
        <v>1578</v>
      </c>
      <c r="D947" s="51" t="s">
        <v>1788</v>
      </c>
      <c r="F947" s="52">
        <f>IF(G947="","",INDEX(COA!$A$4:$A$123,MATCH(JU!$G947,COA!$B$4:$B$123,0)))</f>
        <v>1203</v>
      </c>
      <c r="G947" t="s">
        <v>140</v>
      </c>
      <c r="H947" s="216">
        <v>300000</v>
      </c>
      <c r="I947" s="52">
        <f>IF(J947="","",INDEX(COA!$A$4:$A$123,MATCH(JU!$J947,COA!$B$4:$B$123,0)))</f>
        <v>1103</v>
      </c>
      <c r="J947" t="s">
        <v>154</v>
      </c>
      <c r="K947" s="34">
        <f t="shared" si="155"/>
        <v>300000</v>
      </c>
    </row>
    <row r="948" spans="1:11" hidden="1">
      <c r="A948" s="50" t="str">
        <f t="shared" si="142"/>
        <v xml:space="preserve">By. Biaya </v>
      </c>
      <c r="B948" s="214">
        <v>46136</v>
      </c>
      <c r="C948" s="211" t="s">
        <v>305</v>
      </c>
      <c r="D948" s="51" t="s">
        <v>333</v>
      </c>
      <c r="F948" s="52" t="str">
        <f>IF(G948="","",INDEX(COA!$A$4:$A$123,MATCH(JU!$G948,COA!$B$4:$B$123,0)))</f>
        <v>6303</v>
      </c>
      <c r="G948" t="s">
        <v>87</v>
      </c>
      <c r="H948" s="216">
        <v>2500</v>
      </c>
      <c r="I948" s="52">
        <f>IF(J948="","",INDEX(COA!$A$4:$A$123,MATCH(JU!$J948,COA!$B$4:$B$123,0)))</f>
        <v>1103</v>
      </c>
      <c r="J948" t="s">
        <v>154</v>
      </c>
      <c r="K948" s="34">
        <f t="shared" si="155"/>
        <v>2500</v>
      </c>
    </row>
    <row r="949" spans="1:11" hidden="1">
      <c r="A949" s="50" t="str">
        <f t="shared" si="142"/>
        <v xml:space="preserve">By. Biaya </v>
      </c>
      <c r="B949" s="214">
        <v>46136</v>
      </c>
      <c r="C949" s="211" t="s">
        <v>1579</v>
      </c>
      <c r="D949" s="51" t="s">
        <v>1789</v>
      </c>
      <c r="F949" s="52">
        <f>IF(G949="","",INDEX(COA!$A$4:$A$123,MATCH(JU!$G949,COA!$B$4:$B$123,0)))</f>
        <v>1203</v>
      </c>
      <c r="G949" t="s">
        <v>140</v>
      </c>
      <c r="H949" s="216">
        <v>5460000</v>
      </c>
      <c r="I949" s="52">
        <f>IF(J949="","",INDEX(COA!$A$4:$A$123,MATCH(JU!$J949,COA!$B$4:$B$123,0)))</f>
        <v>1103</v>
      </c>
      <c r="J949" t="s">
        <v>154</v>
      </c>
      <c r="K949" s="34">
        <f t="shared" si="155"/>
        <v>5460000</v>
      </c>
    </row>
    <row r="950" spans="1:11" hidden="1">
      <c r="A950" s="50" t="str">
        <f t="shared" si="142"/>
        <v xml:space="preserve">By. Biaya </v>
      </c>
      <c r="B950" s="214">
        <v>46136</v>
      </c>
      <c r="C950" s="211" t="s">
        <v>470</v>
      </c>
      <c r="D950" s="51" t="s">
        <v>1790</v>
      </c>
      <c r="F950" s="52">
        <f>IF(G950="","",INDEX(COA!$A$4:$A$123,MATCH(JU!$G950,COA!$B$4:$B$123,0)))</f>
        <v>1301</v>
      </c>
      <c r="G950" t="s">
        <v>30</v>
      </c>
      <c r="H950" s="216">
        <v>44700000</v>
      </c>
      <c r="I950" s="52">
        <f>IF(J950="","",INDEX(COA!$A$4:$A$123,MATCH(JU!$J950,COA!$B$4:$B$123,0)))</f>
        <v>1103</v>
      </c>
      <c r="J950" t="s">
        <v>154</v>
      </c>
      <c r="K950" s="34">
        <f t="shared" si="155"/>
        <v>44700000</v>
      </c>
    </row>
    <row r="951" spans="1:11" hidden="1">
      <c r="A951" s="50" t="str">
        <f t="shared" si="142"/>
        <v xml:space="preserve">By. Biaya </v>
      </c>
      <c r="B951" s="214">
        <v>46136</v>
      </c>
      <c r="C951" s="211" t="s">
        <v>305</v>
      </c>
      <c r="D951" s="51" t="s">
        <v>333</v>
      </c>
      <c r="F951" s="52" t="str">
        <f>IF(G951="","",INDEX(COA!$A$4:$A$123,MATCH(JU!$G951,COA!$B$4:$B$123,0)))</f>
        <v>6303</v>
      </c>
      <c r="G951" t="s">
        <v>87</v>
      </c>
      <c r="H951" s="216">
        <v>2500</v>
      </c>
      <c r="I951" s="52">
        <f>IF(J951="","",INDEX(COA!$A$4:$A$123,MATCH(JU!$J951,COA!$B$4:$B$123,0)))</f>
        <v>1103</v>
      </c>
      <c r="J951" t="s">
        <v>154</v>
      </c>
      <c r="K951" s="34">
        <f t="shared" si="155"/>
        <v>2500</v>
      </c>
    </row>
    <row r="952" spans="1:11" hidden="1">
      <c r="A952" s="50" t="str">
        <f t="shared" si="142"/>
        <v xml:space="preserve">By. Biaya </v>
      </c>
      <c r="B952" s="214">
        <v>46136</v>
      </c>
      <c r="C952" s="211" t="s">
        <v>1580</v>
      </c>
      <c r="D952" s="51" t="s">
        <v>1791</v>
      </c>
      <c r="F952" s="52">
        <f>IF(G952="","",INDEX(COA!$A$4:$A$123,MATCH(JU!$G952,COA!$B$4:$B$123,0)))</f>
        <v>5110</v>
      </c>
      <c r="G952" t="s">
        <v>74</v>
      </c>
      <c r="H952" s="216">
        <v>4020000</v>
      </c>
      <c r="I952" s="52">
        <f>IF(J952="","",INDEX(COA!$A$4:$A$123,MATCH(JU!$J952,COA!$B$4:$B$123,0)))</f>
        <v>1103</v>
      </c>
      <c r="J952" t="s">
        <v>154</v>
      </c>
      <c r="K952" s="34">
        <f t="shared" si="155"/>
        <v>4020000</v>
      </c>
    </row>
    <row r="953" spans="1:11" hidden="1">
      <c r="A953" s="50" t="str">
        <f t="shared" si="142"/>
        <v xml:space="preserve">By. Biaya </v>
      </c>
      <c r="B953" s="214">
        <v>46136</v>
      </c>
      <c r="C953" s="211" t="s">
        <v>305</v>
      </c>
      <c r="D953" s="51" t="s">
        <v>333</v>
      </c>
      <c r="F953" s="52" t="str">
        <f>IF(G953="","",INDEX(COA!$A$4:$A$123,MATCH(JU!$G953,COA!$B$4:$B$123,0)))</f>
        <v>6303</v>
      </c>
      <c r="G953" t="s">
        <v>87</v>
      </c>
      <c r="H953" s="216">
        <v>2500</v>
      </c>
      <c r="I953" s="52">
        <f>IF(J953="","",INDEX(COA!$A$4:$A$123,MATCH(JU!$J953,COA!$B$4:$B$123,0)))</f>
        <v>1103</v>
      </c>
      <c r="J953" t="s">
        <v>154</v>
      </c>
      <c r="K953" s="34">
        <f t="shared" si="155"/>
        <v>2500</v>
      </c>
    </row>
    <row r="954" spans="1:11" hidden="1">
      <c r="A954" s="50" t="str">
        <f t="shared" si="142"/>
        <v xml:space="preserve">By. Biaya </v>
      </c>
      <c r="B954" s="214">
        <v>46136</v>
      </c>
      <c r="C954" s="211" t="s">
        <v>1581</v>
      </c>
      <c r="D954" s="51" t="s">
        <v>1792</v>
      </c>
      <c r="F954" s="52">
        <f>IF(G954="","",INDEX(COA!$A$4:$A$123,MATCH(JU!$G954,COA!$B$4:$B$123,0)))</f>
        <v>6112</v>
      </c>
      <c r="G954" t="s">
        <v>205</v>
      </c>
      <c r="H954" s="216">
        <v>10000000</v>
      </c>
      <c r="I954" s="52">
        <f>IF(J954="","",INDEX(COA!$A$4:$A$123,MATCH(JU!$J954,COA!$B$4:$B$123,0)))</f>
        <v>1103</v>
      </c>
      <c r="J954" t="s">
        <v>154</v>
      </c>
      <c r="K954" s="34">
        <f t="shared" si="155"/>
        <v>10000000</v>
      </c>
    </row>
    <row r="955" spans="1:11" hidden="1">
      <c r="A955" s="50" t="str">
        <f t="shared" si="142"/>
        <v xml:space="preserve">By. Biaya </v>
      </c>
      <c r="B955" s="214">
        <v>46136</v>
      </c>
      <c r="C955" s="211" t="s">
        <v>305</v>
      </c>
      <c r="D955" s="51" t="s">
        <v>333</v>
      </c>
      <c r="F955" s="52" t="str">
        <f>IF(G955="","",INDEX(COA!$A$4:$A$123,MATCH(JU!$G955,COA!$B$4:$B$123,0)))</f>
        <v>6303</v>
      </c>
      <c r="G955" t="s">
        <v>87</v>
      </c>
      <c r="H955" s="216">
        <v>2500</v>
      </c>
      <c r="I955" s="52">
        <f>IF(J955="","",INDEX(COA!$A$4:$A$123,MATCH(JU!$J955,COA!$B$4:$B$123,0)))</f>
        <v>1103</v>
      </c>
      <c r="J955" t="s">
        <v>154</v>
      </c>
      <c r="K955" s="34">
        <f t="shared" si="155"/>
        <v>2500</v>
      </c>
    </row>
    <row r="956" spans="1:11" hidden="1">
      <c r="A956" s="50" t="str">
        <f t="shared" si="142"/>
        <v xml:space="preserve">By. Biaya </v>
      </c>
      <c r="B956" s="214">
        <v>46137</v>
      </c>
      <c r="C956" s="211" t="s">
        <v>471</v>
      </c>
      <c r="D956" s="51" t="s">
        <v>1793</v>
      </c>
      <c r="F956" s="52">
        <f>IF(G956="","",INDEX(COA!$A$4:$A$123,MATCH(JU!$G956,COA!$B$4:$B$123,0)))</f>
        <v>1301</v>
      </c>
      <c r="G956" t="s">
        <v>30</v>
      </c>
      <c r="H956" s="216">
        <v>22500000</v>
      </c>
      <c r="I956" s="52">
        <f>IF(J956="","",INDEX(COA!$A$4:$A$123,MATCH(JU!$J956,COA!$B$4:$B$123,0)))</f>
        <v>1103</v>
      </c>
      <c r="J956" t="s">
        <v>154</v>
      </c>
      <c r="K956" s="34">
        <f t="shared" si="155"/>
        <v>22500000</v>
      </c>
    </row>
    <row r="957" spans="1:11" hidden="1">
      <c r="A957" s="50" t="str">
        <f t="shared" si="142"/>
        <v xml:space="preserve">By. Biaya </v>
      </c>
      <c r="B957" s="214">
        <v>46137</v>
      </c>
      <c r="C957" s="211" t="s">
        <v>305</v>
      </c>
      <c r="D957" s="51" t="s">
        <v>333</v>
      </c>
      <c r="F957" s="52" t="str">
        <f>IF(G957="","",INDEX(COA!$A$4:$A$123,MATCH(JU!$G957,COA!$B$4:$B$123,0)))</f>
        <v>6303</v>
      </c>
      <c r="G957" t="s">
        <v>87</v>
      </c>
      <c r="H957" s="216">
        <v>2500</v>
      </c>
      <c r="I957" s="52">
        <f>IF(J957="","",INDEX(COA!$A$4:$A$123,MATCH(JU!$J957,COA!$B$4:$B$123,0)))</f>
        <v>1103</v>
      </c>
      <c r="J957" t="s">
        <v>154</v>
      </c>
      <c r="K957" s="34">
        <f t="shared" si="155"/>
        <v>2500</v>
      </c>
    </row>
    <row r="958" spans="1:11">
      <c r="A958" s="50" t="str">
        <f t="shared" si="142"/>
        <v xml:space="preserve">By. Biaya </v>
      </c>
      <c r="B958" s="214">
        <v>46137</v>
      </c>
      <c r="C958" s="211" t="s">
        <v>472</v>
      </c>
      <c r="D958" s="51" t="s">
        <v>1794</v>
      </c>
      <c r="F958" s="52">
        <f>IF(G958="","",INDEX(COA!$A$4:$A$123,MATCH(JU!$G958,COA!$B$4:$B$123,0)))</f>
        <v>1302</v>
      </c>
      <c r="G958" t="s">
        <v>31</v>
      </c>
      <c r="H958" s="216">
        <v>4750000</v>
      </c>
      <c r="I958" s="52">
        <f>IF(J958="","",INDEX(COA!$A$4:$A$123,MATCH(JU!$J958,COA!$B$4:$B$123,0)))</f>
        <v>1103</v>
      </c>
      <c r="J958" t="s">
        <v>154</v>
      </c>
      <c r="K958" s="34">
        <f t="shared" si="155"/>
        <v>4750000</v>
      </c>
    </row>
    <row r="959" spans="1:11" hidden="1">
      <c r="A959" s="50" t="str">
        <f t="shared" si="142"/>
        <v xml:space="preserve">By. Biaya </v>
      </c>
      <c r="B959" s="214">
        <v>46137</v>
      </c>
      <c r="C959" s="211" t="s">
        <v>473</v>
      </c>
      <c r="D959" s="51" t="s">
        <v>1795</v>
      </c>
      <c r="F959" s="52">
        <f>IF(G959="","",INDEX(COA!$A$4:$A$123,MATCH(JU!$G959,COA!$B$4:$B$123,0)))</f>
        <v>1302</v>
      </c>
      <c r="G959" t="s">
        <v>31</v>
      </c>
      <c r="H959" s="216">
        <v>250000</v>
      </c>
      <c r="I959" s="52">
        <f>IF(J959="","",INDEX(COA!$A$4:$A$123,MATCH(JU!$J959,COA!$B$4:$B$123,0)))</f>
        <v>1103</v>
      </c>
      <c r="J959" t="s">
        <v>154</v>
      </c>
      <c r="K959" s="34">
        <f t="shared" si="155"/>
        <v>250000</v>
      </c>
    </row>
    <row r="960" spans="1:11" hidden="1">
      <c r="A960" s="50" t="str">
        <f t="shared" si="142"/>
        <v xml:space="preserve">By. Biaya </v>
      </c>
      <c r="B960" s="214">
        <v>46137</v>
      </c>
      <c r="C960" s="211" t="s">
        <v>474</v>
      </c>
      <c r="D960" s="218" t="s">
        <v>2363</v>
      </c>
      <c r="F960" s="52">
        <f>IF(G960="","",INDEX(COA!$A$4:$A$123,MATCH(JU!$G960,COA!$B$4:$B$123,0)))</f>
        <v>1411</v>
      </c>
      <c r="G960" t="s">
        <v>43</v>
      </c>
      <c r="H960" s="216">
        <v>165600000</v>
      </c>
      <c r="I960" s="52" t="str">
        <f>IF(J960="","",INDEX(COA!$A$4:$A$123,MATCH(JU!$J960,COA!$B$4:$B$123,0)))</f>
        <v>2201</v>
      </c>
      <c r="J960" t="s">
        <v>52</v>
      </c>
      <c r="K960" s="34">
        <f t="shared" si="155"/>
        <v>165600000</v>
      </c>
    </row>
    <row r="961" spans="1:11" hidden="1">
      <c r="A961" s="50" t="str">
        <f t="shared" ref="A961" si="158">IF(G961="BRI 568","Terima Uang Masuk atas ","By. Biaya ")</f>
        <v xml:space="preserve">By. Biaya </v>
      </c>
      <c r="B961" s="214">
        <v>46137</v>
      </c>
      <c r="C961" s="211" t="s">
        <v>474</v>
      </c>
      <c r="D961" s="51" t="s">
        <v>1796</v>
      </c>
      <c r="F961" s="52" t="str">
        <f>IF(G961="","",INDEX(COA!$A$4:$A$123,MATCH(JU!$G961,COA!$B$4:$B$123,0)))</f>
        <v>2108</v>
      </c>
      <c r="G961" t="s">
        <v>51</v>
      </c>
      <c r="H961" s="216">
        <v>4600000</v>
      </c>
      <c r="I961" s="52">
        <f>IF(J961="","",INDEX(COA!$A$4:$A$123,MATCH(JU!$J961,COA!$B$4:$B$123,0)))</f>
        <v>1103</v>
      </c>
      <c r="J961" t="s">
        <v>154</v>
      </c>
      <c r="K961" s="34">
        <f t="shared" ref="K961" si="159">IF(H961="","",H961)</f>
        <v>4600000</v>
      </c>
    </row>
    <row r="962" spans="1:11" hidden="1">
      <c r="A962" s="50" t="str">
        <f t="shared" si="142"/>
        <v xml:space="preserve">By. Biaya </v>
      </c>
      <c r="B962" s="214">
        <v>46137</v>
      </c>
      <c r="C962" s="211" t="s">
        <v>305</v>
      </c>
      <c r="D962" s="51" t="s">
        <v>333</v>
      </c>
      <c r="F962" s="52" t="str">
        <f>IF(G962="","",INDEX(COA!$A$4:$A$123,MATCH(JU!$G962,COA!$B$4:$B$123,0)))</f>
        <v>6303</v>
      </c>
      <c r="G962" t="s">
        <v>87</v>
      </c>
      <c r="H962" s="216">
        <v>2500</v>
      </c>
      <c r="I962" s="52">
        <f>IF(J962="","",INDEX(COA!$A$4:$A$123,MATCH(JU!$J962,COA!$B$4:$B$123,0)))</f>
        <v>1103</v>
      </c>
      <c r="J962" t="s">
        <v>154</v>
      </c>
      <c r="K962" s="34">
        <f t="shared" si="155"/>
        <v>2500</v>
      </c>
    </row>
    <row r="963" spans="1:11" hidden="1">
      <c r="A963" s="50" t="str">
        <f t="shared" si="142"/>
        <v xml:space="preserve">By. Biaya </v>
      </c>
      <c r="B963" s="214">
        <v>46138</v>
      </c>
      <c r="C963" s="211" t="s">
        <v>1582</v>
      </c>
      <c r="D963" s="51" t="s">
        <v>1797</v>
      </c>
      <c r="F963" s="52">
        <f>IF(G963="","",INDEX(COA!$A$4:$A$123,MATCH(JU!$G963,COA!$B$4:$B$123,0)))</f>
        <v>1302</v>
      </c>
      <c r="G963" t="s">
        <v>31</v>
      </c>
      <c r="H963" s="216">
        <v>1800000</v>
      </c>
      <c r="I963" s="52">
        <f>IF(J963="","",INDEX(COA!$A$4:$A$123,MATCH(JU!$J963,COA!$B$4:$B$123,0)))</f>
        <v>1103</v>
      </c>
      <c r="J963" t="s">
        <v>154</v>
      </c>
      <c r="K963" s="34">
        <f t="shared" si="155"/>
        <v>1800000</v>
      </c>
    </row>
    <row r="964" spans="1:11" hidden="1">
      <c r="A964" s="50" t="str">
        <f t="shared" si="142"/>
        <v xml:space="preserve">By. Biaya </v>
      </c>
      <c r="B964" s="214">
        <v>46138</v>
      </c>
      <c r="C964" s="211" t="s">
        <v>1583</v>
      </c>
      <c r="D964" s="51" t="s">
        <v>1798</v>
      </c>
      <c r="F964" s="52">
        <f>IF(G964="","",INDEX(COA!$A$4:$A$123,MATCH(JU!$G964,COA!$B$4:$B$123,0)))</f>
        <v>1302</v>
      </c>
      <c r="G964" t="s">
        <v>31</v>
      </c>
      <c r="H964" s="216">
        <v>210000</v>
      </c>
      <c r="I964" s="52">
        <f>IF(J964="","",INDEX(COA!$A$4:$A$123,MATCH(JU!$J964,COA!$B$4:$B$123,0)))</f>
        <v>1103</v>
      </c>
      <c r="J964" t="s">
        <v>154</v>
      </c>
      <c r="K964" s="34">
        <f t="shared" si="155"/>
        <v>210000</v>
      </c>
    </row>
    <row r="965" spans="1:11" hidden="1">
      <c r="A965" s="50" t="str">
        <f t="shared" si="142"/>
        <v xml:space="preserve">By. Biaya </v>
      </c>
      <c r="B965" s="214">
        <v>46138</v>
      </c>
      <c r="C965" s="211" t="s">
        <v>1584</v>
      </c>
      <c r="D965" s="51" t="s">
        <v>1799</v>
      </c>
      <c r="F965" s="52">
        <f>IF(G965="","",INDEX(COA!$A$4:$A$123,MATCH(JU!$G965,COA!$B$4:$B$123,0)))</f>
        <v>1203</v>
      </c>
      <c r="G965" s="229" t="s">
        <v>140</v>
      </c>
      <c r="H965" s="216">
        <v>250000</v>
      </c>
      <c r="I965" s="52">
        <f>IF(J965="","",INDEX(COA!$A$4:$A$123,MATCH(JU!$J965,COA!$B$4:$B$123,0)))</f>
        <v>1103</v>
      </c>
      <c r="J965" t="s">
        <v>154</v>
      </c>
      <c r="K965" s="34">
        <f t="shared" si="155"/>
        <v>250000</v>
      </c>
    </row>
    <row r="966" spans="1:11" hidden="1">
      <c r="A966" s="50" t="str">
        <f t="shared" si="142"/>
        <v xml:space="preserve">By. Biaya </v>
      </c>
      <c r="B966" s="214">
        <v>46138</v>
      </c>
      <c r="C966" s="211" t="s">
        <v>1584</v>
      </c>
      <c r="D966" s="51" t="s">
        <v>1799</v>
      </c>
      <c r="F966" s="52">
        <f>IF(G966="","",INDEX(COA!$A$4:$A$123,MATCH(JU!$G966,COA!$B$4:$B$123,0)))</f>
        <v>1203</v>
      </c>
      <c r="G966" s="229" t="s">
        <v>140</v>
      </c>
      <c r="H966" s="216">
        <v>50000</v>
      </c>
      <c r="I966" s="52">
        <f>IF(J966="","",INDEX(COA!$A$4:$A$123,MATCH(JU!$J966,COA!$B$4:$B$123,0)))</f>
        <v>1103</v>
      </c>
      <c r="J966" t="s">
        <v>154</v>
      </c>
      <c r="K966" s="34">
        <f t="shared" si="155"/>
        <v>50000</v>
      </c>
    </row>
    <row r="967" spans="1:11" hidden="1">
      <c r="A967" s="50" t="str">
        <f t="shared" si="142"/>
        <v xml:space="preserve">By. Biaya </v>
      </c>
      <c r="B967" s="214">
        <v>46138</v>
      </c>
      <c r="C967" s="211" t="s">
        <v>475</v>
      </c>
      <c r="D967" s="256" t="s">
        <v>1800</v>
      </c>
      <c r="F967" s="52">
        <f>IF(G967="","",INDEX(COA!$A$4:$A$123,MATCH(JU!$G967,COA!$B$4:$B$123,0)))</f>
        <v>1301</v>
      </c>
      <c r="G967" t="s">
        <v>30</v>
      </c>
      <c r="H967" s="216">
        <v>1700000</v>
      </c>
      <c r="I967" s="52">
        <f>IF(J967="","",INDEX(COA!$A$4:$A$123,MATCH(JU!$J967,COA!$B$4:$B$123,0)))</f>
        <v>1103</v>
      </c>
      <c r="J967" t="s">
        <v>154</v>
      </c>
      <c r="K967" s="34">
        <f t="shared" si="155"/>
        <v>1700000</v>
      </c>
    </row>
    <row r="968" spans="1:11" hidden="1">
      <c r="A968" s="50" t="str">
        <f t="shared" si="142"/>
        <v xml:space="preserve">By. Biaya </v>
      </c>
      <c r="B968" s="214">
        <v>46138</v>
      </c>
      <c r="C968" s="211" t="s">
        <v>476</v>
      </c>
      <c r="D968" s="51" t="s">
        <v>553</v>
      </c>
      <c r="F968" s="52" t="str">
        <f>IF(G968="","",INDEX(COA!$A$4:$A$123,MATCH(JU!$G968,COA!$B$4:$B$123,0)))</f>
        <v>2101</v>
      </c>
      <c r="G968" t="s">
        <v>45</v>
      </c>
      <c r="H968" s="216">
        <v>1000000</v>
      </c>
      <c r="I968" s="52">
        <f>IF(J968="","",INDEX(COA!$A$4:$A$123,MATCH(JU!$J968,COA!$B$4:$B$123,0)))</f>
        <v>1103</v>
      </c>
      <c r="J968" t="s">
        <v>154</v>
      </c>
      <c r="K968" s="34">
        <f t="shared" si="155"/>
        <v>1000000</v>
      </c>
    </row>
    <row r="969" spans="1:11" hidden="1">
      <c r="A969" s="50" t="str">
        <f t="shared" si="142"/>
        <v xml:space="preserve">By. Biaya </v>
      </c>
      <c r="B969" s="214">
        <v>46139</v>
      </c>
      <c r="C969" s="211" t="s">
        <v>477</v>
      </c>
      <c r="D969" s="51" t="s">
        <v>1801</v>
      </c>
      <c r="F969" s="52">
        <f>IF(G969="","",INDEX(COA!$A$4:$A$123,MATCH(JU!$G969,COA!$B$4:$B$123,0)))</f>
        <v>6112</v>
      </c>
      <c r="G969" t="s">
        <v>205</v>
      </c>
      <c r="H969" s="216">
        <v>1000000</v>
      </c>
      <c r="I969" s="52">
        <f>IF(J969="","",INDEX(COA!$A$4:$A$123,MATCH(JU!$J969,COA!$B$4:$B$123,0)))</f>
        <v>1103</v>
      </c>
      <c r="J969" t="s">
        <v>154</v>
      </c>
      <c r="K969" s="34">
        <f t="shared" si="155"/>
        <v>1000000</v>
      </c>
    </row>
    <row r="970" spans="1:11" hidden="1">
      <c r="A970" s="50" t="str">
        <f t="shared" si="142"/>
        <v xml:space="preserve">By. Biaya </v>
      </c>
      <c r="B970" s="214">
        <v>46139</v>
      </c>
      <c r="C970" s="211" t="s">
        <v>305</v>
      </c>
      <c r="D970" s="51" t="s">
        <v>333</v>
      </c>
      <c r="F970" s="52" t="str">
        <f>IF(G970="","",INDEX(COA!$A$4:$A$123,MATCH(JU!$G970,COA!$B$4:$B$123,0)))</f>
        <v>6303</v>
      </c>
      <c r="G970" t="s">
        <v>87</v>
      </c>
      <c r="H970" s="216">
        <v>2500</v>
      </c>
      <c r="I970" s="52">
        <f>IF(J970="","",INDEX(COA!$A$4:$A$123,MATCH(JU!$J970,COA!$B$4:$B$123,0)))</f>
        <v>1103</v>
      </c>
      <c r="J970" t="s">
        <v>154</v>
      </c>
      <c r="K970" s="34">
        <f t="shared" si="155"/>
        <v>2500</v>
      </c>
    </row>
    <row r="971" spans="1:11" hidden="1">
      <c r="A971" s="50" t="str">
        <f t="shared" si="142"/>
        <v xml:space="preserve">Terima Uang Masuk atas </v>
      </c>
      <c r="B971" s="214">
        <v>46139</v>
      </c>
      <c r="C971" s="211" t="s">
        <v>1585</v>
      </c>
      <c r="D971" s="51" t="s">
        <v>1802</v>
      </c>
      <c r="F971" s="52">
        <f>IF(G971="","",INDEX(COA!$A$4:$A$123,MATCH(JU!$G971,COA!$B$4:$B$123,0)))</f>
        <v>1103</v>
      </c>
      <c r="G971" t="s">
        <v>154</v>
      </c>
      <c r="H971" s="216">
        <v>15000000</v>
      </c>
      <c r="I971" s="52">
        <f>IF(J971="","",INDEX(COA!$A$4:$A$123,MATCH(JU!$J971,COA!$B$4:$B$123,0)))</f>
        <v>4102</v>
      </c>
      <c r="J971" t="s">
        <v>62</v>
      </c>
      <c r="K971" s="34">
        <f t="shared" si="155"/>
        <v>15000000</v>
      </c>
    </row>
    <row r="972" spans="1:11" hidden="1">
      <c r="A972" s="50" t="str">
        <f t="shared" ref="A972" si="160">IF(G972="BRI 568","Terima Uang Masuk atas ","By. Biaya ")</f>
        <v xml:space="preserve">By. Biaya </v>
      </c>
      <c r="B972" s="214">
        <v>46139</v>
      </c>
      <c r="C972" s="211" t="s">
        <v>1585</v>
      </c>
      <c r="D972" s="218" t="s">
        <v>2058</v>
      </c>
      <c r="F972" s="52">
        <f>IF(G972="","",INDEX(COA!$A$4:$A$123,MATCH(JU!$G972,COA!$B$4:$B$123,0)))</f>
        <v>1202</v>
      </c>
      <c r="G972" s="229" t="s">
        <v>27</v>
      </c>
      <c r="H972" s="216">
        <v>169000000</v>
      </c>
      <c r="I972" s="52">
        <f>IF(J972="","",INDEX(COA!$A$4:$A$123,MATCH(JU!$J972,COA!$B$4:$B$123,0)))</f>
        <v>4102</v>
      </c>
      <c r="J972" t="s">
        <v>62</v>
      </c>
      <c r="K972" s="34">
        <f t="shared" ref="K972" si="161">IF(H972="","",H972)</f>
        <v>169000000</v>
      </c>
    </row>
    <row r="973" spans="1:11" hidden="1">
      <c r="A973" s="50" t="str">
        <f t="shared" si="142"/>
        <v xml:space="preserve">By. Biaya </v>
      </c>
      <c r="B973" s="214">
        <v>46139</v>
      </c>
      <c r="C973" s="211" t="s">
        <v>478</v>
      </c>
      <c r="D973" s="51" t="s">
        <v>1803</v>
      </c>
      <c r="F973" s="52">
        <f>IF(G973="","",INDEX(COA!$A$4:$A$123,MATCH(JU!$G973,COA!$B$4:$B$123,0)))</f>
        <v>6105</v>
      </c>
      <c r="G973" t="s">
        <v>148</v>
      </c>
      <c r="H973" s="216">
        <v>505000</v>
      </c>
      <c r="I973" s="52">
        <f>IF(J973="","",INDEX(COA!$A$4:$A$123,MATCH(JU!$J973,COA!$B$4:$B$123,0)))</f>
        <v>1103</v>
      </c>
      <c r="J973" t="s">
        <v>154</v>
      </c>
      <c r="K973" s="34">
        <f t="shared" si="155"/>
        <v>505000</v>
      </c>
    </row>
    <row r="974" spans="1:11" hidden="1">
      <c r="A974" s="50" t="str">
        <f t="shared" si="142"/>
        <v xml:space="preserve">By. Biaya </v>
      </c>
      <c r="B974" s="214">
        <v>46139</v>
      </c>
      <c r="C974" s="211" t="s">
        <v>1586</v>
      </c>
      <c r="D974" s="218" t="s">
        <v>2059</v>
      </c>
      <c r="F974" s="52">
        <f>IF(G974="","",INDEX(COA!$A$4:$A$123,MATCH(JU!$G974,COA!$B$4:$B$123,0)))</f>
        <v>1302</v>
      </c>
      <c r="G974" t="s">
        <v>31</v>
      </c>
      <c r="H974" s="216">
        <f>1545000*3</f>
        <v>4635000</v>
      </c>
      <c r="I974" s="52">
        <f>IF(J974="","",INDEX(COA!$A$4:$A$123,MATCH(JU!$J974,COA!$B$4:$B$123,0)))</f>
        <v>1103</v>
      </c>
      <c r="J974" t="s">
        <v>154</v>
      </c>
      <c r="K974" s="34">
        <f t="shared" si="155"/>
        <v>4635000</v>
      </c>
    </row>
    <row r="975" spans="1:11" hidden="1">
      <c r="A975" s="50" t="str">
        <f t="shared" ref="A975" si="162">IF(G975="BRI 568","Terima Uang Masuk atas ","By. Biaya ")</f>
        <v xml:space="preserve">By. Biaya </v>
      </c>
      <c r="B975" s="214">
        <v>46139</v>
      </c>
      <c r="C975" s="211" t="s">
        <v>1586</v>
      </c>
      <c r="D975" s="218" t="s">
        <v>2060</v>
      </c>
      <c r="F975" s="52">
        <f>IF(G975="","",INDEX(COA!$A$4:$A$123,MATCH(JU!$G975,COA!$B$4:$B$123,0)))</f>
        <v>5108</v>
      </c>
      <c r="G975" s="229" t="s">
        <v>72</v>
      </c>
      <c r="H975" s="216">
        <f>500000*3</f>
        <v>1500000</v>
      </c>
      <c r="I975" s="52">
        <f>IF(J975="","",INDEX(COA!$A$4:$A$123,MATCH(JU!$J975,COA!$B$4:$B$123,0)))</f>
        <v>1103</v>
      </c>
      <c r="J975" t="s">
        <v>154</v>
      </c>
      <c r="K975" s="34">
        <f t="shared" ref="K975" si="163">IF(H975="","",H975)</f>
        <v>1500000</v>
      </c>
    </row>
    <row r="976" spans="1:11" hidden="1">
      <c r="A976" s="50" t="str">
        <f t="shared" si="142"/>
        <v xml:space="preserve">By. Biaya </v>
      </c>
      <c r="B976" s="214">
        <v>46139</v>
      </c>
      <c r="C976" s="211" t="s">
        <v>452</v>
      </c>
      <c r="D976" s="51" t="s">
        <v>1735</v>
      </c>
      <c r="F976" s="52">
        <f>IF(G976="","",INDEX(COA!$A$4:$A$123,MATCH(JU!$G976,COA!$B$4:$B$123,0)))</f>
        <v>6112</v>
      </c>
      <c r="G976" t="s">
        <v>205</v>
      </c>
      <c r="H976" s="216">
        <v>153000</v>
      </c>
      <c r="I976" s="52">
        <f>IF(J976="","",INDEX(COA!$A$4:$A$123,MATCH(JU!$J976,COA!$B$4:$B$123,0)))</f>
        <v>1103</v>
      </c>
      <c r="J976" t="s">
        <v>154</v>
      </c>
      <c r="K976" s="34">
        <f t="shared" si="155"/>
        <v>153000</v>
      </c>
    </row>
    <row r="977" spans="1:12" hidden="1">
      <c r="A977" s="50" t="str">
        <f t="shared" si="142"/>
        <v xml:space="preserve">By. Biaya </v>
      </c>
      <c r="B977" s="214">
        <v>46139</v>
      </c>
      <c r="C977" s="211" t="s">
        <v>479</v>
      </c>
      <c r="D977" s="256" t="s">
        <v>1804</v>
      </c>
      <c r="F977" s="52">
        <f>IF(G977="","",INDEX(COA!$A$4:$A$123,MATCH(JU!$G977,COA!$B$4:$B$123,0)))</f>
        <v>1302</v>
      </c>
      <c r="G977" t="s">
        <v>31</v>
      </c>
      <c r="H977" s="216">
        <v>3060000</v>
      </c>
      <c r="I977" s="52">
        <f>IF(J977="","",INDEX(COA!$A$4:$A$123,MATCH(JU!$J977,COA!$B$4:$B$123,0)))</f>
        <v>1103</v>
      </c>
      <c r="J977" t="s">
        <v>154</v>
      </c>
      <c r="K977" s="34">
        <f t="shared" si="155"/>
        <v>3060000</v>
      </c>
    </row>
    <row r="978" spans="1:12" hidden="1">
      <c r="A978" s="50" t="str">
        <f t="shared" si="142"/>
        <v xml:space="preserve">By. Biaya </v>
      </c>
      <c r="B978" s="214">
        <v>46139</v>
      </c>
      <c r="C978" s="211" t="s">
        <v>305</v>
      </c>
      <c r="D978" s="51" t="s">
        <v>333</v>
      </c>
      <c r="F978" s="52" t="str">
        <f>IF(G978="","",INDEX(COA!$A$4:$A$123,MATCH(JU!$G978,COA!$B$4:$B$123,0)))</f>
        <v>6303</v>
      </c>
      <c r="G978" t="s">
        <v>87</v>
      </c>
      <c r="H978" s="216">
        <v>2500</v>
      </c>
      <c r="I978" s="52">
        <f>IF(J978="","",INDEX(COA!$A$4:$A$123,MATCH(JU!$J978,COA!$B$4:$B$123,0)))</f>
        <v>1103</v>
      </c>
      <c r="J978" t="s">
        <v>154</v>
      </c>
      <c r="K978" s="34">
        <f t="shared" si="155"/>
        <v>2500</v>
      </c>
    </row>
    <row r="979" spans="1:12" hidden="1">
      <c r="A979" s="50" t="str">
        <f t="shared" si="142"/>
        <v xml:space="preserve">By. Biaya </v>
      </c>
      <c r="B979" s="214">
        <v>46139</v>
      </c>
      <c r="C979" s="211" t="s">
        <v>1584</v>
      </c>
      <c r="D979" s="51" t="s">
        <v>1799</v>
      </c>
      <c r="F979" s="52">
        <f>IF(G979="","",INDEX(COA!$A$4:$A$123,MATCH(JU!$G979,COA!$B$4:$B$123,0)))</f>
        <v>1203</v>
      </c>
      <c r="G979" t="s">
        <v>140</v>
      </c>
      <c r="H979" s="216">
        <v>435000</v>
      </c>
      <c r="I979" s="52">
        <f>IF(J979="","",INDEX(COA!$A$4:$A$123,MATCH(JU!$J979,COA!$B$4:$B$123,0)))</f>
        <v>1103</v>
      </c>
      <c r="J979" t="s">
        <v>154</v>
      </c>
      <c r="K979" s="34">
        <f t="shared" si="155"/>
        <v>435000</v>
      </c>
    </row>
    <row r="980" spans="1:12" hidden="1">
      <c r="A980" s="50" t="str">
        <f t="shared" si="142"/>
        <v xml:space="preserve">By. Biaya </v>
      </c>
      <c r="B980" s="214">
        <v>46139</v>
      </c>
      <c r="C980" s="211" t="s">
        <v>305</v>
      </c>
      <c r="D980" s="51" t="s">
        <v>333</v>
      </c>
      <c r="F980" s="52" t="str">
        <f>IF(G980="","",INDEX(COA!$A$4:$A$123,MATCH(JU!$G980,COA!$B$4:$B$123,0)))</f>
        <v>6303</v>
      </c>
      <c r="G980" t="s">
        <v>87</v>
      </c>
      <c r="H980" s="216">
        <v>2500</v>
      </c>
      <c r="I980" s="52">
        <f>IF(J980="","",INDEX(COA!$A$4:$A$123,MATCH(JU!$J980,COA!$B$4:$B$123,0)))</f>
        <v>1103</v>
      </c>
      <c r="J980" t="s">
        <v>154</v>
      </c>
      <c r="K980" s="34">
        <f t="shared" si="155"/>
        <v>2500</v>
      </c>
    </row>
    <row r="981" spans="1:12" hidden="1">
      <c r="A981" s="50" t="str">
        <f t="shared" si="142"/>
        <v xml:space="preserve">By. Biaya </v>
      </c>
      <c r="B981" s="214">
        <v>46139</v>
      </c>
      <c r="C981" s="211" t="s">
        <v>1587</v>
      </c>
      <c r="D981" s="51" t="s">
        <v>1805</v>
      </c>
      <c r="F981" s="52">
        <f>IF(G981="","",INDEX(COA!$A$4:$A$123,MATCH(JU!$G981,COA!$B$4:$B$123,0)))</f>
        <v>7101</v>
      </c>
      <c r="G981" t="s">
        <v>93</v>
      </c>
      <c r="H981" s="216">
        <v>1730000</v>
      </c>
      <c r="I981" s="52">
        <f>IF(J981="","",INDEX(COA!$A$4:$A$123,MATCH(JU!$J981,COA!$B$4:$B$123,0)))</f>
        <v>1103</v>
      </c>
      <c r="J981" t="s">
        <v>154</v>
      </c>
      <c r="K981" s="34">
        <f t="shared" si="155"/>
        <v>1730000</v>
      </c>
    </row>
    <row r="982" spans="1:12" hidden="1">
      <c r="A982" s="50" t="str">
        <f t="shared" si="142"/>
        <v xml:space="preserve">By. Biaya </v>
      </c>
      <c r="B982" s="214">
        <v>46139</v>
      </c>
      <c r="C982" s="211" t="s">
        <v>1588</v>
      </c>
      <c r="D982" s="51" t="s">
        <v>1806</v>
      </c>
      <c r="F982" s="52">
        <f>IF(G982="","",INDEX(COA!$A$4:$A$123,MATCH(JU!$G982,COA!$B$4:$B$123,0)))</f>
        <v>7101</v>
      </c>
      <c r="G982" t="s">
        <v>93</v>
      </c>
      <c r="H982" s="216">
        <v>1730000</v>
      </c>
      <c r="I982" s="52">
        <f>IF(J982="","",INDEX(COA!$A$4:$A$123,MATCH(JU!$J982,COA!$B$4:$B$123,0)))</f>
        <v>1103</v>
      </c>
      <c r="J982" t="s">
        <v>154</v>
      </c>
      <c r="K982" s="34">
        <f t="shared" si="155"/>
        <v>1730000</v>
      </c>
    </row>
    <row r="983" spans="1:12" hidden="1">
      <c r="A983" s="50" t="str">
        <f t="shared" si="142"/>
        <v xml:space="preserve">By. Biaya </v>
      </c>
      <c r="B983" s="214">
        <v>46139</v>
      </c>
      <c r="C983" s="211" t="s">
        <v>1589</v>
      </c>
      <c r="D983" s="51" t="s">
        <v>1807</v>
      </c>
      <c r="F983" s="52">
        <f>IF(G983="","",INDEX(COA!$A$4:$A$123,MATCH(JU!$G983,COA!$B$4:$B$123,0)))</f>
        <v>7101</v>
      </c>
      <c r="G983" t="s">
        <v>93</v>
      </c>
      <c r="H983" s="216">
        <v>1730000</v>
      </c>
      <c r="I983" s="52">
        <f>IF(J983="","",INDEX(COA!$A$4:$A$123,MATCH(JU!$J983,COA!$B$4:$B$123,0)))</f>
        <v>1103</v>
      </c>
      <c r="J983" t="s">
        <v>154</v>
      </c>
      <c r="K983" s="34">
        <f t="shared" si="155"/>
        <v>1730000</v>
      </c>
      <c r="L983" s="55"/>
    </row>
    <row r="984" spans="1:12" hidden="1">
      <c r="A984" s="50" t="str">
        <f t="shared" si="142"/>
        <v xml:space="preserve">By. Biaya </v>
      </c>
      <c r="B984" s="214">
        <v>46139</v>
      </c>
      <c r="C984" s="211" t="s">
        <v>1590</v>
      </c>
      <c r="D984" s="218" t="s">
        <v>2333</v>
      </c>
      <c r="F984" s="52">
        <f>IF(G984="","",INDEX(COA!$A$4:$A$123,MATCH(JU!$G984,COA!$B$4:$B$123,0)))</f>
        <v>1203</v>
      </c>
      <c r="G984" t="s">
        <v>140</v>
      </c>
      <c r="H984" s="216">
        <v>10000000</v>
      </c>
      <c r="I984" s="52">
        <f>IF(J984="","",INDEX(COA!$A$4:$A$123,MATCH(JU!$J984,COA!$B$4:$B$123,0)))</f>
        <v>1103</v>
      </c>
      <c r="J984" t="s">
        <v>154</v>
      </c>
      <c r="K984" s="34">
        <f t="shared" si="155"/>
        <v>10000000</v>
      </c>
      <c r="L984" s="55"/>
    </row>
    <row r="985" spans="1:12" hidden="1">
      <c r="A985" s="50" t="str">
        <f t="shared" si="142"/>
        <v xml:space="preserve">By. Biaya </v>
      </c>
      <c r="B985" s="214">
        <v>46139</v>
      </c>
      <c r="C985" s="211" t="s">
        <v>1591</v>
      </c>
      <c r="D985" s="51" t="s">
        <v>1808</v>
      </c>
      <c r="F985" s="52" t="str">
        <f>IF(G985="","",INDEX(COA!$A$4:$A$123,MATCH(JU!$G985,COA!$B$4:$B$123,0)))</f>
        <v>2101</v>
      </c>
      <c r="G985" t="s">
        <v>45</v>
      </c>
      <c r="H985" s="216">
        <v>50000000</v>
      </c>
      <c r="I985" s="52">
        <f>IF(J985="","",INDEX(COA!$A$4:$A$123,MATCH(JU!$J985,COA!$B$4:$B$123,0)))</f>
        <v>1103</v>
      </c>
      <c r="J985" t="s">
        <v>154</v>
      </c>
      <c r="K985" s="34">
        <f t="shared" si="155"/>
        <v>50000000</v>
      </c>
      <c r="L985" s="55"/>
    </row>
    <row r="986" spans="1:12" hidden="1">
      <c r="A986" s="50" t="str">
        <f t="shared" ref="A986:A1057" si="164">IF(G986="BRI 568","Terima Uang Masuk atas ","By. Biaya ")</f>
        <v xml:space="preserve">Terima Uang Masuk atas </v>
      </c>
      <c r="B986" s="214">
        <v>46139</v>
      </c>
      <c r="C986" s="211" t="s">
        <v>1592</v>
      </c>
      <c r="D986" s="51" t="s">
        <v>1809</v>
      </c>
      <c r="F986" s="52">
        <f>IF(G986="","",INDEX(COA!$A$4:$A$123,MATCH(JU!$G986,COA!$B$4:$B$123,0)))</f>
        <v>1103</v>
      </c>
      <c r="G986" t="s">
        <v>154</v>
      </c>
      <c r="H986" s="216">
        <v>8000000</v>
      </c>
      <c r="I986" s="52">
        <f>IF(J986="","",INDEX(COA!$A$4:$A$123,MATCH(JU!$J986,COA!$B$4:$B$123,0)))</f>
        <v>4102</v>
      </c>
      <c r="J986" t="s">
        <v>62</v>
      </c>
      <c r="K986" s="34">
        <f t="shared" si="155"/>
        <v>8000000</v>
      </c>
    </row>
    <row r="987" spans="1:12" hidden="1">
      <c r="A987" s="50" t="str">
        <f t="shared" si="164"/>
        <v xml:space="preserve">Terima Uang Masuk atas </v>
      </c>
      <c r="B987" s="214">
        <v>46139</v>
      </c>
      <c r="C987" s="211" t="s">
        <v>1593</v>
      </c>
      <c r="D987" s="51" t="s">
        <v>1810</v>
      </c>
      <c r="F987" s="52">
        <f>IF(G987="","",INDEX(COA!$A$4:$A$123,MATCH(JU!$G987,COA!$B$4:$B$123,0)))</f>
        <v>1103</v>
      </c>
      <c r="G987" t="s">
        <v>154</v>
      </c>
      <c r="H987" s="216">
        <v>8000000</v>
      </c>
      <c r="I987" s="52">
        <f>IF(J987="","",INDEX(COA!$A$4:$A$123,MATCH(JU!$J987,COA!$B$4:$B$123,0)))</f>
        <v>4102</v>
      </c>
      <c r="J987" t="s">
        <v>62</v>
      </c>
      <c r="K987" s="34">
        <f t="shared" si="155"/>
        <v>8000000</v>
      </c>
      <c r="L987" s="55"/>
    </row>
    <row r="988" spans="1:12" hidden="1">
      <c r="A988" s="50" t="str">
        <f t="shared" si="164"/>
        <v xml:space="preserve">Terima Uang Masuk atas </v>
      </c>
      <c r="B988" s="214">
        <v>46139</v>
      </c>
      <c r="C988" s="211" t="s">
        <v>1594</v>
      </c>
      <c r="D988" s="51" t="s">
        <v>1811</v>
      </c>
      <c r="F988" s="52">
        <f>IF(G988="","",INDEX(COA!$A$4:$A$123,MATCH(JU!$G988,COA!$B$4:$B$123,0)))</f>
        <v>1103</v>
      </c>
      <c r="G988" t="s">
        <v>154</v>
      </c>
      <c r="H988" s="216">
        <v>10000000</v>
      </c>
      <c r="I988" s="52">
        <f>IF(J988="","",INDEX(COA!$A$4:$A$123,MATCH(JU!$J988,COA!$B$4:$B$123,0)))</f>
        <v>1202</v>
      </c>
      <c r="J988" t="s">
        <v>27</v>
      </c>
      <c r="K988" s="34">
        <f t="shared" si="155"/>
        <v>10000000</v>
      </c>
    </row>
    <row r="989" spans="1:12">
      <c r="A989" s="50" t="str">
        <f t="shared" si="164"/>
        <v xml:space="preserve">By. Biaya </v>
      </c>
      <c r="B989" s="214">
        <v>46139</v>
      </c>
      <c r="C989" s="211" t="s">
        <v>1595</v>
      </c>
      <c r="D989" s="51" t="s">
        <v>1812</v>
      </c>
      <c r="F989" s="52">
        <f>IF(G989="","",INDEX(COA!$A$4:$A$123,MATCH(JU!$G989,COA!$B$4:$B$123,0)))</f>
        <v>1302</v>
      </c>
      <c r="G989" t="s">
        <v>31</v>
      </c>
      <c r="H989" s="216">
        <v>3000000</v>
      </c>
      <c r="I989" s="52">
        <f>IF(J989="","",INDEX(COA!$A$4:$A$123,MATCH(JU!$J989,COA!$B$4:$B$123,0)))</f>
        <v>1103</v>
      </c>
      <c r="J989" t="s">
        <v>154</v>
      </c>
      <c r="K989" s="34">
        <f t="shared" si="155"/>
        <v>3000000</v>
      </c>
    </row>
    <row r="990" spans="1:12" hidden="1">
      <c r="A990" s="50" t="str">
        <f t="shared" si="164"/>
        <v xml:space="preserve">By. Biaya </v>
      </c>
      <c r="B990" s="214">
        <v>46139</v>
      </c>
      <c r="C990" s="211" t="s">
        <v>481</v>
      </c>
      <c r="D990" s="51" t="s">
        <v>1813</v>
      </c>
      <c r="F990" s="52">
        <f>IF(G990="","",INDEX(COA!$A$4:$A$123,MATCH(JU!$G990,COA!$B$4:$B$123,0)))</f>
        <v>1302</v>
      </c>
      <c r="G990" t="s">
        <v>31</v>
      </c>
      <c r="H990" s="216">
        <v>23480000</v>
      </c>
      <c r="I990" s="52">
        <f>IF(J990="","",INDEX(COA!$A$4:$A$123,MATCH(JU!$J990,COA!$B$4:$B$123,0)))</f>
        <v>1103</v>
      </c>
      <c r="J990" t="s">
        <v>154</v>
      </c>
      <c r="K990" s="34">
        <f t="shared" si="155"/>
        <v>23480000</v>
      </c>
      <c r="L990" s="55"/>
    </row>
    <row r="991" spans="1:12" hidden="1">
      <c r="A991" s="50" t="str">
        <f t="shared" si="164"/>
        <v xml:space="preserve">By. Biaya </v>
      </c>
      <c r="B991" s="214">
        <v>46139</v>
      </c>
      <c r="C991" s="211" t="s">
        <v>645</v>
      </c>
      <c r="D991" s="51" t="s">
        <v>728</v>
      </c>
      <c r="F991" s="52">
        <f>IF(G991="","",INDEX(COA!$A$4:$A$123,MATCH(JU!$G991,COA!$B$4:$B$123,0)))</f>
        <v>1302</v>
      </c>
      <c r="G991" t="s">
        <v>31</v>
      </c>
      <c r="H991" s="216">
        <v>50000000</v>
      </c>
      <c r="I991" s="52">
        <f>IF(J991="","",INDEX(COA!$A$4:$A$123,MATCH(JU!$J991,COA!$B$4:$B$123,0)))</f>
        <v>1103</v>
      </c>
      <c r="J991" t="s">
        <v>154</v>
      </c>
      <c r="K991" s="34">
        <f t="shared" si="155"/>
        <v>50000000</v>
      </c>
    </row>
    <row r="992" spans="1:12" hidden="1">
      <c r="A992" s="50" t="str">
        <f t="shared" si="164"/>
        <v xml:space="preserve">By. Biaya </v>
      </c>
      <c r="B992" s="214">
        <v>46139</v>
      </c>
      <c r="C992" s="211" t="s">
        <v>482</v>
      </c>
      <c r="D992" s="51" t="s">
        <v>1814</v>
      </c>
      <c r="F992" s="52" t="str">
        <f>IF(G992="","",INDEX(COA!$A$4:$A$123,MATCH(JU!$G992,COA!$B$4:$B$123,0)))</f>
        <v>6201</v>
      </c>
      <c r="G992" t="s">
        <v>81</v>
      </c>
      <c r="H992" s="216">
        <v>150000</v>
      </c>
      <c r="I992" s="52">
        <f>IF(J992="","",INDEX(COA!$A$4:$A$123,MATCH(JU!$J992,COA!$B$4:$B$123,0)))</f>
        <v>1103</v>
      </c>
      <c r="J992" t="s">
        <v>154</v>
      </c>
      <c r="K992" s="34">
        <f t="shared" si="155"/>
        <v>150000</v>
      </c>
    </row>
    <row r="993" spans="1:12" hidden="1">
      <c r="A993" s="50" t="str">
        <f t="shared" si="164"/>
        <v xml:space="preserve">By. Biaya </v>
      </c>
      <c r="B993" s="214">
        <v>46139</v>
      </c>
      <c r="C993" s="211" t="s">
        <v>1596</v>
      </c>
      <c r="D993" s="51" t="s">
        <v>1815</v>
      </c>
      <c r="F993" s="52">
        <f>IF(G993="","",INDEX(COA!$A$4:$A$123,MATCH(JU!$G993,COA!$B$4:$B$123,0)))</f>
        <v>6112</v>
      </c>
      <c r="G993" t="s">
        <v>205</v>
      </c>
      <c r="H993" s="216">
        <v>375000</v>
      </c>
      <c r="I993" s="52">
        <f>IF(J993="","",INDEX(COA!$A$4:$A$123,MATCH(JU!$J993,COA!$B$4:$B$123,0)))</f>
        <v>1103</v>
      </c>
      <c r="J993" t="s">
        <v>154</v>
      </c>
      <c r="K993" s="34">
        <f t="shared" si="155"/>
        <v>375000</v>
      </c>
    </row>
    <row r="994" spans="1:12" hidden="1">
      <c r="A994" s="50" t="str">
        <f t="shared" si="164"/>
        <v xml:space="preserve">By. Biaya </v>
      </c>
      <c r="B994" s="214">
        <v>46139</v>
      </c>
      <c r="C994" s="211" t="s">
        <v>305</v>
      </c>
      <c r="D994" s="51" t="s">
        <v>333</v>
      </c>
      <c r="F994" s="52" t="str">
        <f>IF(G994="","",INDEX(COA!$A$4:$A$123,MATCH(JU!$G994,COA!$B$4:$B$123,0)))</f>
        <v>6303</v>
      </c>
      <c r="G994" t="s">
        <v>87</v>
      </c>
      <c r="H994" s="216">
        <v>2500</v>
      </c>
      <c r="I994" s="52">
        <f>IF(J994="","",INDEX(COA!$A$4:$A$123,MATCH(JU!$J994,COA!$B$4:$B$123,0)))</f>
        <v>1103</v>
      </c>
      <c r="J994" t="s">
        <v>154</v>
      </c>
      <c r="K994" s="34">
        <f t="shared" si="155"/>
        <v>2500</v>
      </c>
    </row>
    <row r="995" spans="1:12" hidden="1">
      <c r="A995" s="50" t="str">
        <f t="shared" si="164"/>
        <v xml:space="preserve">By. Biaya </v>
      </c>
      <c r="B995" s="214">
        <v>46139</v>
      </c>
      <c r="C995" s="211" t="s">
        <v>1597</v>
      </c>
      <c r="D995" s="51" t="s">
        <v>1816</v>
      </c>
      <c r="F995" s="52">
        <f>IF(G995="","",INDEX(COA!$A$4:$A$123,MATCH(JU!$G995,COA!$B$4:$B$123,0)))</f>
        <v>6112</v>
      </c>
      <c r="G995" t="s">
        <v>205</v>
      </c>
      <c r="H995" s="216">
        <v>200000</v>
      </c>
      <c r="I995" s="52">
        <f>IF(J995="","",INDEX(COA!$A$4:$A$123,MATCH(JU!$J995,COA!$B$4:$B$123,0)))</f>
        <v>1103</v>
      </c>
      <c r="J995" t="s">
        <v>154</v>
      </c>
      <c r="K995" s="34">
        <f t="shared" si="155"/>
        <v>200000</v>
      </c>
    </row>
    <row r="996" spans="1:12" hidden="1">
      <c r="A996" s="50" t="str">
        <f t="shared" si="164"/>
        <v xml:space="preserve">By. Biaya </v>
      </c>
      <c r="B996" s="214">
        <v>46139</v>
      </c>
      <c r="C996" s="211" t="s">
        <v>1598</v>
      </c>
      <c r="D996" s="51" t="s">
        <v>1817</v>
      </c>
      <c r="F996" s="52">
        <f>IF(G996="","",INDEX(COA!$A$4:$A$123,MATCH(JU!$G996,COA!$B$4:$B$123,0)))</f>
        <v>1203</v>
      </c>
      <c r="G996" s="229" t="s">
        <v>140</v>
      </c>
      <c r="H996" s="216">
        <v>700000</v>
      </c>
      <c r="I996" s="52">
        <f>IF(J996="","",INDEX(COA!$A$4:$A$123,MATCH(JU!$J996,COA!$B$4:$B$123,0)))</f>
        <v>1103</v>
      </c>
      <c r="J996" t="s">
        <v>154</v>
      </c>
      <c r="K996" s="34">
        <f t="shared" si="155"/>
        <v>700000</v>
      </c>
    </row>
    <row r="997" spans="1:12" hidden="1">
      <c r="A997" s="50" t="str">
        <f t="shared" si="164"/>
        <v xml:space="preserve">By. Biaya </v>
      </c>
      <c r="B997" s="214">
        <v>46139</v>
      </c>
      <c r="C997" s="211" t="s">
        <v>483</v>
      </c>
      <c r="D997" s="51" t="s">
        <v>777</v>
      </c>
      <c r="F997" s="52" t="str">
        <f>IF(G997="","",INDEX(COA!$A$4:$A$123,MATCH(JU!$G997,COA!$B$4:$B$123,0)))</f>
        <v>2201</v>
      </c>
      <c r="G997" t="s">
        <v>52</v>
      </c>
      <c r="H997" s="216">
        <v>24000000</v>
      </c>
      <c r="I997" s="52">
        <f>IF(J997="","",INDEX(COA!$A$4:$A$123,MATCH(JU!$J997,COA!$B$4:$B$123,0)))</f>
        <v>1103</v>
      </c>
      <c r="J997" t="s">
        <v>154</v>
      </c>
      <c r="K997" s="34">
        <f t="shared" si="155"/>
        <v>24000000</v>
      </c>
    </row>
    <row r="998" spans="1:12" hidden="1">
      <c r="A998" s="50" t="str">
        <f t="shared" si="164"/>
        <v xml:space="preserve">By. Biaya </v>
      </c>
      <c r="B998" s="214">
        <v>46139</v>
      </c>
      <c r="C998" s="211" t="s">
        <v>1599</v>
      </c>
      <c r="D998" s="51" t="s">
        <v>1818</v>
      </c>
      <c r="F998" s="52">
        <f>IF(G998="","",INDEX(COA!$A$4:$A$123,MATCH(JU!$G998,COA!$B$4:$B$123,0)))</f>
        <v>5108</v>
      </c>
      <c r="G998" s="229" t="s">
        <v>72</v>
      </c>
      <c r="H998" s="216">
        <v>12000000</v>
      </c>
      <c r="I998" s="52">
        <f>IF(J998="","",INDEX(COA!$A$4:$A$123,MATCH(JU!$J998,COA!$B$4:$B$123,0)))</f>
        <v>1103</v>
      </c>
      <c r="J998" t="s">
        <v>154</v>
      </c>
      <c r="K998" s="34">
        <f t="shared" si="155"/>
        <v>12000000</v>
      </c>
    </row>
    <row r="999" spans="1:12" hidden="1">
      <c r="A999" s="50" t="str">
        <f t="shared" si="164"/>
        <v xml:space="preserve">By. Biaya </v>
      </c>
      <c r="B999" s="214">
        <v>46139</v>
      </c>
      <c r="C999" s="211" t="s">
        <v>1600</v>
      </c>
      <c r="D999" s="51" t="s">
        <v>1819</v>
      </c>
      <c r="F999" s="52">
        <f>IF(G999="","",INDEX(COA!$A$4:$A$123,MATCH(JU!$G999,COA!$B$4:$B$123,0)))</f>
        <v>1302</v>
      </c>
      <c r="G999" t="s">
        <v>31</v>
      </c>
      <c r="H999" s="216">
        <v>1200000</v>
      </c>
      <c r="I999" s="52">
        <f>IF(J999="","",INDEX(COA!$A$4:$A$123,MATCH(JU!$J999,COA!$B$4:$B$123,0)))</f>
        <v>1103</v>
      </c>
      <c r="J999" t="s">
        <v>154</v>
      </c>
      <c r="K999" s="34">
        <f t="shared" si="155"/>
        <v>1200000</v>
      </c>
    </row>
    <row r="1000" spans="1:12" hidden="1">
      <c r="A1000" s="50" t="str">
        <f t="shared" si="164"/>
        <v xml:space="preserve">By. Biaya </v>
      </c>
      <c r="B1000" s="214">
        <v>46139</v>
      </c>
      <c r="C1000" s="211" t="s">
        <v>1601</v>
      </c>
      <c r="D1000" s="51" t="s">
        <v>1820</v>
      </c>
      <c r="F1000" s="52">
        <f>IF(G1000="","",INDEX(COA!$A$4:$A$123,MATCH(JU!$G1000,COA!$B$4:$B$123,0)))</f>
        <v>6112</v>
      </c>
      <c r="G1000" t="s">
        <v>205</v>
      </c>
      <c r="H1000" s="216">
        <v>121000</v>
      </c>
      <c r="I1000" s="52">
        <f>IF(J1000="","",INDEX(COA!$A$4:$A$123,MATCH(JU!$J1000,COA!$B$4:$B$123,0)))</f>
        <v>1103</v>
      </c>
      <c r="J1000" t="s">
        <v>154</v>
      </c>
      <c r="K1000" s="34">
        <f t="shared" si="155"/>
        <v>121000</v>
      </c>
    </row>
    <row r="1001" spans="1:12" hidden="1">
      <c r="A1001" s="50" t="str">
        <f t="shared" si="164"/>
        <v xml:space="preserve">By. Biaya </v>
      </c>
      <c r="B1001" s="214">
        <v>46140</v>
      </c>
      <c r="C1001" s="211" t="s">
        <v>1473</v>
      </c>
      <c r="D1001" s="51" t="s">
        <v>1651</v>
      </c>
      <c r="F1001" s="52">
        <f>IF(G1001="","",INDEX(COA!$A$4:$A$123,MATCH(JU!$G1001,COA!$B$4:$B$123,0)))</f>
        <v>1203</v>
      </c>
      <c r="G1001" t="s">
        <v>140</v>
      </c>
      <c r="H1001" s="216">
        <v>10000000</v>
      </c>
      <c r="I1001" s="52">
        <f>IF(J1001="","",INDEX(COA!$A$4:$A$123,MATCH(JU!$J1001,COA!$B$4:$B$123,0)))</f>
        <v>1103</v>
      </c>
      <c r="J1001" t="s">
        <v>154</v>
      </c>
      <c r="K1001" s="34">
        <f t="shared" si="155"/>
        <v>10000000</v>
      </c>
    </row>
    <row r="1002" spans="1:12" hidden="1">
      <c r="A1002" s="50" t="str">
        <f t="shared" si="164"/>
        <v xml:space="preserve">By. Biaya </v>
      </c>
      <c r="B1002" s="214">
        <v>46140</v>
      </c>
      <c r="C1002" s="211" t="s">
        <v>305</v>
      </c>
      <c r="D1002" s="51" t="s">
        <v>333</v>
      </c>
      <c r="F1002" s="52" t="str">
        <f>IF(G1002="","",INDEX(COA!$A$4:$A$123,MATCH(JU!$G1002,COA!$B$4:$B$123,0)))</f>
        <v>6303</v>
      </c>
      <c r="G1002" t="s">
        <v>87</v>
      </c>
      <c r="H1002" s="216">
        <v>2500</v>
      </c>
      <c r="I1002" s="52">
        <f>IF(J1002="","",INDEX(COA!$A$4:$A$123,MATCH(JU!$J1002,COA!$B$4:$B$123,0)))</f>
        <v>1103</v>
      </c>
      <c r="J1002" t="s">
        <v>154</v>
      </c>
      <c r="K1002" s="34">
        <f t="shared" si="155"/>
        <v>2500</v>
      </c>
      <c r="L1002" s="55"/>
    </row>
    <row r="1003" spans="1:12" hidden="1">
      <c r="A1003" s="50" t="str">
        <f t="shared" si="164"/>
        <v xml:space="preserve">By. Biaya </v>
      </c>
      <c r="B1003" s="214">
        <v>46140</v>
      </c>
      <c r="C1003" s="211" t="s">
        <v>1602</v>
      </c>
      <c r="D1003" s="224" t="s">
        <v>2061</v>
      </c>
      <c r="F1003" s="52" t="str">
        <f>IF(G1003="","",INDEX(COA!$A$4:$A$123,MATCH(JU!$G1003,COA!$B$4:$B$123,0)))</f>
        <v>2101</v>
      </c>
      <c r="G1003" t="s">
        <v>45</v>
      </c>
      <c r="H1003" s="216">
        <v>70000000</v>
      </c>
      <c r="I1003" s="52">
        <f>IF(J1003="","",INDEX(COA!$A$4:$A$123,MATCH(JU!$J1003,COA!$B$4:$B$123,0)))</f>
        <v>1103</v>
      </c>
      <c r="J1003" t="s">
        <v>154</v>
      </c>
      <c r="K1003" s="34">
        <f t="shared" si="155"/>
        <v>70000000</v>
      </c>
      <c r="L1003" s="55"/>
    </row>
    <row r="1004" spans="1:12" hidden="1">
      <c r="A1004" s="50" t="str">
        <f t="shared" si="164"/>
        <v xml:space="preserve">By. Biaya </v>
      </c>
      <c r="B1004" s="214">
        <v>46140</v>
      </c>
      <c r="C1004" s="211" t="s">
        <v>1603</v>
      </c>
      <c r="D1004" s="224" t="s">
        <v>2062</v>
      </c>
      <c r="F1004" s="52" t="str">
        <f>IF(G1004="","",INDEX(COA!$A$4:$A$123,MATCH(JU!$G1004,COA!$B$4:$B$123,0)))</f>
        <v>2101</v>
      </c>
      <c r="G1004" t="s">
        <v>45</v>
      </c>
      <c r="H1004" s="216">
        <v>70000000</v>
      </c>
      <c r="I1004" s="52">
        <f>IF(J1004="","",INDEX(COA!$A$4:$A$123,MATCH(JU!$J1004,COA!$B$4:$B$123,0)))</f>
        <v>1103</v>
      </c>
      <c r="J1004" t="s">
        <v>154</v>
      </c>
      <c r="K1004" s="34">
        <f t="shared" si="155"/>
        <v>70000000</v>
      </c>
    </row>
    <row r="1005" spans="1:12" hidden="1">
      <c r="A1005" s="50" t="str">
        <f t="shared" si="164"/>
        <v xml:space="preserve">By. Biaya </v>
      </c>
      <c r="B1005" s="214">
        <v>46140</v>
      </c>
      <c r="C1005" s="211" t="s">
        <v>1604</v>
      </c>
      <c r="D1005" s="224" t="s">
        <v>2063</v>
      </c>
      <c r="F1005" s="52" t="str">
        <f>IF(G1005="","",INDEX(COA!$A$4:$A$123,MATCH(JU!$G1005,COA!$B$4:$B$123,0)))</f>
        <v>2101</v>
      </c>
      <c r="G1005" t="s">
        <v>45</v>
      </c>
      <c r="H1005" s="216">
        <v>70000000</v>
      </c>
      <c r="I1005" s="52">
        <f>IF(J1005="","",INDEX(COA!$A$4:$A$123,MATCH(JU!$J1005,COA!$B$4:$B$123,0)))</f>
        <v>1103</v>
      </c>
      <c r="J1005" t="s">
        <v>154</v>
      </c>
      <c r="K1005" s="34">
        <f t="shared" si="155"/>
        <v>70000000</v>
      </c>
    </row>
    <row r="1006" spans="1:12" hidden="1">
      <c r="A1006" s="50" t="str">
        <f t="shared" si="164"/>
        <v xml:space="preserve">By. Biaya </v>
      </c>
      <c r="B1006" s="214">
        <v>46140</v>
      </c>
      <c r="C1006" s="211" t="s">
        <v>1605</v>
      </c>
      <c r="D1006" s="51" t="s">
        <v>1821</v>
      </c>
      <c r="F1006" s="52">
        <f>IF(G1006="","",INDEX(COA!$A$4:$A$123,MATCH(JU!$G1006,COA!$B$4:$B$123,0)))</f>
        <v>5109</v>
      </c>
      <c r="G1006" t="s">
        <v>73</v>
      </c>
      <c r="H1006" s="216">
        <v>1000000</v>
      </c>
      <c r="I1006" s="52">
        <f>IF(J1006="","",INDEX(COA!$A$4:$A$123,MATCH(JU!$J1006,COA!$B$4:$B$123,0)))</f>
        <v>1103</v>
      </c>
      <c r="J1006" t="s">
        <v>154</v>
      </c>
      <c r="K1006" s="34">
        <f t="shared" si="155"/>
        <v>1000000</v>
      </c>
    </row>
    <row r="1007" spans="1:12" hidden="1">
      <c r="A1007" s="50" t="str">
        <f t="shared" si="164"/>
        <v xml:space="preserve">By. Biaya </v>
      </c>
      <c r="B1007" s="214">
        <v>46140</v>
      </c>
      <c r="C1007" s="211" t="s">
        <v>1606</v>
      </c>
      <c r="D1007" s="51" t="s">
        <v>1822</v>
      </c>
      <c r="F1007" s="52">
        <f>IF(G1007="","",INDEX(COA!$A$4:$A$123,MATCH(JU!$G1007,COA!$B$4:$B$123,0)))</f>
        <v>4102</v>
      </c>
      <c r="G1007" t="s">
        <v>62</v>
      </c>
      <c r="H1007" s="216">
        <v>8000000</v>
      </c>
      <c r="I1007" s="52">
        <f>IF(J1007="","",INDEX(COA!$A$4:$A$123,MATCH(JU!$J1007,COA!$B$4:$B$123,0)))</f>
        <v>1103</v>
      </c>
      <c r="J1007" t="s">
        <v>154</v>
      </c>
      <c r="K1007" s="34">
        <f t="shared" si="155"/>
        <v>8000000</v>
      </c>
    </row>
    <row r="1008" spans="1:12" hidden="1">
      <c r="A1008" s="50" t="str">
        <f t="shared" si="164"/>
        <v xml:space="preserve">By. Biaya </v>
      </c>
      <c r="B1008" s="214">
        <v>46140</v>
      </c>
      <c r="C1008" s="211" t="s">
        <v>1607</v>
      </c>
      <c r="D1008" s="51" t="s">
        <v>1823</v>
      </c>
      <c r="F1008" s="52">
        <f>IF(G1008="","",INDEX(COA!$A$4:$A$123,MATCH(JU!$G1008,COA!$B$4:$B$123,0)))</f>
        <v>5110</v>
      </c>
      <c r="G1008" s="229" t="s">
        <v>74</v>
      </c>
      <c r="H1008" s="216">
        <v>3740000</v>
      </c>
      <c r="I1008" s="52">
        <f>IF(J1008="","",INDEX(COA!$A$4:$A$123,MATCH(JU!$J1008,COA!$B$4:$B$123,0)))</f>
        <v>1103</v>
      </c>
      <c r="J1008" t="s">
        <v>154</v>
      </c>
      <c r="K1008" s="34">
        <f t="shared" si="155"/>
        <v>3740000</v>
      </c>
    </row>
    <row r="1009" spans="1:12" hidden="1">
      <c r="A1009" s="50" t="str">
        <f t="shared" si="164"/>
        <v xml:space="preserve">By. Biaya </v>
      </c>
      <c r="B1009" s="214">
        <v>46140</v>
      </c>
      <c r="C1009" s="211" t="s">
        <v>1608</v>
      </c>
      <c r="D1009" s="51" t="s">
        <v>1824</v>
      </c>
      <c r="F1009" s="52">
        <f>IF(G1009="","",INDEX(COA!$A$4:$A$123,MATCH(JU!$G1009,COA!$B$4:$B$123,0)))</f>
        <v>6112</v>
      </c>
      <c r="G1009" t="s">
        <v>205</v>
      </c>
      <c r="H1009" s="216">
        <v>1700000</v>
      </c>
      <c r="I1009" s="52">
        <f>IF(J1009="","",INDEX(COA!$A$4:$A$123,MATCH(JU!$J1009,COA!$B$4:$B$123,0)))</f>
        <v>1103</v>
      </c>
      <c r="J1009" t="s">
        <v>154</v>
      </c>
      <c r="K1009" s="34">
        <f t="shared" si="155"/>
        <v>1700000</v>
      </c>
    </row>
    <row r="1010" spans="1:12" hidden="1">
      <c r="A1010" s="50" t="str">
        <f t="shared" si="164"/>
        <v xml:space="preserve">By. Biaya </v>
      </c>
      <c r="B1010" s="214">
        <v>46140</v>
      </c>
      <c r="C1010" s="211" t="s">
        <v>1547</v>
      </c>
      <c r="D1010" s="51" t="s">
        <v>1746</v>
      </c>
      <c r="F1010" s="52">
        <f>IF(G1010="","",INDEX(COA!$A$4:$A$123,MATCH(JU!$G1010,COA!$B$4:$B$123,0)))</f>
        <v>1302</v>
      </c>
      <c r="G1010" t="s">
        <v>31</v>
      </c>
      <c r="H1010" s="216">
        <v>900000</v>
      </c>
      <c r="I1010" s="52">
        <f>IF(J1010="","",INDEX(COA!$A$4:$A$123,MATCH(JU!$J1010,COA!$B$4:$B$123,0)))</f>
        <v>1103</v>
      </c>
      <c r="J1010" t="s">
        <v>154</v>
      </c>
      <c r="K1010" s="34">
        <f t="shared" ref="K1010:K1061" si="165">IF(H1010="","",H1010)</f>
        <v>900000</v>
      </c>
    </row>
    <row r="1011" spans="1:12" hidden="1">
      <c r="A1011" s="50" t="str">
        <f t="shared" si="164"/>
        <v xml:space="preserve">Terima Uang Masuk atas </v>
      </c>
      <c r="B1011" s="214">
        <v>46140</v>
      </c>
      <c r="C1011" s="211" t="s">
        <v>1609</v>
      </c>
      <c r="D1011" s="51" t="s">
        <v>1825</v>
      </c>
      <c r="F1011" s="52">
        <f>IF(G1011="","",INDEX(COA!$A$4:$A$123,MATCH(JU!$G1011,COA!$B$4:$B$123,0)))</f>
        <v>1103</v>
      </c>
      <c r="G1011" t="s">
        <v>154</v>
      </c>
      <c r="H1011" s="216">
        <v>8000000</v>
      </c>
      <c r="I1011" s="52">
        <f>IF(J1011="","",INDEX(COA!$A$4:$A$123,MATCH(JU!$J1011,COA!$B$4:$B$123,0)))</f>
        <v>4102</v>
      </c>
      <c r="J1011" t="s">
        <v>62</v>
      </c>
      <c r="K1011" s="34">
        <f t="shared" si="165"/>
        <v>8000000</v>
      </c>
    </row>
    <row r="1012" spans="1:12" hidden="1">
      <c r="A1012" s="50" t="str">
        <f t="shared" si="164"/>
        <v xml:space="preserve">Terima Uang Masuk atas </v>
      </c>
      <c r="B1012" s="214">
        <v>46140</v>
      </c>
      <c r="C1012" s="211" t="s">
        <v>1610</v>
      </c>
      <c r="D1012" s="51" t="s">
        <v>1826</v>
      </c>
      <c r="F1012" s="52">
        <f>IF(G1012="","",INDEX(COA!$A$4:$A$123,MATCH(JU!$G1012,COA!$B$4:$B$123,0)))</f>
        <v>1103</v>
      </c>
      <c r="G1012" t="s">
        <v>154</v>
      </c>
      <c r="H1012" s="216">
        <v>10000000</v>
      </c>
      <c r="I1012" s="52">
        <f>IF(J1012="","",INDEX(COA!$A$4:$A$123,MATCH(JU!$J1012,COA!$B$4:$B$123,0)))</f>
        <v>4102</v>
      </c>
      <c r="J1012" t="s">
        <v>62</v>
      </c>
      <c r="K1012" s="34">
        <f t="shared" si="165"/>
        <v>10000000</v>
      </c>
    </row>
    <row r="1013" spans="1:12" hidden="1">
      <c r="A1013" s="50" t="str">
        <f t="shared" ref="A1013" si="166">IF(G1013="BRI 568","Terima Uang Masuk atas ","By. Biaya ")</f>
        <v xml:space="preserve">By. Biaya </v>
      </c>
      <c r="B1013" s="214">
        <v>46140</v>
      </c>
      <c r="C1013" s="211" t="s">
        <v>1610</v>
      </c>
      <c r="D1013" s="218" t="s">
        <v>2066</v>
      </c>
      <c r="F1013" s="52">
        <f>IF(G1013="","",INDEX(COA!$A$4:$A$123,MATCH(JU!$G1013,COA!$B$4:$B$123,0)))</f>
        <v>1202</v>
      </c>
      <c r="G1013" s="229" t="s">
        <v>27</v>
      </c>
      <c r="H1013" s="216">
        <v>169000000</v>
      </c>
      <c r="I1013" s="52">
        <f>IF(J1013="","",INDEX(COA!$A$4:$A$123,MATCH(JU!$J1013,COA!$B$4:$B$123,0)))</f>
        <v>4102</v>
      </c>
      <c r="J1013" t="s">
        <v>62</v>
      </c>
      <c r="K1013" s="34">
        <f t="shared" ref="K1013" si="167">IF(H1013="","",H1013)</f>
        <v>169000000</v>
      </c>
    </row>
    <row r="1014" spans="1:12" hidden="1">
      <c r="A1014" s="50" t="str">
        <f t="shared" si="164"/>
        <v xml:space="preserve">Terima Uang Masuk atas </v>
      </c>
      <c r="B1014" s="214">
        <v>46140</v>
      </c>
      <c r="C1014" s="211" t="s">
        <v>1611</v>
      </c>
      <c r="D1014" s="51" t="s">
        <v>1827</v>
      </c>
      <c r="F1014" s="52">
        <f>IF(G1014="","",INDEX(COA!$A$4:$A$123,MATCH(JU!$G1014,COA!$B$4:$B$123,0)))</f>
        <v>1103</v>
      </c>
      <c r="G1014" t="s">
        <v>154</v>
      </c>
      <c r="H1014" s="216">
        <v>15000000</v>
      </c>
      <c r="I1014" s="52">
        <f>IF(J1014="","",INDEX(COA!$A$4:$A$123,MATCH(JU!$J1014,COA!$B$4:$B$123,0)))</f>
        <v>4102</v>
      </c>
      <c r="J1014" t="s">
        <v>62</v>
      </c>
      <c r="K1014" s="34">
        <f t="shared" si="165"/>
        <v>15000000</v>
      </c>
    </row>
    <row r="1015" spans="1:12" hidden="1">
      <c r="A1015" s="50" t="str">
        <f t="shared" ref="A1015" si="168">IF(G1015="BRI 568","Terima Uang Masuk atas ","By. Biaya ")</f>
        <v xml:space="preserve">By. Biaya </v>
      </c>
      <c r="B1015" s="214">
        <v>46140</v>
      </c>
      <c r="C1015" s="211" t="s">
        <v>1611</v>
      </c>
      <c r="D1015" s="218" t="s">
        <v>2064</v>
      </c>
      <c r="F1015" s="52">
        <f>IF(G1015="","",INDEX(COA!$A$4:$A$123,MATCH(JU!$G1015,COA!$B$4:$B$123,0)))</f>
        <v>1202</v>
      </c>
      <c r="G1015" s="229" t="s">
        <v>27</v>
      </c>
      <c r="H1015" s="216">
        <v>169000000</v>
      </c>
      <c r="I1015" s="52">
        <f>IF(J1015="","",INDEX(COA!$A$4:$A$123,MATCH(JU!$J1015,COA!$B$4:$B$123,0)))</f>
        <v>4102</v>
      </c>
      <c r="J1015" t="s">
        <v>62</v>
      </c>
      <c r="K1015" s="34">
        <f t="shared" ref="K1015" si="169">IF(H1015="","",H1015)</f>
        <v>169000000</v>
      </c>
    </row>
    <row r="1016" spans="1:12" hidden="1">
      <c r="A1016" s="50" t="str">
        <f t="shared" si="164"/>
        <v xml:space="preserve">Terima Uang Masuk atas </v>
      </c>
      <c r="B1016" s="214">
        <v>46140</v>
      </c>
      <c r="C1016" s="211" t="s">
        <v>1612</v>
      </c>
      <c r="D1016" s="51" t="s">
        <v>1828</v>
      </c>
      <c r="F1016" s="52">
        <f>IF(G1016="","",INDEX(COA!$A$4:$A$123,MATCH(JU!$G1016,COA!$B$4:$B$123,0)))</f>
        <v>1103</v>
      </c>
      <c r="G1016" t="s">
        <v>154</v>
      </c>
      <c r="H1016" s="216">
        <v>14900000</v>
      </c>
      <c r="I1016" s="52">
        <f>IF(J1016="","",INDEX(COA!$A$4:$A$123,MATCH(JU!$J1016,COA!$B$4:$B$123,0)))</f>
        <v>4102</v>
      </c>
      <c r="J1016" t="s">
        <v>62</v>
      </c>
      <c r="K1016" s="34">
        <f t="shared" si="165"/>
        <v>14900000</v>
      </c>
    </row>
    <row r="1017" spans="1:12" hidden="1">
      <c r="A1017" s="50" t="str">
        <f t="shared" ref="A1017" si="170">IF(G1017="BRI 568","Terima Uang Masuk atas ","By. Biaya ")</f>
        <v xml:space="preserve">By. Biaya </v>
      </c>
      <c r="B1017" s="214">
        <v>46140</v>
      </c>
      <c r="C1017" s="211" t="s">
        <v>1612</v>
      </c>
      <c r="D1017" s="218" t="s">
        <v>2065</v>
      </c>
      <c r="F1017" s="52">
        <f>IF(G1017="","",INDEX(COA!$A$4:$A$123,MATCH(JU!$G1017,COA!$B$4:$B$123,0)))</f>
        <v>1202</v>
      </c>
      <c r="G1017" s="229" t="s">
        <v>27</v>
      </c>
      <c r="H1017" s="216">
        <v>169000000</v>
      </c>
      <c r="I1017" s="52">
        <f>IF(J1017="","",INDEX(COA!$A$4:$A$123,MATCH(JU!$J1017,COA!$B$4:$B$123,0)))</f>
        <v>4102</v>
      </c>
      <c r="J1017" t="s">
        <v>62</v>
      </c>
      <c r="K1017" s="34">
        <f t="shared" ref="K1017" si="171">IF(H1017="","",H1017)</f>
        <v>169000000</v>
      </c>
    </row>
    <row r="1018" spans="1:12" hidden="1">
      <c r="A1018" s="50" t="str">
        <f t="shared" si="164"/>
        <v xml:space="preserve">By. Biaya </v>
      </c>
      <c r="B1018" s="215">
        <v>46141</v>
      </c>
      <c r="C1018" s="211" t="s">
        <v>1613</v>
      </c>
      <c r="D1018" s="51" t="s">
        <v>1829</v>
      </c>
      <c r="F1018" s="52">
        <f>IF(G1018="","",INDEX(COA!$A$4:$A$123,MATCH(JU!$G1018,COA!$B$4:$B$123,0)))</f>
        <v>7101</v>
      </c>
      <c r="G1018" t="s">
        <v>93</v>
      </c>
      <c r="H1018" s="216">
        <v>1730000</v>
      </c>
      <c r="I1018" s="52">
        <f>IF(J1018="","",INDEX(COA!$A$4:$A$123,MATCH(JU!$J1018,COA!$B$4:$B$123,0)))</f>
        <v>1103</v>
      </c>
      <c r="J1018" t="s">
        <v>154</v>
      </c>
      <c r="K1018" s="34">
        <f t="shared" si="165"/>
        <v>1730000</v>
      </c>
    </row>
    <row r="1019" spans="1:12" hidden="1">
      <c r="A1019" s="50" t="str">
        <f t="shared" si="164"/>
        <v xml:space="preserve">By. Biaya </v>
      </c>
      <c r="B1019" s="214">
        <v>46141</v>
      </c>
      <c r="C1019" s="211" t="s">
        <v>1614</v>
      </c>
      <c r="D1019" s="51" t="s">
        <v>1830</v>
      </c>
      <c r="F1019" s="52">
        <f>IF(G1019="","",INDEX(COA!$A$4:$A$123,MATCH(JU!$G1019,COA!$B$4:$B$123,0)))</f>
        <v>7101</v>
      </c>
      <c r="G1019" t="s">
        <v>93</v>
      </c>
      <c r="H1019" s="216">
        <v>1730000</v>
      </c>
      <c r="I1019" s="52">
        <f>IF(J1019="","",INDEX(COA!$A$4:$A$123,MATCH(JU!$J1019,COA!$B$4:$B$123,0)))</f>
        <v>1103</v>
      </c>
      <c r="J1019" t="s">
        <v>154</v>
      </c>
      <c r="K1019" s="34">
        <f t="shared" si="165"/>
        <v>1730000</v>
      </c>
      <c r="L1019" s="55"/>
    </row>
    <row r="1020" spans="1:12" hidden="1">
      <c r="A1020" s="50" t="str">
        <f t="shared" si="164"/>
        <v xml:space="preserve">By. Biaya </v>
      </c>
      <c r="B1020" s="214">
        <v>46141</v>
      </c>
      <c r="C1020" s="211" t="s">
        <v>1615</v>
      </c>
      <c r="D1020" s="218" t="s">
        <v>2068</v>
      </c>
      <c r="F1020" s="52">
        <f>IF(G1020="","",INDEX(COA!$A$4:$A$123,MATCH(JU!$G1020,COA!$B$4:$B$123,0)))</f>
        <v>1302</v>
      </c>
      <c r="G1020" t="s">
        <v>31</v>
      </c>
      <c r="H1020" s="216">
        <f>1545000*2</f>
        <v>3090000</v>
      </c>
      <c r="I1020" s="52">
        <f>IF(J1020="","",INDEX(COA!$A$4:$A$123,MATCH(JU!$J1020,COA!$B$4:$B$123,0)))</f>
        <v>1103</v>
      </c>
      <c r="J1020" t="s">
        <v>154</v>
      </c>
      <c r="K1020" s="34">
        <f t="shared" si="165"/>
        <v>3090000</v>
      </c>
    </row>
    <row r="1021" spans="1:12" hidden="1">
      <c r="A1021" s="50" t="str">
        <f t="shared" ref="A1021" si="172">IF(G1021="BRI 568","Terima Uang Masuk atas ","By. Biaya ")</f>
        <v xml:space="preserve">By. Biaya </v>
      </c>
      <c r="B1021" s="214">
        <v>46141</v>
      </c>
      <c r="C1021" s="211" t="s">
        <v>1615</v>
      </c>
      <c r="D1021" s="218" t="s">
        <v>2067</v>
      </c>
      <c r="F1021" s="52">
        <f>IF(G1021="","",INDEX(COA!$A$4:$A$123,MATCH(JU!$G1021,COA!$B$4:$B$123,0)))</f>
        <v>5108</v>
      </c>
      <c r="G1021" s="229" t="s">
        <v>72</v>
      </c>
      <c r="H1021" s="216">
        <f>500000*2</f>
        <v>1000000</v>
      </c>
      <c r="I1021" s="52">
        <f>IF(J1021="","",INDEX(COA!$A$4:$A$123,MATCH(JU!$J1021,COA!$B$4:$B$123,0)))</f>
        <v>1103</v>
      </c>
      <c r="J1021" t="s">
        <v>154</v>
      </c>
      <c r="K1021" s="34">
        <f t="shared" ref="K1021" si="173">IF(H1021="","",H1021)</f>
        <v>1000000</v>
      </c>
    </row>
    <row r="1022" spans="1:12" hidden="1">
      <c r="A1022" s="50" t="str">
        <f t="shared" si="164"/>
        <v xml:space="preserve">By. Biaya </v>
      </c>
      <c r="B1022" s="214">
        <v>46141</v>
      </c>
      <c r="C1022" s="211" t="s">
        <v>487</v>
      </c>
      <c r="D1022" s="51" t="s">
        <v>1831</v>
      </c>
      <c r="F1022" s="52">
        <f>IF(G1022="","",INDEX(COA!$A$4:$A$123,MATCH(JU!$G1022,COA!$B$4:$B$123,0)))</f>
        <v>1302</v>
      </c>
      <c r="G1022" t="s">
        <v>31</v>
      </c>
      <c r="H1022" s="216">
        <v>22746000</v>
      </c>
      <c r="I1022" s="52">
        <f>IF(J1022="","",INDEX(COA!$A$4:$A$123,MATCH(JU!$J1022,COA!$B$4:$B$123,0)))</f>
        <v>1103</v>
      </c>
      <c r="J1022" t="s">
        <v>154</v>
      </c>
      <c r="K1022" s="34">
        <f t="shared" si="165"/>
        <v>22746000</v>
      </c>
    </row>
    <row r="1023" spans="1:12" hidden="1">
      <c r="A1023" s="50" t="str">
        <f t="shared" si="164"/>
        <v xml:space="preserve">By. Biaya </v>
      </c>
      <c r="B1023" s="214">
        <v>46141</v>
      </c>
      <c r="C1023" s="211" t="s">
        <v>305</v>
      </c>
      <c r="D1023" s="51" t="s">
        <v>333</v>
      </c>
      <c r="F1023" s="52" t="str">
        <f>IF(G1023="","",INDEX(COA!$A$4:$A$123,MATCH(JU!$G1023,COA!$B$4:$B$123,0)))</f>
        <v>6303</v>
      </c>
      <c r="G1023" t="s">
        <v>87</v>
      </c>
      <c r="H1023" s="216">
        <v>2500</v>
      </c>
      <c r="I1023" s="52">
        <f>IF(J1023="","",INDEX(COA!$A$4:$A$123,MATCH(JU!$J1023,COA!$B$4:$B$123,0)))</f>
        <v>1103</v>
      </c>
      <c r="J1023" t="s">
        <v>154</v>
      </c>
      <c r="K1023" s="34">
        <f t="shared" si="165"/>
        <v>2500</v>
      </c>
    </row>
    <row r="1024" spans="1:12" hidden="1">
      <c r="A1024" s="50" t="str">
        <f t="shared" si="164"/>
        <v xml:space="preserve">Terima Uang Masuk atas </v>
      </c>
      <c r="B1024" s="214">
        <v>46141</v>
      </c>
      <c r="C1024" s="211" t="s">
        <v>1616</v>
      </c>
      <c r="D1024" s="51" t="s">
        <v>1832</v>
      </c>
      <c r="F1024" s="52">
        <f>IF(G1024="","",INDEX(COA!$A$4:$A$123,MATCH(JU!$G1024,COA!$B$4:$B$123,0)))</f>
        <v>1103</v>
      </c>
      <c r="G1024" t="s">
        <v>154</v>
      </c>
      <c r="H1024" s="216">
        <v>15000000</v>
      </c>
      <c r="I1024" s="52">
        <f>IF(J1024="","",INDEX(COA!$A$4:$A$123,MATCH(JU!$J1024,COA!$B$4:$B$123,0)))</f>
        <v>4102</v>
      </c>
      <c r="J1024" t="s">
        <v>62</v>
      </c>
      <c r="K1024" s="34">
        <f t="shared" si="165"/>
        <v>15000000</v>
      </c>
      <c r="L1024" s="55"/>
    </row>
    <row r="1025" spans="1:12" hidden="1">
      <c r="A1025" s="50" t="str">
        <f t="shared" ref="A1025" si="174">IF(G1025="BRI 568","Terima Uang Masuk atas ","By. Biaya ")</f>
        <v xml:space="preserve">By. Biaya </v>
      </c>
      <c r="B1025" s="214">
        <v>46141</v>
      </c>
      <c r="C1025" s="211" t="s">
        <v>1616</v>
      </c>
      <c r="D1025" s="218" t="s">
        <v>2069</v>
      </c>
      <c r="F1025" s="52">
        <f>IF(G1025="","",INDEX(COA!$A$4:$A$123,MATCH(JU!$G1025,COA!$B$4:$B$123,0)))</f>
        <v>1202</v>
      </c>
      <c r="G1025" s="229" t="s">
        <v>27</v>
      </c>
      <c r="H1025" s="216">
        <v>169000000</v>
      </c>
      <c r="I1025" s="52">
        <f>IF(J1025="","",INDEX(COA!$A$4:$A$123,MATCH(JU!$J1025,COA!$B$4:$B$123,0)))</f>
        <v>4102</v>
      </c>
      <c r="J1025" t="s">
        <v>62</v>
      </c>
      <c r="K1025" s="34">
        <f t="shared" ref="K1025" si="175">IF(H1025="","",H1025)</f>
        <v>169000000</v>
      </c>
      <c r="L1025" s="55"/>
    </row>
    <row r="1026" spans="1:12" hidden="1">
      <c r="A1026" s="50" t="str">
        <f t="shared" si="164"/>
        <v xml:space="preserve">Terima Uang Masuk atas </v>
      </c>
      <c r="B1026" s="214">
        <v>46141</v>
      </c>
      <c r="C1026" s="211" t="s">
        <v>428</v>
      </c>
      <c r="D1026" s="51" t="s">
        <v>519</v>
      </c>
      <c r="F1026" s="52">
        <f>IF(G1026="","",INDEX(COA!$A$4:$A$123,MATCH(JU!$G1026,COA!$B$4:$B$123,0)))</f>
        <v>1103</v>
      </c>
      <c r="G1026" t="s">
        <v>154</v>
      </c>
      <c r="H1026" s="216">
        <v>250000000</v>
      </c>
      <c r="I1026" s="52" t="str">
        <f>IF(J1026="","",INDEX(COA!$A$4:$A$123,MATCH(JU!$J1026,COA!$B$4:$B$123,0)))</f>
        <v>2107</v>
      </c>
      <c r="J1026" t="s">
        <v>50</v>
      </c>
      <c r="K1026" s="34">
        <f t="shared" si="165"/>
        <v>250000000</v>
      </c>
    </row>
    <row r="1027" spans="1:12" hidden="1">
      <c r="A1027" s="50" t="str">
        <f t="shared" si="164"/>
        <v xml:space="preserve">Terima Uang Masuk atas </v>
      </c>
      <c r="B1027" s="214">
        <v>46141</v>
      </c>
      <c r="C1027" s="211" t="s">
        <v>428</v>
      </c>
      <c r="D1027" s="51" t="s">
        <v>519</v>
      </c>
      <c r="F1027" s="52">
        <f>IF(G1027="","",INDEX(COA!$A$4:$A$123,MATCH(JU!$G1027,COA!$B$4:$B$123,0)))</f>
        <v>1103</v>
      </c>
      <c r="G1027" t="s">
        <v>154</v>
      </c>
      <c r="H1027" s="216">
        <v>150500000</v>
      </c>
      <c r="I1027" s="52" t="str">
        <f>IF(J1027="","",INDEX(COA!$A$4:$A$123,MATCH(JU!$J1027,COA!$B$4:$B$123,0)))</f>
        <v>2107</v>
      </c>
      <c r="J1027" t="s">
        <v>50</v>
      </c>
      <c r="K1027" s="34">
        <f t="shared" si="165"/>
        <v>150500000</v>
      </c>
    </row>
    <row r="1028" spans="1:12" hidden="1">
      <c r="A1028" s="50" t="str">
        <f t="shared" si="164"/>
        <v xml:space="preserve">By. Biaya </v>
      </c>
      <c r="B1028" s="214">
        <v>46141</v>
      </c>
      <c r="C1028" s="211" t="s">
        <v>1617</v>
      </c>
      <c r="D1028" s="218" t="s">
        <v>2070</v>
      </c>
      <c r="F1028" s="52">
        <f>IF(G1028="","",INDEX(COA!$A$4:$A$123,MATCH(JU!$G1028,COA!$B$4:$B$123,0)))</f>
        <v>4102</v>
      </c>
      <c r="G1028" t="s">
        <v>62</v>
      </c>
      <c r="H1028" s="216">
        <v>8000000</v>
      </c>
      <c r="I1028" s="52">
        <f>IF(J1028="","",INDEX(COA!$A$4:$A$123,MATCH(JU!$J1028,COA!$B$4:$B$123,0)))</f>
        <v>1103</v>
      </c>
      <c r="J1028" t="s">
        <v>154</v>
      </c>
      <c r="K1028" s="34">
        <f t="shared" si="165"/>
        <v>8000000</v>
      </c>
    </row>
    <row r="1029" spans="1:12" hidden="1">
      <c r="A1029" s="50" t="str">
        <f t="shared" ref="A1029" si="176">IF(G1029="BRI 568","Terima Uang Masuk atas ","By. Biaya ")</f>
        <v xml:space="preserve">By. Biaya </v>
      </c>
      <c r="B1029" s="214">
        <v>46141</v>
      </c>
      <c r="C1029" s="211" t="s">
        <v>1617</v>
      </c>
      <c r="D1029" s="218" t="s">
        <v>2071</v>
      </c>
      <c r="F1029" s="52">
        <f>IF(G1029="","",INDEX(COA!$A$4:$A$123,MATCH(JU!$G1029,COA!$B$4:$B$123,0)))</f>
        <v>1202</v>
      </c>
      <c r="G1029" t="s">
        <v>27</v>
      </c>
      <c r="H1029" s="216">
        <v>1305000</v>
      </c>
      <c r="I1029" s="52">
        <f>IF(J1029="","",INDEX(COA!$A$4:$A$123,MATCH(JU!$J1029,COA!$B$4:$B$123,0)))</f>
        <v>1103</v>
      </c>
      <c r="J1029" t="s">
        <v>154</v>
      </c>
      <c r="K1029" s="34">
        <f t="shared" ref="K1029" si="177">IF(H1029="","",H1029)</f>
        <v>1305000</v>
      </c>
    </row>
    <row r="1030" spans="1:12" hidden="1">
      <c r="A1030" s="50" t="str">
        <f t="shared" ref="A1030" si="178">IF(G1030="BRI 568","Terima Uang Masuk atas ","By. Biaya ")</f>
        <v xml:space="preserve">By. Biaya </v>
      </c>
      <c r="B1030" s="214">
        <v>46141</v>
      </c>
      <c r="C1030" s="211" t="s">
        <v>1617</v>
      </c>
      <c r="D1030" s="218" t="s">
        <v>2072</v>
      </c>
      <c r="F1030" s="52">
        <f>IF(G1030="","",INDEX(COA!$A$4:$A$123,MATCH(JU!$G1030,COA!$B$4:$B$123,0)))</f>
        <v>5110</v>
      </c>
      <c r="G1030" s="229" t="s">
        <v>74</v>
      </c>
      <c r="H1030" s="216">
        <v>3740000</v>
      </c>
      <c r="I1030" s="52">
        <f>IF(J1030="","",INDEX(COA!$A$4:$A$123,MATCH(JU!$J1030,COA!$B$4:$B$123,0)))</f>
        <v>1103</v>
      </c>
      <c r="J1030" t="s">
        <v>154</v>
      </c>
      <c r="K1030" s="34">
        <f t="shared" ref="K1030" si="179">IF(H1030="","",H1030)</f>
        <v>3740000</v>
      </c>
    </row>
    <row r="1031" spans="1:12" hidden="1">
      <c r="A1031" s="50" t="str">
        <f t="shared" si="164"/>
        <v xml:space="preserve">By. Biaya </v>
      </c>
      <c r="B1031" s="214">
        <v>46141</v>
      </c>
      <c r="C1031" s="211" t="s">
        <v>428</v>
      </c>
      <c r="D1031" s="51" t="s">
        <v>412</v>
      </c>
      <c r="F1031" s="52" t="str">
        <f>IF(G1031="","",INDEX(COA!$A$4:$A$123,MATCH(JU!$G1031,COA!$B$4:$B$123,0)))</f>
        <v>2107</v>
      </c>
      <c r="G1031" t="s">
        <v>50</v>
      </c>
      <c r="H1031" s="216">
        <v>393412000</v>
      </c>
      <c r="I1031" s="52">
        <f>IF(J1031="","",INDEX(COA!$A$4:$A$123,MATCH(JU!$J1031,COA!$B$4:$B$123,0)))</f>
        <v>1103</v>
      </c>
      <c r="J1031" t="s">
        <v>154</v>
      </c>
      <c r="K1031" s="34">
        <f t="shared" si="165"/>
        <v>393412000</v>
      </c>
    </row>
    <row r="1032" spans="1:12" hidden="1">
      <c r="A1032" s="50" t="str">
        <f t="shared" si="164"/>
        <v xml:space="preserve">By. Biaya </v>
      </c>
      <c r="B1032" s="214">
        <v>46141</v>
      </c>
      <c r="C1032" s="211" t="s">
        <v>1618</v>
      </c>
      <c r="D1032" s="51" t="s">
        <v>1833</v>
      </c>
      <c r="F1032" s="52">
        <f>IF(G1032="","",INDEX(COA!$A$4:$A$123,MATCH(JU!$G1032,COA!$B$4:$B$123,0)))</f>
        <v>1202</v>
      </c>
      <c r="G1032" s="229" t="s">
        <v>27</v>
      </c>
      <c r="H1032" s="216">
        <v>1305000</v>
      </c>
      <c r="I1032" s="52">
        <f>IF(J1032="","",INDEX(COA!$A$4:$A$123,MATCH(JU!$J1032,COA!$B$4:$B$123,0)))</f>
        <v>1103</v>
      </c>
      <c r="J1032" t="s">
        <v>154</v>
      </c>
      <c r="K1032" s="34">
        <f t="shared" si="165"/>
        <v>1305000</v>
      </c>
    </row>
    <row r="1033" spans="1:12" hidden="1">
      <c r="A1033" s="50" t="str">
        <f t="shared" si="164"/>
        <v xml:space="preserve">By. Biaya </v>
      </c>
      <c r="B1033" s="214">
        <v>46141</v>
      </c>
      <c r="C1033" s="211" t="s">
        <v>488</v>
      </c>
      <c r="D1033" s="51" t="s">
        <v>1834</v>
      </c>
      <c r="F1033" s="52">
        <f>IF(G1033="","",INDEX(COA!$A$4:$A$123,MATCH(JU!$G1033,COA!$B$4:$B$123,0)))</f>
        <v>6112</v>
      </c>
      <c r="G1033" t="s">
        <v>205</v>
      </c>
      <c r="H1033" s="216">
        <v>15000000</v>
      </c>
      <c r="I1033" s="52">
        <f>IF(J1033="","",INDEX(COA!$A$4:$A$123,MATCH(JU!$J1033,COA!$B$4:$B$123,0)))</f>
        <v>1103</v>
      </c>
      <c r="J1033" t="s">
        <v>154</v>
      </c>
      <c r="K1033" s="34">
        <f t="shared" si="165"/>
        <v>15000000</v>
      </c>
    </row>
    <row r="1034" spans="1:12" hidden="1">
      <c r="A1034" s="50" t="str">
        <f t="shared" si="164"/>
        <v xml:space="preserve">Terima Uang Masuk atas </v>
      </c>
      <c r="B1034" s="214">
        <v>46141</v>
      </c>
      <c r="C1034" s="211" t="s">
        <v>1619</v>
      </c>
      <c r="D1034" s="51" t="s">
        <v>1835</v>
      </c>
      <c r="F1034" s="52">
        <f>IF(G1034="","",INDEX(COA!$A$4:$A$123,MATCH(JU!$G1034,COA!$B$4:$B$123,0)))</f>
        <v>1103</v>
      </c>
      <c r="G1034" t="s">
        <v>154</v>
      </c>
      <c r="H1034" s="216">
        <v>8000000</v>
      </c>
      <c r="I1034" s="52">
        <f>IF(J1034="","",INDEX(COA!$A$4:$A$123,MATCH(JU!$J1034,COA!$B$4:$B$123,0)))</f>
        <v>4102</v>
      </c>
      <c r="J1034" t="s">
        <v>62</v>
      </c>
      <c r="K1034" s="34">
        <f t="shared" si="165"/>
        <v>8000000</v>
      </c>
    </row>
    <row r="1035" spans="1:12" hidden="1">
      <c r="A1035" s="50" t="str">
        <f t="shared" si="164"/>
        <v xml:space="preserve">By. Biaya </v>
      </c>
      <c r="B1035" s="214">
        <v>46141</v>
      </c>
      <c r="C1035" s="211" t="s">
        <v>428</v>
      </c>
      <c r="D1035" s="51" t="s">
        <v>412</v>
      </c>
      <c r="F1035" s="52" t="str">
        <f>IF(G1035="","",INDEX(COA!$A$4:$A$123,MATCH(JU!$G1035,COA!$B$4:$B$123,0)))</f>
        <v>2107</v>
      </c>
      <c r="G1035" t="s">
        <v>50</v>
      </c>
      <c r="H1035" s="216">
        <v>7088412</v>
      </c>
      <c r="I1035" s="52">
        <f>IF(J1035="","",INDEX(COA!$A$4:$A$123,MATCH(JU!$J1035,COA!$B$4:$B$123,0)))</f>
        <v>1103</v>
      </c>
      <c r="J1035" t="s">
        <v>154</v>
      </c>
      <c r="K1035" s="34">
        <f t="shared" si="165"/>
        <v>7088412</v>
      </c>
    </row>
    <row r="1036" spans="1:12" hidden="1">
      <c r="A1036" s="50" t="str">
        <f t="shared" si="164"/>
        <v xml:space="preserve">By. Biaya </v>
      </c>
      <c r="B1036" s="214">
        <v>46141</v>
      </c>
      <c r="C1036" s="211" t="s">
        <v>305</v>
      </c>
      <c r="D1036" s="51" t="s">
        <v>333</v>
      </c>
      <c r="F1036" s="52" t="str">
        <f>IF(G1036="","",INDEX(COA!$A$4:$A$123,MATCH(JU!$G1036,COA!$B$4:$B$123,0)))</f>
        <v>6303</v>
      </c>
      <c r="G1036" t="s">
        <v>87</v>
      </c>
      <c r="H1036" s="216">
        <v>6500</v>
      </c>
      <c r="I1036" s="52">
        <f>IF(J1036="","",INDEX(COA!$A$4:$A$123,MATCH(JU!$J1036,COA!$B$4:$B$123,0)))</f>
        <v>1103</v>
      </c>
      <c r="J1036" t="s">
        <v>154</v>
      </c>
      <c r="K1036" s="34">
        <f t="shared" si="165"/>
        <v>6500</v>
      </c>
    </row>
    <row r="1037" spans="1:12" hidden="1">
      <c r="A1037" s="50" t="str">
        <f t="shared" si="164"/>
        <v xml:space="preserve">By. Biaya </v>
      </c>
      <c r="B1037" s="214">
        <v>46141</v>
      </c>
      <c r="C1037" s="211" t="s">
        <v>489</v>
      </c>
      <c r="D1037" s="51" t="s">
        <v>1836</v>
      </c>
      <c r="F1037" s="52">
        <f>IF(G1037="","",INDEX(COA!$A$4:$A$123,MATCH(JU!$G1037,COA!$B$4:$B$123,0)))</f>
        <v>6402</v>
      </c>
      <c r="G1037" t="s">
        <v>90</v>
      </c>
      <c r="H1037" s="216">
        <v>500000</v>
      </c>
      <c r="I1037" s="52">
        <f>IF(J1037="","",INDEX(COA!$A$4:$A$123,MATCH(JU!$J1037,COA!$B$4:$B$123,0)))</f>
        <v>1103</v>
      </c>
      <c r="J1037" t="s">
        <v>154</v>
      </c>
      <c r="K1037" s="34">
        <f t="shared" si="165"/>
        <v>500000</v>
      </c>
    </row>
    <row r="1038" spans="1:12" hidden="1">
      <c r="A1038" s="50" t="str">
        <f t="shared" si="164"/>
        <v xml:space="preserve">By. Biaya </v>
      </c>
      <c r="B1038" s="214">
        <v>46141</v>
      </c>
      <c r="C1038" s="211" t="s">
        <v>1620</v>
      </c>
      <c r="D1038" s="51" t="s">
        <v>1837</v>
      </c>
      <c r="F1038" s="52">
        <f>IF(G1038="","",INDEX(COA!$A$4:$A$123,MATCH(JU!$G1038,COA!$B$4:$B$123,0)))</f>
        <v>1203</v>
      </c>
      <c r="G1038" s="229" t="s">
        <v>140</v>
      </c>
      <c r="H1038" s="216">
        <v>4000000</v>
      </c>
      <c r="I1038" s="52">
        <f>IF(J1038="","",INDEX(COA!$A$4:$A$123,MATCH(JU!$J1038,COA!$B$4:$B$123,0)))</f>
        <v>1103</v>
      </c>
      <c r="J1038" t="s">
        <v>154</v>
      </c>
      <c r="K1038" s="34">
        <f t="shared" si="165"/>
        <v>4000000</v>
      </c>
    </row>
    <row r="1039" spans="1:12" hidden="1">
      <c r="A1039" s="50" t="str">
        <f t="shared" si="164"/>
        <v xml:space="preserve">By. Biaya </v>
      </c>
      <c r="B1039" s="214">
        <v>46141</v>
      </c>
      <c r="C1039" s="211" t="s">
        <v>305</v>
      </c>
      <c r="D1039" s="51" t="s">
        <v>333</v>
      </c>
      <c r="F1039" s="52" t="str">
        <f>IF(G1039="","",INDEX(COA!$A$4:$A$123,MATCH(JU!$G1039,COA!$B$4:$B$123,0)))</f>
        <v>6303</v>
      </c>
      <c r="G1039" t="s">
        <v>87</v>
      </c>
      <c r="H1039" s="216">
        <v>2500</v>
      </c>
      <c r="I1039" s="52">
        <f>IF(J1039="","",INDEX(COA!$A$4:$A$123,MATCH(JU!$J1039,COA!$B$4:$B$123,0)))</f>
        <v>1103</v>
      </c>
      <c r="J1039" t="s">
        <v>154</v>
      </c>
      <c r="K1039" s="34">
        <f t="shared" si="165"/>
        <v>2500</v>
      </c>
    </row>
    <row r="1040" spans="1:12" hidden="1">
      <c r="A1040" s="50" t="str">
        <f t="shared" si="164"/>
        <v xml:space="preserve">Terima Uang Masuk atas </v>
      </c>
      <c r="B1040" s="214">
        <v>46141</v>
      </c>
      <c r="D1040" s="256" t="s">
        <v>417</v>
      </c>
      <c r="F1040" s="52">
        <f>IF(G1040="","",INDEX(COA!$A$4:$A$123,MATCH(JU!$G1040,COA!$B$4:$B$123,0)))</f>
        <v>1103</v>
      </c>
      <c r="G1040" t="s">
        <v>154</v>
      </c>
      <c r="H1040" s="216">
        <v>235500000</v>
      </c>
      <c r="I1040" s="52">
        <f>IF(J1040="","",INDEX(COA!$A$4:$A$123,MATCH(JU!$J1040,COA!$B$4:$B$123,0)))</f>
        <v>1203</v>
      </c>
      <c r="J1040" t="s">
        <v>140</v>
      </c>
      <c r="K1040" s="34">
        <f t="shared" si="165"/>
        <v>235500000</v>
      </c>
      <c r="L1040" s="237">
        <f>K1040/3</f>
        <v>78500000</v>
      </c>
    </row>
    <row r="1041" spans="1:12" hidden="1">
      <c r="A1041" s="50" t="str">
        <f t="shared" si="164"/>
        <v xml:space="preserve">By. Biaya </v>
      </c>
      <c r="B1041" s="214">
        <v>46141</v>
      </c>
      <c r="C1041" s="211" t="s">
        <v>1326</v>
      </c>
      <c r="D1041" s="218" t="s">
        <v>2334</v>
      </c>
      <c r="F1041" s="52">
        <f>IF(G1041="","",INDEX(COA!$A$4:$A$123,MATCH(JU!$G1041,COA!$B$4:$B$123,0)))</f>
        <v>1203</v>
      </c>
      <c r="G1041" t="s">
        <v>140</v>
      </c>
      <c r="H1041" s="216">
        <v>20000000</v>
      </c>
      <c r="I1041" s="52">
        <f>IF(J1041="","",INDEX(COA!$A$4:$A$123,MATCH(JU!$J1041,COA!$B$4:$B$123,0)))</f>
        <v>1103</v>
      </c>
      <c r="J1041" t="s">
        <v>154</v>
      </c>
      <c r="K1041" s="34">
        <f t="shared" si="165"/>
        <v>20000000</v>
      </c>
    </row>
    <row r="1042" spans="1:12" hidden="1">
      <c r="A1042" s="50" t="str">
        <f t="shared" ref="A1042" si="180">IF(G1042="BRI 568","Terima Uang Masuk atas ","By. Biaya ")</f>
        <v xml:space="preserve">By. Biaya </v>
      </c>
      <c r="B1042" s="214">
        <v>46141</v>
      </c>
      <c r="C1042" s="211" t="s">
        <v>1326</v>
      </c>
      <c r="D1042" s="218" t="s">
        <v>2336</v>
      </c>
      <c r="F1042" s="52">
        <f>IF(G1042="","",INDEX(COA!$A$4:$A$123,MATCH(JU!$G1042,COA!$B$4:$B$123,0)))</f>
        <v>1203</v>
      </c>
      <c r="G1042" t="s">
        <v>140</v>
      </c>
      <c r="H1042" s="216">
        <v>5100000</v>
      </c>
      <c r="I1042" s="52">
        <f>IF(J1042="","",INDEX(COA!$A$4:$A$123,MATCH(JU!$J1042,COA!$B$4:$B$123,0)))</f>
        <v>1103</v>
      </c>
      <c r="J1042" t="s">
        <v>154</v>
      </c>
      <c r="K1042" s="34">
        <f t="shared" ref="K1042" si="181">IF(H1042="","",H1042)</f>
        <v>5100000</v>
      </c>
    </row>
    <row r="1043" spans="1:12" hidden="1">
      <c r="A1043" s="50" t="str">
        <f t="shared" si="164"/>
        <v xml:space="preserve">By. Biaya </v>
      </c>
      <c r="B1043" s="214">
        <v>46141</v>
      </c>
      <c r="C1043" s="211" t="s">
        <v>490</v>
      </c>
      <c r="D1043" s="51" t="s">
        <v>1838</v>
      </c>
      <c r="F1043" s="52">
        <f>IF(G1043="","",INDEX(COA!$A$4:$A$123,MATCH(JU!$G1043,COA!$B$4:$B$123,0)))</f>
        <v>1108</v>
      </c>
      <c r="G1043" s="229" t="s">
        <v>155</v>
      </c>
      <c r="H1043" s="216">
        <v>250000000</v>
      </c>
      <c r="I1043" s="52">
        <f>IF(J1043="","",INDEX(COA!$A$4:$A$123,MATCH(JU!$J1043,COA!$B$4:$B$123,0)))</f>
        <v>1103</v>
      </c>
      <c r="J1043" t="s">
        <v>154</v>
      </c>
      <c r="K1043" s="34">
        <f t="shared" si="165"/>
        <v>250000000</v>
      </c>
      <c r="L1043" s="55"/>
    </row>
    <row r="1044" spans="1:12" hidden="1">
      <c r="A1044" s="50" t="str">
        <f t="shared" si="164"/>
        <v xml:space="preserve">By. Biaya </v>
      </c>
      <c r="B1044" s="214">
        <v>46141</v>
      </c>
      <c r="C1044" s="211" t="s">
        <v>305</v>
      </c>
      <c r="D1044" s="51" t="s">
        <v>333</v>
      </c>
      <c r="F1044" s="52" t="str">
        <f>IF(G1044="","",INDEX(COA!$A$4:$A$123,MATCH(JU!$G1044,COA!$B$4:$B$123,0)))</f>
        <v>6303</v>
      </c>
      <c r="G1044" t="s">
        <v>87</v>
      </c>
      <c r="H1044" s="216">
        <v>2500</v>
      </c>
      <c r="I1044" s="52">
        <f>IF(J1044="","",INDEX(COA!$A$4:$A$123,MATCH(JU!$J1044,COA!$B$4:$B$123,0)))</f>
        <v>1103</v>
      </c>
      <c r="J1044" t="s">
        <v>154</v>
      </c>
      <c r="K1044" s="34">
        <f t="shared" si="165"/>
        <v>2500</v>
      </c>
    </row>
    <row r="1045" spans="1:12" hidden="1">
      <c r="A1045" s="50" t="str">
        <f t="shared" si="164"/>
        <v xml:space="preserve">By. Biaya </v>
      </c>
      <c r="B1045" s="214">
        <v>46141</v>
      </c>
      <c r="C1045" s="211" t="s">
        <v>1621</v>
      </c>
      <c r="D1045" s="51" t="s">
        <v>1839</v>
      </c>
      <c r="F1045" s="52">
        <f>IF(G1045="","",INDEX(COA!$A$4:$A$123,MATCH(JU!$G1045,COA!$B$4:$B$123,0)))</f>
        <v>6101</v>
      </c>
      <c r="G1045" t="s">
        <v>75</v>
      </c>
      <c r="H1045" s="216">
        <v>2190313</v>
      </c>
      <c r="I1045" s="52">
        <f>IF(J1045="","",INDEX(COA!$A$4:$A$123,MATCH(JU!$J1045,COA!$B$4:$B$123,0)))</f>
        <v>1103</v>
      </c>
      <c r="J1045" t="s">
        <v>154</v>
      </c>
      <c r="K1045" s="34">
        <f t="shared" si="165"/>
        <v>2190313</v>
      </c>
    </row>
    <row r="1046" spans="1:12" hidden="1">
      <c r="A1046" s="50" t="str">
        <f t="shared" si="164"/>
        <v xml:space="preserve">By. Biaya </v>
      </c>
      <c r="B1046" s="214">
        <v>46141</v>
      </c>
      <c r="C1046" s="211" t="s">
        <v>491</v>
      </c>
      <c r="D1046" s="51" t="s">
        <v>1840</v>
      </c>
      <c r="F1046" s="52">
        <f>IF(G1046="","",INDEX(COA!$A$4:$A$123,MATCH(JU!$G1046,COA!$B$4:$B$123,0)))</f>
        <v>6112</v>
      </c>
      <c r="G1046" t="s">
        <v>205</v>
      </c>
      <c r="H1046" s="216">
        <v>1208500</v>
      </c>
      <c r="I1046" s="52">
        <f>IF(J1046="","",INDEX(COA!$A$4:$A$123,MATCH(JU!$J1046,COA!$B$4:$B$123,0)))</f>
        <v>1103</v>
      </c>
      <c r="J1046" t="s">
        <v>154</v>
      </c>
      <c r="K1046" s="34">
        <f t="shared" si="165"/>
        <v>1208500</v>
      </c>
    </row>
    <row r="1047" spans="1:12" hidden="1">
      <c r="A1047" s="50" t="str">
        <f t="shared" si="164"/>
        <v xml:space="preserve">By. Biaya </v>
      </c>
      <c r="B1047" s="214">
        <v>46141</v>
      </c>
      <c r="C1047" s="211" t="s">
        <v>436</v>
      </c>
      <c r="D1047" s="51" t="s">
        <v>522</v>
      </c>
      <c r="F1047" s="52" t="str">
        <f>IF(G1047="","",INDEX(COA!$A$4:$A$123,MATCH(JU!$G1047,COA!$B$4:$B$123,0)))</f>
        <v>6303</v>
      </c>
      <c r="G1047" t="s">
        <v>87</v>
      </c>
      <c r="H1047" s="216">
        <v>2500</v>
      </c>
      <c r="I1047" s="52">
        <f>IF(J1047="","",INDEX(COA!$A$4:$A$123,MATCH(JU!$J1047,COA!$B$4:$B$123,0)))</f>
        <v>1103</v>
      </c>
      <c r="J1047" t="s">
        <v>154</v>
      </c>
      <c r="K1047" s="34">
        <f t="shared" si="165"/>
        <v>2500</v>
      </c>
    </row>
    <row r="1048" spans="1:12" hidden="1">
      <c r="A1048" s="50" t="str">
        <f t="shared" si="164"/>
        <v xml:space="preserve">By. Biaya </v>
      </c>
      <c r="B1048" s="214">
        <v>46141</v>
      </c>
      <c r="C1048" s="211" t="s">
        <v>492</v>
      </c>
      <c r="D1048" s="51" t="s">
        <v>1841</v>
      </c>
      <c r="F1048" s="52">
        <f>IF(G1048="","",INDEX(COA!$A$4:$A$123,MATCH(JU!$G1048,COA!$B$4:$B$123,0)))</f>
        <v>1302</v>
      </c>
      <c r="G1048" t="s">
        <v>31</v>
      </c>
      <c r="H1048" s="216">
        <v>85000</v>
      </c>
      <c r="I1048" s="52">
        <f>IF(J1048="","",INDEX(COA!$A$4:$A$123,MATCH(JU!$J1048,COA!$B$4:$B$123,0)))</f>
        <v>1103</v>
      </c>
      <c r="J1048" t="s">
        <v>154</v>
      </c>
      <c r="K1048" s="34">
        <f t="shared" si="165"/>
        <v>85000</v>
      </c>
    </row>
    <row r="1049" spans="1:12" hidden="1">
      <c r="A1049" s="50" t="str">
        <f t="shared" si="164"/>
        <v xml:space="preserve">By. Biaya </v>
      </c>
      <c r="B1049" s="214">
        <v>46141</v>
      </c>
      <c r="C1049" s="211" t="s">
        <v>1622</v>
      </c>
      <c r="D1049" s="51" t="s">
        <v>1842</v>
      </c>
      <c r="F1049" s="52">
        <f>IF(G1049="","",INDEX(COA!$A$4:$A$123,MATCH(JU!$G1049,COA!$B$4:$B$123,0)))</f>
        <v>6112</v>
      </c>
      <c r="G1049" t="s">
        <v>205</v>
      </c>
      <c r="H1049" s="216">
        <v>40000</v>
      </c>
      <c r="I1049" s="52">
        <f>IF(J1049="","",INDEX(COA!$A$4:$A$123,MATCH(JU!$J1049,COA!$B$4:$B$123,0)))</f>
        <v>1103</v>
      </c>
      <c r="J1049" t="s">
        <v>154</v>
      </c>
      <c r="K1049" s="34">
        <f t="shared" si="165"/>
        <v>40000</v>
      </c>
    </row>
    <row r="1050" spans="1:12" hidden="1">
      <c r="A1050" s="50" t="str">
        <f t="shared" si="164"/>
        <v xml:space="preserve">Terima Uang Masuk atas </v>
      </c>
      <c r="B1050" s="214">
        <v>46142</v>
      </c>
      <c r="C1050" s="211" t="s">
        <v>1623</v>
      </c>
      <c r="D1050" s="51" t="s">
        <v>1843</v>
      </c>
      <c r="F1050" s="52">
        <f>IF(G1050="","",INDEX(COA!$A$4:$A$123,MATCH(JU!$G1050,COA!$B$4:$B$123,0)))</f>
        <v>1103</v>
      </c>
      <c r="G1050" t="s">
        <v>154</v>
      </c>
      <c r="H1050" s="216">
        <v>5000000</v>
      </c>
      <c r="I1050" s="52">
        <f>IF(J1050="","",INDEX(COA!$A$4:$A$123,MATCH(JU!$J1050,COA!$B$4:$B$123,0)))</f>
        <v>6112</v>
      </c>
      <c r="J1050" t="s">
        <v>205</v>
      </c>
      <c r="K1050" s="34">
        <f t="shared" si="165"/>
        <v>5000000</v>
      </c>
      <c r="L1050" s="55"/>
    </row>
    <row r="1051" spans="1:12" hidden="1">
      <c r="A1051" s="50" t="str">
        <f t="shared" si="164"/>
        <v xml:space="preserve">Terima Uang Masuk atas </v>
      </c>
      <c r="B1051" s="214">
        <v>46142</v>
      </c>
      <c r="C1051" s="211" t="s">
        <v>1624</v>
      </c>
      <c r="D1051" s="51" t="s">
        <v>1844</v>
      </c>
      <c r="F1051" s="52">
        <f>IF(G1051="","",INDEX(COA!$A$4:$A$123,MATCH(JU!$G1051,COA!$B$4:$B$123,0)))</f>
        <v>1103</v>
      </c>
      <c r="G1051" t="s">
        <v>154</v>
      </c>
      <c r="H1051" s="216">
        <v>5000000</v>
      </c>
      <c r="I1051" s="52">
        <f>IF(J1051="","",INDEX(COA!$A$4:$A$123,MATCH(JU!$J1051,COA!$B$4:$B$123,0)))</f>
        <v>4102</v>
      </c>
      <c r="J1051" t="s">
        <v>62</v>
      </c>
      <c r="K1051" s="34">
        <f t="shared" si="165"/>
        <v>5000000</v>
      </c>
      <c r="L1051" s="55"/>
    </row>
    <row r="1052" spans="1:12" hidden="1">
      <c r="A1052" s="50" t="str">
        <f t="shared" si="164"/>
        <v xml:space="preserve">Terima Uang Masuk atas </v>
      </c>
      <c r="B1052" s="214">
        <v>46142</v>
      </c>
      <c r="C1052" s="211" t="s">
        <v>493</v>
      </c>
      <c r="D1052" s="263" t="s">
        <v>1845</v>
      </c>
      <c r="F1052" s="52">
        <f>IF(G1052="","",INDEX(COA!$A$4:$A$123,MATCH(JU!$G1052,COA!$B$4:$B$123,0)))</f>
        <v>1103</v>
      </c>
      <c r="G1052" t="s">
        <v>154</v>
      </c>
      <c r="H1052" s="216">
        <v>78500000</v>
      </c>
      <c r="I1052" s="52">
        <f>IF(J1052="","",INDEX(COA!$A$4:$A$123,MATCH(JU!$J1052,COA!$B$4:$B$123,0)))</f>
        <v>1202</v>
      </c>
      <c r="J1052" s="229" t="s">
        <v>27</v>
      </c>
      <c r="K1052" s="34">
        <f t="shared" si="165"/>
        <v>78500000</v>
      </c>
      <c r="L1052" s="55"/>
    </row>
    <row r="1053" spans="1:12" hidden="1">
      <c r="A1053" s="50" t="str">
        <f t="shared" ref="A1053" si="182">IF(G1053="BRI 568","Terima Uang Masuk atas ","By. Biaya ")</f>
        <v xml:space="preserve">By. Biaya </v>
      </c>
      <c r="B1053" s="214">
        <v>46142</v>
      </c>
      <c r="C1053" s="211" t="s">
        <v>493</v>
      </c>
      <c r="D1053" s="264" t="s">
        <v>2073</v>
      </c>
      <c r="F1053" s="52" t="str">
        <f>IF(G1053="","",INDEX(COA!$A$4:$A$123,MATCH(JU!$G1053,COA!$B$4:$B$123,0)))</f>
        <v>2101</v>
      </c>
      <c r="G1053" s="229" t="s">
        <v>45</v>
      </c>
      <c r="H1053" s="216">
        <v>70000000</v>
      </c>
      <c r="I1053" s="52">
        <f>IF(J1053="","",INDEX(COA!$A$4:$A$123,MATCH(JU!$J1053,COA!$B$4:$B$123,0)))</f>
        <v>1202</v>
      </c>
      <c r="J1053" s="229" t="s">
        <v>27</v>
      </c>
      <c r="K1053" s="34">
        <f t="shared" ref="K1053" si="183">IF(H1053="","",H1053)</f>
        <v>70000000</v>
      </c>
      <c r="L1053" s="55"/>
    </row>
    <row r="1054" spans="1:12" hidden="1">
      <c r="A1054" s="50" t="str">
        <f t="shared" si="164"/>
        <v xml:space="preserve">By. Biaya </v>
      </c>
      <c r="B1054" s="214">
        <v>46142</v>
      </c>
      <c r="C1054" s="211" t="s">
        <v>1625</v>
      </c>
      <c r="D1054" s="51" t="s">
        <v>1846</v>
      </c>
      <c r="F1054" s="52">
        <f>IF(G1054="","",INDEX(COA!$A$4:$A$123,MATCH(JU!$G1054,COA!$B$4:$B$123,0)))</f>
        <v>1204</v>
      </c>
      <c r="G1054" t="s">
        <v>28</v>
      </c>
      <c r="H1054" s="216">
        <v>1560100</v>
      </c>
      <c r="I1054" s="52">
        <f>IF(J1054="","",INDEX(COA!$A$4:$A$123,MATCH(JU!$J1054,COA!$B$4:$B$123,0)))</f>
        <v>1103</v>
      </c>
      <c r="J1054" t="s">
        <v>154</v>
      </c>
      <c r="K1054" s="34">
        <f t="shared" si="165"/>
        <v>1560100</v>
      </c>
      <c r="L1054" s="55"/>
    </row>
    <row r="1055" spans="1:12" hidden="1">
      <c r="A1055" s="50" t="str">
        <f t="shared" si="164"/>
        <v xml:space="preserve">By. Biaya </v>
      </c>
      <c r="B1055" s="214">
        <v>46142</v>
      </c>
      <c r="C1055" s="211" t="s">
        <v>494</v>
      </c>
      <c r="D1055" s="51" t="s">
        <v>1847</v>
      </c>
      <c r="F1055" s="52">
        <f>IF(G1055="","",INDEX(COA!$A$4:$A$123,MATCH(JU!$G1055,COA!$B$4:$B$123,0)))</f>
        <v>1108</v>
      </c>
      <c r="G1055" s="229" t="s">
        <v>155</v>
      </c>
      <c r="H1055" s="216">
        <v>170000000</v>
      </c>
      <c r="I1055" s="52">
        <f>IF(J1055="","",INDEX(COA!$A$4:$A$123,MATCH(JU!$J1055,COA!$B$4:$B$123,0)))</f>
        <v>1103</v>
      </c>
      <c r="J1055" t="s">
        <v>154</v>
      </c>
      <c r="K1055" s="34">
        <f t="shared" si="165"/>
        <v>170000000</v>
      </c>
      <c r="L1055" s="55"/>
    </row>
    <row r="1056" spans="1:12" hidden="1">
      <c r="A1056" s="50" t="str">
        <f t="shared" si="164"/>
        <v xml:space="preserve">By. Biaya </v>
      </c>
      <c r="B1056" s="214">
        <v>46142</v>
      </c>
      <c r="C1056" s="211" t="s">
        <v>305</v>
      </c>
      <c r="D1056" s="51" t="s">
        <v>333</v>
      </c>
      <c r="F1056" s="52" t="str">
        <f>IF(G1056="","",INDEX(COA!$A$4:$A$123,MATCH(JU!$G1056,COA!$B$4:$B$123,0)))</f>
        <v>6303</v>
      </c>
      <c r="G1056" t="s">
        <v>87</v>
      </c>
      <c r="H1056" s="216">
        <v>2500</v>
      </c>
      <c r="I1056" s="52">
        <f>IF(J1056="","",INDEX(COA!$A$4:$A$123,MATCH(JU!$J1056,COA!$B$4:$B$123,0)))</f>
        <v>1103</v>
      </c>
      <c r="J1056" t="s">
        <v>154</v>
      </c>
      <c r="K1056" s="34">
        <f t="shared" si="165"/>
        <v>2500</v>
      </c>
      <c r="L1056" s="55"/>
    </row>
    <row r="1057" spans="1:15" hidden="1">
      <c r="A1057" s="50" t="str">
        <f t="shared" si="164"/>
        <v xml:space="preserve">Terima Uang Masuk atas </v>
      </c>
      <c r="B1057" s="214">
        <v>46142</v>
      </c>
      <c r="C1057" s="211" t="s">
        <v>495</v>
      </c>
      <c r="D1057" s="51" t="s">
        <v>1848</v>
      </c>
      <c r="F1057" s="52">
        <f>IF(G1057="","",INDEX(COA!$A$4:$A$123,MATCH(JU!$G1057,COA!$B$4:$B$123,0)))</f>
        <v>1103</v>
      </c>
      <c r="G1057" t="s">
        <v>154</v>
      </c>
      <c r="H1057" s="216">
        <v>3000000</v>
      </c>
      <c r="I1057" s="52">
        <f>IF(J1057="","",INDEX(COA!$A$4:$A$123,MATCH(JU!$J1057,COA!$B$4:$B$123,0)))</f>
        <v>1203</v>
      </c>
      <c r="J1057" t="s">
        <v>140</v>
      </c>
      <c r="K1057" s="34">
        <f t="shared" si="165"/>
        <v>3000000</v>
      </c>
    </row>
    <row r="1058" spans="1:15" hidden="1">
      <c r="A1058" s="50" t="str">
        <f t="shared" ref="A1058:A1124" si="184">IF(G1058="BRI 568","Terima Uang Masuk atas ","By. Biaya ")</f>
        <v xml:space="preserve">By. Biaya </v>
      </c>
      <c r="B1058" s="214">
        <v>46142</v>
      </c>
      <c r="C1058" s="211" t="s">
        <v>1626</v>
      </c>
      <c r="D1058" s="51" t="s">
        <v>1849</v>
      </c>
      <c r="F1058" s="52">
        <f>IF(G1058="","",INDEX(COA!$A$4:$A$123,MATCH(JU!$G1058,COA!$B$4:$B$123,0)))</f>
        <v>5110</v>
      </c>
      <c r="G1058" s="229" t="s">
        <v>74</v>
      </c>
      <c r="H1058" s="216">
        <v>1575000</v>
      </c>
      <c r="I1058" s="52">
        <f>IF(J1058="","",INDEX(COA!$A$4:$A$123,MATCH(JU!$J1058,COA!$B$4:$B$123,0)))</f>
        <v>1103</v>
      </c>
      <c r="J1058" t="s">
        <v>154</v>
      </c>
      <c r="K1058" s="34">
        <f t="shared" si="165"/>
        <v>1575000</v>
      </c>
    </row>
    <row r="1059" spans="1:15" hidden="1">
      <c r="A1059" s="50" t="str">
        <f t="shared" si="184"/>
        <v xml:space="preserve">By. Biaya </v>
      </c>
      <c r="B1059" s="214">
        <v>46142</v>
      </c>
      <c r="C1059" s="211" t="s">
        <v>305</v>
      </c>
      <c r="D1059" s="51" t="s">
        <v>333</v>
      </c>
      <c r="F1059" s="52" t="str">
        <f>IF(G1059="","",INDEX(COA!$A$4:$A$123,MATCH(JU!$G1059,COA!$B$4:$B$123,0)))</f>
        <v>6303</v>
      </c>
      <c r="G1059" t="s">
        <v>87</v>
      </c>
      <c r="H1059" s="216">
        <v>2500</v>
      </c>
      <c r="I1059" s="52">
        <f>IF(J1059="","",INDEX(COA!$A$4:$A$123,MATCH(JU!$J1059,COA!$B$4:$B$123,0)))</f>
        <v>1103</v>
      </c>
      <c r="J1059" t="s">
        <v>154</v>
      </c>
      <c r="K1059" s="34">
        <f t="shared" si="165"/>
        <v>2500</v>
      </c>
    </row>
    <row r="1060" spans="1:15" hidden="1">
      <c r="A1060" s="50" t="str">
        <f t="shared" si="184"/>
        <v xml:space="preserve">By. Biaya </v>
      </c>
      <c r="B1060" s="214">
        <v>46142</v>
      </c>
      <c r="C1060" s="211" t="s">
        <v>1627</v>
      </c>
      <c r="D1060" s="51" t="s">
        <v>1850</v>
      </c>
      <c r="F1060" s="52">
        <f>IF(G1060="","",INDEX(COA!$A$4:$A$123,MATCH(JU!$G1060,COA!$B$4:$B$123,0)))</f>
        <v>1204</v>
      </c>
      <c r="G1060" t="s">
        <v>28</v>
      </c>
      <c r="H1060" s="216">
        <v>1304900</v>
      </c>
      <c r="I1060" s="52">
        <f>IF(J1060="","",INDEX(COA!$A$4:$A$123,MATCH(JU!$J1060,COA!$B$4:$B$123,0)))</f>
        <v>1103</v>
      </c>
      <c r="J1060" t="s">
        <v>154</v>
      </c>
      <c r="K1060" s="34">
        <f t="shared" si="165"/>
        <v>1304900</v>
      </c>
    </row>
    <row r="1061" spans="1:15" hidden="1">
      <c r="A1061" s="50" t="str">
        <f t="shared" si="184"/>
        <v xml:space="preserve">By. Biaya </v>
      </c>
      <c r="B1061" s="215">
        <v>46142</v>
      </c>
      <c r="D1061" s="218" t="s">
        <v>2074</v>
      </c>
      <c r="F1061" s="52">
        <f>IF(G1061="","",INDEX(COA!$A$4:$A$123,MATCH(JU!$G1061,COA!$B$4:$B$123,0)))</f>
        <v>5102</v>
      </c>
      <c r="G1061" t="s">
        <v>201</v>
      </c>
      <c r="H1061" s="216">
        <f>12*65000000</f>
        <v>780000000</v>
      </c>
      <c r="I1061" s="52">
        <f>IF(J1061="","",INDEX(COA!$A$4:$A$123,MATCH(JU!$J1061,COA!$B$4:$B$123,0)))</f>
        <v>1302</v>
      </c>
      <c r="J1061" t="s">
        <v>31</v>
      </c>
      <c r="K1061" s="34">
        <f t="shared" si="165"/>
        <v>780000000</v>
      </c>
    </row>
    <row r="1062" spans="1:15" hidden="1">
      <c r="A1062" s="50" t="str">
        <f t="shared" si="184"/>
        <v xml:space="preserve">By. Biaya </v>
      </c>
      <c r="F1062" s="52" t="str">
        <f>IF(G1062="","",INDEX(COA!$A$4:$A$123,MATCH(JU!$G1062,COA!$B$4:$B$123,0)))</f>
        <v/>
      </c>
      <c r="I1062" s="52" t="str">
        <f>IF(J1062="","",INDEX(COA!$A$4:$A$123,MATCH(JU!$J1062,COA!$B$4:$B$123,0)))</f>
        <v/>
      </c>
      <c r="K1062" s="34" t="str">
        <f t="shared" ref="K1062:K1129" si="185">IF(H1062="","",H1062)</f>
        <v/>
      </c>
    </row>
    <row r="1063" spans="1:15" hidden="1">
      <c r="A1063" s="50" t="str">
        <f t="shared" si="184"/>
        <v xml:space="preserve">Terima Uang Masuk atas </v>
      </c>
      <c r="B1063" s="214">
        <v>46143</v>
      </c>
      <c r="D1063" t="s">
        <v>2324</v>
      </c>
      <c r="F1063" s="52">
        <f>IF(G1063="","",INDEX(COA!$A$4:$A$123,MATCH(JU!$G1063,COA!$B$4:$B$123,0)))</f>
        <v>1103</v>
      </c>
      <c r="G1063" t="s">
        <v>154</v>
      </c>
      <c r="H1063" s="216">
        <v>100000000</v>
      </c>
      <c r="I1063" s="52">
        <f>IF(J1063="","",INDEX(COA!$A$4:$A$123,MATCH(JU!$J1063,COA!$B$4:$B$123,0)))</f>
        <v>1108</v>
      </c>
      <c r="J1063" t="s">
        <v>155</v>
      </c>
      <c r="K1063" s="34">
        <f t="shared" si="185"/>
        <v>100000000</v>
      </c>
      <c r="M1063" s="259"/>
      <c r="N1063" s="260"/>
      <c r="O1063" s="261"/>
    </row>
    <row r="1064" spans="1:15" hidden="1">
      <c r="A1064" s="50" t="str">
        <f t="shared" si="184"/>
        <v xml:space="preserve">By. Biaya </v>
      </c>
      <c r="B1064" s="214">
        <v>46143</v>
      </c>
      <c r="C1064" s="211" t="s">
        <v>1851</v>
      </c>
      <c r="D1064" t="s">
        <v>2075</v>
      </c>
      <c r="F1064" s="52">
        <f>IF(G1064="","",INDEX(COA!$A$4:$A$123,MATCH(JU!$G1064,COA!$B$4:$B$123,0)))</f>
        <v>1302</v>
      </c>
      <c r="G1064" t="s">
        <v>31</v>
      </c>
      <c r="H1064" s="216">
        <v>2000000</v>
      </c>
      <c r="I1064" s="52">
        <f>IF(J1064="","",INDEX(COA!$A$4:$A$123,MATCH(JU!$J1064,COA!$B$4:$B$123,0)))</f>
        <v>1103</v>
      </c>
      <c r="J1064" t="s">
        <v>154</v>
      </c>
      <c r="K1064" s="34">
        <f t="shared" si="185"/>
        <v>2000000</v>
      </c>
      <c r="M1064" s="259"/>
      <c r="N1064" s="260"/>
    </row>
    <row r="1065" spans="1:15" hidden="1">
      <c r="A1065" s="50" t="str">
        <f t="shared" si="184"/>
        <v xml:space="preserve">By. Biaya </v>
      </c>
      <c r="B1065" s="214">
        <v>46143</v>
      </c>
      <c r="C1065" s="211" t="s">
        <v>1852</v>
      </c>
      <c r="D1065" t="s">
        <v>2076</v>
      </c>
      <c r="F1065" s="52" t="str">
        <f>IF(G1065="","",INDEX(COA!$A$4:$A$123,MATCH(JU!$G1065,COA!$B$4:$B$123,0)))</f>
        <v>6303</v>
      </c>
      <c r="G1065" t="s">
        <v>87</v>
      </c>
      <c r="H1065" s="216">
        <v>2500</v>
      </c>
      <c r="I1065" s="52">
        <f>IF(J1065="","",INDEX(COA!$A$4:$A$123,MATCH(JU!$J1065,COA!$B$4:$B$123,0)))</f>
        <v>1103</v>
      </c>
      <c r="J1065" t="s">
        <v>154</v>
      </c>
      <c r="K1065" s="34">
        <f t="shared" si="185"/>
        <v>2500</v>
      </c>
      <c r="M1065" s="259"/>
      <c r="N1065" s="260"/>
    </row>
    <row r="1066" spans="1:15" hidden="1">
      <c r="A1066" s="50" t="str">
        <f t="shared" si="184"/>
        <v xml:space="preserve">By. Biaya </v>
      </c>
      <c r="B1066" s="214">
        <v>46143</v>
      </c>
      <c r="C1066" s="211" t="s">
        <v>1853</v>
      </c>
      <c r="D1066" t="s">
        <v>2077</v>
      </c>
      <c r="F1066" s="52">
        <f>IF(G1066="","",INDEX(COA!$A$4:$A$123,MATCH(JU!$G1066,COA!$B$4:$B$123,0)))</f>
        <v>6101</v>
      </c>
      <c r="G1066" t="s">
        <v>75</v>
      </c>
      <c r="H1066" s="216">
        <v>29806976</v>
      </c>
      <c r="I1066" s="52">
        <f>IF(J1066="","",INDEX(COA!$A$4:$A$123,MATCH(JU!$J1066,COA!$B$4:$B$123,0)))</f>
        <v>1103</v>
      </c>
      <c r="J1066" t="s">
        <v>154</v>
      </c>
      <c r="K1066" s="34">
        <f t="shared" si="185"/>
        <v>29806976</v>
      </c>
      <c r="M1066" s="259"/>
      <c r="N1066" s="260"/>
    </row>
    <row r="1067" spans="1:15" hidden="1">
      <c r="A1067" s="50" t="str">
        <f t="shared" si="184"/>
        <v xml:space="preserve">By. Biaya </v>
      </c>
      <c r="B1067" s="214">
        <v>46143</v>
      </c>
      <c r="C1067" s="211" t="s">
        <v>1854</v>
      </c>
      <c r="D1067" t="s">
        <v>2078</v>
      </c>
      <c r="F1067" s="52">
        <f>IF(G1067="","",INDEX(COA!$A$4:$A$123,MATCH(JU!$G1067,COA!$B$4:$B$123,0)))</f>
        <v>6101</v>
      </c>
      <c r="G1067" t="s">
        <v>75</v>
      </c>
      <c r="H1067" s="216">
        <v>5000000</v>
      </c>
      <c r="I1067" s="52">
        <f>IF(J1067="","",INDEX(COA!$A$4:$A$123,MATCH(JU!$J1067,COA!$B$4:$B$123,0)))</f>
        <v>1103</v>
      </c>
      <c r="J1067" t="s">
        <v>154</v>
      </c>
      <c r="K1067" s="34">
        <f t="shared" si="185"/>
        <v>5000000</v>
      </c>
      <c r="M1067" s="259"/>
      <c r="N1067" s="260"/>
    </row>
    <row r="1068" spans="1:15" hidden="1">
      <c r="A1068" s="50" t="str">
        <f t="shared" si="184"/>
        <v xml:space="preserve">By. Biaya </v>
      </c>
      <c r="B1068" s="214">
        <v>46143</v>
      </c>
      <c r="C1068" s="211" t="s">
        <v>1852</v>
      </c>
      <c r="D1068" t="s">
        <v>2076</v>
      </c>
      <c r="F1068" s="52" t="str">
        <f>IF(G1068="","",INDEX(COA!$A$4:$A$123,MATCH(JU!$G1068,COA!$B$4:$B$123,0)))</f>
        <v>6303</v>
      </c>
      <c r="G1068" t="s">
        <v>87</v>
      </c>
      <c r="H1068" s="216">
        <v>2500</v>
      </c>
      <c r="I1068" s="52">
        <f>IF(J1068="","",INDEX(COA!$A$4:$A$123,MATCH(JU!$J1068,COA!$B$4:$B$123,0)))</f>
        <v>1103</v>
      </c>
      <c r="J1068" t="s">
        <v>154</v>
      </c>
      <c r="K1068" s="34">
        <f t="shared" si="185"/>
        <v>2500</v>
      </c>
      <c r="M1068" s="259"/>
      <c r="N1068" s="260"/>
    </row>
    <row r="1069" spans="1:15" hidden="1">
      <c r="A1069" s="50" t="str">
        <f t="shared" si="184"/>
        <v xml:space="preserve">By. Biaya </v>
      </c>
      <c r="B1069" s="214">
        <v>46143</v>
      </c>
      <c r="C1069" s="211" t="s">
        <v>1855</v>
      </c>
      <c r="D1069" t="s">
        <v>2079</v>
      </c>
      <c r="F1069" s="52">
        <f>IF(G1069="","",INDEX(COA!$A$4:$A$123,MATCH(JU!$G1069,COA!$B$4:$B$123,0)))</f>
        <v>6101</v>
      </c>
      <c r="G1069" t="s">
        <v>75</v>
      </c>
      <c r="H1069" s="216">
        <v>1900000</v>
      </c>
      <c r="I1069" s="52">
        <f>IF(J1069="","",INDEX(COA!$A$4:$A$123,MATCH(JU!$J1069,COA!$B$4:$B$123,0)))</f>
        <v>1103</v>
      </c>
      <c r="J1069" t="s">
        <v>154</v>
      </c>
      <c r="K1069" s="34">
        <f t="shared" si="185"/>
        <v>1900000</v>
      </c>
      <c r="M1069" s="259"/>
      <c r="N1069" s="260"/>
    </row>
    <row r="1070" spans="1:15" hidden="1">
      <c r="A1070" s="50" t="str">
        <f t="shared" si="184"/>
        <v xml:space="preserve">By. Biaya </v>
      </c>
      <c r="B1070" s="214">
        <v>46143</v>
      </c>
      <c r="C1070" s="211" t="s">
        <v>1856</v>
      </c>
      <c r="D1070" t="s">
        <v>2080</v>
      </c>
      <c r="F1070" s="52">
        <f>IF(G1070="","",INDEX(COA!$A$4:$A$123,MATCH(JU!$G1070,COA!$B$4:$B$123,0)))</f>
        <v>6101</v>
      </c>
      <c r="G1070" t="s">
        <v>75</v>
      </c>
      <c r="H1070" s="216">
        <v>2250000</v>
      </c>
      <c r="I1070" s="52">
        <f>IF(J1070="","",INDEX(COA!$A$4:$A$123,MATCH(JU!$J1070,COA!$B$4:$B$123,0)))</f>
        <v>1103</v>
      </c>
      <c r="J1070" t="s">
        <v>154</v>
      </c>
      <c r="K1070" s="34">
        <f t="shared" si="185"/>
        <v>2250000</v>
      </c>
      <c r="M1070" s="259"/>
      <c r="N1070" s="260"/>
    </row>
    <row r="1071" spans="1:15" hidden="1">
      <c r="A1071" s="50" t="str">
        <f t="shared" si="184"/>
        <v xml:space="preserve">By. Biaya </v>
      </c>
      <c r="B1071" s="214">
        <v>46143</v>
      </c>
      <c r="C1071" s="211" t="s">
        <v>1857</v>
      </c>
      <c r="D1071" t="s">
        <v>2081</v>
      </c>
      <c r="F1071" s="52">
        <f>IF(G1071="","",INDEX(COA!$A$4:$A$123,MATCH(JU!$G1071,COA!$B$4:$B$123,0)))</f>
        <v>6101</v>
      </c>
      <c r="G1071" t="s">
        <v>75</v>
      </c>
      <c r="H1071" s="216">
        <v>5564000</v>
      </c>
      <c r="I1071" s="52">
        <f>IF(J1071="","",INDEX(COA!$A$4:$A$123,MATCH(JU!$J1071,COA!$B$4:$B$123,0)))</f>
        <v>1103</v>
      </c>
      <c r="J1071" t="s">
        <v>154</v>
      </c>
      <c r="K1071" s="34">
        <f t="shared" si="185"/>
        <v>5564000</v>
      </c>
      <c r="M1071" s="259"/>
      <c r="N1071" s="260"/>
    </row>
    <row r="1072" spans="1:15" hidden="1">
      <c r="A1072" s="50" t="str">
        <f t="shared" si="184"/>
        <v xml:space="preserve">By. Biaya </v>
      </c>
      <c r="B1072" s="214">
        <v>46143</v>
      </c>
      <c r="C1072" s="211" t="s">
        <v>1858</v>
      </c>
      <c r="D1072" t="s">
        <v>2082</v>
      </c>
      <c r="F1072" s="52">
        <f>IF(G1072="","",INDEX(COA!$A$4:$A$123,MATCH(JU!$G1072,COA!$B$4:$B$123,0)))</f>
        <v>6111</v>
      </c>
      <c r="G1072" t="s">
        <v>150</v>
      </c>
      <c r="H1072" s="216">
        <v>36500000</v>
      </c>
      <c r="I1072" s="52">
        <f>IF(J1072="","",INDEX(COA!$A$4:$A$123,MATCH(JU!$J1072,COA!$B$4:$B$123,0)))</f>
        <v>1103</v>
      </c>
      <c r="J1072" t="s">
        <v>154</v>
      </c>
      <c r="K1072" s="34">
        <f t="shared" si="185"/>
        <v>36500000</v>
      </c>
      <c r="M1072" s="259"/>
      <c r="N1072" s="260"/>
    </row>
    <row r="1073" spans="1:14" hidden="1">
      <c r="A1073" s="50" t="str">
        <f t="shared" si="184"/>
        <v xml:space="preserve">By. Biaya </v>
      </c>
      <c r="B1073" s="214">
        <v>46143</v>
      </c>
      <c r="C1073" s="211" t="s">
        <v>1852</v>
      </c>
      <c r="D1073" t="s">
        <v>2076</v>
      </c>
      <c r="F1073" s="52" t="str">
        <f>IF(G1073="","",INDEX(COA!$A$4:$A$123,MATCH(JU!$G1073,COA!$B$4:$B$123,0)))</f>
        <v>6303</v>
      </c>
      <c r="G1073" t="s">
        <v>87</v>
      </c>
      <c r="H1073" s="216">
        <v>2500</v>
      </c>
      <c r="I1073" s="52">
        <f>IF(J1073="","",INDEX(COA!$A$4:$A$123,MATCH(JU!$J1073,COA!$B$4:$B$123,0)))</f>
        <v>1103</v>
      </c>
      <c r="J1073" t="s">
        <v>154</v>
      </c>
      <c r="K1073" s="34">
        <f t="shared" si="185"/>
        <v>2500</v>
      </c>
      <c r="M1073" s="259"/>
      <c r="N1073" s="260"/>
    </row>
    <row r="1074" spans="1:14" hidden="1">
      <c r="A1074" s="50" t="str">
        <f t="shared" si="184"/>
        <v xml:space="preserve">By. Biaya </v>
      </c>
      <c r="B1074" s="214">
        <v>46143</v>
      </c>
      <c r="C1074" s="211" t="s">
        <v>1859</v>
      </c>
      <c r="D1074" t="s">
        <v>2083</v>
      </c>
      <c r="F1074" s="52">
        <f>IF(G1074="","",INDEX(COA!$A$4:$A$123,MATCH(JU!$G1074,COA!$B$4:$B$123,0)))</f>
        <v>5109</v>
      </c>
      <c r="G1074" t="s">
        <v>73</v>
      </c>
      <c r="H1074" s="216">
        <v>2000000</v>
      </c>
      <c r="I1074" s="52">
        <f>IF(J1074="","",INDEX(COA!$A$4:$A$123,MATCH(JU!$J1074,COA!$B$4:$B$123,0)))</f>
        <v>1103</v>
      </c>
      <c r="J1074" t="s">
        <v>154</v>
      </c>
      <c r="K1074" s="34">
        <f t="shared" si="185"/>
        <v>2000000</v>
      </c>
      <c r="M1074" s="259"/>
      <c r="N1074" s="260"/>
    </row>
    <row r="1075" spans="1:14" hidden="1">
      <c r="A1075" s="50" t="str">
        <f t="shared" si="184"/>
        <v xml:space="preserve">By. Biaya </v>
      </c>
      <c r="B1075" s="214">
        <v>46143</v>
      </c>
      <c r="C1075" s="211" t="s">
        <v>1860</v>
      </c>
      <c r="D1075" t="s">
        <v>2084</v>
      </c>
      <c r="F1075" s="52">
        <f>IF(G1075="","",INDEX(COA!$A$4:$A$123,MATCH(JU!$G1075,COA!$B$4:$B$123,0)))</f>
        <v>5109</v>
      </c>
      <c r="G1075" t="s">
        <v>73</v>
      </c>
      <c r="H1075" s="216">
        <v>3000000</v>
      </c>
      <c r="I1075" s="52">
        <f>IF(J1075="","",INDEX(COA!$A$4:$A$123,MATCH(JU!$J1075,COA!$B$4:$B$123,0)))</f>
        <v>1103</v>
      </c>
      <c r="J1075" t="s">
        <v>154</v>
      </c>
      <c r="K1075" s="34">
        <f t="shared" si="185"/>
        <v>3000000</v>
      </c>
      <c r="M1075" s="259"/>
      <c r="N1075" s="260"/>
    </row>
    <row r="1076" spans="1:14" hidden="1">
      <c r="A1076" s="50" t="str">
        <f t="shared" si="184"/>
        <v xml:space="preserve">By. Biaya </v>
      </c>
      <c r="B1076" s="214">
        <v>46143</v>
      </c>
      <c r="C1076" s="211" t="s">
        <v>1861</v>
      </c>
      <c r="D1076" t="s">
        <v>2085</v>
      </c>
      <c r="F1076" s="52">
        <f>IF(G1076="","",INDEX(COA!$A$4:$A$123,MATCH(JU!$G1076,COA!$B$4:$B$123,0)))</f>
        <v>5109</v>
      </c>
      <c r="G1076" t="s">
        <v>73</v>
      </c>
      <c r="H1076" s="216">
        <v>1000000</v>
      </c>
      <c r="I1076" s="52">
        <f>IF(J1076="","",INDEX(COA!$A$4:$A$123,MATCH(JU!$J1076,COA!$B$4:$B$123,0)))</f>
        <v>1103</v>
      </c>
      <c r="J1076" t="s">
        <v>154</v>
      </c>
      <c r="K1076" s="34">
        <f t="shared" si="185"/>
        <v>1000000</v>
      </c>
      <c r="M1076" s="259"/>
      <c r="N1076" s="260"/>
    </row>
    <row r="1077" spans="1:14" hidden="1">
      <c r="A1077" s="50" t="str">
        <f t="shared" si="184"/>
        <v xml:space="preserve">By. Biaya </v>
      </c>
      <c r="B1077" s="214">
        <v>46143</v>
      </c>
      <c r="C1077" s="211" t="s">
        <v>1862</v>
      </c>
      <c r="D1077" t="s">
        <v>2086</v>
      </c>
      <c r="F1077" s="52">
        <f>IF(G1077="","",INDEX(COA!$A$4:$A$123,MATCH(JU!$G1077,COA!$B$4:$B$123,0)))</f>
        <v>5109</v>
      </c>
      <c r="G1077" t="s">
        <v>73</v>
      </c>
      <c r="H1077" s="216">
        <v>1000000</v>
      </c>
      <c r="I1077" s="52">
        <f>IF(J1077="","",INDEX(COA!$A$4:$A$123,MATCH(JU!$J1077,COA!$B$4:$B$123,0)))</f>
        <v>1103</v>
      </c>
      <c r="J1077" t="s">
        <v>154</v>
      </c>
      <c r="K1077" s="34">
        <f t="shared" si="185"/>
        <v>1000000</v>
      </c>
      <c r="M1077" s="259"/>
      <c r="N1077" s="260"/>
    </row>
    <row r="1078" spans="1:14" hidden="1">
      <c r="A1078" s="50" t="str">
        <f t="shared" si="184"/>
        <v xml:space="preserve">By. Biaya </v>
      </c>
      <c r="B1078" s="214">
        <v>46143</v>
      </c>
      <c r="C1078" s="211" t="s">
        <v>1863</v>
      </c>
      <c r="D1078" t="s">
        <v>2087</v>
      </c>
      <c r="F1078" s="52">
        <f>IF(G1078="","",INDEX(COA!$A$4:$A$123,MATCH(JU!$G1078,COA!$B$4:$B$123,0)))</f>
        <v>5109</v>
      </c>
      <c r="G1078" t="s">
        <v>73</v>
      </c>
      <c r="H1078" s="216">
        <v>1000000</v>
      </c>
      <c r="I1078" s="52">
        <f>IF(J1078="","",INDEX(COA!$A$4:$A$123,MATCH(JU!$J1078,COA!$B$4:$B$123,0)))</f>
        <v>1103</v>
      </c>
      <c r="J1078" t="s">
        <v>154</v>
      </c>
      <c r="K1078" s="34">
        <f t="shared" si="185"/>
        <v>1000000</v>
      </c>
      <c r="M1078" s="259"/>
      <c r="N1078" s="260"/>
    </row>
    <row r="1079" spans="1:14" hidden="1">
      <c r="A1079" s="50" t="str">
        <f t="shared" si="184"/>
        <v xml:space="preserve">By. Biaya </v>
      </c>
      <c r="B1079" s="214">
        <v>46143</v>
      </c>
      <c r="C1079" s="211" t="s">
        <v>1864</v>
      </c>
      <c r="D1079" t="s">
        <v>2088</v>
      </c>
      <c r="F1079" s="52">
        <f>IF(G1079="","",INDEX(COA!$A$4:$A$123,MATCH(JU!$G1079,COA!$B$4:$B$123,0)))</f>
        <v>1302</v>
      </c>
      <c r="G1079" t="s">
        <v>31</v>
      </c>
      <c r="H1079" s="216">
        <v>200000</v>
      </c>
      <c r="I1079" s="52">
        <f>IF(J1079="","",INDEX(COA!$A$4:$A$123,MATCH(JU!$J1079,COA!$B$4:$B$123,0)))</f>
        <v>1103</v>
      </c>
      <c r="J1079" t="s">
        <v>154</v>
      </c>
      <c r="K1079" s="34">
        <f t="shared" si="185"/>
        <v>200000</v>
      </c>
      <c r="M1079" s="259"/>
      <c r="N1079" s="260"/>
    </row>
    <row r="1080" spans="1:14" hidden="1">
      <c r="A1080" s="50" t="str">
        <f t="shared" si="184"/>
        <v xml:space="preserve">By. Biaya </v>
      </c>
      <c r="B1080" s="214">
        <v>46143</v>
      </c>
      <c r="C1080" s="211" t="s">
        <v>1865</v>
      </c>
      <c r="D1080" t="s">
        <v>2089</v>
      </c>
      <c r="F1080" s="52">
        <f>IF(G1080="","",INDEX(COA!$A$4:$A$123,MATCH(JU!$G1080,COA!$B$4:$B$123,0)))</f>
        <v>6101</v>
      </c>
      <c r="G1080" t="s">
        <v>75</v>
      </c>
      <c r="H1080" s="216">
        <v>44444</v>
      </c>
      <c r="I1080" s="52">
        <f>IF(J1080="","",INDEX(COA!$A$4:$A$123,MATCH(JU!$J1080,COA!$B$4:$B$123,0)))</f>
        <v>1103</v>
      </c>
      <c r="J1080" t="s">
        <v>154</v>
      </c>
      <c r="K1080" s="34">
        <f t="shared" si="185"/>
        <v>44444</v>
      </c>
      <c r="M1080" s="259"/>
      <c r="N1080" s="260"/>
    </row>
    <row r="1081" spans="1:14" hidden="1">
      <c r="A1081" s="50" t="str">
        <f t="shared" si="184"/>
        <v xml:space="preserve">By. Biaya </v>
      </c>
      <c r="B1081" s="214">
        <v>46143</v>
      </c>
      <c r="C1081" s="211" t="s">
        <v>1866</v>
      </c>
      <c r="D1081" s="266" t="s">
        <v>2090</v>
      </c>
      <c r="F1081" s="52">
        <f>IF(G1081="","",INDEX(COA!$A$4:$A$123,MATCH(JU!$G1081,COA!$B$4:$B$123,0)))</f>
        <v>1202</v>
      </c>
      <c r="G1081" t="s">
        <v>27</v>
      </c>
      <c r="H1081" s="216">
        <v>1144000</v>
      </c>
      <c r="I1081" s="52">
        <f>IF(J1081="","",INDEX(COA!$A$4:$A$123,MATCH(JU!$J1081,COA!$B$4:$B$123,0)))</f>
        <v>1103</v>
      </c>
      <c r="J1081" t="s">
        <v>154</v>
      </c>
      <c r="K1081" s="34">
        <f t="shared" si="185"/>
        <v>1144000</v>
      </c>
      <c r="M1081" s="259"/>
      <c r="N1081" s="260"/>
    </row>
    <row r="1082" spans="1:14" hidden="1">
      <c r="A1082" s="50" t="str">
        <f t="shared" si="184"/>
        <v xml:space="preserve">By. Biaya </v>
      </c>
      <c r="B1082" s="214">
        <v>46143</v>
      </c>
      <c r="C1082" s="211" t="s">
        <v>1852</v>
      </c>
      <c r="D1082" t="s">
        <v>2076</v>
      </c>
      <c r="F1082" s="52" t="str">
        <f>IF(G1082="","",INDEX(COA!$A$4:$A$123,MATCH(JU!$G1082,COA!$B$4:$B$123,0)))</f>
        <v>6303</v>
      </c>
      <c r="G1082" t="s">
        <v>87</v>
      </c>
      <c r="H1082" s="216">
        <v>2500</v>
      </c>
      <c r="I1082" s="52">
        <f>IF(J1082="","",INDEX(COA!$A$4:$A$123,MATCH(JU!$J1082,COA!$B$4:$B$123,0)))</f>
        <v>1103</v>
      </c>
      <c r="J1082" t="s">
        <v>154</v>
      </c>
      <c r="K1082" s="34">
        <f t="shared" si="185"/>
        <v>2500</v>
      </c>
      <c r="M1082" s="259"/>
      <c r="N1082" s="260"/>
    </row>
    <row r="1083" spans="1:14" hidden="1">
      <c r="A1083" s="50" t="str">
        <f t="shared" si="184"/>
        <v xml:space="preserve">Terima Uang Masuk atas </v>
      </c>
      <c r="B1083" s="214">
        <v>46143</v>
      </c>
      <c r="C1083" s="211" t="s">
        <v>496</v>
      </c>
      <c r="D1083" t="s">
        <v>2091</v>
      </c>
      <c r="F1083" s="52">
        <f>IF(G1083="","",INDEX(COA!$A$4:$A$123,MATCH(JU!$G1083,COA!$B$4:$B$123,0)))</f>
        <v>1103</v>
      </c>
      <c r="G1083" t="s">
        <v>154</v>
      </c>
      <c r="H1083" s="216">
        <v>100000000</v>
      </c>
      <c r="I1083" s="52">
        <f>IF(J1083="","",INDEX(COA!$A$4:$A$123,MATCH(JU!$J1083,COA!$B$4:$B$123,0)))</f>
        <v>1108</v>
      </c>
      <c r="J1083" t="s">
        <v>155</v>
      </c>
      <c r="K1083" s="34">
        <f t="shared" si="185"/>
        <v>100000000</v>
      </c>
      <c r="M1083" s="259"/>
      <c r="N1083" s="260"/>
    </row>
    <row r="1084" spans="1:14" hidden="1">
      <c r="A1084" s="50" t="str">
        <f t="shared" si="184"/>
        <v xml:space="preserve">By. Biaya </v>
      </c>
      <c r="B1084" s="214">
        <v>46143</v>
      </c>
      <c r="C1084" s="211" t="s">
        <v>498</v>
      </c>
      <c r="D1084" s="266" t="s">
        <v>2092</v>
      </c>
      <c r="F1084" s="52" t="str">
        <f>IF(G1084="","",INDEX(COA!$A$4:$A$123,MATCH(JU!$G1084,COA!$B$4:$B$123,0)))</f>
        <v>2101</v>
      </c>
      <c r="G1084" t="s">
        <v>45</v>
      </c>
      <c r="H1084" s="216">
        <v>80000000</v>
      </c>
      <c r="I1084" s="52">
        <f>IF(J1084="","",INDEX(COA!$A$4:$A$123,MATCH(JU!$J1084,COA!$B$4:$B$123,0)))</f>
        <v>1103</v>
      </c>
      <c r="J1084" t="s">
        <v>154</v>
      </c>
      <c r="K1084" s="34">
        <f t="shared" si="185"/>
        <v>80000000</v>
      </c>
      <c r="M1084" s="259"/>
      <c r="N1084" s="260"/>
    </row>
    <row r="1085" spans="1:14" hidden="1">
      <c r="A1085" s="50" t="str">
        <f t="shared" si="184"/>
        <v xml:space="preserve">By. Biaya </v>
      </c>
      <c r="B1085" s="214">
        <v>46143</v>
      </c>
      <c r="C1085" s="211" t="s">
        <v>1867</v>
      </c>
      <c r="D1085" t="s">
        <v>2093</v>
      </c>
      <c r="F1085" s="52">
        <f>IF(G1085="","",INDEX(COA!$A$4:$A$123,MATCH(JU!$G1085,COA!$B$4:$B$123,0)))</f>
        <v>5109</v>
      </c>
      <c r="G1085" t="s">
        <v>73</v>
      </c>
      <c r="H1085" s="216">
        <v>13500000</v>
      </c>
      <c r="I1085" s="52">
        <f>IF(J1085="","",INDEX(COA!$A$4:$A$123,MATCH(JU!$J1085,COA!$B$4:$B$123,0)))</f>
        <v>1103</v>
      </c>
      <c r="J1085" t="s">
        <v>154</v>
      </c>
      <c r="K1085" s="34">
        <f t="shared" si="185"/>
        <v>13500000</v>
      </c>
      <c r="M1085" s="259"/>
      <c r="N1085" s="260"/>
    </row>
    <row r="1086" spans="1:14" hidden="1">
      <c r="A1086" s="50" t="str">
        <f t="shared" si="184"/>
        <v xml:space="preserve">By. Biaya </v>
      </c>
      <c r="B1086" s="214">
        <v>46144</v>
      </c>
      <c r="C1086" s="211" t="s">
        <v>499</v>
      </c>
      <c r="D1086" t="s">
        <v>2094</v>
      </c>
      <c r="F1086" s="52" t="str">
        <f>IF(G1086="","",INDEX(COA!$A$4:$A$123,MATCH(JU!$G1086,COA!$B$4:$B$123,0)))</f>
        <v>6201</v>
      </c>
      <c r="G1086" t="s">
        <v>81</v>
      </c>
      <c r="H1086" s="216">
        <v>1000000</v>
      </c>
      <c r="I1086" s="52">
        <f>IF(J1086="","",INDEX(COA!$A$4:$A$123,MATCH(JU!$J1086,COA!$B$4:$B$123,0)))</f>
        <v>1103</v>
      </c>
      <c r="J1086" t="s">
        <v>154</v>
      </c>
      <c r="K1086" s="34">
        <f t="shared" si="185"/>
        <v>1000000</v>
      </c>
      <c r="M1086" s="259"/>
      <c r="N1086" s="260"/>
    </row>
    <row r="1087" spans="1:14" hidden="1">
      <c r="A1087" s="50" t="str">
        <f t="shared" si="184"/>
        <v xml:space="preserve">By. Biaya </v>
      </c>
      <c r="B1087" s="215">
        <v>46144</v>
      </c>
      <c r="C1087" s="211" t="s">
        <v>1852</v>
      </c>
      <c r="D1087" t="s">
        <v>2076</v>
      </c>
      <c r="F1087" s="52" t="str">
        <f>IF(G1087="","",INDEX(COA!$A$4:$A$123,MATCH(JU!$G1087,COA!$B$4:$B$123,0)))</f>
        <v>6303</v>
      </c>
      <c r="G1087" t="s">
        <v>87</v>
      </c>
      <c r="H1087" s="216">
        <v>2500</v>
      </c>
      <c r="I1087" s="52">
        <f>IF(J1087="","",INDEX(COA!$A$4:$A$123,MATCH(JU!$J1087,COA!$B$4:$B$123,0)))</f>
        <v>1103</v>
      </c>
      <c r="J1087" t="s">
        <v>154</v>
      </c>
      <c r="K1087" s="34">
        <f t="shared" si="185"/>
        <v>2500</v>
      </c>
      <c r="M1087" s="259"/>
      <c r="N1087" s="260"/>
    </row>
    <row r="1088" spans="1:14" hidden="1">
      <c r="A1088" s="50" t="str">
        <f t="shared" si="184"/>
        <v xml:space="preserve">By. Biaya </v>
      </c>
      <c r="B1088" s="214">
        <v>46144</v>
      </c>
      <c r="C1088" s="211" t="s">
        <v>1868</v>
      </c>
      <c r="D1088" t="s">
        <v>2095</v>
      </c>
      <c r="F1088" s="52">
        <f>IF(G1088="","",INDEX(COA!$A$4:$A$123,MATCH(JU!$G1088,COA!$B$4:$B$123,0)))</f>
        <v>5109</v>
      </c>
      <c r="G1088" t="s">
        <v>73</v>
      </c>
      <c r="H1088" s="216">
        <v>1000000</v>
      </c>
      <c r="I1088" s="52">
        <f>IF(J1088="","",INDEX(COA!$A$4:$A$123,MATCH(JU!$J1088,COA!$B$4:$B$123,0)))</f>
        <v>1103</v>
      </c>
      <c r="J1088" t="s">
        <v>154</v>
      </c>
      <c r="K1088" s="34">
        <f t="shared" si="185"/>
        <v>1000000</v>
      </c>
      <c r="M1088" s="259"/>
      <c r="N1088" s="260"/>
    </row>
    <row r="1089" spans="1:14" hidden="1">
      <c r="A1089" s="50" t="str">
        <f t="shared" si="184"/>
        <v xml:space="preserve">By. Biaya </v>
      </c>
      <c r="B1089" s="214">
        <v>46144</v>
      </c>
      <c r="C1089" s="211" t="s">
        <v>1869</v>
      </c>
      <c r="D1089" t="s">
        <v>2096</v>
      </c>
      <c r="F1089" s="52">
        <f>IF(G1089="","",INDEX(COA!$A$4:$A$123,MATCH(JU!$G1089,COA!$B$4:$B$123,0)))</f>
        <v>5107</v>
      </c>
      <c r="G1089" t="s">
        <v>71</v>
      </c>
      <c r="H1089" s="216">
        <v>5000000</v>
      </c>
      <c r="I1089" s="52">
        <f>IF(J1089="","",INDEX(COA!$A$4:$A$123,MATCH(JU!$J1089,COA!$B$4:$B$123,0)))</f>
        <v>1103</v>
      </c>
      <c r="J1089" t="s">
        <v>154</v>
      </c>
      <c r="K1089" s="34">
        <f t="shared" si="185"/>
        <v>5000000</v>
      </c>
      <c r="M1089" s="259"/>
      <c r="N1089" s="260"/>
    </row>
    <row r="1090" spans="1:14" hidden="1">
      <c r="A1090" s="50" t="str">
        <f t="shared" si="184"/>
        <v xml:space="preserve">By. Biaya </v>
      </c>
      <c r="B1090" s="214">
        <v>46144</v>
      </c>
      <c r="C1090" s="211" t="s">
        <v>500</v>
      </c>
      <c r="D1090" t="s">
        <v>2097</v>
      </c>
      <c r="F1090" s="52">
        <f>IF(G1090="","",INDEX(COA!$A$4:$A$123,MATCH(JU!$G1090,COA!$B$4:$B$123,0)))</f>
        <v>6402</v>
      </c>
      <c r="G1090" t="s">
        <v>90</v>
      </c>
      <c r="H1090" s="216">
        <v>3100000</v>
      </c>
      <c r="I1090" s="52">
        <f>IF(J1090="","",INDEX(COA!$A$4:$A$123,MATCH(JU!$J1090,COA!$B$4:$B$123,0)))</f>
        <v>1103</v>
      </c>
      <c r="J1090" t="s">
        <v>154</v>
      </c>
      <c r="K1090" s="34">
        <f t="shared" si="185"/>
        <v>3100000</v>
      </c>
      <c r="M1090" s="259"/>
      <c r="N1090" s="260"/>
    </row>
    <row r="1091" spans="1:14" hidden="1">
      <c r="A1091" s="50" t="str">
        <f t="shared" si="184"/>
        <v xml:space="preserve">Terima Uang Masuk atas </v>
      </c>
      <c r="B1091" s="214">
        <v>46146</v>
      </c>
      <c r="C1091" s="211" t="s">
        <v>1870</v>
      </c>
      <c r="D1091" t="s">
        <v>2098</v>
      </c>
      <c r="F1091" s="52">
        <f>IF(G1091="","",INDEX(COA!$A$4:$A$123,MATCH(JU!$G1091,COA!$B$4:$B$123,0)))</f>
        <v>1103</v>
      </c>
      <c r="G1091" t="s">
        <v>154</v>
      </c>
      <c r="H1091" s="216">
        <v>100000000</v>
      </c>
      <c r="I1091" s="52">
        <f>IF(J1091="","",INDEX(COA!$A$4:$A$123,MATCH(JU!$J1091,COA!$B$4:$B$123,0)))</f>
        <v>1108</v>
      </c>
      <c r="J1091" t="s">
        <v>155</v>
      </c>
      <c r="K1091" s="34">
        <f t="shared" si="185"/>
        <v>100000000</v>
      </c>
      <c r="M1091" s="259"/>
      <c r="N1091" s="260"/>
    </row>
    <row r="1092" spans="1:14" hidden="1">
      <c r="A1092" s="50" t="str">
        <f t="shared" si="184"/>
        <v xml:space="preserve">By. Biaya </v>
      </c>
      <c r="B1092" s="214">
        <v>46146</v>
      </c>
      <c r="C1092" s="211" t="s">
        <v>1871</v>
      </c>
      <c r="D1092" t="s">
        <v>2099</v>
      </c>
      <c r="F1092" s="52">
        <f>IF(G1092="","",INDEX(COA!$A$4:$A$123,MATCH(JU!$G1092,COA!$B$4:$B$123,0)))</f>
        <v>7101</v>
      </c>
      <c r="G1092" t="s">
        <v>93</v>
      </c>
      <c r="H1092" s="216">
        <v>32724750</v>
      </c>
      <c r="I1092" s="52">
        <f>IF(J1092="","",INDEX(COA!$A$4:$A$123,MATCH(JU!$J1092,COA!$B$4:$B$123,0)))</f>
        <v>1103</v>
      </c>
      <c r="J1092" t="s">
        <v>154</v>
      </c>
      <c r="K1092" s="34">
        <f t="shared" si="185"/>
        <v>32724750</v>
      </c>
      <c r="M1092" s="259"/>
      <c r="N1092" s="260"/>
    </row>
    <row r="1093" spans="1:14" hidden="1">
      <c r="A1093" s="50" t="str">
        <f t="shared" ref="A1093" si="186">IF(G1093="BRI 568","Terima Uang Masuk atas ","By. Biaya ")</f>
        <v xml:space="preserve">By. Biaya </v>
      </c>
      <c r="B1093" s="214">
        <v>46146</v>
      </c>
      <c r="C1093" s="211" t="s">
        <v>1872</v>
      </c>
      <c r="D1093" t="s">
        <v>2276</v>
      </c>
      <c r="F1093" s="52">
        <f>IF(G1093="","",INDEX(COA!$A$4:$A$123,MATCH(JU!$G1093,COA!$B$4:$B$123,0)))</f>
        <v>1301</v>
      </c>
      <c r="G1093" t="s">
        <v>30</v>
      </c>
      <c r="H1093" s="216">
        <v>150000000</v>
      </c>
      <c r="I1093" s="52" t="str">
        <f>IF(J1093="","",INDEX(COA!$A$4:$A$123,MATCH(JU!$J1093,COA!$B$4:$B$123,0)))</f>
        <v>2101</v>
      </c>
      <c r="J1093" t="s">
        <v>45</v>
      </c>
      <c r="K1093" s="34">
        <f t="shared" ref="K1093" si="187">IF(H1093="","",H1093)</f>
        <v>150000000</v>
      </c>
      <c r="M1093" s="259"/>
      <c r="N1093" s="260"/>
    </row>
    <row r="1094" spans="1:14" hidden="1">
      <c r="A1094" s="50" t="str">
        <f t="shared" si="184"/>
        <v xml:space="preserve">By. Biaya </v>
      </c>
      <c r="B1094" s="214">
        <v>46146</v>
      </c>
      <c r="C1094" s="211" t="s">
        <v>1872</v>
      </c>
      <c r="D1094" t="s">
        <v>2100</v>
      </c>
      <c r="F1094" s="52" t="str">
        <f>IF(G1094="","",INDEX(COA!$A$4:$A$123,MATCH(JU!$G1094,COA!$B$4:$B$123,0)))</f>
        <v>2101</v>
      </c>
      <c r="G1094" t="s">
        <v>45</v>
      </c>
      <c r="H1094" s="216">
        <v>19000000</v>
      </c>
      <c r="I1094" s="52">
        <f>IF(J1094="","",INDEX(COA!$A$4:$A$123,MATCH(JU!$J1094,COA!$B$4:$B$123,0)))</f>
        <v>1103</v>
      </c>
      <c r="J1094" t="s">
        <v>154</v>
      </c>
      <c r="K1094" s="34">
        <f t="shared" si="185"/>
        <v>19000000</v>
      </c>
      <c r="M1094" s="259"/>
      <c r="N1094" s="260"/>
    </row>
    <row r="1095" spans="1:14" hidden="1">
      <c r="A1095" s="50" t="str">
        <f t="shared" si="184"/>
        <v xml:space="preserve">By. Biaya </v>
      </c>
      <c r="B1095" s="214">
        <v>46146</v>
      </c>
      <c r="C1095" s="211" t="s">
        <v>1873</v>
      </c>
      <c r="D1095" t="s">
        <v>2101</v>
      </c>
      <c r="F1095" s="52">
        <f>IF(G1095="","",INDEX(COA!$A$4:$A$123,MATCH(JU!$G1095,COA!$B$4:$B$123,0)))</f>
        <v>1203</v>
      </c>
      <c r="G1095" t="s">
        <v>140</v>
      </c>
      <c r="H1095" s="216">
        <v>300000</v>
      </c>
      <c r="I1095" s="52">
        <f>IF(J1095="","",INDEX(COA!$A$4:$A$123,MATCH(JU!$J1095,COA!$B$4:$B$123,0)))</f>
        <v>1103</v>
      </c>
      <c r="J1095" t="s">
        <v>154</v>
      </c>
      <c r="K1095" s="34">
        <f t="shared" si="185"/>
        <v>300000</v>
      </c>
      <c r="M1095" s="259"/>
      <c r="N1095" s="260"/>
    </row>
    <row r="1096" spans="1:14" hidden="1">
      <c r="A1096" s="50" t="str">
        <f t="shared" si="184"/>
        <v xml:space="preserve">By. Biaya </v>
      </c>
      <c r="B1096" s="214">
        <v>46146</v>
      </c>
      <c r="C1096" s="211" t="s">
        <v>1852</v>
      </c>
      <c r="D1096" t="s">
        <v>2076</v>
      </c>
      <c r="F1096" s="52" t="str">
        <f>IF(G1096="","",INDEX(COA!$A$4:$A$123,MATCH(JU!$G1096,COA!$B$4:$B$123,0)))</f>
        <v>6303</v>
      </c>
      <c r="G1096" t="s">
        <v>87</v>
      </c>
      <c r="H1096" s="216">
        <v>2500</v>
      </c>
      <c r="I1096" s="52">
        <f>IF(J1096="","",INDEX(COA!$A$4:$A$123,MATCH(JU!$J1096,COA!$B$4:$B$123,0)))</f>
        <v>1103</v>
      </c>
      <c r="J1096" t="s">
        <v>154</v>
      </c>
      <c r="K1096" s="34">
        <f t="shared" si="185"/>
        <v>2500</v>
      </c>
      <c r="M1096" s="259"/>
      <c r="N1096" s="260"/>
    </row>
    <row r="1097" spans="1:14">
      <c r="A1097" s="50" t="str">
        <f t="shared" si="184"/>
        <v xml:space="preserve">By. Biaya </v>
      </c>
      <c r="B1097" s="214">
        <v>46146</v>
      </c>
      <c r="C1097" s="211" t="s">
        <v>1874</v>
      </c>
      <c r="D1097" t="s">
        <v>2102</v>
      </c>
      <c r="F1097" s="52">
        <f>IF(G1097="","",INDEX(COA!$A$4:$A$123,MATCH(JU!$G1097,COA!$B$4:$B$123,0)))</f>
        <v>1302</v>
      </c>
      <c r="G1097" t="s">
        <v>31</v>
      </c>
      <c r="H1097" s="216">
        <v>20000000</v>
      </c>
      <c r="I1097" s="52">
        <f>IF(J1097="","",INDEX(COA!$A$4:$A$123,MATCH(JU!$J1097,COA!$B$4:$B$123,0)))</f>
        <v>1103</v>
      </c>
      <c r="J1097" t="s">
        <v>154</v>
      </c>
      <c r="K1097" s="34">
        <f t="shared" si="185"/>
        <v>20000000</v>
      </c>
      <c r="M1097" s="259"/>
      <c r="N1097" s="260"/>
    </row>
    <row r="1098" spans="1:14" hidden="1">
      <c r="A1098" s="50" t="str">
        <f t="shared" si="184"/>
        <v xml:space="preserve">By. Biaya </v>
      </c>
      <c r="B1098" s="214">
        <v>46146</v>
      </c>
      <c r="C1098" s="211" t="s">
        <v>1875</v>
      </c>
      <c r="D1098" t="s">
        <v>2103</v>
      </c>
      <c r="F1098" s="52">
        <f>IF(G1098="","",INDEX(COA!$A$4:$A$123,MATCH(JU!$G1098,COA!$B$4:$B$123,0)))</f>
        <v>1302</v>
      </c>
      <c r="G1098" t="s">
        <v>31</v>
      </c>
      <c r="H1098" s="216">
        <v>1100000</v>
      </c>
      <c r="I1098" s="52">
        <f>IF(J1098="","",INDEX(COA!$A$4:$A$123,MATCH(JU!$J1098,COA!$B$4:$B$123,0)))</f>
        <v>1103</v>
      </c>
      <c r="J1098" t="s">
        <v>154</v>
      </c>
      <c r="K1098" s="34">
        <f t="shared" si="185"/>
        <v>1100000</v>
      </c>
      <c r="M1098" s="259"/>
      <c r="N1098" s="260"/>
    </row>
    <row r="1099" spans="1:14">
      <c r="A1099" s="50" t="str">
        <f t="shared" si="184"/>
        <v xml:space="preserve">By. Biaya </v>
      </c>
      <c r="B1099" s="214">
        <v>46146</v>
      </c>
      <c r="C1099" s="211" t="s">
        <v>1876</v>
      </c>
      <c r="D1099" t="s">
        <v>2104</v>
      </c>
      <c r="F1099" s="52">
        <f>IF(G1099="","",INDEX(COA!$A$4:$A$123,MATCH(JU!$G1099,COA!$B$4:$B$123,0)))</f>
        <v>1302</v>
      </c>
      <c r="G1099" t="s">
        <v>31</v>
      </c>
      <c r="H1099" s="216">
        <v>14850000</v>
      </c>
      <c r="I1099" s="52">
        <f>IF(J1099="","",INDEX(COA!$A$4:$A$123,MATCH(JU!$J1099,COA!$B$4:$B$123,0)))</f>
        <v>1103</v>
      </c>
      <c r="J1099" t="s">
        <v>154</v>
      </c>
      <c r="K1099" s="34">
        <f t="shared" si="185"/>
        <v>14850000</v>
      </c>
      <c r="M1099" s="259"/>
      <c r="N1099" s="260"/>
    </row>
    <row r="1100" spans="1:14" hidden="1">
      <c r="A1100" s="50" t="str">
        <f t="shared" si="184"/>
        <v xml:space="preserve">By. Biaya </v>
      </c>
      <c r="B1100" s="214">
        <v>46146</v>
      </c>
      <c r="C1100" s="211" t="s">
        <v>1877</v>
      </c>
      <c r="D1100" t="s">
        <v>2105</v>
      </c>
      <c r="F1100" s="52">
        <f>IF(G1100="","",INDEX(COA!$A$4:$A$123,MATCH(JU!$G1100,COA!$B$4:$B$123,0)))</f>
        <v>1406</v>
      </c>
      <c r="G1100" t="s">
        <v>38</v>
      </c>
      <c r="H1100" s="216">
        <v>500000</v>
      </c>
      <c r="I1100" s="52">
        <f>IF(J1100="","",INDEX(COA!$A$4:$A$123,MATCH(JU!$J1100,COA!$B$4:$B$123,0)))</f>
        <v>1103</v>
      </c>
      <c r="J1100" t="s">
        <v>154</v>
      </c>
      <c r="K1100" s="34">
        <f t="shared" si="185"/>
        <v>500000</v>
      </c>
      <c r="M1100" s="259"/>
      <c r="N1100" s="260"/>
    </row>
    <row r="1101" spans="1:14" hidden="1">
      <c r="A1101" s="50" t="str">
        <f t="shared" si="184"/>
        <v xml:space="preserve">By. Biaya </v>
      </c>
      <c r="B1101" s="214">
        <v>46146</v>
      </c>
      <c r="C1101" s="211" t="s">
        <v>1852</v>
      </c>
      <c r="D1101" t="s">
        <v>2076</v>
      </c>
      <c r="F1101" s="52" t="str">
        <f>IF(G1101="","",INDEX(COA!$A$4:$A$123,MATCH(JU!$G1101,COA!$B$4:$B$123,0)))</f>
        <v>6303</v>
      </c>
      <c r="G1101" t="s">
        <v>87</v>
      </c>
      <c r="H1101" s="216">
        <v>2500</v>
      </c>
      <c r="I1101" s="52">
        <f>IF(J1101="","",INDEX(COA!$A$4:$A$123,MATCH(JU!$J1101,COA!$B$4:$B$123,0)))</f>
        <v>1103</v>
      </c>
      <c r="J1101" t="s">
        <v>154</v>
      </c>
      <c r="K1101" s="34">
        <f t="shared" si="185"/>
        <v>2500</v>
      </c>
      <c r="M1101" s="259"/>
      <c r="N1101" s="260"/>
    </row>
    <row r="1102" spans="1:14" hidden="1">
      <c r="A1102" s="50" t="str">
        <f t="shared" si="184"/>
        <v xml:space="preserve">By. Biaya </v>
      </c>
      <c r="B1102" s="214">
        <v>46146</v>
      </c>
      <c r="C1102" s="211" t="s">
        <v>1878</v>
      </c>
      <c r="D1102" t="s">
        <v>2106</v>
      </c>
      <c r="F1102" s="52">
        <f>IF(G1102="","",INDEX(COA!$A$4:$A$123,MATCH(JU!$G1102,COA!$B$4:$B$123,0)))</f>
        <v>1302</v>
      </c>
      <c r="G1102" t="s">
        <v>31</v>
      </c>
      <c r="H1102" s="216">
        <v>12600000</v>
      </c>
      <c r="I1102" s="52">
        <f>IF(J1102="","",INDEX(COA!$A$4:$A$123,MATCH(JU!$J1102,COA!$B$4:$B$123,0)))</f>
        <v>1103</v>
      </c>
      <c r="J1102" t="s">
        <v>154</v>
      </c>
      <c r="K1102" s="34">
        <f t="shared" si="185"/>
        <v>12600000</v>
      </c>
      <c r="M1102" s="259"/>
      <c r="N1102" s="260"/>
    </row>
    <row r="1103" spans="1:14" hidden="1">
      <c r="A1103" s="50" t="str">
        <f t="shared" si="184"/>
        <v xml:space="preserve">Terima Uang Masuk atas </v>
      </c>
      <c r="B1103" s="214">
        <v>46146</v>
      </c>
      <c r="C1103" s="211" t="s">
        <v>1870</v>
      </c>
      <c r="D1103" t="s">
        <v>2098</v>
      </c>
      <c r="F1103" s="52">
        <f>IF(G1103="","",INDEX(COA!$A$4:$A$123,MATCH(JU!$G1103,COA!$B$4:$B$123,0)))</f>
        <v>1103</v>
      </c>
      <c r="G1103" t="s">
        <v>154</v>
      </c>
      <c r="H1103" s="216">
        <v>50000000</v>
      </c>
      <c r="I1103" s="52">
        <f>IF(J1103="","",INDEX(COA!$A$4:$A$123,MATCH(JU!$J1103,COA!$B$4:$B$123,0)))</f>
        <v>1108</v>
      </c>
      <c r="J1103" t="s">
        <v>155</v>
      </c>
      <c r="K1103" s="34">
        <f t="shared" si="185"/>
        <v>50000000</v>
      </c>
      <c r="M1103" s="259"/>
      <c r="N1103" s="260"/>
    </row>
    <row r="1104" spans="1:14" hidden="1">
      <c r="A1104" s="50" t="str">
        <f t="shared" si="184"/>
        <v xml:space="preserve">By. Biaya </v>
      </c>
      <c r="B1104" s="214">
        <v>46146</v>
      </c>
      <c r="C1104" s="211" t="s">
        <v>1879</v>
      </c>
      <c r="D1104" t="s">
        <v>2107</v>
      </c>
      <c r="F1104" s="52">
        <f>IF(G1104="","",INDEX(COA!$A$4:$A$123,MATCH(JU!$G1104,COA!$B$4:$B$123,0)))</f>
        <v>7101</v>
      </c>
      <c r="G1104" t="s">
        <v>93</v>
      </c>
      <c r="H1104" s="216">
        <v>16250000</v>
      </c>
      <c r="I1104" s="52">
        <f>IF(J1104="","",INDEX(COA!$A$4:$A$123,MATCH(JU!$J1104,COA!$B$4:$B$123,0)))</f>
        <v>1103</v>
      </c>
      <c r="J1104" t="s">
        <v>154</v>
      </c>
      <c r="K1104" s="34">
        <f t="shared" si="185"/>
        <v>16250000</v>
      </c>
      <c r="M1104" s="259"/>
      <c r="N1104" s="260"/>
    </row>
    <row r="1105" spans="1:14" hidden="1">
      <c r="A1105" s="50" t="str">
        <f t="shared" si="184"/>
        <v xml:space="preserve">By. Biaya </v>
      </c>
      <c r="B1105" s="214">
        <v>46146</v>
      </c>
      <c r="C1105" s="211" t="s">
        <v>1880</v>
      </c>
      <c r="D1105" t="s">
        <v>2108</v>
      </c>
      <c r="F1105" s="52">
        <f>IF(G1105="","",INDEX(COA!$A$4:$A$123,MATCH(JU!$G1105,COA!$B$4:$B$123,0)))</f>
        <v>1302</v>
      </c>
      <c r="G1105" t="s">
        <v>31</v>
      </c>
      <c r="H1105" s="216">
        <v>7217000</v>
      </c>
      <c r="I1105" s="52">
        <f>IF(J1105="","",INDEX(COA!$A$4:$A$123,MATCH(JU!$J1105,COA!$B$4:$B$123,0)))</f>
        <v>1103</v>
      </c>
      <c r="J1105" t="s">
        <v>154</v>
      </c>
      <c r="K1105" s="34">
        <f t="shared" si="185"/>
        <v>7217000</v>
      </c>
      <c r="M1105" s="259"/>
      <c r="N1105" s="260"/>
    </row>
    <row r="1106" spans="1:14" hidden="1">
      <c r="A1106" s="50" t="str">
        <f t="shared" si="184"/>
        <v xml:space="preserve">Terima Uang Masuk atas </v>
      </c>
      <c r="B1106" s="214">
        <v>46146</v>
      </c>
      <c r="C1106" s="211" t="s">
        <v>1881</v>
      </c>
      <c r="D1106" t="s">
        <v>2109</v>
      </c>
      <c r="F1106" s="52">
        <f>IF(G1106="","",INDEX(COA!$A$4:$A$123,MATCH(JU!$G1106,COA!$B$4:$B$123,0)))</f>
        <v>1103</v>
      </c>
      <c r="G1106" t="s">
        <v>154</v>
      </c>
      <c r="H1106" s="216">
        <v>1800000000</v>
      </c>
      <c r="I1106" s="52" t="str">
        <f>IF(J1106="","",INDEX(COA!$A$4:$A$123,MATCH(JU!$J1106,COA!$B$4:$B$123,0)))</f>
        <v>2101</v>
      </c>
      <c r="J1106" t="s">
        <v>45</v>
      </c>
      <c r="K1106" s="34">
        <f t="shared" si="185"/>
        <v>1800000000</v>
      </c>
      <c r="M1106" s="259"/>
      <c r="N1106" s="260"/>
    </row>
    <row r="1107" spans="1:14" hidden="1">
      <c r="A1107" s="50" t="str">
        <f t="shared" si="184"/>
        <v xml:space="preserve">By. Biaya </v>
      </c>
      <c r="B1107" s="214">
        <v>46146</v>
      </c>
      <c r="C1107" s="211" t="s">
        <v>1176</v>
      </c>
      <c r="D1107" t="s">
        <v>1340</v>
      </c>
      <c r="F1107" s="52">
        <f>IF(G1107="","",INDEX(COA!$A$4:$A$123,MATCH(JU!$G1107,COA!$B$4:$B$123,0)))</f>
        <v>1302</v>
      </c>
      <c r="G1107" t="s">
        <v>31</v>
      </c>
      <c r="H1107" s="216">
        <v>229000000</v>
      </c>
      <c r="I1107" s="52">
        <f>IF(J1107="","",INDEX(COA!$A$4:$A$123,MATCH(JU!$J1107,COA!$B$4:$B$123,0)))</f>
        <v>1103</v>
      </c>
      <c r="J1107" t="s">
        <v>154</v>
      </c>
      <c r="K1107" s="34">
        <f t="shared" si="185"/>
        <v>229000000</v>
      </c>
      <c r="M1107" s="259"/>
      <c r="N1107" s="260"/>
    </row>
    <row r="1108" spans="1:14" hidden="1">
      <c r="A1108" s="50" t="str">
        <f t="shared" si="184"/>
        <v xml:space="preserve">By. Biaya </v>
      </c>
      <c r="B1108" s="214">
        <v>46146</v>
      </c>
      <c r="C1108" s="211" t="s">
        <v>1882</v>
      </c>
      <c r="D1108" t="s">
        <v>2332</v>
      </c>
      <c r="F1108" s="52">
        <f>IF(G1108="","",INDEX(COA!$A$4:$A$123,MATCH(JU!$G1108,COA!$B$4:$B$123,0)))</f>
        <v>1203</v>
      </c>
      <c r="G1108" t="s">
        <v>140</v>
      </c>
      <c r="H1108" s="216">
        <v>19000000</v>
      </c>
      <c r="I1108" s="52">
        <f>IF(J1108="","",INDEX(COA!$A$4:$A$123,MATCH(JU!$J1108,COA!$B$4:$B$123,0)))</f>
        <v>1103</v>
      </c>
      <c r="J1108" t="s">
        <v>154</v>
      </c>
      <c r="K1108" s="34">
        <f t="shared" si="185"/>
        <v>19000000</v>
      </c>
      <c r="M1108" s="259"/>
      <c r="N1108" s="260"/>
    </row>
    <row r="1109" spans="1:14" hidden="1">
      <c r="A1109" s="50" t="str">
        <f t="shared" si="184"/>
        <v xml:space="preserve">Terima Uang Masuk atas </v>
      </c>
      <c r="B1109" s="214">
        <v>46146</v>
      </c>
      <c r="C1109" s="211" t="s">
        <v>428</v>
      </c>
      <c r="D1109" t="s">
        <v>519</v>
      </c>
      <c r="F1109" s="52">
        <f>IF(G1109="","",INDEX(COA!$A$4:$A$123,MATCH(JU!$G1109,COA!$B$4:$B$123,0)))</f>
        <v>1103</v>
      </c>
      <c r="G1109" t="s">
        <v>154</v>
      </c>
      <c r="H1109" s="216">
        <v>600000000</v>
      </c>
      <c r="I1109" s="52" t="str">
        <f>IF(J1109="","",INDEX(COA!$A$4:$A$123,MATCH(JU!$J1109,COA!$B$4:$B$123,0)))</f>
        <v>2107</v>
      </c>
      <c r="J1109" t="s">
        <v>50</v>
      </c>
      <c r="K1109" s="34">
        <f t="shared" si="185"/>
        <v>600000000</v>
      </c>
      <c r="M1109" s="259"/>
      <c r="N1109" s="260"/>
    </row>
    <row r="1110" spans="1:14" hidden="1">
      <c r="A1110" s="50" t="str">
        <f t="shared" si="184"/>
        <v xml:space="preserve">By. Biaya </v>
      </c>
      <c r="B1110" s="214">
        <v>46146</v>
      </c>
      <c r="C1110" s="211" t="s">
        <v>428</v>
      </c>
      <c r="D1110" t="s">
        <v>412</v>
      </c>
      <c r="F1110" s="52" t="str">
        <f>IF(G1110="","",INDEX(COA!$A$4:$A$123,MATCH(JU!$G1110,COA!$B$4:$B$123,0)))</f>
        <v>2107</v>
      </c>
      <c r="G1110" t="s">
        <v>50</v>
      </c>
      <c r="H1110" s="216">
        <v>21600000</v>
      </c>
      <c r="I1110" s="52">
        <f>IF(J1110="","",INDEX(COA!$A$4:$A$123,MATCH(JU!$J1110,COA!$B$4:$B$123,0)))</f>
        <v>1103</v>
      </c>
      <c r="J1110" t="s">
        <v>154</v>
      </c>
      <c r="K1110" s="34">
        <f t="shared" si="185"/>
        <v>21600000</v>
      </c>
      <c r="M1110" s="259"/>
      <c r="N1110" s="260"/>
    </row>
    <row r="1111" spans="1:14" hidden="1">
      <c r="A1111" s="50" t="str">
        <f t="shared" si="184"/>
        <v xml:space="preserve">By. Biaya </v>
      </c>
      <c r="B1111" s="214">
        <v>46146</v>
      </c>
      <c r="C1111" s="211" t="s">
        <v>428</v>
      </c>
      <c r="D1111" t="s">
        <v>412</v>
      </c>
      <c r="F1111" s="52" t="str">
        <f>IF(G1111="","",INDEX(COA!$A$4:$A$123,MATCH(JU!$G1111,COA!$B$4:$B$123,0)))</f>
        <v>2107</v>
      </c>
      <c r="G1111" t="s">
        <v>50</v>
      </c>
      <c r="H1111" s="216">
        <v>400000000</v>
      </c>
      <c r="I1111" s="52">
        <f>IF(J1111="","",INDEX(COA!$A$4:$A$123,MATCH(JU!$J1111,COA!$B$4:$B$123,0)))</f>
        <v>1103</v>
      </c>
      <c r="J1111" t="s">
        <v>154</v>
      </c>
      <c r="K1111" s="34">
        <f t="shared" si="185"/>
        <v>400000000</v>
      </c>
      <c r="M1111" s="259"/>
      <c r="N1111" s="260"/>
    </row>
    <row r="1112" spans="1:14" hidden="1">
      <c r="A1112" s="50" t="str">
        <f t="shared" si="184"/>
        <v xml:space="preserve">By. Biaya </v>
      </c>
      <c r="B1112" s="214">
        <v>46146</v>
      </c>
      <c r="C1112" s="211" t="s">
        <v>428</v>
      </c>
      <c r="D1112" t="s">
        <v>412</v>
      </c>
      <c r="F1112" s="52" t="str">
        <f>IF(G1112="","",INDEX(COA!$A$4:$A$123,MATCH(JU!$G1112,COA!$B$4:$B$123,0)))</f>
        <v>2107</v>
      </c>
      <c r="G1112" t="s">
        <v>50</v>
      </c>
      <c r="H1112" s="216">
        <v>178400000</v>
      </c>
      <c r="I1112" s="52">
        <f>IF(J1112="","",INDEX(COA!$A$4:$A$123,MATCH(JU!$J1112,COA!$B$4:$B$123,0)))</f>
        <v>1103</v>
      </c>
      <c r="J1112" t="s">
        <v>154</v>
      </c>
      <c r="K1112" s="34">
        <f t="shared" si="185"/>
        <v>178400000</v>
      </c>
      <c r="M1112" s="259"/>
      <c r="N1112" s="260"/>
    </row>
    <row r="1113" spans="1:14" hidden="1">
      <c r="A1113" s="50" t="str">
        <f t="shared" si="184"/>
        <v xml:space="preserve">By. Biaya </v>
      </c>
      <c r="B1113" s="214">
        <v>46146</v>
      </c>
      <c r="C1113" s="211" t="s">
        <v>1852</v>
      </c>
      <c r="D1113" t="s">
        <v>2076</v>
      </c>
      <c r="F1113" s="52" t="str">
        <f>IF(G1113="","",INDEX(COA!$A$4:$A$123,MATCH(JU!$G1113,COA!$B$4:$B$123,0)))</f>
        <v>6303</v>
      </c>
      <c r="G1113" t="s">
        <v>87</v>
      </c>
      <c r="H1113" s="216">
        <v>2500</v>
      </c>
      <c r="I1113" s="52">
        <f>IF(J1113="","",INDEX(COA!$A$4:$A$123,MATCH(JU!$J1113,COA!$B$4:$B$123,0)))</f>
        <v>1103</v>
      </c>
      <c r="J1113" t="s">
        <v>154</v>
      </c>
      <c r="K1113" s="34">
        <f t="shared" si="185"/>
        <v>2500</v>
      </c>
      <c r="M1113" s="259"/>
      <c r="N1113" s="260"/>
    </row>
    <row r="1114" spans="1:14" hidden="1">
      <c r="A1114" s="50" t="str">
        <f t="shared" si="184"/>
        <v xml:space="preserve">By. Biaya </v>
      </c>
      <c r="B1114" s="214">
        <v>46146</v>
      </c>
      <c r="C1114" s="211" t="s">
        <v>1883</v>
      </c>
      <c r="D1114" t="s">
        <v>2110</v>
      </c>
      <c r="F1114" s="52">
        <f>IF(G1114="","",INDEX(COA!$A$4:$A$123,MATCH(JU!$G1114,COA!$B$4:$B$123,0)))</f>
        <v>1108</v>
      </c>
      <c r="G1114" t="s">
        <v>155</v>
      </c>
      <c r="H1114" s="216">
        <v>1000000000</v>
      </c>
      <c r="I1114" s="52">
        <f>IF(J1114="","",INDEX(COA!$A$4:$A$123,MATCH(JU!$J1114,COA!$B$4:$B$123,0)))</f>
        <v>1103</v>
      </c>
      <c r="J1114" t="s">
        <v>154</v>
      </c>
      <c r="K1114" s="34">
        <f t="shared" si="185"/>
        <v>1000000000</v>
      </c>
      <c r="M1114" s="259"/>
      <c r="N1114" s="260"/>
    </row>
    <row r="1115" spans="1:14" hidden="1">
      <c r="A1115" s="50" t="str">
        <f t="shared" si="184"/>
        <v xml:space="preserve">By. Biaya </v>
      </c>
      <c r="B1115" s="214">
        <v>46146</v>
      </c>
      <c r="C1115" s="211" t="s">
        <v>1884</v>
      </c>
      <c r="D1115" t="s">
        <v>2111</v>
      </c>
      <c r="F1115" s="52">
        <f>IF(G1115="","",INDEX(COA!$A$4:$A$123,MATCH(JU!$G1115,COA!$B$4:$B$123,0)))</f>
        <v>1302</v>
      </c>
      <c r="G1115" t="s">
        <v>31</v>
      </c>
      <c r="H1115" s="216">
        <v>5000000</v>
      </c>
      <c r="I1115" s="52">
        <f>IF(J1115="","",INDEX(COA!$A$4:$A$123,MATCH(JU!$J1115,COA!$B$4:$B$123,0)))</f>
        <v>1103</v>
      </c>
      <c r="J1115" t="s">
        <v>154</v>
      </c>
      <c r="K1115" s="34">
        <f t="shared" si="185"/>
        <v>5000000</v>
      </c>
      <c r="M1115" s="259"/>
      <c r="N1115" s="260"/>
    </row>
    <row r="1116" spans="1:14" hidden="1">
      <c r="A1116" s="50" t="str">
        <f t="shared" si="184"/>
        <v xml:space="preserve">By. Biaya </v>
      </c>
      <c r="B1116" s="214">
        <v>46146</v>
      </c>
      <c r="C1116" s="211" t="s">
        <v>1885</v>
      </c>
      <c r="D1116" t="s">
        <v>2112</v>
      </c>
      <c r="F1116" s="52">
        <f>IF(G1116="","",INDEX(COA!$A$4:$A$123,MATCH(JU!$G1116,COA!$B$4:$B$123,0)))</f>
        <v>6105</v>
      </c>
      <c r="G1116" t="s">
        <v>148</v>
      </c>
      <c r="H1116" s="216">
        <v>245000</v>
      </c>
      <c r="I1116" s="52">
        <f>IF(J1116="","",INDEX(COA!$A$4:$A$123,MATCH(JU!$J1116,COA!$B$4:$B$123,0)))</f>
        <v>1103</v>
      </c>
      <c r="J1116" t="s">
        <v>154</v>
      </c>
      <c r="K1116" s="34">
        <f t="shared" si="185"/>
        <v>245000</v>
      </c>
      <c r="M1116" s="259"/>
      <c r="N1116" s="260"/>
    </row>
    <row r="1117" spans="1:14" hidden="1">
      <c r="A1117" s="50" t="str">
        <f t="shared" ref="A1117" si="188">IF(G1117="BRI 568","Terima Uang Masuk atas ","By. Biaya ")</f>
        <v xml:space="preserve">By. Biaya </v>
      </c>
      <c r="B1117" s="214">
        <v>46146</v>
      </c>
      <c r="C1117" s="211" t="s">
        <v>1885</v>
      </c>
      <c r="D1117" t="s">
        <v>2317</v>
      </c>
      <c r="F1117" s="52" t="str">
        <f>IF(G1117="","",INDEX(COA!$A$4:$A$123,MATCH(JU!$G1117,COA!$B$4:$B$123,0)))</f>
        <v>2101</v>
      </c>
      <c r="G1117" t="s">
        <v>45</v>
      </c>
      <c r="H1117" s="216">
        <v>1000000</v>
      </c>
      <c r="I1117" s="52">
        <f>IF(J1117="","",INDEX(COA!$A$4:$A$123,MATCH(JU!$J1117,COA!$B$4:$B$123,0)))</f>
        <v>1103</v>
      </c>
      <c r="J1117" t="s">
        <v>154</v>
      </c>
      <c r="K1117" s="34">
        <f t="shared" ref="K1117" si="189">IF(H1117="","",H1117)</f>
        <v>1000000</v>
      </c>
      <c r="M1117" s="259"/>
      <c r="N1117" s="260"/>
    </row>
    <row r="1118" spans="1:14" hidden="1">
      <c r="A1118" s="50" t="str">
        <f t="shared" si="184"/>
        <v xml:space="preserve">By. Biaya </v>
      </c>
      <c r="B1118" s="214">
        <v>46146</v>
      </c>
      <c r="C1118" s="211" t="s">
        <v>1886</v>
      </c>
      <c r="D1118" t="s">
        <v>2113</v>
      </c>
      <c r="F1118" s="52">
        <f>IF(G1118="","",INDEX(COA!$A$4:$A$123,MATCH(JU!$G1118,COA!$B$4:$B$123,0)))</f>
        <v>6105</v>
      </c>
      <c r="G1118" t="s">
        <v>148</v>
      </c>
      <c r="H1118" s="216">
        <v>155000</v>
      </c>
      <c r="I1118" s="52">
        <f>IF(J1118="","",INDEX(COA!$A$4:$A$123,MATCH(JU!$J1118,COA!$B$4:$B$123,0)))</f>
        <v>1103</v>
      </c>
      <c r="J1118" t="s">
        <v>154</v>
      </c>
      <c r="K1118" s="34">
        <f t="shared" si="185"/>
        <v>155000</v>
      </c>
      <c r="M1118" s="259"/>
      <c r="N1118" s="260"/>
    </row>
    <row r="1119" spans="1:14" hidden="1">
      <c r="A1119" s="50" t="str">
        <f t="shared" si="184"/>
        <v xml:space="preserve">By. Biaya </v>
      </c>
      <c r="B1119" s="214">
        <v>46146</v>
      </c>
      <c r="C1119" s="211" t="s">
        <v>1887</v>
      </c>
      <c r="D1119" t="s">
        <v>2114</v>
      </c>
      <c r="F1119" s="52">
        <f>IF(G1119="","",INDEX(COA!$A$4:$A$123,MATCH(JU!$G1119,COA!$B$4:$B$123,0)))</f>
        <v>6112</v>
      </c>
      <c r="G1119" t="s">
        <v>205</v>
      </c>
      <c r="H1119" s="216">
        <v>232560</v>
      </c>
      <c r="I1119" s="52">
        <f>IF(J1119="","",INDEX(COA!$A$4:$A$123,MATCH(JU!$J1119,COA!$B$4:$B$123,0)))</f>
        <v>1103</v>
      </c>
      <c r="J1119" t="s">
        <v>154</v>
      </c>
      <c r="K1119" s="34">
        <f t="shared" si="185"/>
        <v>232560</v>
      </c>
      <c r="M1119" s="259"/>
      <c r="N1119" s="260"/>
    </row>
    <row r="1120" spans="1:14" hidden="1">
      <c r="A1120" s="50" t="str">
        <f t="shared" si="184"/>
        <v xml:space="preserve">By. Biaya </v>
      </c>
      <c r="B1120" s="214">
        <v>46146</v>
      </c>
      <c r="C1120" s="211" t="s">
        <v>1888</v>
      </c>
      <c r="D1120" t="s">
        <v>2277</v>
      </c>
      <c r="F1120" s="52">
        <f>IF(G1120="","",INDEX(COA!$A$4:$A$123,MATCH(JU!$G1120,COA!$B$4:$B$123,0)))</f>
        <v>6112</v>
      </c>
      <c r="G1120" t="s">
        <v>205</v>
      </c>
      <c r="H1120" s="216">
        <v>121000</v>
      </c>
      <c r="I1120" s="52">
        <f>IF(J1120="","",INDEX(COA!$A$4:$A$123,MATCH(JU!$J1120,COA!$B$4:$B$123,0)))</f>
        <v>1103</v>
      </c>
      <c r="J1120" t="s">
        <v>154</v>
      </c>
      <c r="K1120" s="34">
        <f t="shared" si="185"/>
        <v>121000</v>
      </c>
      <c r="M1120" s="259"/>
      <c r="N1120" s="260"/>
    </row>
    <row r="1121" spans="1:14" hidden="1">
      <c r="A1121" s="50" t="str">
        <f t="shared" ref="A1121" si="190">IF(G1121="BRI 568","Terima Uang Masuk atas ","By. Biaya ")</f>
        <v xml:space="preserve">By. Biaya </v>
      </c>
      <c r="B1121" s="214">
        <v>46146</v>
      </c>
      <c r="C1121" s="211" t="s">
        <v>1888</v>
      </c>
      <c r="D1121" t="s">
        <v>2394</v>
      </c>
      <c r="F1121" s="52">
        <f>IF(G1121="","",INDEX(COA!$A$4:$A$123,MATCH(JU!$G1121,COA!$B$4:$B$123,0)))</f>
        <v>6105</v>
      </c>
      <c r="G1121" t="s">
        <v>148</v>
      </c>
      <c r="H1121" s="216">
        <v>2500000</v>
      </c>
      <c r="I1121" s="52">
        <f>IF(J1121="","",INDEX(COA!$A$4:$A$123,MATCH(JU!$J1121,COA!$B$4:$B$123,0)))</f>
        <v>1103</v>
      </c>
      <c r="J1121" t="s">
        <v>154</v>
      </c>
      <c r="K1121" s="34">
        <f t="shared" ref="K1121" si="191">IF(H1121="","",H1121)</f>
        <v>2500000</v>
      </c>
      <c r="M1121" s="259"/>
      <c r="N1121" s="260"/>
    </row>
    <row r="1122" spans="1:14" hidden="1">
      <c r="A1122" s="50" t="str">
        <f t="shared" si="184"/>
        <v xml:space="preserve">By. Biaya </v>
      </c>
      <c r="B1122" s="214">
        <v>46146</v>
      </c>
      <c r="C1122" s="211" t="s">
        <v>1852</v>
      </c>
      <c r="D1122" t="s">
        <v>2076</v>
      </c>
      <c r="F1122" s="52" t="str">
        <f>IF(G1122="","",INDEX(COA!$A$4:$A$123,MATCH(JU!$G1122,COA!$B$4:$B$123,0)))</f>
        <v>6303</v>
      </c>
      <c r="G1122" t="s">
        <v>87</v>
      </c>
      <c r="H1122" s="216">
        <v>2500</v>
      </c>
      <c r="I1122" s="52">
        <f>IF(J1122="","",INDEX(COA!$A$4:$A$123,MATCH(JU!$J1122,COA!$B$4:$B$123,0)))</f>
        <v>1103</v>
      </c>
      <c r="J1122" t="s">
        <v>154</v>
      </c>
      <c r="K1122" s="34">
        <f t="shared" si="185"/>
        <v>2500</v>
      </c>
      <c r="M1122" s="259"/>
      <c r="N1122" s="260"/>
    </row>
    <row r="1123" spans="1:14" hidden="1">
      <c r="A1123" s="50" t="str">
        <f t="shared" si="184"/>
        <v xml:space="preserve">By. Biaya </v>
      </c>
      <c r="B1123" s="214">
        <v>46146</v>
      </c>
      <c r="C1123" s="211" t="s">
        <v>502</v>
      </c>
      <c r="D1123" t="s">
        <v>2115</v>
      </c>
      <c r="F1123" s="52">
        <f>IF(G1123="","",INDEX(COA!$A$4:$A$123,MATCH(JU!$G1123,COA!$B$4:$B$123,0)))</f>
        <v>5109</v>
      </c>
      <c r="G1123" t="s">
        <v>73</v>
      </c>
      <c r="H1123" s="216">
        <v>10000000</v>
      </c>
      <c r="I1123" s="52">
        <f>IF(J1123="","",INDEX(COA!$A$4:$A$123,MATCH(JU!$J1123,COA!$B$4:$B$123,0)))</f>
        <v>1103</v>
      </c>
      <c r="J1123" t="s">
        <v>154</v>
      </c>
      <c r="K1123" s="34">
        <f t="shared" si="185"/>
        <v>10000000</v>
      </c>
      <c r="M1123" s="259"/>
      <c r="N1123" s="260"/>
    </row>
    <row r="1124" spans="1:14" hidden="1">
      <c r="A1124" s="50" t="str">
        <f t="shared" si="184"/>
        <v xml:space="preserve">By. Biaya </v>
      </c>
      <c r="B1124" s="214">
        <v>46146</v>
      </c>
      <c r="C1124" s="211" t="s">
        <v>1889</v>
      </c>
      <c r="D1124" t="s">
        <v>2116</v>
      </c>
      <c r="F1124" s="52">
        <f>IF(G1124="","",INDEX(COA!$A$4:$A$123,MATCH(JU!$G1124,COA!$B$4:$B$123,0)))</f>
        <v>6112</v>
      </c>
      <c r="G1124" t="s">
        <v>205</v>
      </c>
      <c r="H1124" s="216">
        <v>10000000</v>
      </c>
      <c r="I1124" s="52">
        <f>IF(J1124="","",INDEX(COA!$A$4:$A$123,MATCH(JU!$J1124,COA!$B$4:$B$123,0)))</f>
        <v>1103</v>
      </c>
      <c r="J1124" t="s">
        <v>154</v>
      </c>
      <c r="K1124" s="34">
        <f t="shared" si="185"/>
        <v>10000000</v>
      </c>
      <c r="M1124" s="259"/>
      <c r="N1124" s="260"/>
    </row>
    <row r="1125" spans="1:14" hidden="1">
      <c r="A1125" s="50" t="str">
        <f t="shared" ref="A1125:A1198" si="192">IF(G1125="BRI 568","Terima Uang Masuk atas ","By. Biaya ")</f>
        <v xml:space="preserve">By. Biaya </v>
      </c>
      <c r="B1125" s="214">
        <v>46146</v>
      </c>
      <c r="C1125" s="211" t="s">
        <v>1852</v>
      </c>
      <c r="D1125" t="s">
        <v>2076</v>
      </c>
      <c r="F1125" s="52" t="str">
        <f>IF(G1125="","",INDEX(COA!$A$4:$A$123,MATCH(JU!$G1125,COA!$B$4:$B$123,0)))</f>
        <v>6303</v>
      </c>
      <c r="G1125" t="s">
        <v>87</v>
      </c>
      <c r="H1125" s="216">
        <v>2500</v>
      </c>
      <c r="I1125" s="52">
        <f>IF(J1125="","",INDEX(COA!$A$4:$A$123,MATCH(JU!$J1125,COA!$B$4:$B$123,0)))</f>
        <v>1103</v>
      </c>
      <c r="J1125" t="s">
        <v>154</v>
      </c>
      <c r="K1125" s="34">
        <f t="shared" si="185"/>
        <v>2500</v>
      </c>
      <c r="M1125" s="259"/>
      <c r="N1125" s="260"/>
    </row>
    <row r="1126" spans="1:14" hidden="1">
      <c r="A1126" s="50" t="str">
        <f t="shared" si="192"/>
        <v xml:space="preserve">Terima Uang Masuk atas </v>
      </c>
      <c r="B1126" s="214">
        <v>46146</v>
      </c>
      <c r="C1126" s="211" t="s">
        <v>1890</v>
      </c>
      <c r="D1126" t="s">
        <v>2117</v>
      </c>
      <c r="F1126" s="52">
        <f>IF(G1126="","",INDEX(COA!$A$4:$A$123,MATCH(JU!$G1126,COA!$B$4:$B$123,0)))</f>
        <v>1103</v>
      </c>
      <c r="G1126" t="s">
        <v>154</v>
      </c>
      <c r="H1126" s="216">
        <v>11600000</v>
      </c>
      <c r="I1126" s="52">
        <f>IF(J1126="","",INDEX(COA!$A$4:$A$123,MATCH(JU!$J1126,COA!$B$4:$B$123,0)))</f>
        <v>1302</v>
      </c>
      <c r="J1126" t="s">
        <v>31</v>
      </c>
      <c r="K1126" s="34">
        <f t="shared" si="185"/>
        <v>11600000</v>
      </c>
      <c r="M1126" s="259"/>
      <c r="N1126" s="260"/>
    </row>
    <row r="1127" spans="1:14" hidden="1">
      <c r="A1127" s="50" t="str">
        <f t="shared" si="192"/>
        <v xml:space="preserve">Terima Uang Masuk atas </v>
      </c>
      <c r="B1127" s="214">
        <v>46146</v>
      </c>
      <c r="C1127" s="211" t="s">
        <v>1891</v>
      </c>
      <c r="D1127" t="s">
        <v>2118</v>
      </c>
      <c r="F1127" s="52">
        <f>IF(G1127="","",INDEX(COA!$A$4:$A$123,MATCH(JU!$G1127,COA!$B$4:$B$123,0)))</f>
        <v>1103</v>
      </c>
      <c r="G1127" t="s">
        <v>154</v>
      </c>
      <c r="H1127" s="216">
        <v>15000000</v>
      </c>
      <c r="I1127" s="52">
        <f>IF(J1127="","",INDEX(COA!$A$4:$A$123,MATCH(JU!$J1127,COA!$B$4:$B$123,0)))</f>
        <v>4102</v>
      </c>
      <c r="J1127" t="s">
        <v>62</v>
      </c>
      <c r="K1127" s="34">
        <f t="shared" si="185"/>
        <v>15000000</v>
      </c>
      <c r="M1127" s="259"/>
      <c r="N1127" s="260"/>
    </row>
    <row r="1128" spans="1:14" hidden="1">
      <c r="A1128" s="50" t="str">
        <f t="shared" ref="A1128" si="193">IF(G1128="BRI 568","Terima Uang Masuk atas ","By. Biaya ")</f>
        <v xml:space="preserve">By. Biaya </v>
      </c>
      <c r="B1128" s="214">
        <v>46146</v>
      </c>
      <c r="C1128" s="211" t="s">
        <v>1891</v>
      </c>
      <c r="D1128" t="s">
        <v>2278</v>
      </c>
      <c r="F1128" s="52">
        <f>IF(G1128="","",INDEX(COA!$A$4:$A$123,MATCH(JU!$G1128,COA!$B$4:$B$123,0)))</f>
        <v>1202</v>
      </c>
      <c r="G1128" t="s">
        <v>27</v>
      </c>
      <c r="H1128" s="216">
        <v>169000000</v>
      </c>
      <c r="I1128" s="52">
        <f>IF(J1128="","",INDEX(COA!$A$4:$A$123,MATCH(JU!$J1128,COA!$B$4:$B$123,0)))</f>
        <v>4102</v>
      </c>
      <c r="J1128" t="s">
        <v>62</v>
      </c>
      <c r="K1128" s="34">
        <f t="shared" ref="K1128" si="194">IF(H1128="","",H1128)</f>
        <v>169000000</v>
      </c>
      <c r="M1128" s="259"/>
      <c r="N1128" s="260"/>
    </row>
    <row r="1129" spans="1:14" hidden="1">
      <c r="A1129" s="50" t="str">
        <f t="shared" si="192"/>
        <v xml:space="preserve">By. Biaya </v>
      </c>
      <c r="B1129" s="214">
        <v>46147</v>
      </c>
      <c r="C1129" s="211" t="s">
        <v>1892</v>
      </c>
      <c r="D1129" t="s">
        <v>2119</v>
      </c>
      <c r="F1129" s="52">
        <f>IF(G1129="","",INDEX(COA!$A$4:$A$123,MATCH(JU!$G1129,COA!$B$4:$B$123,0)))</f>
        <v>6112</v>
      </c>
      <c r="G1129" t="s">
        <v>205</v>
      </c>
      <c r="H1129" s="216">
        <v>123000</v>
      </c>
      <c r="I1129" s="52">
        <f>IF(J1129="","",INDEX(COA!$A$4:$A$123,MATCH(JU!$J1129,COA!$B$4:$B$123,0)))</f>
        <v>1103</v>
      </c>
      <c r="J1129" t="s">
        <v>154</v>
      </c>
      <c r="K1129" s="34">
        <f t="shared" si="185"/>
        <v>123000</v>
      </c>
      <c r="M1129" s="259"/>
      <c r="N1129" s="260"/>
    </row>
    <row r="1130" spans="1:14" hidden="1">
      <c r="A1130" s="50" t="str">
        <f t="shared" si="192"/>
        <v xml:space="preserve">By. Biaya </v>
      </c>
      <c r="B1130" s="214">
        <v>46147</v>
      </c>
      <c r="C1130" s="211" t="s">
        <v>1852</v>
      </c>
      <c r="D1130" t="s">
        <v>2076</v>
      </c>
      <c r="F1130" s="52" t="str">
        <f>IF(G1130="","",INDEX(COA!$A$4:$A$123,MATCH(JU!$G1130,COA!$B$4:$B$123,0)))</f>
        <v>6303</v>
      </c>
      <c r="G1130" t="s">
        <v>87</v>
      </c>
      <c r="H1130" s="216">
        <v>2500</v>
      </c>
      <c r="I1130" s="52">
        <f>IF(J1130="","",INDEX(COA!$A$4:$A$123,MATCH(JU!$J1130,COA!$B$4:$B$123,0)))</f>
        <v>1103</v>
      </c>
      <c r="J1130" t="s">
        <v>154</v>
      </c>
      <c r="K1130" s="34">
        <f t="shared" ref="K1130:K1202" si="195">IF(H1130="","",H1130)</f>
        <v>2500</v>
      </c>
      <c r="M1130" s="259"/>
      <c r="N1130" s="260"/>
    </row>
    <row r="1131" spans="1:14" hidden="1">
      <c r="A1131" s="50" t="str">
        <f t="shared" si="192"/>
        <v xml:space="preserve">By. Biaya </v>
      </c>
      <c r="B1131" s="214">
        <v>46147</v>
      </c>
      <c r="C1131" s="211" t="s">
        <v>1555</v>
      </c>
      <c r="D1131" t="s">
        <v>1757</v>
      </c>
      <c r="F1131" s="52">
        <f>IF(G1131="","",INDEX(COA!$A$4:$A$123,MATCH(JU!$G1131,COA!$B$4:$B$123,0)))</f>
        <v>5107</v>
      </c>
      <c r="G1131" t="s">
        <v>71</v>
      </c>
      <c r="H1131" s="216">
        <v>6000000</v>
      </c>
      <c r="I1131" s="52">
        <f>IF(J1131="","",INDEX(COA!$A$4:$A$123,MATCH(JU!$J1131,COA!$B$4:$B$123,0)))</f>
        <v>1103</v>
      </c>
      <c r="J1131" t="s">
        <v>154</v>
      </c>
      <c r="K1131" s="34">
        <f t="shared" si="195"/>
        <v>6000000</v>
      </c>
      <c r="M1131" s="259"/>
      <c r="N1131" s="260"/>
    </row>
    <row r="1132" spans="1:14" hidden="1">
      <c r="A1132" s="50" t="str">
        <f t="shared" si="192"/>
        <v xml:space="preserve">By. Biaya </v>
      </c>
      <c r="B1132" s="214">
        <v>46147</v>
      </c>
      <c r="C1132" s="211" t="s">
        <v>1893</v>
      </c>
      <c r="D1132" t="s">
        <v>2120</v>
      </c>
      <c r="F1132" s="52">
        <f>IF(G1132="","",INDEX(COA!$A$4:$A$123,MATCH(JU!$G1132,COA!$B$4:$B$123,0)))</f>
        <v>1408</v>
      </c>
      <c r="G1132" t="s">
        <v>194</v>
      </c>
      <c r="H1132" s="216">
        <v>6700000</v>
      </c>
      <c r="I1132" s="52">
        <f>IF(J1132="","",INDEX(COA!$A$4:$A$123,MATCH(JU!$J1132,COA!$B$4:$B$123,0)))</f>
        <v>1103</v>
      </c>
      <c r="J1132" t="s">
        <v>154</v>
      </c>
      <c r="K1132" s="34">
        <f t="shared" si="195"/>
        <v>6700000</v>
      </c>
      <c r="M1132" s="259"/>
      <c r="N1132" s="260"/>
    </row>
    <row r="1133" spans="1:14" hidden="1">
      <c r="A1133" s="50" t="str">
        <f t="shared" si="192"/>
        <v xml:space="preserve">Terima Uang Masuk atas </v>
      </c>
      <c r="B1133" s="214">
        <v>46147</v>
      </c>
      <c r="C1133" s="211" t="s">
        <v>1894</v>
      </c>
      <c r="D1133" t="s">
        <v>2121</v>
      </c>
      <c r="F1133" s="52">
        <f>IF(G1133="","",INDEX(COA!$A$4:$A$123,MATCH(JU!$G1133,COA!$B$4:$B$123,0)))</f>
        <v>1103</v>
      </c>
      <c r="G1133" t="s">
        <v>154</v>
      </c>
      <c r="H1133" s="216">
        <v>100000000</v>
      </c>
      <c r="I1133" s="52">
        <f>IF(J1133="","",INDEX(COA!$A$4:$A$123,MATCH(JU!$J1133,COA!$B$4:$B$123,0)))</f>
        <v>1202</v>
      </c>
      <c r="J1133" t="s">
        <v>27</v>
      </c>
      <c r="K1133" s="34">
        <f t="shared" si="195"/>
        <v>100000000</v>
      </c>
      <c r="M1133" s="259"/>
      <c r="N1133" s="260"/>
    </row>
    <row r="1134" spans="1:14" hidden="1">
      <c r="A1134" s="50" t="str">
        <f t="shared" si="192"/>
        <v xml:space="preserve">Terima Uang Masuk atas </v>
      </c>
      <c r="B1134" s="214">
        <v>46147</v>
      </c>
      <c r="C1134" s="211" t="s">
        <v>1895</v>
      </c>
      <c r="D1134" t="s">
        <v>2122</v>
      </c>
      <c r="F1134" s="52">
        <f>IF(G1134="","",INDEX(COA!$A$4:$A$123,MATCH(JU!$G1134,COA!$B$4:$B$123,0)))</f>
        <v>1103</v>
      </c>
      <c r="G1134" t="s">
        <v>154</v>
      </c>
      <c r="H1134" s="216">
        <v>43230000</v>
      </c>
      <c r="I1134" s="52">
        <f>IF(J1134="","",INDEX(COA!$A$4:$A$123,MATCH(JU!$J1134,COA!$B$4:$B$123,0)))</f>
        <v>1202</v>
      </c>
      <c r="J1134" t="s">
        <v>27</v>
      </c>
      <c r="K1134" s="34">
        <f t="shared" si="195"/>
        <v>43230000</v>
      </c>
      <c r="M1134" s="259"/>
      <c r="N1134" s="260"/>
    </row>
    <row r="1135" spans="1:14" hidden="1">
      <c r="A1135" s="50" t="str">
        <f t="shared" si="192"/>
        <v xml:space="preserve">By. Biaya </v>
      </c>
      <c r="B1135" s="214">
        <v>46147</v>
      </c>
      <c r="C1135" s="211" t="s">
        <v>504</v>
      </c>
      <c r="D1135" t="s">
        <v>2123</v>
      </c>
      <c r="F1135" s="52">
        <f>IF(G1135="","",INDEX(COA!$A$4:$A$123,MATCH(JU!$G1135,COA!$B$4:$B$123,0)))</f>
        <v>1108</v>
      </c>
      <c r="G1135" t="s">
        <v>155</v>
      </c>
      <c r="H1135" s="216">
        <v>140000000</v>
      </c>
      <c r="I1135" s="52">
        <f>IF(J1135="","",INDEX(COA!$A$4:$A$123,MATCH(JU!$J1135,COA!$B$4:$B$123,0)))</f>
        <v>1103</v>
      </c>
      <c r="J1135" t="s">
        <v>154</v>
      </c>
      <c r="K1135" s="34">
        <f t="shared" si="195"/>
        <v>140000000</v>
      </c>
      <c r="M1135" s="259"/>
      <c r="N1135" s="260"/>
    </row>
    <row r="1136" spans="1:14" hidden="1">
      <c r="A1136" s="50" t="str">
        <f t="shared" si="192"/>
        <v xml:space="preserve">By. Biaya </v>
      </c>
      <c r="B1136" s="214">
        <v>46147</v>
      </c>
      <c r="C1136" s="211" t="s">
        <v>1852</v>
      </c>
      <c r="D1136" t="s">
        <v>2076</v>
      </c>
      <c r="F1136" s="52" t="str">
        <f>IF(G1136="","",INDEX(COA!$A$4:$A$123,MATCH(JU!$G1136,COA!$B$4:$B$123,0)))</f>
        <v>6303</v>
      </c>
      <c r="G1136" t="s">
        <v>87</v>
      </c>
      <c r="H1136" s="216">
        <v>30000</v>
      </c>
      <c r="I1136" s="52">
        <f>IF(J1136="","",INDEX(COA!$A$4:$A$123,MATCH(JU!$J1136,COA!$B$4:$B$123,0)))</f>
        <v>1103</v>
      </c>
      <c r="J1136" t="s">
        <v>154</v>
      </c>
      <c r="K1136" s="34">
        <f t="shared" si="195"/>
        <v>30000</v>
      </c>
      <c r="M1136" s="259"/>
      <c r="N1136" s="260"/>
    </row>
    <row r="1137" spans="1:14" hidden="1">
      <c r="A1137" s="50" t="str">
        <f t="shared" si="192"/>
        <v xml:space="preserve">By. Biaya </v>
      </c>
      <c r="B1137" s="214">
        <v>46147</v>
      </c>
      <c r="C1137" s="211" t="s">
        <v>505</v>
      </c>
      <c r="D1137" s="266" t="s">
        <v>2124</v>
      </c>
      <c r="F1137" s="52" t="str">
        <f>IF(G1137="","",INDEX(COA!$A$4:$A$123,MATCH(JU!$G1137,COA!$B$4:$B$123,0)))</f>
        <v>2101</v>
      </c>
      <c r="G1137" t="s">
        <v>45</v>
      </c>
      <c r="H1137" s="216">
        <v>217000000</v>
      </c>
      <c r="I1137" s="52">
        <f>IF(J1137="","",INDEX(COA!$A$4:$A$123,MATCH(JU!$J1137,COA!$B$4:$B$123,0)))</f>
        <v>1103</v>
      </c>
      <c r="J1137" t="s">
        <v>154</v>
      </c>
      <c r="K1137" s="34">
        <f t="shared" si="195"/>
        <v>217000000</v>
      </c>
      <c r="M1137" s="259"/>
      <c r="N1137" s="260"/>
    </row>
    <row r="1138" spans="1:14" hidden="1">
      <c r="A1138" s="50" t="str">
        <f t="shared" si="192"/>
        <v xml:space="preserve">Terima Uang Masuk atas </v>
      </c>
      <c r="B1138" s="214">
        <v>46147</v>
      </c>
      <c r="C1138" s="211" t="s">
        <v>1896</v>
      </c>
      <c r="D1138" t="s">
        <v>2125</v>
      </c>
      <c r="F1138" s="52">
        <f>IF(G1138="","",INDEX(COA!$A$4:$A$123,MATCH(JU!$G1138,COA!$B$4:$B$123,0)))</f>
        <v>1103</v>
      </c>
      <c r="G1138" t="s">
        <v>154</v>
      </c>
      <c r="H1138" s="216">
        <v>10000000</v>
      </c>
      <c r="I1138" s="52">
        <f>IF(J1138="","",INDEX(COA!$A$4:$A$123,MATCH(JU!$J1138,COA!$B$4:$B$123,0)))</f>
        <v>1202</v>
      </c>
      <c r="J1138" t="s">
        <v>27</v>
      </c>
      <c r="K1138" s="34">
        <f t="shared" si="195"/>
        <v>10000000</v>
      </c>
      <c r="M1138" s="259"/>
      <c r="N1138" s="260"/>
    </row>
    <row r="1139" spans="1:14" hidden="1">
      <c r="A1139" s="50" t="str">
        <f t="shared" si="192"/>
        <v xml:space="preserve">By. Biaya </v>
      </c>
      <c r="B1139" s="214">
        <v>46147</v>
      </c>
      <c r="C1139" s="211" t="s">
        <v>1897</v>
      </c>
      <c r="D1139" t="s">
        <v>2126</v>
      </c>
      <c r="F1139" s="52">
        <f>IF(G1139="","",INDEX(COA!$A$4:$A$123,MATCH(JU!$G1139,COA!$B$4:$B$123,0)))</f>
        <v>5107</v>
      </c>
      <c r="G1139" t="s">
        <v>71</v>
      </c>
      <c r="H1139" s="216">
        <v>250000</v>
      </c>
      <c r="I1139" s="52">
        <f>IF(J1139="","",INDEX(COA!$A$4:$A$123,MATCH(JU!$J1139,COA!$B$4:$B$123,0)))</f>
        <v>1103</v>
      </c>
      <c r="J1139" t="s">
        <v>154</v>
      </c>
      <c r="K1139" s="34">
        <f t="shared" si="195"/>
        <v>250000</v>
      </c>
      <c r="M1139" s="259"/>
      <c r="N1139" s="260"/>
    </row>
    <row r="1140" spans="1:14" hidden="1">
      <c r="A1140" s="50" t="str">
        <f t="shared" si="192"/>
        <v xml:space="preserve">By. Biaya </v>
      </c>
      <c r="B1140" s="214">
        <v>46147</v>
      </c>
      <c r="C1140" s="211" t="s">
        <v>1898</v>
      </c>
      <c r="D1140" t="s">
        <v>2127</v>
      </c>
      <c r="F1140" s="52">
        <f>IF(G1140="","",INDEX(COA!$A$4:$A$123,MATCH(JU!$G1140,COA!$B$4:$B$123,0)))</f>
        <v>1302</v>
      </c>
      <c r="G1140" t="s">
        <v>31</v>
      </c>
      <c r="H1140" s="216">
        <v>12900000</v>
      </c>
      <c r="I1140" s="52">
        <f>IF(J1140="","",INDEX(COA!$A$4:$A$123,MATCH(JU!$J1140,COA!$B$4:$B$123,0)))</f>
        <v>1103</v>
      </c>
      <c r="J1140" t="s">
        <v>154</v>
      </c>
      <c r="K1140" s="34">
        <f t="shared" si="195"/>
        <v>12900000</v>
      </c>
      <c r="M1140" s="259"/>
      <c r="N1140" s="260"/>
    </row>
    <row r="1141" spans="1:14" hidden="1">
      <c r="A1141" s="50" t="str">
        <f t="shared" si="192"/>
        <v xml:space="preserve">By. Biaya </v>
      </c>
      <c r="B1141" s="214">
        <v>46148</v>
      </c>
      <c r="C1141" s="211" t="s">
        <v>1899</v>
      </c>
      <c r="D1141" t="s">
        <v>2128</v>
      </c>
      <c r="F1141" s="52" t="str">
        <f>IF(G1141="","",INDEX(COA!$A$4:$A$123,MATCH(JU!$G1141,COA!$B$4:$B$123,0)))</f>
        <v>2101</v>
      </c>
      <c r="G1141" t="s">
        <v>45</v>
      </c>
      <c r="H1141" s="216">
        <v>70000000</v>
      </c>
      <c r="I1141" s="52">
        <f>IF(J1141="","",INDEX(COA!$A$4:$A$123,MATCH(JU!$J1141,COA!$B$4:$B$123,0)))</f>
        <v>1103</v>
      </c>
      <c r="J1141" t="s">
        <v>154</v>
      </c>
      <c r="K1141" s="34">
        <f t="shared" si="195"/>
        <v>70000000</v>
      </c>
      <c r="M1141" s="259"/>
      <c r="N1141" s="260"/>
    </row>
    <row r="1142" spans="1:14" hidden="1">
      <c r="A1142" s="50" t="str">
        <f t="shared" si="192"/>
        <v xml:space="preserve">By. Biaya </v>
      </c>
      <c r="B1142" s="214">
        <v>46148</v>
      </c>
      <c r="C1142" s="211" t="s">
        <v>1900</v>
      </c>
      <c r="D1142" t="s">
        <v>2129</v>
      </c>
      <c r="F1142" s="52">
        <f>IF(G1142="","",INDEX(COA!$A$4:$A$123,MATCH(JU!$G1142,COA!$B$4:$B$123,0)))</f>
        <v>7101</v>
      </c>
      <c r="G1142" t="s">
        <v>93</v>
      </c>
      <c r="H1142" s="216">
        <v>1730000</v>
      </c>
      <c r="I1142" s="52">
        <f>IF(J1142="","",INDEX(COA!$A$4:$A$123,MATCH(JU!$J1142,COA!$B$4:$B$123,0)))</f>
        <v>1103</v>
      </c>
      <c r="J1142" t="s">
        <v>154</v>
      </c>
      <c r="K1142" s="34">
        <f t="shared" si="195"/>
        <v>1730000</v>
      </c>
      <c r="M1142" s="259"/>
      <c r="N1142" s="260"/>
    </row>
    <row r="1143" spans="1:14" hidden="1">
      <c r="A1143" s="50" t="str">
        <f t="shared" si="192"/>
        <v xml:space="preserve">By. Biaya </v>
      </c>
      <c r="B1143" s="214">
        <v>46148</v>
      </c>
      <c r="C1143" s="211" t="s">
        <v>1901</v>
      </c>
      <c r="D1143" t="s">
        <v>2130</v>
      </c>
      <c r="F1143" s="52">
        <f>IF(G1143="","",INDEX(COA!$A$4:$A$123,MATCH(JU!$G1143,COA!$B$4:$B$123,0)))</f>
        <v>7101</v>
      </c>
      <c r="G1143" t="s">
        <v>93</v>
      </c>
      <c r="H1143" s="216">
        <v>1730000</v>
      </c>
      <c r="I1143" s="52">
        <f>IF(J1143="","",INDEX(COA!$A$4:$A$123,MATCH(JU!$J1143,COA!$B$4:$B$123,0)))</f>
        <v>1103</v>
      </c>
      <c r="J1143" t="s">
        <v>154</v>
      </c>
      <c r="K1143" s="34">
        <f t="shared" si="195"/>
        <v>1730000</v>
      </c>
      <c r="M1143" s="259"/>
      <c r="N1143" s="260"/>
    </row>
    <row r="1144" spans="1:14" hidden="1">
      <c r="A1144" s="50" t="str">
        <f t="shared" si="192"/>
        <v xml:space="preserve">By. Biaya </v>
      </c>
      <c r="B1144" s="214">
        <v>46148</v>
      </c>
      <c r="C1144" s="211" t="s">
        <v>1902</v>
      </c>
      <c r="D1144" t="s">
        <v>2131</v>
      </c>
      <c r="F1144" s="52">
        <f>IF(G1144="","",INDEX(COA!$A$4:$A$123,MATCH(JU!$G1144,COA!$B$4:$B$123,0)))</f>
        <v>7101</v>
      </c>
      <c r="G1144" t="s">
        <v>93</v>
      </c>
      <c r="H1144" s="216">
        <v>1730000</v>
      </c>
      <c r="I1144" s="52">
        <f>IF(J1144="","",INDEX(COA!$A$4:$A$123,MATCH(JU!$J1144,COA!$B$4:$B$123,0)))</f>
        <v>1103</v>
      </c>
      <c r="J1144" t="s">
        <v>154</v>
      </c>
      <c r="K1144" s="34">
        <f t="shared" si="195"/>
        <v>1730000</v>
      </c>
      <c r="M1144" s="259"/>
      <c r="N1144" s="260"/>
    </row>
    <row r="1145" spans="1:14" hidden="1">
      <c r="A1145" s="50" t="str">
        <f t="shared" si="192"/>
        <v xml:space="preserve">By. Biaya </v>
      </c>
      <c r="B1145" s="214">
        <v>46148</v>
      </c>
      <c r="C1145" s="211" t="s">
        <v>1903</v>
      </c>
      <c r="D1145" t="s">
        <v>2132</v>
      </c>
      <c r="F1145" s="52">
        <f>IF(G1145="","",INDEX(COA!$A$4:$A$123,MATCH(JU!$G1145,COA!$B$4:$B$123,0)))</f>
        <v>6112</v>
      </c>
      <c r="G1145" t="s">
        <v>205</v>
      </c>
      <c r="H1145" s="216">
        <v>136000</v>
      </c>
      <c r="I1145" s="52">
        <f>IF(J1145="","",INDEX(COA!$A$4:$A$123,MATCH(JU!$J1145,COA!$B$4:$B$123,0)))</f>
        <v>1103</v>
      </c>
      <c r="J1145" t="s">
        <v>154</v>
      </c>
      <c r="K1145" s="34">
        <f t="shared" si="195"/>
        <v>136000</v>
      </c>
      <c r="M1145" s="259"/>
      <c r="N1145" s="260"/>
    </row>
    <row r="1146" spans="1:14" hidden="1">
      <c r="A1146" s="50" t="str">
        <f t="shared" ref="A1146" si="196">IF(G1146="BRI 568","Terima Uang Masuk atas ","By. Biaya ")</f>
        <v xml:space="preserve">By. Biaya </v>
      </c>
      <c r="B1146" s="214">
        <v>46148</v>
      </c>
      <c r="C1146" s="211" t="s">
        <v>1904</v>
      </c>
      <c r="D1146" s="229" t="s">
        <v>2311</v>
      </c>
      <c r="F1146" s="52">
        <f>IF(G1146="","",INDEX(COA!$A$4:$A$123,MATCH(JU!$G1146,COA!$B$4:$B$123,0)))</f>
        <v>1301</v>
      </c>
      <c r="G1146" t="s">
        <v>30</v>
      </c>
      <c r="H1146" s="216">
        <v>300000000</v>
      </c>
      <c r="I1146" s="52" t="str">
        <f>IF(J1146="","",INDEX(COA!$A$4:$A$123,MATCH(JU!$J1146,COA!$B$4:$B$123,0)))</f>
        <v>2101</v>
      </c>
      <c r="J1146" t="s">
        <v>45</v>
      </c>
      <c r="K1146" s="34">
        <f t="shared" ref="K1146" si="197">IF(H1146="","",H1146)</f>
        <v>300000000</v>
      </c>
      <c r="M1146" s="259"/>
      <c r="N1146" s="260"/>
    </row>
    <row r="1147" spans="1:14" hidden="1">
      <c r="A1147" s="50" t="str">
        <f t="shared" ref="A1147" si="198">IF(G1147="BRI 568","Terima Uang Masuk atas ","By. Biaya ")</f>
        <v xml:space="preserve">By. Biaya </v>
      </c>
      <c r="B1147" s="214">
        <v>46148</v>
      </c>
      <c r="C1147" s="211" t="s">
        <v>1904</v>
      </c>
      <c r="D1147" s="229" t="s">
        <v>2312</v>
      </c>
      <c r="F1147" s="52" t="str">
        <f>IF(G1147="","",INDEX(COA!$A$4:$A$123,MATCH(JU!$G1147,COA!$B$4:$B$123,0)))</f>
        <v>2101</v>
      </c>
      <c r="G1147" t="s">
        <v>45</v>
      </c>
      <c r="H1147" s="216">
        <v>285000000</v>
      </c>
      <c r="I1147" s="52">
        <f>IF(J1147="","",INDEX(COA!$A$4:$A$123,MATCH(JU!$J1147,COA!$B$4:$B$123,0)))</f>
        <v>4103</v>
      </c>
      <c r="J1147" s="229" t="s">
        <v>63</v>
      </c>
      <c r="K1147" s="34">
        <f t="shared" ref="K1147" si="199">IF(H1147="","",H1147)</f>
        <v>285000000</v>
      </c>
      <c r="M1147" s="259"/>
      <c r="N1147" s="260"/>
    </row>
    <row r="1148" spans="1:14" hidden="1">
      <c r="A1148" s="50" t="str">
        <f t="shared" ref="A1148" si="200">IF(G1148="BRI 568","Terima Uang Masuk atas ","By. Biaya ")</f>
        <v xml:space="preserve">By. Biaya </v>
      </c>
      <c r="B1148" s="214">
        <v>46148</v>
      </c>
      <c r="C1148" s="211" t="s">
        <v>1904</v>
      </c>
      <c r="D1148" s="269" t="s">
        <v>2313</v>
      </c>
      <c r="F1148" s="52">
        <f>IF(G1148="","",INDEX(COA!$A$4:$A$123,MATCH(JU!$G1148,COA!$B$4:$B$123,0)))</f>
        <v>5102</v>
      </c>
      <c r="G1148" s="229" t="s">
        <v>201</v>
      </c>
      <c r="H1148" s="268">
        <v>0</v>
      </c>
      <c r="I1148" s="52">
        <f>IF(J1148="","",INDEX(COA!$A$4:$A$123,MATCH(JU!$J1148,COA!$B$4:$B$123,0)))</f>
        <v>1302</v>
      </c>
      <c r="J1148" s="229" t="s">
        <v>31</v>
      </c>
      <c r="K1148" s="34">
        <f t="shared" ref="K1148" si="201">IF(H1148="","",H1148)</f>
        <v>0</v>
      </c>
      <c r="M1148" s="259"/>
      <c r="N1148" s="260"/>
    </row>
    <row r="1149" spans="1:14" hidden="1">
      <c r="A1149" s="50" t="str">
        <f t="shared" si="192"/>
        <v xml:space="preserve">By. Biaya </v>
      </c>
      <c r="B1149" s="214">
        <v>46148</v>
      </c>
      <c r="C1149" s="211" t="s">
        <v>1904</v>
      </c>
      <c r="D1149" t="s">
        <v>2133</v>
      </c>
      <c r="F1149" s="52" t="str">
        <f>IF(G1149="","",INDEX(COA!$A$4:$A$123,MATCH(JU!$G1149,COA!$B$4:$B$123,0)))</f>
        <v>2101</v>
      </c>
      <c r="G1149" t="s">
        <v>45</v>
      </c>
      <c r="H1149" s="216">
        <v>1000000</v>
      </c>
      <c r="I1149" s="52">
        <f>IF(J1149="","",INDEX(COA!$A$4:$A$123,MATCH(JU!$J1149,COA!$B$4:$B$123,0)))</f>
        <v>1103</v>
      </c>
      <c r="J1149" t="s">
        <v>154</v>
      </c>
      <c r="K1149" s="34">
        <f t="shared" si="195"/>
        <v>1000000</v>
      </c>
      <c r="M1149" s="259"/>
      <c r="N1149" s="260"/>
    </row>
    <row r="1150" spans="1:14" hidden="1">
      <c r="A1150" s="50" t="str">
        <f t="shared" si="192"/>
        <v xml:space="preserve">By. Biaya </v>
      </c>
      <c r="B1150" s="214">
        <v>46148</v>
      </c>
      <c r="C1150" s="211" t="s">
        <v>1905</v>
      </c>
      <c r="D1150" t="s">
        <v>2134</v>
      </c>
      <c r="F1150" s="52">
        <f>IF(G1150="","",INDEX(COA!$A$4:$A$123,MATCH(JU!$G1150,COA!$B$4:$B$123,0)))</f>
        <v>1203</v>
      </c>
      <c r="G1150" t="s">
        <v>140</v>
      </c>
      <c r="H1150" s="216">
        <v>101000000</v>
      </c>
      <c r="I1150" s="52">
        <f>IF(J1150="","",INDEX(COA!$A$4:$A$123,MATCH(JU!$J1150,COA!$B$4:$B$123,0)))</f>
        <v>1103</v>
      </c>
      <c r="J1150" t="s">
        <v>154</v>
      </c>
      <c r="K1150" s="34">
        <f t="shared" si="195"/>
        <v>101000000</v>
      </c>
      <c r="M1150" s="259"/>
      <c r="N1150" s="260"/>
    </row>
    <row r="1151" spans="1:14" hidden="1">
      <c r="A1151" s="50" t="str">
        <f t="shared" si="192"/>
        <v xml:space="preserve">By. Biaya </v>
      </c>
      <c r="B1151" s="214">
        <v>46148</v>
      </c>
      <c r="C1151" s="211" t="s">
        <v>1906</v>
      </c>
      <c r="D1151" t="s">
        <v>2135</v>
      </c>
      <c r="F1151" s="52">
        <f>IF(G1151="","",INDEX(COA!$A$4:$A$123,MATCH(JU!$G1151,COA!$B$4:$B$123,0)))</f>
        <v>1302</v>
      </c>
      <c r="G1151" t="s">
        <v>31</v>
      </c>
      <c r="H1151" s="216">
        <v>7725000</v>
      </c>
      <c r="I1151" s="52">
        <f>IF(J1151="","",INDEX(COA!$A$4:$A$123,MATCH(JU!$J1151,COA!$B$4:$B$123,0)))</f>
        <v>1103</v>
      </c>
      <c r="J1151" t="s">
        <v>154</v>
      </c>
      <c r="K1151" s="34">
        <f t="shared" si="195"/>
        <v>7725000</v>
      </c>
      <c r="M1151" s="259"/>
      <c r="N1151" s="260"/>
    </row>
    <row r="1152" spans="1:14" hidden="1">
      <c r="A1152" s="50" t="str">
        <f t="shared" si="192"/>
        <v xml:space="preserve">By. Biaya </v>
      </c>
      <c r="B1152" s="214">
        <v>46148</v>
      </c>
      <c r="C1152" s="211" t="s">
        <v>1907</v>
      </c>
      <c r="D1152" t="s">
        <v>2136</v>
      </c>
      <c r="F1152" s="52">
        <f>IF(G1152="","",INDEX(COA!$A$4:$A$123,MATCH(JU!$G1152,COA!$B$4:$B$123,0)))</f>
        <v>1203</v>
      </c>
      <c r="G1152" t="s">
        <v>140</v>
      </c>
      <c r="H1152" s="216">
        <v>200000</v>
      </c>
      <c r="I1152" s="52">
        <f>IF(J1152="","",INDEX(COA!$A$4:$A$123,MATCH(JU!$J1152,COA!$B$4:$B$123,0)))</f>
        <v>1103</v>
      </c>
      <c r="J1152" t="s">
        <v>154</v>
      </c>
      <c r="K1152" s="34">
        <f t="shared" si="195"/>
        <v>200000</v>
      </c>
      <c r="M1152" s="259"/>
      <c r="N1152" s="260"/>
    </row>
    <row r="1153" spans="1:14" hidden="1">
      <c r="A1153" s="50" t="str">
        <f t="shared" si="192"/>
        <v xml:space="preserve">By. Biaya </v>
      </c>
      <c r="B1153" s="214">
        <v>46148</v>
      </c>
      <c r="C1153" s="211" t="s">
        <v>1852</v>
      </c>
      <c r="D1153" t="s">
        <v>2076</v>
      </c>
      <c r="F1153" s="52" t="str">
        <f>IF(G1153="","",INDEX(COA!$A$4:$A$123,MATCH(JU!$G1153,COA!$B$4:$B$123,0)))</f>
        <v>6303</v>
      </c>
      <c r="G1153" t="s">
        <v>87</v>
      </c>
      <c r="H1153" s="216">
        <v>2500</v>
      </c>
      <c r="I1153" s="52">
        <f>IF(J1153="","",INDEX(COA!$A$4:$A$123,MATCH(JU!$J1153,COA!$B$4:$B$123,0)))</f>
        <v>1103</v>
      </c>
      <c r="J1153" t="s">
        <v>154</v>
      </c>
      <c r="K1153" s="34">
        <f t="shared" si="195"/>
        <v>2500</v>
      </c>
      <c r="M1153" s="259"/>
      <c r="N1153" s="260"/>
    </row>
    <row r="1154" spans="1:14" hidden="1">
      <c r="A1154" s="50" t="str">
        <f t="shared" si="192"/>
        <v xml:space="preserve">By. Biaya </v>
      </c>
      <c r="B1154" s="214">
        <v>46149</v>
      </c>
      <c r="C1154" s="211" t="s">
        <v>1908</v>
      </c>
      <c r="D1154" t="s">
        <v>2137</v>
      </c>
      <c r="F1154" s="52">
        <f>IF(G1154="","",INDEX(COA!$A$4:$A$123,MATCH(JU!$G1154,COA!$B$4:$B$123,0)))</f>
        <v>6109</v>
      </c>
      <c r="G1154" t="s">
        <v>79</v>
      </c>
      <c r="H1154" s="216">
        <v>150000</v>
      </c>
      <c r="I1154" s="52">
        <f>IF(J1154="","",INDEX(COA!$A$4:$A$123,MATCH(JU!$J1154,COA!$B$4:$B$123,0)))</f>
        <v>1103</v>
      </c>
      <c r="J1154" t="s">
        <v>154</v>
      </c>
      <c r="K1154" s="34">
        <f t="shared" si="195"/>
        <v>150000</v>
      </c>
      <c r="M1154" s="259"/>
      <c r="N1154" s="260"/>
    </row>
    <row r="1155" spans="1:14" hidden="1">
      <c r="A1155" s="50" t="str">
        <f t="shared" si="192"/>
        <v xml:space="preserve">By. Biaya </v>
      </c>
      <c r="B1155" s="214">
        <v>46149</v>
      </c>
      <c r="C1155" s="211" t="s">
        <v>1909</v>
      </c>
      <c r="D1155" t="s">
        <v>2138</v>
      </c>
      <c r="F1155" s="52">
        <f>IF(G1155="","",INDEX(COA!$A$4:$A$123,MATCH(JU!$G1155,COA!$B$4:$B$123,0)))</f>
        <v>1203</v>
      </c>
      <c r="G1155" t="s">
        <v>140</v>
      </c>
      <c r="H1155" s="216">
        <v>731000</v>
      </c>
      <c r="I1155" s="52">
        <f>IF(J1155="","",INDEX(COA!$A$4:$A$123,MATCH(JU!$J1155,COA!$B$4:$B$123,0)))</f>
        <v>1103</v>
      </c>
      <c r="J1155" t="s">
        <v>154</v>
      </c>
      <c r="K1155" s="34">
        <f t="shared" si="195"/>
        <v>731000</v>
      </c>
      <c r="M1155" s="259"/>
      <c r="N1155" s="260"/>
    </row>
    <row r="1156" spans="1:14" hidden="1">
      <c r="A1156" s="50" t="str">
        <f t="shared" si="192"/>
        <v xml:space="preserve">By. Biaya </v>
      </c>
      <c r="B1156" s="214">
        <v>46149</v>
      </c>
      <c r="C1156" s="211" t="s">
        <v>507</v>
      </c>
      <c r="D1156" s="229" t="s">
        <v>2335</v>
      </c>
      <c r="F1156" s="52">
        <f>IF(G1156="","",INDEX(COA!$A$4:$A$123,MATCH(JU!$G1156,COA!$B$4:$B$123,0)))</f>
        <v>1203</v>
      </c>
      <c r="G1156" t="s">
        <v>140</v>
      </c>
      <c r="H1156" s="216">
        <v>20000000</v>
      </c>
      <c r="I1156" s="52">
        <f>IF(J1156="","",INDEX(COA!$A$4:$A$123,MATCH(JU!$J1156,COA!$B$4:$B$123,0)))</f>
        <v>1103</v>
      </c>
      <c r="J1156" t="s">
        <v>154</v>
      </c>
      <c r="K1156" s="34">
        <f t="shared" si="195"/>
        <v>20000000</v>
      </c>
      <c r="M1156" s="259"/>
      <c r="N1156" s="260"/>
    </row>
    <row r="1157" spans="1:14" hidden="1">
      <c r="A1157" s="50" t="str">
        <f t="shared" si="192"/>
        <v xml:space="preserve">By. Biaya </v>
      </c>
      <c r="B1157" s="214">
        <v>46149</v>
      </c>
      <c r="C1157" s="211" t="s">
        <v>1910</v>
      </c>
      <c r="D1157" t="s">
        <v>2280</v>
      </c>
      <c r="F1157" s="52">
        <f>IF(G1157="","",INDEX(COA!$A$4:$A$123,MATCH(JU!$G1157,COA!$B$4:$B$123,0)))</f>
        <v>4102</v>
      </c>
      <c r="G1157" t="s">
        <v>62</v>
      </c>
      <c r="H1157" s="216">
        <v>8000000</v>
      </c>
      <c r="I1157" s="52">
        <f>IF(J1157="","",INDEX(COA!$A$4:$A$123,MATCH(JU!$J1157,COA!$B$4:$B$123,0)))</f>
        <v>1103</v>
      </c>
      <c r="J1157" t="s">
        <v>154</v>
      </c>
      <c r="K1157" s="34">
        <f t="shared" si="195"/>
        <v>8000000</v>
      </c>
      <c r="M1157" s="259"/>
      <c r="N1157" s="260"/>
    </row>
    <row r="1158" spans="1:14" hidden="1">
      <c r="A1158" s="50" t="str">
        <f t="shared" ref="A1158" si="202">IF(G1158="BRI 568","Terima Uang Masuk atas ","By. Biaya ")</f>
        <v xml:space="preserve">By. Biaya </v>
      </c>
      <c r="B1158" s="214">
        <v>46149</v>
      </c>
      <c r="C1158" s="211" t="s">
        <v>1910</v>
      </c>
      <c r="D1158" t="s">
        <v>2279</v>
      </c>
      <c r="F1158" s="52">
        <f>IF(G1158="","",INDEX(COA!$A$4:$A$123,MATCH(JU!$G1158,COA!$B$4:$B$123,0)))</f>
        <v>5110</v>
      </c>
      <c r="G1158" t="s">
        <v>74</v>
      </c>
      <c r="H1158" s="216">
        <v>3740000</v>
      </c>
      <c r="I1158" s="52">
        <f>IF(J1158="","",INDEX(COA!$A$4:$A$123,MATCH(JU!$J1158,COA!$B$4:$B$123,0)))</f>
        <v>1103</v>
      </c>
      <c r="J1158" t="s">
        <v>154</v>
      </c>
      <c r="K1158" s="34">
        <f t="shared" ref="K1158" si="203">IF(H1158="","",H1158)</f>
        <v>3740000</v>
      </c>
      <c r="M1158" s="259"/>
      <c r="N1158" s="260"/>
    </row>
    <row r="1159" spans="1:14" hidden="1">
      <c r="A1159" s="50" t="str">
        <f t="shared" si="192"/>
        <v xml:space="preserve">Terima Uang Masuk atas </v>
      </c>
      <c r="B1159" s="214">
        <v>46149</v>
      </c>
      <c r="C1159" s="211" t="s">
        <v>1911</v>
      </c>
      <c r="D1159" t="s">
        <v>2139</v>
      </c>
      <c r="F1159" s="52">
        <f>IF(G1159="","",INDEX(COA!$A$4:$A$123,MATCH(JU!$G1159,COA!$B$4:$B$123,0)))</f>
        <v>1103</v>
      </c>
      <c r="G1159" t="s">
        <v>154</v>
      </c>
      <c r="H1159" s="216">
        <v>8000000</v>
      </c>
      <c r="I1159" s="52">
        <f>IF(J1159="","",INDEX(COA!$A$4:$A$123,MATCH(JU!$J1159,COA!$B$4:$B$123,0)))</f>
        <v>4102</v>
      </c>
      <c r="J1159" t="s">
        <v>62</v>
      </c>
      <c r="K1159" s="34">
        <f t="shared" si="195"/>
        <v>8000000</v>
      </c>
      <c r="M1159" s="259"/>
      <c r="N1159" s="260"/>
    </row>
    <row r="1160" spans="1:14" hidden="1">
      <c r="A1160" s="50" t="str">
        <f t="shared" si="192"/>
        <v xml:space="preserve">By. Biaya </v>
      </c>
      <c r="B1160" s="214">
        <v>46149</v>
      </c>
      <c r="C1160" s="211" t="s">
        <v>1912</v>
      </c>
      <c r="D1160" t="s">
        <v>2282</v>
      </c>
      <c r="F1160" s="52">
        <f>IF(G1160="","",INDEX(COA!$A$4:$A$123,MATCH(JU!$G1160,COA!$B$4:$B$123,0)))</f>
        <v>4102</v>
      </c>
      <c r="G1160" t="s">
        <v>62</v>
      </c>
      <c r="H1160" s="216">
        <v>8000000</v>
      </c>
      <c r="I1160" s="52">
        <f>IF(J1160="","",INDEX(COA!$A$4:$A$123,MATCH(JU!$J1160,COA!$B$4:$B$123,0)))</f>
        <v>1103</v>
      </c>
      <c r="J1160" t="s">
        <v>154</v>
      </c>
      <c r="K1160" s="34">
        <f t="shared" si="195"/>
        <v>8000000</v>
      </c>
      <c r="M1160" s="259"/>
      <c r="N1160" s="260"/>
    </row>
    <row r="1161" spans="1:14" hidden="1">
      <c r="A1161" s="50" t="str">
        <f t="shared" ref="A1161" si="204">IF(G1161="BRI 568","Terima Uang Masuk atas ","By. Biaya ")</f>
        <v xml:space="preserve">By. Biaya </v>
      </c>
      <c r="B1161" s="214">
        <v>46149</v>
      </c>
      <c r="C1161" s="211" t="s">
        <v>1912</v>
      </c>
      <c r="D1161" t="s">
        <v>2281</v>
      </c>
      <c r="F1161" s="52">
        <f>IF(G1161="","",INDEX(COA!$A$4:$A$123,MATCH(JU!$G1161,COA!$B$4:$B$123,0)))</f>
        <v>5110</v>
      </c>
      <c r="G1161" t="s">
        <v>74</v>
      </c>
      <c r="H1161" s="216">
        <v>3740000</v>
      </c>
      <c r="I1161" s="52">
        <f>IF(J1161="","",INDEX(COA!$A$4:$A$123,MATCH(JU!$J1161,COA!$B$4:$B$123,0)))</f>
        <v>1103</v>
      </c>
      <c r="J1161" t="s">
        <v>154</v>
      </c>
      <c r="K1161" s="34">
        <f t="shared" ref="K1161" si="205">IF(H1161="","",H1161)</f>
        <v>3740000</v>
      </c>
      <c r="M1161" s="259"/>
      <c r="N1161" s="260"/>
    </row>
    <row r="1162" spans="1:14" hidden="1">
      <c r="A1162" s="50" t="str">
        <f t="shared" si="192"/>
        <v xml:space="preserve">Terima Uang Masuk atas </v>
      </c>
      <c r="B1162" s="214">
        <v>46149</v>
      </c>
      <c r="C1162" s="211" t="s">
        <v>1913</v>
      </c>
      <c r="D1162" t="s">
        <v>2140</v>
      </c>
      <c r="F1162" s="52">
        <f>IF(G1162="","",INDEX(COA!$A$4:$A$123,MATCH(JU!$G1162,COA!$B$4:$B$123,0)))</f>
        <v>1103</v>
      </c>
      <c r="G1162" t="s">
        <v>154</v>
      </c>
      <c r="H1162" s="216">
        <v>3000000</v>
      </c>
      <c r="I1162" s="52">
        <f>IF(J1162="","",INDEX(COA!$A$4:$A$123,MATCH(JU!$J1162,COA!$B$4:$B$123,0)))</f>
        <v>4102</v>
      </c>
      <c r="J1162" t="s">
        <v>62</v>
      </c>
      <c r="K1162" s="34">
        <f t="shared" si="195"/>
        <v>3000000</v>
      </c>
      <c r="M1162" s="259"/>
      <c r="N1162" s="260"/>
    </row>
    <row r="1163" spans="1:14" hidden="1">
      <c r="A1163" s="50" t="str">
        <f t="shared" si="192"/>
        <v xml:space="preserve">By. Biaya </v>
      </c>
      <c r="B1163" s="214">
        <v>46149</v>
      </c>
      <c r="C1163" s="211" t="s">
        <v>1914</v>
      </c>
      <c r="D1163" t="s">
        <v>2141</v>
      </c>
      <c r="F1163" s="52">
        <f>IF(G1163="","",INDEX(COA!$A$4:$A$123,MATCH(JU!$G1163,COA!$B$4:$B$123,0)))</f>
        <v>6105</v>
      </c>
      <c r="G1163" t="s">
        <v>148</v>
      </c>
      <c r="H1163" s="216">
        <v>170000</v>
      </c>
      <c r="I1163" s="52">
        <f>IF(J1163="","",INDEX(COA!$A$4:$A$123,MATCH(JU!$J1163,COA!$B$4:$B$123,0)))</f>
        <v>1103</v>
      </c>
      <c r="J1163" t="s">
        <v>154</v>
      </c>
      <c r="K1163" s="34">
        <f t="shared" si="195"/>
        <v>170000</v>
      </c>
      <c r="M1163" s="259"/>
      <c r="N1163" s="260"/>
    </row>
    <row r="1164" spans="1:14" hidden="1">
      <c r="A1164" s="50" t="str">
        <f t="shared" si="192"/>
        <v xml:space="preserve">Terima Uang Masuk atas </v>
      </c>
      <c r="B1164" s="214">
        <v>46149</v>
      </c>
      <c r="C1164" s="211" t="s">
        <v>1915</v>
      </c>
      <c r="D1164" t="s">
        <v>2142</v>
      </c>
      <c r="F1164" s="52">
        <f>IF(G1164="","",INDEX(COA!$A$4:$A$123,MATCH(JU!$G1164,COA!$B$4:$B$123,0)))</f>
        <v>1103</v>
      </c>
      <c r="G1164" t="s">
        <v>154</v>
      </c>
      <c r="H1164" s="216">
        <v>8000000</v>
      </c>
      <c r="I1164" s="52">
        <f>IF(J1164="","",INDEX(COA!$A$4:$A$123,MATCH(JU!$J1164,COA!$B$4:$B$123,0)))</f>
        <v>4102</v>
      </c>
      <c r="J1164" t="s">
        <v>62</v>
      </c>
      <c r="K1164" s="34">
        <f t="shared" si="195"/>
        <v>8000000</v>
      </c>
      <c r="M1164" s="259"/>
      <c r="N1164" s="260"/>
    </row>
    <row r="1165" spans="1:14" hidden="1">
      <c r="A1165" s="50" t="str">
        <f t="shared" si="192"/>
        <v xml:space="preserve">Terima Uang Masuk atas </v>
      </c>
      <c r="B1165" s="214">
        <v>46149</v>
      </c>
      <c r="C1165" s="211" t="s">
        <v>1916</v>
      </c>
      <c r="D1165" t="s">
        <v>2143</v>
      </c>
      <c r="F1165" s="52">
        <f>IF(G1165="","",INDEX(COA!$A$4:$A$123,MATCH(JU!$G1165,COA!$B$4:$B$123,0)))</f>
        <v>1103</v>
      </c>
      <c r="G1165" t="s">
        <v>154</v>
      </c>
      <c r="H1165" s="216">
        <v>5000000</v>
      </c>
      <c r="I1165" s="52">
        <f>IF(J1165="","",INDEX(COA!$A$4:$A$123,MATCH(JU!$J1165,COA!$B$4:$B$123,0)))</f>
        <v>4102</v>
      </c>
      <c r="J1165" t="s">
        <v>62</v>
      </c>
      <c r="K1165" s="34">
        <f t="shared" si="195"/>
        <v>5000000</v>
      </c>
      <c r="M1165" s="259"/>
      <c r="N1165" s="260"/>
    </row>
    <row r="1166" spans="1:14" hidden="1">
      <c r="A1166" s="50" t="str">
        <f t="shared" si="192"/>
        <v xml:space="preserve">By. Biaya </v>
      </c>
      <c r="B1166" s="214">
        <v>46149</v>
      </c>
      <c r="C1166" s="211" t="s">
        <v>508</v>
      </c>
      <c r="D1166" t="s">
        <v>2144</v>
      </c>
      <c r="F1166" s="52">
        <f>IF(G1166="","",INDEX(COA!$A$4:$A$123,MATCH(JU!$G1166,COA!$B$4:$B$123,0)))</f>
        <v>6101</v>
      </c>
      <c r="G1166" t="s">
        <v>75</v>
      </c>
      <c r="H1166" s="216">
        <v>15000000</v>
      </c>
      <c r="I1166" s="52">
        <f>IF(J1166="","",INDEX(COA!$A$4:$A$123,MATCH(JU!$J1166,COA!$B$4:$B$123,0)))</f>
        <v>1103</v>
      </c>
      <c r="J1166" t="s">
        <v>154</v>
      </c>
      <c r="K1166" s="34">
        <f t="shared" si="195"/>
        <v>15000000</v>
      </c>
      <c r="M1166" s="259"/>
      <c r="N1166" s="260"/>
    </row>
    <row r="1167" spans="1:14" hidden="1">
      <c r="A1167" s="50" t="str">
        <f t="shared" si="192"/>
        <v xml:space="preserve">By. Biaya </v>
      </c>
      <c r="B1167" s="214">
        <v>46149</v>
      </c>
      <c r="C1167" s="211" t="s">
        <v>305</v>
      </c>
      <c r="D1167" t="s">
        <v>333</v>
      </c>
      <c r="F1167" s="52" t="str">
        <f>IF(G1167="","",INDEX(COA!$A$4:$A$123,MATCH(JU!$G1167,COA!$B$4:$B$123,0)))</f>
        <v>6303</v>
      </c>
      <c r="G1167" t="s">
        <v>87</v>
      </c>
      <c r="H1167" s="216">
        <v>2500</v>
      </c>
      <c r="I1167" s="52">
        <f>IF(J1167="","",INDEX(COA!$A$4:$A$123,MATCH(JU!$J1167,COA!$B$4:$B$123,0)))</f>
        <v>1103</v>
      </c>
      <c r="J1167" t="s">
        <v>154</v>
      </c>
      <c r="K1167" s="34">
        <f t="shared" si="195"/>
        <v>2500</v>
      </c>
      <c r="M1167" s="259"/>
      <c r="N1167" s="260"/>
    </row>
    <row r="1168" spans="1:14" hidden="1">
      <c r="A1168" s="50" t="str">
        <f t="shared" si="192"/>
        <v xml:space="preserve">By. Biaya </v>
      </c>
      <c r="B1168" s="214">
        <v>46150</v>
      </c>
      <c r="C1168" s="211" t="s">
        <v>1917</v>
      </c>
      <c r="D1168" t="s">
        <v>2145</v>
      </c>
      <c r="F1168" s="52">
        <f>IF(G1168="","",INDEX(COA!$A$4:$A$123,MATCH(JU!$G1168,COA!$B$4:$B$123,0)))</f>
        <v>4102</v>
      </c>
      <c r="G1168" t="s">
        <v>62</v>
      </c>
      <c r="H1168" s="216">
        <v>1000000</v>
      </c>
      <c r="I1168" s="52">
        <f>IF(J1168="","",INDEX(COA!$A$4:$A$123,MATCH(JU!$J1168,COA!$B$4:$B$123,0)))</f>
        <v>1103</v>
      </c>
      <c r="J1168" t="s">
        <v>154</v>
      </c>
      <c r="K1168" s="34">
        <f t="shared" si="195"/>
        <v>1000000</v>
      </c>
      <c r="M1168" s="259"/>
      <c r="N1168" s="260"/>
    </row>
    <row r="1169" spans="1:14" hidden="1">
      <c r="A1169" s="50" t="str">
        <f t="shared" si="192"/>
        <v xml:space="preserve">By. Biaya </v>
      </c>
      <c r="B1169" s="214">
        <v>46150</v>
      </c>
      <c r="C1169" s="211" t="s">
        <v>305</v>
      </c>
      <c r="D1169" t="s">
        <v>333</v>
      </c>
      <c r="F1169" s="52" t="str">
        <f>IF(G1169="","",INDEX(COA!$A$4:$A$123,MATCH(JU!$G1169,COA!$B$4:$B$123,0)))</f>
        <v>6303</v>
      </c>
      <c r="G1169" t="s">
        <v>87</v>
      </c>
      <c r="H1169" s="216">
        <v>2500</v>
      </c>
      <c r="I1169" s="52">
        <f>IF(J1169="","",INDEX(COA!$A$4:$A$123,MATCH(JU!$J1169,COA!$B$4:$B$123,0)))</f>
        <v>1103</v>
      </c>
      <c r="J1169" t="s">
        <v>154</v>
      </c>
      <c r="K1169" s="34">
        <f t="shared" si="195"/>
        <v>2500</v>
      </c>
      <c r="M1169" s="259"/>
      <c r="N1169" s="260"/>
    </row>
    <row r="1170" spans="1:14">
      <c r="A1170" s="50" t="str">
        <f t="shared" si="192"/>
        <v xml:space="preserve">By. Biaya </v>
      </c>
      <c r="B1170" s="214">
        <v>46150</v>
      </c>
      <c r="C1170" s="211" t="s">
        <v>1918</v>
      </c>
      <c r="D1170" t="s">
        <v>2146</v>
      </c>
      <c r="F1170" s="52">
        <f>IF(G1170="","",INDEX(COA!$A$4:$A$123,MATCH(JU!$G1170,COA!$B$4:$B$123,0)))</f>
        <v>1302</v>
      </c>
      <c r="G1170" t="s">
        <v>31</v>
      </c>
      <c r="H1170" s="216">
        <v>48300000</v>
      </c>
      <c r="I1170" s="52">
        <f>IF(J1170="","",INDEX(COA!$A$4:$A$123,MATCH(JU!$J1170,COA!$B$4:$B$123,0)))</f>
        <v>1103</v>
      </c>
      <c r="J1170" t="s">
        <v>154</v>
      </c>
      <c r="K1170" s="34">
        <f t="shared" si="195"/>
        <v>48300000</v>
      </c>
      <c r="M1170" s="259"/>
      <c r="N1170" s="260"/>
    </row>
    <row r="1171" spans="1:14" hidden="1">
      <c r="A1171" s="50" t="str">
        <f t="shared" si="192"/>
        <v xml:space="preserve">Terima Uang Masuk atas </v>
      </c>
      <c r="B1171" s="214">
        <v>46150</v>
      </c>
      <c r="C1171" s="211" t="s">
        <v>1919</v>
      </c>
      <c r="D1171" t="s">
        <v>2147</v>
      </c>
      <c r="F1171" s="52">
        <f>IF(G1171="","",INDEX(COA!$A$4:$A$123,MATCH(JU!$G1171,COA!$B$4:$B$123,0)))</f>
        <v>1103</v>
      </c>
      <c r="G1171" t="s">
        <v>154</v>
      </c>
      <c r="H1171" s="216">
        <v>5000000</v>
      </c>
      <c r="I1171" s="52">
        <f>IF(J1171="","",INDEX(COA!$A$4:$A$123,MATCH(JU!$J1171,COA!$B$4:$B$123,0)))</f>
        <v>4102</v>
      </c>
      <c r="J1171" t="s">
        <v>62</v>
      </c>
      <c r="K1171" s="34">
        <f t="shared" si="195"/>
        <v>5000000</v>
      </c>
      <c r="M1171" s="259"/>
      <c r="N1171" s="260"/>
    </row>
    <row r="1172" spans="1:14" hidden="1">
      <c r="A1172" s="50" t="str">
        <f t="shared" si="192"/>
        <v xml:space="preserve">Terima Uang Masuk atas </v>
      </c>
      <c r="B1172" s="214">
        <v>46150</v>
      </c>
      <c r="C1172" s="211" t="s">
        <v>1920</v>
      </c>
      <c r="D1172" t="s">
        <v>2148</v>
      </c>
      <c r="F1172" s="52">
        <f>IF(G1172="","",INDEX(COA!$A$4:$A$123,MATCH(JU!$G1172,COA!$B$4:$B$123,0)))</f>
        <v>1103</v>
      </c>
      <c r="G1172" t="s">
        <v>154</v>
      </c>
      <c r="H1172" s="216">
        <v>100000</v>
      </c>
      <c r="I1172" s="52">
        <f>IF(J1172="","",INDEX(COA!$A$4:$A$123,MATCH(JU!$J1172,COA!$B$4:$B$123,0)))</f>
        <v>4102</v>
      </c>
      <c r="J1172" t="s">
        <v>62</v>
      </c>
      <c r="K1172" s="34">
        <f t="shared" si="195"/>
        <v>100000</v>
      </c>
      <c r="M1172" s="259"/>
      <c r="N1172" s="260"/>
    </row>
    <row r="1173" spans="1:14" hidden="1">
      <c r="A1173" s="50" t="str">
        <f t="shared" si="192"/>
        <v xml:space="preserve">Terima Uang Masuk atas </v>
      </c>
      <c r="B1173" s="214">
        <v>46150</v>
      </c>
      <c r="C1173" s="211" t="s">
        <v>1921</v>
      </c>
      <c r="D1173" t="s">
        <v>2149</v>
      </c>
      <c r="F1173" s="52">
        <f>IF(G1173="","",INDEX(COA!$A$4:$A$123,MATCH(JU!$G1173,COA!$B$4:$B$123,0)))</f>
        <v>1103</v>
      </c>
      <c r="G1173" t="s">
        <v>154</v>
      </c>
      <c r="H1173" s="216">
        <v>12000000</v>
      </c>
      <c r="I1173" s="52">
        <f>IF(J1173="","",INDEX(COA!$A$4:$A$123,MATCH(JU!$J1173,COA!$B$4:$B$123,0)))</f>
        <v>4102</v>
      </c>
      <c r="J1173" t="s">
        <v>62</v>
      </c>
      <c r="K1173" s="34">
        <f t="shared" si="195"/>
        <v>12000000</v>
      </c>
      <c r="M1173" s="259"/>
      <c r="N1173" s="260"/>
    </row>
    <row r="1174" spans="1:14" hidden="1">
      <c r="A1174" s="50" t="str">
        <f t="shared" ref="A1174" si="206">IF(G1174="BRI 568","Terima Uang Masuk atas ","By. Biaya ")</f>
        <v xml:space="preserve">By. Biaya </v>
      </c>
      <c r="B1174" s="214">
        <v>46150</v>
      </c>
      <c r="C1174" s="211" t="s">
        <v>1921</v>
      </c>
      <c r="D1174" t="s">
        <v>2283</v>
      </c>
      <c r="F1174" s="52">
        <f>IF(G1174="","",INDEX(COA!$A$4:$A$123,MATCH(JU!$G1174,COA!$B$4:$B$123,0)))</f>
        <v>1202</v>
      </c>
      <c r="G1174" t="s">
        <v>27</v>
      </c>
      <c r="H1174" s="216">
        <v>169000000</v>
      </c>
      <c r="I1174" s="52">
        <f>IF(J1174="","",INDEX(COA!$A$4:$A$123,MATCH(JU!$J1174,COA!$B$4:$B$123,0)))</f>
        <v>4102</v>
      </c>
      <c r="J1174" t="s">
        <v>62</v>
      </c>
      <c r="K1174" s="34">
        <f t="shared" ref="K1174" si="207">IF(H1174="","",H1174)</f>
        <v>169000000</v>
      </c>
      <c r="M1174" s="259"/>
      <c r="N1174" s="260"/>
    </row>
    <row r="1175" spans="1:14" hidden="1">
      <c r="A1175" s="50" t="str">
        <f t="shared" si="192"/>
        <v xml:space="preserve">Terima Uang Masuk atas </v>
      </c>
      <c r="B1175" s="214">
        <v>46150</v>
      </c>
      <c r="C1175" s="211" t="s">
        <v>1922</v>
      </c>
      <c r="D1175" t="s">
        <v>2150</v>
      </c>
      <c r="F1175" s="52">
        <f>IF(G1175="","",INDEX(COA!$A$4:$A$123,MATCH(JU!$G1175,COA!$B$4:$B$123,0)))</f>
        <v>1103</v>
      </c>
      <c r="G1175" t="s">
        <v>154</v>
      </c>
      <c r="H1175" s="216">
        <v>15000000</v>
      </c>
      <c r="I1175" s="52">
        <f>IF(J1175="","",INDEX(COA!$A$4:$A$123,MATCH(JU!$J1175,COA!$B$4:$B$123,0)))</f>
        <v>4102</v>
      </c>
      <c r="J1175" t="s">
        <v>62</v>
      </c>
      <c r="K1175" s="34">
        <f t="shared" si="195"/>
        <v>15000000</v>
      </c>
      <c r="M1175" s="259"/>
      <c r="N1175" s="260"/>
    </row>
    <row r="1176" spans="1:14" hidden="1">
      <c r="A1176" s="50" t="str">
        <f t="shared" ref="A1176" si="208">IF(G1176="BRI 568","Terima Uang Masuk atas ","By. Biaya ")</f>
        <v xml:space="preserve">By. Biaya </v>
      </c>
      <c r="B1176" s="214">
        <v>46150</v>
      </c>
      <c r="C1176" s="211" t="s">
        <v>1922</v>
      </c>
      <c r="D1176" t="s">
        <v>2284</v>
      </c>
      <c r="F1176" s="52">
        <f>IF(G1176="","",INDEX(COA!$A$4:$A$123,MATCH(JU!$G1176,COA!$B$4:$B$123,0)))</f>
        <v>1202</v>
      </c>
      <c r="G1176" t="s">
        <v>27</v>
      </c>
      <c r="H1176" s="216">
        <v>169000000</v>
      </c>
      <c r="I1176" s="52">
        <f>IF(J1176="","",INDEX(COA!$A$4:$A$123,MATCH(JU!$J1176,COA!$B$4:$B$123,0)))</f>
        <v>4102</v>
      </c>
      <c r="J1176" t="s">
        <v>62</v>
      </c>
      <c r="K1176" s="34">
        <f t="shared" ref="K1176" si="209">IF(H1176="","",H1176)</f>
        <v>169000000</v>
      </c>
      <c r="M1176" s="259"/>
      <c r="N1176" s="260"/>
    </row>
    <row r="1177" spans="1:14" hidden="1">
      <c r="A1177" s="50" t="str">
        <f t="shared" si="192"/>
        <v xml:space="preserve">Terima Uang Masuk atas </v>
      </c>
      <c r="B1177" s="214">
        <v>46150</v>
      </c>
      <c r="C1177" s="211" t="s">
        <v>1923</v>
      </c>
      <c r="D1177" t="s">
        <v>2151</v>
      </c>
      <c r="F1177" s="52">
        <f>IF(G1177="","",INDEX(COA!$A$4:$A$123,MATCH(JU!$G1177,COA!$B$4:$B$123,0)))</f>
        <v>1103</v>
      </c>
      <c r="G1177" t="s">
        <v>154</v>
      </c>
      <c r="H1177" s="216">
        <v>5000000</v>
      </c>
      <c r="I1177" s="52">
        <f>IF(J1177="","",INDEX(COA!$A$4:$A$123,MATCH(JU!$J1177,COA!$B$4:$B$123,0)))</f>
        <v>4102</v>
      </c>
      <c r="J1177" t="s">
        <v>62</v>
      </c>
      <c r="K1177" s="34">
        <f t="shared" si="195"/>
        <v>5000000</v>
      </c>
      <c r="M1177" s="259"/>
      <c r="N1177" s="260"/>
    </row>
    <row r="1178" spans="1:14" hidden="1">
      <c r="A1178" s="50" t="str">
        <f t="shared" si="192"/>
        <v xml:space="preserve">By. Biaya </v>
      </c>
      <c r="B1178" s="214">
        <v>46150</v>
      </c>
      <c r="C1178" s="211" t="s">
        <v>1924</v>
      </c>
      <c r="D1178" t="s">
        <v>2152</v>
      </c>
      <c r="F1178" s="52">
        <f>IF(G1178="","",INDEX(COA!$A$4:$A$123,MATCH(JU!$G1178,COA!$B$4:$B$123,0)))</f>
        <v>7101</v>
      </c>
      <c r="G1178" t="s">
        <v>93</v>
      </c>
      <c r="H1178" s="216">
        <v>1730000</v>
      </c>
      <c r="I1178" s="52">
        <f>IF(J1178="","",INDEX(COA!$A$4:$A$123,MATCH(JU!$J1178,COA!$B$4:$B$123,0)))</f>
        <v>1103</v>
      </c>
      <c r="J1178" t="s">
        <v>154</v>
      </c>
      <c r="K1178" s="34">
        <f t="shared" si="195"/>
        <v>1730000</v>
      </c>
      <c r="M1178" s="259"/>
      <c r="N1178" s="260"/>
    </row>
    <row r="1179" spans="1:14" hidden="1">
      <c r="A1179" s="50" t="str">
        <f t="shared" si="192"/>
        <v xml:space="preserve">By. Biaya </v>
      </c>
      <c r="B1179" s="214">
        <v>46150</v>
      </c>
      <c r="C1179" s="211" t="s">
        <v>1925</v>
      </c>
      <c r="D1179" t="s">
        <v>2153</v>
      </c>
      <c r="F1179" s="52">
        <f>IF(G1179="","",INDEX(COA!$A$4:$A$123,MATCH(JU!$G1179,COA!$B$4:$B$123,0)))</f>
        <v>7101</v>
      </c>
      <c r="G1179" t="s">
        <v>93</v>
      </c>
      <c r="H1179" s="216">
        <v>1730000</v>
      </c>
      <c r="I1179" s="52">
        <f>IF(J1179="","",INDEX(COA!$A$4:$A$123,MATCH(JU!$J1179,COA!$B$4:$B$123,0)))</f>
        <v>1103</v>
      </c>
      <c r="J1179" t="s">
        <v>154</v>
      </c>
      <c r="K1179" s="34">
        <f t="shared" si="195"/>
        <v>1730000</v>
      </c>
      <c r="M1179" s="259"/>
      <c r="N1179" s="260"/>
    </row>
    <row r="1180" spans="1:14" hidden="1">
      <c r="A1180" s="50" t="str">
        <f t="shared" si="192"/>
        <v xml:space="preserve">By. Biaya </v>
      </c>
      <c r="B1180" s="214">
        <v>46150</v>
      </c>
      <c r="C1180" s="211" t="s">
        <v>1926</v>
      </c>
      <c r="D1180" t="s">
        <v>2154</v>
      </c>
      <c r="F1180" s="52">
        <f>IF(G1180="","",INDEX(COA!$A$4:$A$123,MATCH(JU!$G1180,COA!$B$4:$B$123,0)))</f>
        <v>1406</v>
      </c>
      <c r="G1180" t="s">
        <v>38</v>
      </c>
      <c r="H1180" s="216">
        <v>35000000</v>
      </c>
      <c r="I1180" s="52">
        <f>IF(J1180="","",INDEX(COA!$A$4:$A$123,MATCH(JU!$J1180,COA!$B$4:$B$123,0)))</f>
        <v>1103</v>
      </c>
      <c r="J1180" t="s">
        <v>154</v>
      </c>
      <c r="K1180" s="34">
        <f t="shared" si="195"/>
        <v>35000000</v>
      </c>
      <c r="M1180" s="259"/>
      <c r="N1180" s="260"/>
    </row>
    <row r="1181" spans="1:14" hidden="1">
      <c r="A1181" s="50" t="str">
        <f t="shared" si="192"/>
        <v xml:space="preserve">By. Biaya </v>
      </c>
      <c r="B1181" s="214">
        <v>46150</v>
      </c>
      <c r="C1181" s="211" t="s">
        <v>1852</v>
      </c>
      <c r="D1181" t="s">
        <v>2076</v>
      </c>
      <c r="F1181" s="52" t="str">
        <f>IF(G1181="","",INDEX(COA!$A$4:$A$123,MATCH(JU!$G1181,COA!$B$4:$B$123,0)))</f>
        <v>6303</v>
      </c>
      <c r="G1181" t="s">
        <v>87</v>
      </c>
      <c r="H1181" s="216">
        <v>2500</v>
      </c>
      <c r="I1181" s="52">
        <f>IF(J1181="","",INDEX(COA!$A$4:$A$123,MATCH(JU!$J1181,COA!$B$4:$B$123,0)))</f>
        <v>1103</v>
      </c>
      <c r="J1181" t="s">
        <v>154</v>
      </c>
      <c r="K1181" s="34">
        <f t="shared" si="195"/>
        <v>2500</v>
      </c>
      <c r="M1181" s="259"/>
      <c r="N1181" s="260"/>
    </row>
    <row r="1182" spans="1:14" hidden="1">
      <c r="A1182" s="50" t="str">
        <f t="shared" si="192"/>
        <v xml:space="preserve">By. Biaya </v>
      </c>
      <c r="B1182" s="214">
        <v>46150</v>
      </c>
      <c r="C1182" s="211" t="s">
        <v>509</v>
      </c>
      <c r="D1182" t="s">
        <v>2155</v>
      </c>
      <c r="F1182" s="52">
        <f>IF(G1182="","",INDEX(COA!$A$4:$A$123,MATCH(JU!$G1182,COA!$B$4:$B$123,0)))</f>
        <v>1406</v>
      </c>
      <c r="G1182" t="s">
        <v>38</v>
      </c>
      <c r="H1182" s="216">
        <v>500000</v>
      </c>
      <c r="I1182" s="52">
        <f>IF(J1182="","",INDEX(COA!$A$4:$A$123,MATCH(JU!$J1182,COA!$B$4:$B$123,0)))</f>
        <v>1103</v>
      </c>
      <c r="J1182" t="s">
        <v>154</v>
      </c>
      <c r="K1182" s="34">
        <f t="shared" si="195"/>
        <v>500000</v>
      </c>
      <c r="M1182" s="259"/>
      <c r="N1182" s="260"/>
    </row>
    <row r="1183" spans="1:14" hidden="1">
      <c r="A1183" s="50" t="str">
        <f t="shared" si="192"/>
        <v xml:space="preserve">By. Biaya </v>
      </c>
      <c r="B1183" s="214">
        <v>46150</v>
      </c>
      <c r="C1183" s="211" t="s">
        <v>1852</v>
      </c>
      <c r="D1183" t="s">
        <v>2076</v>
      </c>
      <c r="F1183" s="52" t="str">
        <f>IF(G1183="","",INDEX(COA!$A$4:$A$123,MATCH(JU!$G1183,COA!$B$4:$B$123,0)))</f>
        <v>6303</v>
      </c>
      <c r="G1183" t="s">
        <v>87</v>
      </c>
      <c r="H1183" s="216">
        <v>2500</v>
      </c>
      <c r="I1183" s="52">
        <f>IF(J1183="","",INDEX(COA!$A$4:$A$123,MATCH(JU!$J1183,COA!$B$4:$B$123,0)))</f>
        <v>1103</v>
      </c>
      <c r="J1183" t="s">
        <v>154</v>
      </c>
      <c r="K1183" s="34">
        <f t="shared" si="195"/>
        <v>2500</v>
      </c>
      <c r="M1183" s="259"/>
      <c r="N1183" s="260"/>
    </row>
    <row r="1184" spans="1:14" hidden="1">
      <c r="A1184" s="50" t="str">
        <f t="shared" si="192"/>
        <v xml:space="preserve">By. Biaya </v>
      </c>
      <c r="B1184" s="214">
        <v>46150</v>
      </c>
      <c r="C1184" s="211" t="s">
        <v>1927</v>
      </c>
      <c r="D1184" t="s">
        <v>2156</v>
      </c>
      <c r="F1184" s="52">
        <f>IF(G1184="","",INDEX(COA!$A$4:$A$123,MATCH(JU!$G1184,COA!$B$4:$B$123,0)))</f>
        <v>5110</v>
      </c>
      <c r="G1184" t="s">
        <v>74</v>
      </c>
      <c r="H1184" s="216">
        <v>1575000</v>
      </c>
      <c r="I1184" s="52">
        <f>IF(J1184="","",INDEX(COA!$A$4:$A$123,MATCH(JU!$J1184,COA!$B$4:$B$123,0)))</f>
        <v>1103</v>
      </c>
      <c r="J1184" t="s">
        <v>154</v>
      </c>
      <c r="K1184" s="34">
        <f t="shared" si="195"/>
        <v>1575000</v>
      </c>
      <c r="M1184" s="259"/>
      <c r="N1184" s="260"/>
    </row>
    <row r="1185" spans="1:14" hidden="1">
      <c r="A1185" s="50" t="str">
        <f t="shared" si="192"/>
        <v xml:space="preserve">By. Biaya </v>
      </c>
      <c r="B1185" s="214">
        <v>46150</v>
      </c>
      <c r="C1185" s="211" t="s">
        <v>1852</v>
      </c>
      <c r="D1185" t="s">
        <v>2076</v>
      </c>
      <c r="F1185" s="52" t="str">
        <f>IF(G1185="","",INDEX(COA!$A$4:$A$123,MATCH(JU!$G1185,COA!$B$4:$B$123,0)))</f>
        <v>6303</v>
      </c>
      <c r="G1185" t="s">
        <v>87</v>
      </c>
      <c r="H1185" s="216">
        <v>2500</v>
      </c>
      <c r="I1185" s="52">
        <f>IF(J1185="","",INDEX(COA!$A$4:$A$123,MATCH(JU!$J1185,COA!$B$4:$B$123,0)))</f>
        <v>1103</v>
      </c>
      <c r="J1185" t="s">
        <v>154</v>
      </c>
      <c r="K1185" s="34">
        <f t="shared" si="195"/>
        <v>2500</v>
      </c>
      <c r="M1185" s="259"/>
      <c r="N1185" s="260"/>
    </row>
    <row r="1186" spans="1:14" hidden="1">
      <c r="A1186" s="50" t="str">
        <f t="shared" si="192"/>
        <v xml:space="preserve">By. Biaya </v>
      </c>
      <c r="B1186" s="214">
        <v>46150</v>
      </c>
      <c r="C1186" s="211" t="s">
        <v>1928</v>
      </c>
      <c r="D1186" t="s">
        <v>2157</v>
      </c>
      <c r="F1186" s="52">
        <f>IF(G1186="","",INDEX(COA!$A$4:$A$123,MATCH(JU!$G1186,COA!$B$4:$B$123,0)))</f>
        <v>5110</v>
      </c>
      <c r="G1186" t="s">
        <v>74</v>
      </c>
      <c r="H1186" s="216">
        <v>1575000</v>
      </c>
      <c r="I1186" s="52">
        <f>IF(J1186="","",INDEX(COA!$A$4:$A$123,MATCH(JU!$J1186,COA!$B$4:$B$123,0)))</f>
        <v>1103</v>
      </c>
      <c r="J1186" t="s">
        <v>154</v>
      </c>
      <c r="K1186" s="34">
        <f t="shared" si="195"/>
        <v>1575000</v>
      </c>
      <c r="M1186" s="259"/>
      <c r="N1186" s="260"/>
    </row>
    <row r="1187" spans="1:14" hidden="1">
      <c r="A1187" s="50" t="str">
        <f t="shared" si="192"/>
        <v xml:space="preserve">By. Biaya </v>
      </c>
      <c r="B1187" s="214">
        <v>46150</v>
      </c>
      <c r="C1187" s="211" t="s">
        <v>1852</v>
      </c>
      <c r="D1187" t="s">
        <v>2076</v>
      </c>
      <c r="F1187" s="52" t="str">
        <f>IF(G1187="","",INDEX(COA!$A$4:$A$123,MATCH(JU!$G1187,COA!$B$4:$B$123,0)))</f>
        <v>6303</v>
      </c>
      <c r="G1187" t="s">
        <v>87</v>
      </c>
      <c r="H1187" s="216">
        <v>2500</v>
      </c>
      <c r="I1187" s="52">
        <f>IF(J1187="","",INDEX(COA!$A$4:$A$123,MATCH(JU!$J1187,COA!$B$4:$B$123,0)))</f>
        <v>1103</v>
      </c>
      <c r="J1187" t="s">
        <v>154</v>
      </c>
      <c r="K1187" s="34">
        <f t="shared" si="195"/>
        <v>2500</v>
      </c>
      <c r="M1187" s="259"/>
      <c r="N1187" s="260"/>
    </row>
    <row r="1188" spans="1:14" hidden="1">
      <c r="A1188" s="50" t="str">
        <f t="shared" si="192"/>
        <v xml:space="preserve">By. Biaya </v>
      </c>
      <c r="B1188" s="214">
        <v>46150</v>
      </c>
      <c r="C1188" s="211" t="s">
        <v>1929</v>
      </c>
      <c r="D1188" t="s">
        <v>2158</v>
      </c>
      <c r="F1188" s="52">
        <f>IF(G1188="","",INDEX(COA!$A$4:$A$123,MATCH(JU!$G1188,COA!$B$4:$B$123,0)))</f>
        <v>1302</v>
      </c>
      <c r="G1188" t="s">
        <v>31</v>
      </c>
      <c r="H1188" s="216">
        <v>1480000</v>
      </c>
      <c r="I1188" s="52">
        <f>IF(J1188="","",INDEX(COA!$A$4:$A$123,MATCH(JU!$J1188,COA!$B$4:$B$123,0)))</f>
        <v>1103</v>
      </c>
      <c r="J1188" t="s">
        <v>154</v>
      </c>
      <c r="K1188" s="34">
        <f t="shared" si="195"/>
        <v>1480000</v>
      </c>
      <c r="M1188" s="259"/>
      <c r="N1188" s="260"/>
    </row>
    <row r="1189" spans="1:14" hidden="1">
      <c r="A1189" s="50" t="str">
        <f t="shared" si="192"/>
        <v xml:space="preserve">Terima Uang Masuk atas </v>
      </c>
      <c r="B1189" s="214">
        <v>46151</v>
      </c>
      <c r="C1189" s="211" t="s">
        <v>1930</v>
      </c>
      <c r="D1189" s="266" t="s">
        <v>2159</v>
      </c>
      <c r="F1189" s="52">
        <f>IF(G1189="","",INDEX(COA!$A$4:$A$123,MATCH(JU!$G1189,COA!$B$4:$B$123,0)))</f>
        <v>1103</v>
      </c>
      <c r="G1189" t="s">
        <v>154</v>
      </c>
      <c r="H1189" s="216">
        <v>13000000</v>
      </c>
      <c r="I1189" s="52">
        <f>IF(J1189="","",INDEX(COA!$A$4:$A$123,MATCH(JU!$J1189,COA!$B$4:$B$123,0)))</f>
        <v>4102</v>
      </c>
      <c r="J1189" t="s">
        <v>62</v>
      </c>
      <c r="K1189" s="34">
        <f t="shared" si="195"/>
        <v>13000000</v>
      </c>
      <c r="M1189" s="259"/>
      <c r="N1189" s="260"/>
    </row>
    <row r="1190" spans="1:14" hidden="1">
      <c r="A1190" s="50" t="str">
        <f t="shared" ref="A1190" si="210">IF(G1190="BRI 568","Terima Uang Masuk atas ","By. Biaya ")</f>
        <v xml:space="preserve">By. Biaya </v>
      </c>
      <c r="B1190" s="214">
        <v>46151</v>
      </c>
      <c r="C1190" s="211" t="s">
        <v>1930</v>
      </c>
      <c r="D1190" t="s">
        <v>2285</v>
      </c>
      <c r="F1190" s="52">
        <f>IF(G1190="","",INDEX(COA!$A$4:$A$123,MATCH(JU!$G1190,COA!$B$4:$B$123,0)))</f>
        <v>1202</v>
      </c>
      <c r="G1190" t="s">
        <v>27</v>
      </c>
      <c r="H1190" s="216">
        <v>169000000</v>
      </c>
      <c r="I1190" s="52">
        <f>IF(J1190="","",INDEX(COA!$A$4:$A$123,MATCH(JU!$J1190,COA!$B$4:$B$123,0)))</f>
        <v>4102</v>
      </c>
      <c r="J1190" t="s">
        <v>62</v>
      </c>
      <c r="K1190" s="34">
        <f t="shared" ref="K1190" si="211">IF(H1190="","",H1190)</f>
        <v>169000000</v>
      </c>
      <c r="M1190" s="259"/>
      <c r="N1190" s="260"/>
    </row>
    <row r="1191" spans="1:14" hidden="1">
      <c r="A1191" s="50" t="str">
        <f t="shared" si="192"/>
        <v xml:space="preserve">Terima Uang Masuk atas </v>
      </c>
      <c r="B1191" s="214">
        <v>46151</v>
      </c>
      <c r="C1191" s="211" t="s">
        <v>1931</v>
      </c>
      <c r="D1191" t="s">
        <v>2160</v>
      </c>
      <c r="F1191" s="52">
        <f>IF(G1191="","",INDEX(COA!$A$4:$A$123,MATCH(JU!$G1191,COA!$B$4:$B$123,0)))</f>
        <v>1103</v>
      </c>
      <c r="G1191" t="s">
        <v>154</v>
      </c>
      <c r="H1191" s="216">
        <v>15000000</v>
      </c>
      <c r="I1191" s="52">
        <f>IF(J1191="","",INDEX(COA!$A$4:$A$123,MATCH(JU!$J1191,COA!$B$4:$B$123,0)))</f>
        <v>4102</v>
      </c>
      <c r="J1191" t="s">
        <v>62</v>
      </c>
      <c r="K1191" s="34">
        <f t="shared" si="195"/>
        <v>15000000</v>
      </c>
      <c r="M1191" s="259"/>
      <c r="N1191" s="260"/>
    </row>
    <row r="1192" spans="1:14" hidden="1">
      <c r="A1192" s="50" t="str">
        <f t="shared" ref="A1192" si="212">IF(G1192="BRI 568","Terima Uang Masuk atas ","By. Biaya ")</f>
        <v xml:space="preserve">By. Biaya </v>
      </c>
      <c r="B1192" s="214">
        <v>46151</v>
      </c>
      <c r="C1192" s="211" t="s">
        <v>1931</v>
      </c>
      <c r="D1192" t="s">
        <v>2286</v>
      </c>
      <c r="F1192" s="52">
        <f>IF(G1192="","",INDEX(COA!$A$4:$A$123,MATCH(JU!$G1192,COA!$B$4:$B$123,0)))</f>
        <v>1202</v>
      </c>
      <c r="G1192" t="s">
        <v>27</v>
      </c>
      <c r="H1192" s="216">
        <v>169000000</v>
      </c>
      <c r="I1192" s="52">
        <f>IF(J1192="","",INDEX(COA!$A$4:$A$123,MATCH(JU!$J1192,COA!$B$4:$B$123,0)))</f>
        <v>4102</v>
      </c>
      <c r="J1192" t="s">
        <v>62</v>
      </c>
      <c r="K1192" s="34">
        <f t="shared" ref="K1192" si="213">IF(H1192="","",H1192)</f>
        <v>169000000</v>
      </c>
      <c r="M1192" s="259"/>
      <c r="N1192" s="260"/>
    </row>
    <row r="1193" spans="1:14" hidden="1">
      <c r="A1193" s="50" t="str">
        <f t="shared" si="192"/>
        <v xml:space="preserve">By. Biaya </v>
      </c>
      <c r="B1193" s="214">
        <v>46151</v>
      </c>
      <c r="C1193" s="211" t="s">
        <v>510</v>
      </c>
      <c r="D1193" t="s">
        <v>2161</v>
      </c>
      <c r="F1193" s="52" t="str">
        <f>IF(G1193="","",INDEX(COA!$A$4:$A$123,MATCH(JU!$G1193,COA!$B$4:$B$123,0)))</f>
        <v>6201</v>
      </c>
      <c r="G1193" t="s">
        <v>81</v>
      </c>
      <c r="H1193" s="216">
        <v>1000000</v>
      </c>
      <c r="I1193" s="52">
        <f>IF(J1193="","",INDEX(COA!$A$4:$A$123,MATCH(JU!$J1193,COA!$B$4:$B$123,0)))</f>
        <v>1103</v>
      </c>
      <c r="J1193" t="s">
        <v>154</v>
      </c>
      <c r="K1193" s="34">
        <f t="shared" si="195"/>
        <v>1000000</v>
      </c>
      <c r="M1193" s="259"/>
      <c r="N1193" s="260"/>
    </row>
    <row r="1194" spans="1:14" hidden="1">
      <c r="A1194" s="50" t="str">
        <f t="shared" si="192"/>
        <v xml:space="preserve">By. Biaya </v>
      </c>
      <c r="B1194" s="214">
        <v>46151</v>
      </c>
      <c r="C1194" s="211" t="s">
        <v>1852</v>
      </c>
      <c r="D1194" t="s">
        <v>2076</v>
      </c>
      <c r="F1194" s="52" t="str">
        <f>IF(G1194="","",INDEX(COA!$A$4:$A$123,MATCH(JU!$G1194,COA!$B$4:$B$123,0)))</f>
        <v>6303</v>
      </c>
      <c r="G1194" t="s">
        <v>87</v>
      </c>
      <c r="H1194" s="216">
        <v>2500</v>
      </c>
      <c r="I1194" s="52">
        <f>IF(J1194="","",INDEX(COA!$A$4:$A$123,MATCH(JU!$J1194,COA!$B$4:$B$123,0)))</f>
        <v>1103</v>
      </c>
      <c r="J1194" t="s">
        <v>154</v>
      </c>
      <c r="K1194" s="34">
        <f t="shared" si="195"/>
        <v>2500</v>
      </c>
      <c r="M1194" s="259"/>
      <c r="N1194" s="260"/>
    </row>
    <row r="1195" spans="1:14">
      <c r="A1195" s="50" t="str">
        <f t="shared" si="192"/>
        <v xml:space="preserve">By. Biaya </v>
      </c>
      <c r="B1195" s="214">
        <v>46152</v>
      </c>
      <c r="C1195" s="211" t="s">
        <v>1932</v>
      </c>
      <c r="D1195" t="s">
        <v>2162</v>
      </c>
      <c r="F1195" s="52">
        <f>IF(G1195="","",INDEX(COA!$A$4:$A$123,MATCH(JU!$G1195,COA!$B$4:$B$123,0)))</f>
        <v>1302</v>
      </c>
      <c r="G1195" t="s">
        <v>31</v>
      </c>
      <c r="H1195" s="216">
        <v>10000000</v>
      </c>
      <c r="I1195" s="52">
        <f>IF(J1195="","",INDEX(COA!$A$4:$A$123,MATCH(JU!$J1195,COA!$B$4:$B$123,0)))</f>
        <v>1103</v>
      </c>
      <c r="J1195" t="s">
        <v>154</v>
      </c>
      <c r="K1195" s="34">
        <f t="shared" si="195"/>
        <v>10000000</v>
      </c>
      <c r="M1195" s="259"/>
      <c r="N1195" s="260"/>
    </row>
    <row r="1196" spans="1:14" hidden="1">
      <c r="A1196" s="50" t="str">
        <f t="shared" si="192"/>
        <v xml:space="preserve">By. Biaya </v>
      </c>
      <c r="B1196" s="214">
        <v>46152</v>
      </c>
      <c r="C1196" s="211" t="s">
        <v>511</v>
      </c>
      <c r="D1196" t="s">
        <v>2366</v>
      </c>
      <c r="F1196" s="52" t="str">
        <f>IF(G1196="","",INDEX(COA!$A$4:$A$123,MATCH(JU!$G1196,COA!$B$4:$B$123,0)))</f>
        <v>2108</v>
      </c>
      <c r="G1196" t="s">
        <v>51</v>
      </c>
      <c r="H1196" s="216">
        <v>20000000</v>
      </c>
      <c r="I1196" s="52">
        <f>IF(J1196="","",INDEX(COA!$A$4:$A$123,MATCH(JU!$J1196,COA!$B$4:$B$123,0)))</f>
        <v>1103</v>
      </c>
      <c r="J1196" t="s">
        <v>154</v>
      </c>
      <c r="K1196" s="34">
        <f t="shared" si="195"/>
        <v>20000000</v>
      </c>
      <c r="M1196" s="259"/>
      <c r="N1196" s="260"/>
    </row>
    <row r="1197" spans="1:14" hidden="1">
      <c r="A1197" s="50" t="str">
        <f t="shared" si="192"/>
        <v xml:space="preserve">By. Biaya </v>
      </c>
      <c r="B1197" s="214">
        <v>46152</v>
      </c>
      <c r="C1197" s="211" t="s">
        <v>1933</v>
      </c>
      <c r="D1197" t="s">
        <v>2163</v>
      </c>
      <c r="F1197" s="52" t="str">
        <f>IF(G1197="","",INDEX(COA!$A$4:$A$123,MATCH(JU!$G1197,COA!$B$4:$B$123,0)))</f>
        <v>6303</v>
      </c>
      <c r="G1197" t="s">
        <v>87</v>
      </c>
      <c r="H1197" s="216">
        <v>2500</v>
      </c>
      <c r="I1197" s="52">
        <f>IF(J1197="","",INDEX(COA!$A$4:$A$123,MATCH(JU!$J1197,COA!$B$4:$B$123,0)))</f>
        <v>1103</v>
      </c>
      <c r="J1197" t="s">
        <v>154</v>
      </c>
      <c r="K1197" s="34">
        <f t="shared" si="195"/>
        <v>2500</v>
      </c>
      <c r="M1197" s="259"/>
      <c r="N1197" s="260"/>
    </row>
    <row r="1198" spans="1:14" hidden="1">
      <c r="A1198" s="50" t="str">
        <f t="shared" si="192"/>
        <v xml:space="preserve">By. Biaya </v>
      </c>
      <c r="B1198" s="214">
        <v>46152</v>
      </c>
      <c r="C1198" s="211" t="s">
        <v>512</v>
      </c>
      <c r="D1198" t="s">
        <v>2164</v>
      </c>
      <c r="F1198" s="52">
        <f>IF(G1198="","",INDEX(COA!$A$4:$A$123,MATCH(JU!$G1198,COA!$B$4:$B$123,0)))</f>
        <v>5107</v>
      </c>
      <c r="G1198" t="s">
        <v>71</v>
      </c>
      <c r="H1198" s="216">
        <v>1792000</v>
      </c>
      <c r="I1198" s="52">
        <f>IF(J1198="","",INDEX(COA!$A$4:$A$123,MATCH(JU!$J1198,COA!$B$4:$B$123,0)))</f>
        <v>1103</v>
      </c>
      <c r="J1198" t="s">
        <v>154</v>
      </c>
      <c r="K1198" s="34">
        <f t="shared" si="195"/>
        <v>1792000</v>
      </c>
      <c r="M1198" s="259"/>
      <c r="N1198" s="260"/>
    </row>
    <row r="1199" spans="1:14" hidden="1">
      <c r="A1199" s="50" t="str">
        <f t="shared" ref="A1199:A1269" si="214">IF(G1199="BRI 568","Terima Uang Masuk atas ","By. Biaya ")</f>
        <v xml:space="preserve">Terima Uang Masuk atas </v>
      </c>
      <c r="B1199" s="214">
        <v>46153</v>
      </c>
      <c r="C1199" s="211" t="s">
        <v>1934</v>
      </c>
      <c r="D1199" t="s">
        <v>2165</v>
      </c>
      <c r="F1199" s="52">
        <f>IF(G1199="","",INDEX(COA!$A$4:$A$123,MATCH(JU!$G1199,COA!$B$4:$B$123,0)))</f>
        <v>1103</v>
      </c>
      <c r="G1199" t="s">
        <v>154</v>
      </c>
      <c r="H1199" s="216">
        <v>5000000</v>
      </c>
      <c r="I1199" s="52">
        <f>IF(J1199="","",INDEX(COA!$A$4:$A$123,MATCH(JU!$J1199,COA!$B$4:$B$123,0)))</f>
        <v>4102</v>
      </c>
      <c r="J1199" t="s">
        <v>62</v>
      </c>
      <c r="K1199" s="34">
        <f t="shared" si="195"/>
        <v>5000000</v>
      </c>
      <c r="M1199" s="259"/>
      <c r="N1199" s="260"/>
    </row>
    <row r="1200" spans="1:14" hidden="1">
      <c r="A1200" s="50" t="str">
        <f t="shared" si="214"/>
        <v xml:space="preserve">By. Biaya </v>
      </c>
      <c r="B1200" s="214">
        <v>46153</v>
      </c>
      <c r="C1200" s="211" t="s">
        <v>513</v>
      </c>
      <c r="D1200" s="266" t="s">
        <v>2166</v>
      </c>
      <c r="F1200" s="52">
        <f>IF(G1200="","",INDEX(COA!$A$4:$A$123,MATCH(JU!$G1200,COA!$B$4:$B$123,0)))</f>
        <v>1301</v>
      </c>
      <c r="G1200" t="s">
        <v>30</v>
      </c>
      <c r="H1200" s="216">
        <v>2400000</v>
      </c>
      <c r="I1200" s="52">
        <f>IF(J1200="","",INDEX(COA!$A$4:$A$123,MATCH(JU!$J1200,COA!$B$4:$B$123,0)))</f>
        <v>1103</v>
      </c>
      <c r="J1200" t="s">
        <v>154</v>
      </c>
      <c r="K1200" s="34">
        <f t="shared" si="195"/>
        <v>2400000</v>
      </c>
      <c r="M1200" s="259"/>
      <c r="N1200" s="260"/>
    </row>
    <row r="1201" spans="1:14" hidden="1">
      <c r="A1201" s="50" t="str">
        <f t="shared" si="214"/>
        <v xml:space="preserve">By. Biaya </v>
      </c>
      <c r="B1201" s="214">
        <v>46153</v>
      </c>
      <c r="C1201" s="211" t="s">
        <v>1852</v>
      </c>
      <c r="D1201" t="s">
        <v>2076</v>
      </c>
      <c r="F1201" s="52" t="str">
        <f>IF(G1201="","",INDEX(COA!$A$4:$A$123,MATCH(JU!$G1201,COA!$B$4:$B$123,0)))</f>
        <v>6303</v>
      </c>
      <c r="G1201" t="s">
        <v>87</v>
      </c>
      <c r="H1201" s="216">
        <v>2500</v>
      </c>
      <c r="I1201" s="52">
        <f>IF(J1201="","",INDEX(COA!$A$4:$A$123,MATCH(JU!$J1201,COA!$B$4:$B$123,0)))</f>
        <v>1103</v>
      </c>
      <c r="J1201" t="s">
        <v>154</v>
      </c>
      <c r="K1201" s="34">
        <f t="shared" si="195"/>
        <v>2500</v>
      </c>
      <c r="M1201" s="259"/>
      <c r="N1201" s="260"/>
    </row>
    <row r="1202" spans="1:14" hidden="1">
      <c r="A1202" s="50" t="str">
        <f t="shared" si="214"/>
        <v xml:space="preserve">By. Biaya </v>
      </c>
      <c r="B1202" s="214">
        <v>46153</v>
      </c>
      <c r="C1202" s="211" t="s">
        <v>1935</v>
      </c>
      <c r="D1202" t="s">
        <v>2167</v>
      </c>
      <c r="F1202" s="52">
        <f>IF(G1202="","",INDEX(COA!$A$4:$A$123,MATCH(JU!$G1202,COA!$B$4:$B$123,0)))</f>
        <v>1302</v>
      </c>
      <c r="G1202" t="s">
        <v>31</v>
      </c>
      <c r="H1202" s="216">
        <v>15000000</v>
      </c>
      <c r="I1202" s="52">
        <f>IF(J1202="","",INDEX(COA!$A$4:$A$123,MATCH(JU!$J1202,COA!$B$4:$B$123,0)))</f>
        <v>1103</v>
      </c>
      <c r="J1202" t="s">
        <v>154</v>
      </c>
      <c r="K1202" s="34">
        <f t="shared" si="195"/>
        <v>15000000</v>
      </c>
      <c r="M1202" s="259"/>
      <c r="N1202" s="260"/>
    </row>
    <row r="1203" spans="1:14" hidden="1">
      <c r="A1203" s="50" t="str">
        <f t="shared" si="214"/>
        <v xml:space="preserve">By. Biaya </v>
      </c>
      <c r="B1203" s="214">
        <v>46153</v>
      </c>
      <c r="C1203" s="211" t="s">
        <v>1852</v>
      </c>
      <c r="D1203" t="s">
        <v>2076</v>
      </c>
      <c r="F1203" s="52" t="str">
        <f>IF(G1203="","",INDEX(COA!$A$4:$A$123,MATCH(JU!$G1203,COA!$B$4:$B$123,0)))</f>
        <v>6303</v>
      </c>
      <c r="G1203" t="s">
        <v>87</v>
      </c>
      <c r="H1203" s="216">
        <v>2500</v>
      </c>
      <c r="I1203" s="52">
        <f>IF(J1203="","",INDEX(COA!$A$4:$A$123,MATCH(JU!$J1203,COA!$B$4:$B$123,0)))</f>
        <v>1103</v>
      </c>
      <c r="J1203" t="s">
        <v>154</v>
      </c>
      <c r="K1203" s="34">
        <f t="shared" ref="K1203:K1268" si="215">IF(H1203="","",H1203)</f>
        <v>2500</v>
      </c>
      <c r="M1203" s="259"/>
      <c r="N1203" s="260"/>
    </row>
    <row r="1204" spans="1:14" hidden="1">
      <c r="A1204" s="50" t="str">
        <f t="shared" si="214"/>
        <v xml:space="preserve">Terima Uang Masuk atas </v>
      </c>
      <c r="B1204" s="214">
        <v>46153</v>
      </c>
      <c r="C1204" s="211" t="s">
        <v>1936</v>
      </c>
      <c r="D1204" t="s">
        <v>2168</v>
      </c>
      <c r="F1204" s="52">
        <f>IF(G1204="","",INDEX(COA!$A$4:$A$123,MATCH(JU!$G1204,COA!$B$4:$B$123,0)))</f>
        <v>1103</v>
      </c>
      <c r="G1204" t="s">
        <v>154</v>
      </c>
      <c r="H1204" s="216">
        <v>157000000</v>
      </c>
      <c r="I1204" s="52">
        <f>IF(J1204="","",INDEX(COA!$A$4:$A$123,MATCH(JU!$J1204,COA!$B$4:$B$123,0)))</f>
        <v>1202</v>
      </c>
      <c r="J1204" t="s">
        <v>27</v>
      </c>
      <c r="K1204" s="34">
        <f t="shared" si="215"/>
        <v>157000000</v>
      </c>
      <c r="M1204" s="259"/>
      <c r="N1204" s="260"/>
    </row>
    <row r="1205" spans="1:14" hidden="1">
      <c r="A1205" s="50" t="str">
        <f t="shared" ref="A1205" si="216">IF(G1205="BRI 568","Terima Uang Masuk atas ","By. Biaya ")</f>
        <v xml:space="preserve">By. Biaya </v>
      </c>
      <c r="B1205" s="214">
        <v>46153</v>
      </c>
      <c r="C1205" s="211" t="s">
        <v>1936</v>
      </c>
      <c r="D1205" t="s">
        <v>2287</v>
      </c>
      <c r="F1205" s="52" t="str">
        <f>IF(G1205="","",INDEX(COA!$A$4:$A$123,MATCH(JU!$G1205,COA!$B$4:$B$123,0)))</f>
        <v>2101</v>
      </c>
      <c r="G1205" t="s">
        <v>45</v>
      </c>
      <c r="H1205" s="216">
        <f>2*70000000</f>
        <v>140000000</v>
      </c>
      <c r="I1205" s="52">
        <f>IF(J1205="","",INDEX(COA!$A$4:$A$123,MATCH(JU!$J1205,COA!$B$4:$B$123,0)))</f>
        <v>1202</v>
      </c>
      <c r="J1205" t="s">
        <v>27</v>
      </c>
      <c r="K1205" s="34">
        <f t="shared" ref="K1205" si="217">IF(H1205="","",H1205)</f>
        <v>140000000</v>
      </c>
      <c r="M1205" s="259"/>
      <c r="N1205" s="260"/>
    </row>
    <row r="1206" spans="1:14" hidden="1">
      <c r="A1206" s="50" t="str">
        <f t="shared" si="214"/>
        <v xml:space="preserve">By. Biaya </v>
      </c>
      <c r="B1206" s="214">
        <v>46153</v>
      </c>
      <c r="C1206" s="211" t="s">
        <v>1937</v>
      </c>
      <c r="D1206" t="s">
        <v>2169</v>
      </c>
      <c r="F1206" s="52">
        <f>IF(G1206="","",INDEX(COA!$A$4:$A$123,MATCH(JU!$G1206,COA!$B$4:$B$123,0)))</f>
        <v>6112</v>
      </c>
      <c r="G1206" t="s">
        <v>205</v>
      </c>
      <c r="H1206" s="216">
        <v>246000</v>
      </c>
      <c r="I1206" s="52">
        <f>IF(J1206="","",INDEX(COA!$A$4:$A$123,MATCH(JU!$J1206,COA!$B$4:$B$123,0)))</f>
        <v>1103</v>
      </c>
      <c r="J1206" t="s">
        <v>154</v>
      </c>
      <c r="K1206" s="34">
        <f t="shared" si="215"/>
        <v>246000</v>
      </c>
      <c r="M1206" s="259"/>
      <c r="N1206" s="260"/>
    </row>
    <row r="1207" spans="1:14" hidden="1">
      <c r="A1207" s="50" t="str">
        <f t="shared" si="214"/>
        <v xml:space="preserve">By. Biaya </v>
      </c>
      <c r="B1207" s="214">
        <v>46153</v>
      </c>
      <c r="C1207" s="211" t="s">
        <v>514</v>
      </c>
      <c r="D1207" t="s">
        <v>2170</v>
      </c>
      <c r="F1207" s="52">
        <f>IF(G1207="","",INDEX(COA!$A$4:$A$123,MATCH(JU!$G1207,COA!$B$4:$B$123,0)))</f>
        <v>6112</v>
      </c>
      <c r="G1207" t="s">
        <v>205</v>
      </c>
      <c r="H1207" s="216">
        <v>100000</v>
      </c>
      <c r="I1207" s="52">
        <f>IF(J1207="","",INDEX(COA!$A$4:$A$123,MATCH(JU!$J1207,COA!$B$4:$B$123,0)))</f>
        <v>1103</v>
      </c>
      <c r="J1207" t="s">
        <v>154</v>
      </c>
      <c r="K1207" s="34">
        <f t="shared" si="215"/>
        <v>100000</v>
      </c>
      <c r="M1207" s="259"/>
      <c r="N1207" s="260"/>
    </row>
    <row r="1208" spans="1:14" hidden="1">
      <c r="A1208" s="50" t="str">
        <f t="shared" si="214"/>
        <v xml:space="preserve">By. Biaya </v>
      </c>
      <c r="B1208" s="214">
        <v>46153</v>
      </c>
      <c r="C1208" s="211" t="s">
        <v>305</v>
      </c>
      <c r="D1208" t="s">
        <v>333</v>
      </c>
      <c r="F1208" s="52" t="str">
        <f>IF(G1208="","",INDEX(COA!$A$4:$A$123,MATCH(JU!$G1208,COA!$B$4:$B$123,0)))</f>
        <v>6303</v>
      </c>
      <c r="G1208" t="s">
        <v>87</v>
      </c>
      <c r="H1208" s="216">
        <v>3000</v>
      </c>
      <c r="I1208" s="52">
        <f>IF(J1208="","",INDEX(COA!$A$4:$A$123,MATCH(JU!$J1208,COA!$B$4:$B$123,0)))</f>
        <v>1103</v>
      </c>
      <c r="J1208" t="s">
        <v>154</v>
      </c>
      <c r="K1208" s="34">
        <f t="shared" si="215"/>
        <v>3000</v>
      </c>
      <c r="M1208" s="259"/>
      <c r="N1208" s="260"/>
    </row>
    <row r="1209" spans="1:14" hidden="1">
      <c r="A1209" s="50" t="str">
        <f t="shared" si="214"/>
        <v xml:space="preserve">By. Biaya </v>
      </c>
      <c r="B1209" s="214">
        <v>46153</v>
      </c>
      <c r="C1209" s="211" t="s">
        <v>1938</v>
      </c>
      <c r="D1209" s="266" t="s">
        <v>2171</v>
      </c>
      <c r="F1209" s="52" t="str">
        <f>IF(G1209="","",INDEX(COA!$A$4:$A$123,MATCH(JU!$G1209,COA!$B$4:$B$123,0)))</f>
        <v>2101</v>
      </c>
      <c r="G1209" t="s">
        <v>45</v>
      </c>
      <c r="H1209" s="216">
        <v>70000000</v>
      </c>
      <c r="I1209" s="52">
        <f>IF(J1209="","",INDEX(COA!$A$4:$A$123,MATCH(JU!$J1209,COA!$B$4:$B$123,0)))</f>
        <v>1103</v>
      </c>
      <c r="J1209" t="s">
        <v>154</v>
      </c>
      <c r="K1209" s="34">
        <f t="shared" si="215"/>
        <v>70000000</v>
      </c>
      <c r="M1209" s="259"/>
      <c r="N1209" s="260"/>
    </row>
    <row r="1210" spans="1:14" hidden="1">
      <c r="A1210" s="50" t="str">
        <f t="shared" si="214"/>
        <v xml:space="preserve">By. Biaya </v>
      </c>
      <c r="B1210" s="214">
        <v>46153</v>
      </c>
      <c r="C1210" s="211" t="s">
        <v>1939</v>
      </c>
      <c r="D1210" t="s">
        <v>2172</v>
      </c>
      <c r="F1210" s="52">
        <f>IF(G1210="","",INDEX(COA!$A$4:$A$123,MATCH(JU!$G1210,COA!$B$4:$B$123,0)))</f>
        <v>7103</v>
      </c>
      <c r="G1210" t="s">
        <v>95</v>
      </c>
      <c r="H1210" s="216">
        <v>776090</v>
      </c>
      <c r="I1210" s="52">
        <f>IF(J1210="","",INDEX(COA!$A$4:$A$123,MATCH(JU!$J1210,COA!$B$4:$B$123,0)))</f>
        <v>1103</v>
      </c>
      <c r="J1210" t="s">
        <v>154</v>
      </c>
      <c r="K1210" s="34">
        <f t="shared" si="215"/>
        <v>776090</v>
      </c>
      <c r="M1210" s="259"/>
      <c r="N1210" s="260"/>
    </row>
    <row r="1211" spans="1:14" hidden="1">
      <c r="A1211" s="50" t="str">
        <f t="shared" si="214"/>
        <v xml:space="preserve">By. Biaya </v>
      </c>
      <c r="B1211" s="214">
        <v>46153</v>
      </c>
      <c r="C1211" s="211" t="s">
        <v>1940</v>
      </c>
      <c r="D1211" t="s">
        <v>2173</v>
      </c>
      <c r="F1211" s="52">
        <f>IF(G1211="","",INDEX(COA!$A$4:$A$123,MATCH(JU!$G1211,COA!$B$4:$B$123,0)))</f>
        <v>6112</v>
      </c>
      <c r="G1211" t="s">
        <v>205</v>
      </c>
      <c r="H1211" s="216">
        <v>350000</v>
      </c>
      <c r="I1211" s="52">
        <f>IF(J1211="","",INDEX(COA!$A$4:$A$123,MATCH(JU!$J1211,COA!$B$4:$B$123,0)))</f>
        <v>1103</v>
      </c>
      <c r="J1211" t="s">
        <v>154</v>
      </c>
      <c r="K1211" s="34">
        <f t="shared" si="215"/>
        <v>350000</v>
      </c>
      <c r="M1211" s="259"/>
      <c r="N1211" s="260"/>
    </row>
    <row r="1212" spans="1:14">
      <c r="A1212" s="50" t="str">
        <f t="shared" si="214"/>
        <v xml:space="preserve">By. Biaya </v>
      </c>
      <c r="B1212" s="214">
        <v>46153</v>
      </c>
      <c r="C1212" s="211" t="s">
        <v>1941</v>
      </c>
      <c r="D1212" t="s">
        <v>2174</v>
      </c>
      <c r="F1212" s="52">
        <f>IF(G1212="","",INDEX(COA!$A$4:$A$123,MATCH(JU!$G1212,COA!$B$4:$B$123,0)))</f>
        <v>1302</v>
      </c>
      <c r="G1212" t="s">
        <v>31</v>
      </c>
      <c r="H1212" s="216">
        <v>5000000</v>
      </c>
      <c r="I1212" s="52">
        <f>IF(J1212="","",INDEX(COA!$A$4:$A$123,MATCH(JU!$J1212,COA!$B$4:$B$123,0)))</f>
        <v>1103</v>
      </c>
      <c r="J1212" t="s">
        <v>154</v>
      </c>
      <c r="K1212" s="34">
        <f t="shared" si="215"/>
        <v>5000000</v>
      </c>
      <c r="M1212" s="259"/>
      <c r="N1212" s="260"/>
    </row>
    <row r="1213" spans="1:14" hidden="1">
      <c r="A1213" s="50" t="str">
        <f t="shared" si="214"/>
        <v xml:space="preserve">By. Biaya </v>
      </c>
      <c r="B1213" s="214">
        <v>46153</v>
      </c>
      <c r="C1213" s="211" t="s">
        <v>1942</v>
      </c>
      <c r="D1213" t="s">
        <v>2175</v>
      </c>
      <c r="F1213" s="52">
        <f>IF(G1213="","",INDEX(COA!$A$4:$A$123,MATCH(JU!$G1213,COA!$B$4:$B$123,0)))</f>
        <v>1302</v>
      </c>
      <c r="G1213" t="s">
        <v>31</v>
      </c>
      <c r="H1213" s="216">
        <v>3000000</v>
      </c>
      <c r="I1213" s="52">
        <f>IF(J1213="","",INDEX(COA!$A$4:$A$123,MATCH(JU!$J1213,COA!$B$4:$B$123,0)))</f>
        <v>1103</v>
      </c>
      <c r="J1213" t="s">
        <v>154</v>
      </c>
      <c r="K1213" s="34">
        <f t="shared" si="215"/>
        <v>3000000</v>
      </c>
      <c r="M1213" s="259"/>
      <c r="N1213" s="260"/>
    </row>
    <row r="1214" spans="1:14" hidden="1">
      <c r="A1214" s="50" t="str">
        <f t="shared" si="214"/>
        <v xml:space="preserve">By. Biaya </v>
      </c>
      <c r="B1214" s="214">
        <v>46153</v>
      </c>
      <c r="C1214" s="211" t="s">
        <v>1943</v>
      </c>
      <c r="D1214" t="s">
        <v>2176</v>
      </c>
      <c r="F1214" s="52">
        <f>IF(G1214="","",INDEX(COA!$A$4:$A$123,MATCH(JU!$G1214,COA!$B$4:$B$123,0)))</f>
        <v>1302</v>
      </c>
      <c r="G1214" t="s">
        <v>31</v>
      </c>
      <c r="H1214" s="216">
        <v>500000</v>
      </c>
      <c r="I1214" s="52">
        <f>IF(J1214="","",INDEX(COA!$A$4:$A$123,MATCH(JU!$J1214,COA!$B$4:$B$123,0)))</f>
        <v>1103</v>
      </c>
      <c r="J1214" t="s">
        <v>154</v>
      </c>
      <c r="K1214" s="34">
        <f t="shared" si="215"/>
        <v>500000</v>
      </c>
      <c r="M1214" s="259"/>
      <c r="N1214" s="260"/>
    </row>
    <row r="1215" spans="1:14">
      <c r="A1215" s="50" t="str">
        <f t="shared" si="214"/>
        <v xml:space="preserve">By. Biaya </v>
      </c>
      <c r="B1215" s="214">
        <v>46153</v>
      </c>
      <c r="C1215" s="211" t="s">
        <v>1944</v>
      </c>
      <c r="D1215" s="266" t="s">
        <v>2177</v>
      </c>
      <c r="F1215" s="52">
        <f>IF(G1215="","",INDEX(COA!$A$4:$A$123,MATCH(JU!$G1215,COA!$B$4:$B$123,0)))</f>
        <v>1302</v>
      </c>
      <c r="G1215" t="s">
        <v>31</v>
      </c>
      <c r="H1215" s="216">
        <v>8384000</v>
      </c>
      <c r="I1215" s="52">
        <f>IF(J1215="","",INDEX(COA!$A$4:$A$123,MATCH(JU!$J1215,COA!$B$4:$B$123,0)))</f>
        <v>1103</v>
      </c>
      <c r="J1215" t="s">
        <v>154</v>
      </c>
      <c r="K1215" s="34">
        <f t="shared" si="215"/>
        <v>8384000</v>
      </c>
      <c r="M1215" s="259"/>
      <c r="N1215" s="260"/>
    </row>
    <row r="1216" spans="1:14" hidden="1">
      <c r="A1216" s="50" t="str">
        <f t="shared" si="214"/>
        <v xml:space="preserve">By. Biaya </v>
      </c>
      <c r="B1216" s="214">
        <v>46153</v>
      </c>
      <c r="C1216" s="211" t="s">
        <v>1945</v>
      </c>
      <c r="D1216" t="s">
        <v>2178</v>
      </c>
      <c r="F1216" s="52">
        <f>IF(G1216="","",INDEX(COA!$A$4:$A$123,MATCH(JU!$G1216,COA!$B$4:$B$123,0)))</f>
        <v>1302</v>
      </c>
      <c r="G1216" s="229" t="s">
        <v>31</v>
      </c>
      <c r="H1216" s="216">
        <v>50000</v>
      </c>
      <c r="I1216" s="52">
        <f>IF(J1216="","",INDEX(COA!$A$4:$A$123,MATCH(JU!$J1216,COA!$B$4:$B$123,0)))</f>
        <v>1103</v>
      </c>
      <c r="J1216" t="s">
        <v>154</v>
      </c>
      <c r="K1216" s="34">
        <f t="shared" si="215"/>
        <v>50000</v>
      </c>
      <c r="M1216" s="259"/>
      <c r="N1216" s="260"/>
    </row>
    <row r="1217" spans="1:14" hidden="1">
      <c r="A1217" s="50" t="str">
        <f t="shared" si="214"/>
        <v xml:space="preserve">By. Biaya </v>
      </c>
      <c r="B1217" s="214">
        <v>46153</v>
      </c>
      <c r="C1217" s="211" t="s">
        <v>1946</v>
      </c>
      <c r="D1217" t="s">
        <v>2179</v>
      </c>
      <c r="F1217" s="52">
        <f>IF(G1217="","",INDEX(COA!$A$4:$A$123,MATCH(JU!$G1217,COA!$B$4:$B$123,0)))</f>
        <v>5108</v>
      </c>
      <c r="G1217" s="229" t="s">
        <v>72</v>
      </c>
      <c r="H1217" s="216">
        <v>120000</v>
      </c>
      <c r="I1217" s="52">
        <f>IF(J1217="","",INDEX(COA!$A$4:$A$123,MATCH(JU!$J1217,COA!$B$4:$B$123,0)))</f>
        <v>1103</v>
      </c>
      <c r="J1217" t="s">
        <v>154</v>
      </c>
      <c r="K1217" s="34">
        <f t="shared" si="215"/>
        <v>120000</v>
      </c>
      <c r="M1217" s="259"/>
      <c r="N1217" s="260"/>
    </row>
    <row r="1218" spans="1:14" hidden="1">
      <c r="A1218" s="50" t="str">
        <f t="shared" si="214"/>
        <v xml:space="preserve">By. Biaya </v>
      </c>
      <c r="B1218" s="214">
        <v>46153</v>
      </c>
      <c r="C1218" s="211" t="s">
        <v>1947</v>
      </c>
      <c r="D1218" t="s">
        <v>2180</v>
      </c>
      <c r="F1218" s="52">
        <f>IF(G1218="","",INDEX(COA!$A$4:$A$123,MATCH(JU!$G1218,COA!$B$4:$B$123,0)))</f>
        <v>1302</v>
      </c>
      <c r="G1218" t="s">
        <v>31</v>
      </c>
      <c r="H1218" s="216">
        <v>100000000</v>
      </c>
      <c r="I1218" s="52">
        <f>IF(J1218="","",INDEX(COA!$A$4:$A$123,MATCH(JU!$J1218,COA!$B$4:$B$123,0)))</f>
        <v>1103</v>
      </c>
      <c r="J1218" t="s">
        <v>154</v>
      </c>
      <c r="K1218" s="34">
        <f t="shared" si="215"/>
        <v>100000000</v>
      </c>
      <c r="M1218" s="259"/>
      <c r="N1218" s="260"/>
    </row>
    <row r="1219" spans="1:14" hidden="1">
      <c r="A1219" s="50" t="str">
        <f t="shared" si="214"/>
        <v xml:space="preserve">By. Biaya </v>
      </c>
      <c r="B1219" s="214">
        <v>46154</v>
      </c>
      <c r="C1219" s="211" t="s">
        <v>1948</v>
      </c>
      <c r="D1219" t="s">
        <v>2181</v>
      </c>
      <c r="F1219" s="52">
        <f>IF(G1219="","",INDEX(COA!$A$4:$A$123,MATCH(JU!$G1219,COA!$B$4:$B$123,0)))</f>
        <v>5110</v>
      </c>
      <c r="G1219" t="s">
        <v>74</v>
      </c>
      <c r="H1219" s="216">
        <v>1575000</v>
      </c>
      <c r="I1219" s="52">
        <f>IF(J1219="","",INDEX(COA!$A$4:$A$123,MATCH(JU!$J1219,COA!$B$4:$B$123,0)))</f>
        <v>1103</v>
      </c>
      <c r="J1219" t="s">
        <v>154</v>
      </c>
      <c r="K1219" s="34">
        <f t="shared" si="215"/>
        <v>1575000</v>
      </c>
      <c r="M1219" s="259"/>
      <c r="N1219" s="260"/>
    </row>
    <row r="1220" spans="1:14" hidden="1">
      <c r="A1220" s="50" t="str">
        <f t="shared" si="214"/>
        <v xml:space="preserve">By. Biaya </v>
      </c>
      <c r="B1220" s="214">
        <v>46154</v>
      </c>
      <c r="C1220" s="211" t="s">
        <v>516</v>
      </c>
      <c r="D1220" t="s">
        <v>2182</v>
      </c>
      <c r="F1220" s="52">
        <f>IF(G1220="","",INDEX(COA!$A$4:$A$123,MATCH(JU!$G1220,COA!$B$4:$B$123,0)))</f>
        <v>6112</v>
      </c>
      <c r="G1220" t="s">
        <v>205</v>
      </c>
      <c r="H1220" s="216">
        <v>441000</v>
      </c>
      <c r="I1220" s="52">
        <f>IF(J1220="","",INDEX(COA!$A$4:$A$123,MATCH(JU!$J1220,COA!$B$4:$B$123,0)))</f>
        <v>1103</v>
      </c>
      <c r="J1220" t="s">
        <v>154</v>
      </c>
      <c r="K1220" s="34">
        <f t="shared" si="215"/>
        <v>441000</v>
      </c>
      <c r="M1220" s="259"/>
      <c r="N1220" s="260"/>
    </row>
    <row r="1221" spans="1:14" hidden="1">
      <c r="A1221" s="50" t="str">
        <f t="shared" si="214"/>
        <v xml:space="preserve">By. Biaya </v>
      </c>
      <c r="B1221" s="214">
        <v>46154</v>
      </c>
      <c r="C1221" s="211" t="s">
        <v>1949</v>
      </c>
      <c r="D1221" t="s">
        <v>2183</v>
      </c>
      <c r="F1221" s="52">
        <f>IF(G1221="","",INDEX(COA!$A$4:$A$123,MATCH(JU!$G1221,COA!$B$4:$B$123,0)))</f>
        <v>1301</v>
      </c>
      <c r="G1221" t="s">
        <v>30</v>
      </c>
      <c r="H1221" s="216">
        <v>1000000</v>
      </c>
      <c r="I1221" s="52">
        <f>IF(J1221="","",INDEX(COA!$A$4:$A$123,MATCH(JU!$J1221,COA!$B$4:$B$123,0)))</f>
        <v>1103</v>
      </c>
      <c r="J1221" t="s">
        <v>154</v>
      </c>
      <c r="K1221" s="34">
        <f t="shared" si="215"/>
        <v>1000000</v>
      </c>
      <c r="M1221" s="259"/>
      <c r="N1221" s="260"/>
    </row>
    <row r="1222" spans="1:14" hidden="1">
      <c r="A1222" s="50" t="str">
        <f t="shared" si="214"/>
        <v xml:space="preserve">By. Biaya </v>
      </c>
      <c r="B1222" s="214">
        <v>46154</v>
      </c>
      <c r="C1222" s="211" t="s">
        <v>517</v>
      </c>
      <c r="D1222" t="s">
        <v>2184</v>
      </c>
      <c r="F1222" s="52">
        <f>IF(G1222="","",INDEX(COA!$A$4:$A$123,MATCH(JU!$G1222,COA!$B$4:$B$123,0)))</f>
        <v>6112</v>
      </c>
      <c r="G1222" t="s">
        <v>205</v>
      </c>
      <c r="H1222" s="216">
        <v>100000</v>
      </c>
      <c r="I1222" s="52">
        <f>IF(J1222="","",INDEX(COA!$A$4:$A$123,MATCH(JU!$J1222,COA!$B$4:$B$123,0)))</f>
        <v>1103</v>
      </c>
      <c r="J1222" t="s">
        <v>154</v>
      </c>
      <c r="K1222" s="34">
        <f t="shared" si="215"/>
        <v>100000</v>
      </c>
      <c r="M1222" s="259"/>
      <c r="N1222" s="260"/>
    </row>
    <row r="1223" spans="1:14" hidden="1">
      <c r="A1223" s="50" t="str">
        <f t="shared" si="214"/>
        <v xml:space="preserve">By. Biaya </v>
      </c>
      <c r="B1223" s="214">
        <v>46154</v>
      </c>
      <c r="C1223" s="211" t="s">
        <v>305</v>
      </c>
      <c r="D1223" t="s">
        <v>333</v>
      </c>
      <c r="F1223" s="52" t="str">
        <f>IF(G1223="","",INDEX(COA!$A$4:$A$123,MATCH(JU!$G1223,COA!$B$4:$B$123,0)))</f>
        <v>6303</v>
      </c>
      <c r="G1223" t="s">
        <v>87</v>
      </c>
      <c r="H1223" s="216">
        <v>3000</v>
      </c>
      <c r="I1223" s="52">
        <f>IF(J1223="","",INDEX(COA!$A$4:$A$123,MATCH(JU!$J1223,COA!$B$4:$B$123,0)))</f>
        <v>1103</v>
      </c>
      <c r="J1223" t="s">
        <v>154</v>
      </c>
      <c r="K1223" s="34">
        <f t="shared" si="215"/>
        <v>3000</v>
      </c>
      <c r="M1223" s="259"/>
      <c r="N1223" s="260"/>
    </row>
    <row r="1224" spans="1:14" hidden="1">
      <c r="A1224" s="50" t="str">
        <f t="shared" si="214"/>
        <v xml:space="preserve">By. Biaya </v>
      </c>
      <c r="B1224" s="214">
        <v>46154</v>
      </c>
      <c r="C1224" s="211" t="s">
        <v>1950</v>
      </c>
      <c r="D1224" t="s">
        <v>2185</v>
      </c>
      <c r="F1224" s="52">
        <f>IF(G1224="","",INDEX(COA!$A$4:$A$123,MATCH(JU!$G1224,COA!$B$4:$B$123,0)))</f>
        <v>1202</v>
      </c>
      <c r="G1224" t="s">
        <v>27</v>
      </c>
      <c r="H1224" s="216">
        <v>19600000</v>
      </c>
      <c r="I1224" s="52">
        <f>IF(J1224="","",INDEX(COA!$A$4:$A$123,MATCH(JU!$J1224,COA!$B$4:$B$123,0)))</f>
        <v>1103</v>
      </c>
      <c r="J1224" t="s">
        <v>154</v>
      </c>
      <c r="K1224" s="34">
        <f t="shared" si="215"/>
        <v>19600000</v>
      </c>
      <c r="M1224" s="259"/>
      <c r="N1224" s="260"/>
    </row>
    <row r="1225" spans="1:14" hidden="1">
      <c r="A1225" s="50" t="str">
        <f t="shared" si="214"/>
        <v xml:space="preserve">By. Biaya </v>
      </c>
      <c r="B1225" s="215">
        <v>46154</v>
      </c>
      <c r="C1225" s="211" t="s">
        <v>555</v>
      </c>
      <c r="D1225" t="s">
        <v>2186</v>
      </c>
      <c r="F1225" s="52">
        <f>IF(G1225="","",INDEX(COA!$A$4:$A$123,MATCH(JU!$G1225,COA!$B$4:$B$123,0)))</f>
        <v>6109</v>
      </c>
      <c r="G1225" t="s">
        <v>79</v>
      </c>
      <c r="H1225" s="216">
        <v>50000</v>
      </c>
      <c r="I1225" s="52">
        <f>IF(J1225="","",INDEX(COA!$A$4:$A$123,MATCH(JU!$J1225,COA!$B$4:$B$123,0)))</f>
        <v>1103</v>
      </c>
      <c r="J1225" t="s">
        <v>154</v>
      </c>
      <c r="K1225" s="34">
        <f t="shared" si="215"/>
        <v>50000</v>
      </c>
      <c r="M1225" s="259"/>
      <c r="N1225" s="260"/>
    </row>
    <row r="1226" spans="1:14" hidden="1">
      <c r="A1226" s="50" t="str">
        <f t="shared" si="214"/>
        <v xml:space="preserve">Terima Uang Masuk atas </v>
      </c>
      <c r="B1226" s="214">
        <v>46154</v>
      </c>
      <c r="C1226" s="211" t="s">
        <v>556</v>
      </c>
      <c r="D1226" s="266" t="s">
        <v>2187</v>
      </c>
      <c r="F1226" s="52">
        <f>IF(G1226="","",INDEX(COA!$A$4:$A$123,MATCH(JU!$G1226,COA!$B$4:$B$123,0)))</f>
        <v>1103</v>
      </c>
      <c r="G1226" t="s">
        <v>154</v>
      </c>
      <c r="H1226" s="216">
        <v>3000000</v>
      </c>
      <c r="I1226" s="52">
        <f>IF(J1226="","",INDEX(COA!$A$4:$A$123,MATCH(JU!$J1226,COA!$B$4:$B$123,0)))</f>
        <v>4101</v>
      </c>
      <c r="J1226" t="s">
        <v>61</v>
      </c>
      <c r="K1226" s="34">
        <f t="shared" si="215"/>
        <v>3000000</v>
      </c>
      <c r="M1226" s="259"/>
      <c r="N1226" s="260"/>
    </row>
    <row r="1227" spans="1:14">
      <c r="A1227" s="50" t="str">
        <f t="shared" si="214"/>
        <v xml:space="preserve">By. Biaya </v>
      </c>
      <c r="B1227" s="214">
        <v>46154</v>
      </c>
      <c r="C1227" s="211" t="s">
        <v>1951</v>
      </c>
      <c r="D1227" t="s">
        <v>2188</v>
      </c>
      <c r="F1227" s="52">
        <f>IF(G1227="","",INDEX(COA!$A$4:$A$123,MATCH(JU!$G1227,COA!$B$4:$B$123,0)))</f>
        <v>1302</v>
      </c>
      <c r="G1227" t="s">
        <v>31</v>
      </c>
      <c r="H1227" s="216">
        <v>5000000</v>
      </c>
      <c r="I1227" s="52">
        <f>IF(J1227="","",INDEX(COA!$A$4:$A$123,MATCH(JU!$J1227,COA!$B$4:$B$123,0)))</f>
        <v>1103</v>
      </c>
      <c r="J1227" t="s">
        <v>154</v>
      </c>
      <c r="K1227" s="34">
        <f t="shared" si="215"/>
        <v>5000000</v>
      </c>
      <c r="M1227" s="259"/>
      <c r="N1227" s="260"/>
    </row>
    <row r="1228" spans="1:14" hidden="1">
      <c r="A1228" s="50" t="str">
        <f t="shared" si="214"/>
        <v xml:space="preserve">Terima Uang Masuk atas </v>
      </c>
      <c r="B1228" s="214">
        <v>46154</v>
      </c>
      <c r="C1228" s="211" t="s">
        <v>1952</v>
      </c>
      <c r="D1228" t="s">
        <v>2189</v>
      </c>
      <c r="F1228" s="52">
        <f>IF(G1228="","",INDEX(COA!$A$4:$A$123,MATCH(JU!$G1228,COA!$B$4:$B$123,0)))</f>
        <v>1103</v>
      </c>
      <c r="G1228" t="s">
        <v>154</v>
      </c>
      <c r="H1228" s="216">
        <v>15000000</v>
      </c>
      <c r="I1228" s="52">
        <f>IF(J1228="","",INDEX(COA!$A$4:$A$123,MATCH(JU!$J1228,COA!$B$4:$B$123,0)))</f>
        <v>4102</v>
      </c>
      <c r="J1228" t="s">
        <v>62</v>
      </c>
      <c r="K1228" s="34">
        <f t="shared" si="215"/>
        <v>15000000</v>
      </c>
      <c r="M1228" s="259"/>
      <c r="N1228" s="260"/>
    </row>
    <row r="1229" spans="1:14" hidden="1">
      <c r="A1229" s="50" t="str">
        <f t="shared" ref="A1229" si="218">IF(G1229="BRI 568","Terima Uang Masuk atas ","By. Biaya ")</f>
        <v xml:space="preserve">By. Biaya </v>
      </c>
      <c r="B1229" s="214">
        <v>46154</v>
      </c>
      <c r="C1229" s="211" t="s">
        <v>1952</v>
      </c>
      <c r="D1229" t="s">
        <v>2288</v>
      </c>
      <c r="F1229" s="52">
        <f>IF(G1229="","",INDEX(COA!$A$4:$A$123,MATCH(JU!$G1229,COA!$B$4:$B$123,0)))</f>
        <v>1202</v>
      </c>
      <c r="G1229" t="s">
        <v>27</v>
      </c>
      <c r="H1229" s="216">
        <v>169000000</v>
      </c>
      <c r="I1229" s="52">
        <f>IF(J1229="","",INDEX(COA!$A$4:$A$123,MATCH(JU!$J1229,COA!$B$4:$B$123,0)))</f>
        <v>4102</v>
      </c>
      <c r="J1229" t="s">
        <v>62</v>
      </c>
      <c r="K1229" s="34">
        <f t="shared" ref="K1229" si="219">IF(H1229="","",H1229)</f>
        <v>169000000</v>
      </c>
      <c r="M1229" s="259"/>
      <c r="N1229" s="260"/>
    </row>
    <row r="1230" spans="1:14" hidden="1">
      <c r="A1230" s="50" t="str">
        <f t="shared" si="214"/>
        <v xml:space="preserve">Terima Uang Masuk atas </v>
      </c>
      <c r="B1230" s="214">
        <v>46154</v>
      </c>
      <c r="C1230" s="211" t="s">
        <v>557</v>
      </c>
      <c r="D1230" t="s">
        <v>2325</v>
      </c>
      <c r="F1230" s="52">
        <f>IF(G1230="","",INDEX(COA!$A$4:$A$123,MATCH(JU!$G1230,COA!$B$4:$B$123,0)))</f>
        <v>1103</v>
      </c>
      <c r="G1230" t="s">
        <v>154</v>
      </c>
      <c r="H1230" s="216">
        <v>100000000</v>
      </c>
      <c r="I1230" s="52">
        <f>IF(J1230="","",INDEX(COA!$A$4:$A$123,MATCH(JU!$J1230,COA!$B$4:$B$123,0)))</f>
        <v>1108</v>
      </c>
      <c r="J1230" t="s">
        <v>155</v>
      </c>
      <c r="K1230" s="34">
        <f t="shared" si="215"/>
        <v>100000000</v>
      </c>
      <c r="M1230" s="259"/>
      <c r="N1230" s="260"/>
    </row>
    <row r="1231" spans="1:14" hidden="1">
      <c r="A1231" s="50" t="str">
        <f t="shared" si="214"/>
        <v xml:space="preserve">By. Biaya </v>
      </c>
      <c r="B1231" s="214">
        <v>46154</v>
      </c>
      <c r="C1231" s="211" t="s">
        <v>1953</v>
      </c>
      <c r="D1231" t="s">
        <v>2190</v>
      </c>
      <c r="F1231" s="52">
        <f>IF(G1231="","",INDEX(COA!$A$4:$A$123,MATCH(JU!$G1231,COA!$B$4:$B$123,0)))</f>
        <v>5108</v>
      </c>
      <c r="G1231" t="s">
        <v>72</v>
      </c>
      <c r="H1231" s="216">
        <v>28000000</v>
      </c>
      <c r="I1231" s="52">
        <f>IF(J1231="","",INDEX(COA!$A$4:$A$123,MATCH(JU!$J1231,COA!$B$4:$B$123,0)))</f>
        <v>1103</v>
      </c>
      <c r="J1231" t="s">
        <v>154</v>
      </c>
      <c r="K1231" s="34">
        <f t="shared" si="215"/>
        <v>28000000</v>
      </c>
      <c r="M1231" s="259"/>
      <c r="N1231" s="260"/>
    </row>
    <row r="1232" spans="1:14" hidden="1">
      <c r="A1232" s="50" t="str">
        <f t="shared" si="214"/>
        <v xml:space="preserve">By. Biaya </v>
      </c>
      <c r="B1232" s="214">
        <v>46154</v>
      </c>
      <c r="C1232" s="211" t="s">
        <v>1954</v>
      </c>
      <c r="D1232" t="s">
        <v>2191</v>
      </c>
      <c r="F1232" s="52">
        <f>IF(G1232="","",INDEX(COA!$A$4:$A$123,MATCH(JU!$G1232,COA!$B$4:$B$123,0)))</f>
        <v>5108</v>
      </c>
      <c r="G1232" t="s">
        <v>72</v>
      </c>
      <c r="H1232" s="216">
        <v>8000000</v>
      </c>
      <c r="I1232" s="52">
        <f>IF(J1232="","",INDEX(COA!$A$4:$A$123,MATCH(JU!$J1232,COA!$B$4:$B$123,0)))</f>
        <v>1103</v>
      </c>
      <c r="J1232" t="s">
        <v>154</v>
      </c>
      <c r="K1232" s="34">
        <f t="shared" si="215"/>
        <v>8000000</v>
      </c>
      <c r="M1232" s="259"/>
      <c r="N1232" s="260"/>
    </row>
    <row r="1233" spans="1:14" hidden="1">
      <c r="A1233" s="50" t="str">
        <f t="shared" si="214"/>
        <v xml:space="preserve">By. Biaya </v>
      </c>
      <c r="B1233" s="214">
        <v>46154</v>
      </c>
      <c r="C1233" s="211" t="s">
        <v>1955</v>
      </c>
      <c r="D1233" t="s">
        <v>2192</v>
      </c>
      <c r="F1233" s="52">
        <f>IF(G1233="","",INDEX(COA!$A$4:$A$123,MATCH(JU!$G1233,COA!$B$4:$B$123,0)))</f>
        <v>5108</v>
      </c>
      <c r="G1233" t="s">
        <v>72</v>
      </c>
      <c r="H1233" s="216">
        <v>4000000</v>
      </c>
      <c r="I1233" s="52">
        <f>IF(J1233="","",INDEX(COA!$A$4:$A$123,MATCH(JU!$J1233,COA!$B$4:$B$123,0)))</f>
        <v>1103</v>
      </c>
      <c r="J1233" t="s">
        <v>154</v>
      </c>
      <c r="K1233" s="34">
        <f t="shared" si="215"/>
        <v>4000000</v>
      </c>
      <c r="M1233" s="259"/>
      <c r="N1233" s="260"/>
    </row>
    <row r="1234" spans="1:14" hidden="1">
      <c r="A1234" s="50" t="str">
        <f t="shared" si="214"/>
        <v xml:space="preserve">Terima Uang Masuk atas </v>
      </c>
      <c r="B1234" s="214">
        <v>46154</v>
      </c>
      <c r="C1234" s="211" t="s">
        <v>558</v>
      </c>
      <c r="D1234" t="s">
        <v>2193</v>
      </c>
      <c r="F1234" s="52">
        <f>IF(G1234="","",INDEX(COA!$A$4:$A$123,MATCH(JU!$G1234,COA!$B$4:$B$123,0)))</f>
        <v>1103</v>
      </c>
      <c r="G1234" t="s">
        <v>154</v>
      </c>
      <c r="H1234" s="216">
        <v>40000000</v>
      </c>
      <c r="I1234" s="52">
        <f>IF(J1234="","",INDEX(COA!$A$4:$A$123,MATCH(JU!$J1234,COA!$B$4:$B$123,0)))</f>
        <v>1108</v>
      </c>
      <c r="J1234" t="s">
        <v>155</v>
      </c>
      <c r="K1234" s="34">
        <f t="shared" si="215"/>
        <v>40000000</v>
      </c>
      <c r="M1234" s="259"/>
      <c r="N1234" s="260"/>
    </row>
    <row r="1235" spans="1:14">
      <c r="A1235" s="50" t="str">
        <f t="shared" si="214"/>
        <v xml:space="preserve">By. Biaya </v>
      </c>
      <c r="B1235" s="214">
        <v>46155</v>
      </c>
      <c r="C1235" s="211" t="s">
        <v>1956</v>
      </c>
      <c r="D1235" t="s">
        <v>2194</v>
      </c>
      <c r="F1235" s="52">
        <f>IF(G1235="","",INDEX(COA!$A$4:$A$123,MATCH(JU!$G1235,COA!$B$4:$B$123,0)))</f>
        <v>1302</v>
      </c>
      <c r="G1235" t="s">
        <v>31</v>
      </c>
      <c r="H1235" s="216">
        <v>30000000</v>
      </c>
      <c r="I1235" s="52">
        <f>IF(J1235="","",INDEX(COA!$A$4:$A$123,MATCH(JU!$J1235,COA!$B$4:$B$123,0)))</f>
        <v>1103</v>
      </c>
      <c r="J1235" t="s">
        <v>154</v>
      </c>
      <c r="K1235" s="34">
        <f t="shared" si="215"/>
        <v>30000000</v>
      </c>
      <c r="N1235" s="260"/>
    </row>
    <row r="1236" spans="1:14" hidden="1">
      <c r="A1236" s="50" t="str">
        <f t="shared" si="214"/>
        <v xml:space="preserve">By. Biaya </v>
      </c>
      <c r="B1236" s="214">
        <v>46155</v>
      </c>
      <c r="C1236" s="211" t="s">
        <v>1957</v>
      </c>
      <c r="D1236" t="s">
        <v>2195</v>
      </c>
      <c r="F1236" s="52">
        <f>IF(G1236="","",INDEX(COA!$A$4:$A$123,MATCH(JU!$G1236,COA!$B$4:$B$123,0)))</f>
        <v>7101</v>
      </c>
      <c r="G1236" t="s">
        <v>93</v>
      </c>
      <c r="H1236" s="216">
        <v>3460000</v>
      </c>
      <c r="I1236" s="52">
        <f>IF(J1236="","",INDEX(COA!$A$4:$A$123,MATCH(JU!$J1236,COA!$B$4:$B$123,0)))</f>
        <v>1103</v>
      </c>
      <c r="J1236" t="s">
        <v>154</v>
      </c>
      <c r="K1236" s="34">
        <f t="shared" si="215"/>
        <v>3460000</v>
      </c>
      <c r="N1236" s="260"/>
    </row>
    <row r="1237" spans="1:14" hidden="1">
      <c r="A1237" s="50" t="str">
        <f t="shared" si="214"/>
        <v xml:space="preserve">Terima Uang Masuk atas </v>
      </c>
      <c r="B1237" s="214">
        <v>46155</v>
      </c>
      <c r="C1237" s="211" t="s">
        <v>1958</v>
      </c>
      <c r="D1237" t="s">
        <v>2196</v>
      </c>
      <c r="F1237" s="52">
        <f>IF(G1237="","",INDEX(COA!$A$4:$A$123,MATCH(JU!$G1237,COA!$B$4:$B$123,0)))</f>
        <v>1103</v>
      </c>
      <c r="G1237" t="s">
        <v>154</v>
      </c>
      <c r="H1237" s="216">
        <v>5000000</v>
      </c>
      <c r="I1237" s="52">
        <f>IF(J1237="","",INDEX(COA!$A$4:$A$123,MATCH(JU!$J1237,COA!$B$4:$B$123,0)))</f>
        <v>4102</v>
      </c>
      <c r="J1237" t="s">
        <v>62</v>
      </c>
      <c r="K1237" s="34">
        <f t="shared" si="215"/>
        <v>5000000</v>
      </c>
      <c r="N1237" s="260"/>
    </row>
    <row r="1238" spans="1:14" hidden="1">
      <c r="A1238" s="50" t="str">
        <f t="shared" si="214"/>
        <v xml:space="preserve">Terima Uang Masuk atas </v>
      </c>
      <c r="B1238" s="214">
        <v>46155</v>
      </c>
      <c r="C1238" s="211" t="s">
        <v>1959</v>
      </c>
      <c r="D1238" t="s">
        <v>2197</v>
      </c>
      <c r="F1238" s="52">
        <f>IF(G1238="","",INDEX(COA!$A$4:$A$123,MATCH(JU!$G1238,COA!$B$4:$B$123,0)))</f>
        <v>1103</v>
      </c>
      <c r="G1238" t="s">
        <v>154</v>
      </c>
      <c r="H1238" s="216">
        <v>15000000</v>
      </c>
      <c r="I1238" s="52">
        <f>IF(J1238="","",INDEX(COA!$A$4:$A$123,MATCH(JU!$J1238,COA!$B$4:$B$123,0)))</f>
        <v>4102</v>
      </c>
      <c r="J1238" t="s">
        <v>62</v>
      </c>
      <c r="K1238" s="34">
        <f t="shared" si="215"/>
        <v>15000000</v>
      </c>
      <c r="N1238" s="260"/>
    </row>
    <row r="1239" spans="1:14" hidden="1">
      <c r="A1239" s="50" t="str">
        <f t="shared" ref="A1239" si="220">IF(G1239="BRI 568","Terima Uang Masuk atas ","By. Biaya ")</f>
        <v xml:space="preserve">By. Biaya </v>
      </c>
      <c r="B1239" s="214">
        <v>46155</v>
      </c>
      <c r="C1239" s="211" t="s">
        <v>1959</v>
      </c>
      <c r="D1239" t="s">
        <v>2289</v>
      </c>
      <c r="F1239" s="52">
        <f>IF(G1239="","",INDEX(COA!$A$4:$A$123,MATCH(JU!$G1239,COA!$B$4:$B$123,0)))</f>
        <v>1202</v>
      </c>
      <c r="G1239" t="s">
        <v>27</v>
      </c>
      <c r="H1239" s="216">
        <v>169000000</v>
      </c>
      <c r="I1239" s="52">
        <f>IF(J1239="","",INDEX(COA!$A$4:$A$123,MATCH(JU!$J1239,COA!$B$4:$B$123,0)))</f>
        <v>4102</v>
      </c>
      <c r="J1239" t="s">
        <v>62</v>
      </c>
      <c r="K1239" s="34">
        <f t="shared" ref="K1239" si="221">IF(H1239="","",H1239)</f>
        <v>169000000</v>
      </c>
      <c r="N1239" s="260"/>
    </row>
    <row r="1240" spans="1:14" hidden="1">
      <c r="A1240" s="50" t="str">
        <f t="shared" si="214"/>
        <v xml:space="preserve">Terima Uang Masuk atas </v>
      </c>
      <c r="B1240" s="214">
        <v>46155</v>
      </c>
      <c r="C1240" s="211" t="s">
        <v>559</v>
      </c>
      <c r="D1240" t="s">
        <v>2198</v>
      </c>
      <c r="F1240" s="52">
        <f>IF(G1240="","",INDEX(COA!$A$4:$A$123,MATCH(JU!$G1240,COA!$B$4:$B$123,0)))</f>
        <v>1103</v>
      </c>
      <c r="G1240" s="229" t="s">
        <v>154</v>
      </c>
      <c r="H1240" s="216">
        <v>9500000</v>
      </c>
      <c r="I1240" s="52">
        <f>IF(J1240="","",INDEX(COA!$A$4:$A$123,MATCH(JU!$J1240,COA!$B$4:$B$123,0)))</f>
        <v>1202</v>
      </c>
      <c r="J1240" t="s">
        <v>27</v>
      </c>
      <c r="K1240" s="34">
        <f t="shared" si="215"/>
        <v>9500000</v>
      </c>
      <c r="N1240" s="260"/>
    </row>
    <row r="1241" spans="1:14" hidden="1">
      <c r="A1241" s="50" t="str">
        <f t="shared" si="214"/>
        <v xml:space="preserve">By. Biaya </v>
      </c>
      <c r="B1241" s="214">
        <v>46155</v>
      </c>
      <c r="C1241" s="211" t="s">
        <v>560</v>
      </c>
      <c r="D1241" t="s">
        <v>2199</v>
      </c>
      <c r="F1241" s="52">
        <f>IF(G1241="","",INDEX(COA!$A$4:$A$123,MATCH(JU!$G1241,COA!$B$4:$B$123,0)))</f>
        <v>1302</v>
      </c>
      <c r="G1241" t="s">
        <v>31</v>
      </c>
      <c r="H1241" s="216">
        <v>1545000</v>
      </c>
      <c r="I1241" s="52">
        <f>IF(J1241="","",INDEX(COA!$A$4:$A$123,MATCH(JU!$J1241,COA!$B$4:$B$123,0)))</f>
        <v>1103</v>
      </c>
      <c r="J1241" t="s">
        <v>154</v>
      </c>
      <c r="K1241" s="34">
        <f t="shared" si="215"/>
        <v>1545000</v>
      </c>
      <c r="N1241" s="260"/>
    </row>
    <row r="1242" spans="1:14" hidden="1">
      <c r="A1242" s="50" t="str">
        <f t="shared" si="214"/>
        <v xml:space="preserve">By. Biaya </v>
      </c>
      <c r="B1242" s="214">
        <v>46157</v>
      </c>
      <c r="C1242" s="211" t="s">
        <v>1960</v>
      </c>
      <c r="D1242" t="s">
        <v>2200</v>
      </c>
      <c r="F1242" s="52" t="str">
        <f>IF(G1242="","",INDEX(COA!$A$4:$A$123,MATCH(JU!$G1242,COA!$B$4:$B$123,0)))</f>
        <v>6201</v>
      </c>
      <c r="G1242" t="s">
        <v>81</v>
      </c>
      <c r="H1242" s="216">
        <v>1000000</v>
      </c>
      <c r="I1242" s="52">
        <f>IF(J1242="","",INDEX(COA!$A$4:$A$123,MATCH(JU!$J1242,COA!$B$4:$B$123,0)))</f>
        <v>1103</v>
      </c>
      <c r="J1242" t="s">
        <v>154</v>
      </c>
      <c r="K1242" s="34">
        <f t="shared" si="215"/>
        <v>1000000</v>
      </c>
      <c r="N1242" s="260"/>
    </row>
    <row r="1243" spans="1:14" hidden="1">
      <c r="A1243" s="50" t="str">
        <f t="shared" si="214"/>
        <v xml:space="preserve">By. Biaya </v>
      </c>
      <c r="B1243" s="214">
        <v>46157</v>
      </c>
      <c r="C1243" s="211" t="s">
        <v>1852</v>
      </c>
      <c r="D1243" t="s">
        <v>2076</v>
      </c>
      <c r="F1243" s="52" t="str">
        <f>IF(G1243="","",INDEX(COA!$A$4:$A$123,MATCH(JU!$G1243,COA!$B$4:$B$123,0)))</f>
        <v>6303</v>
      </c>
      <c r="G1243" t="s">
        <v>87</v>
      </c>
      <c r="H1243" s="216">
        <v>2500</v>
      </c>
      <c r="I1243" s="52">
        <f>IF(J1243="","",INDEX(COA!$A$4:$A$123,MATCH(JU!$J1243,COA!$B$4:$B$123,0)))</f>
        <v>1103</v>
      </c>
      <c r="J1243" t="s">
        <v>154</v>
      </c>
      <c r="K1243" s="34">
        <f t="shared" si="215"/>
        <v>2500</v>
      </c>
      <c r="N1243" s="260"/>
    </row>
    <row r="1244" spans="1:14" hidden="1">
      <c r="A1244" s="50" t="str">
        <f t="shared" si="214"/>
        <v xml:space="preserve">By. Biaya </v>
      </c>
      <c r="B1244" s="214">
        <v>46158</v>
      </c>
      <c r="C1244" s="211" t="s">
        <v>1961</v>
      </c>
      <c r="D1244" s="266" t="s">
        <v>2201</v>
      </c>
      <c r="F1244" s="52" t="str">
        <f>IF(G1244="","",INDEX(COA!$A$4:$A$123,MATCH(JU!$G1244,COA!$B$4:$B$123,0)))</f>
        <v>6301</v>
      </c>
      <c r="G1244" t="s">
        <v>85</v>
      </c>
      <c r="H1244" s="216">
        <v>13650000</v>
      </c>
      <c r="I1244" s="52">
        <f>IF(J1244="","",INDEX(COA!$A$4:$A$123,MATCH(JU!$J1244,COA!$B$4:$B$123,0)))</f>
        <v>1103</v>
      </c>
      <c r="J1244" t="s">
        <v>154</v>
      </c>
      <c r="K1244" s="34">
        <f t="shared" si="215"/>
        <v>13650000</v>
      </c>
      <c r="N1244" s="260"/>
    </row>
    <row r="1245" spans="1:14" hidden="1">
      <c r="A1245" s="50" t="str">
        <f t="shared" si="214"/>
        <v xml:space="preserve">By. Biaya </v>
      </c>
      <c r="B1245" s="214">
        <v>46158</v>
      </c>
      <c r="C1245" s="211" t="s">
        <v>1962</v>
      </c>
      <c r="D1245" t="s">
        <v>2202</v>
      </c>
      <c r="F1245" s="52">
        <f>IF(G1245="","",INDEX(COA!$A$4:$A$123,MATCH(JU!$G1245,COA!$B$4:$B$123,0)))</f>
        <v>1302</v>
      </c>
      <c r="G1245" t="s">
        <v>31</v>
      </c>
      <c r="H1245" s="216">
        <v>300000</v>
      </c>
      <c r="I1245" s="52">
        <f>IF(J1245="","",INDEX(COA!$A$4:$A$123,MATCH(JU!$J1245,COA!$B$4:$B$123,0)))</f>
        <v>1103</v>
      </c>
      <c r="J1245" t="s">
        <v>154</v>
      </c>
      <c r="K1245" s="34">
        <f t="shared" si="215"/>
        <v>300000</v>
      </c>
      <c r="N1245" s="260"/>
    </row>
    <row r="1246" spans="1:14" hidden="1">
      <c r="A1246" s="50" t="str">
        <f t="shared" si="214"/>
        <v xml:space="preserve">Terima Uang Masuk atas </v>
      </c>
      <c r="B1246" s="214">
        <v>46159</v>
      </c>
      <c r="C1246" s="211" t="s">
        <v>1963</v>
      </c>
      <c r="D1246" t="s">
        <v>2203</v>
      </c>
      <c r="F1246" s="52">
        <f>IF(G1246="","",INDEX(COA!$A$4:$A$123,MATCH(JU!$G1246,COA!$B$4:$B$123,0)))</f>
        <v>1103</v>
      </c>
      <c r="G1246" t="s">
        <v>154</v>
      </c>
      <c r="H1246" s="216">
        <v>5000000</v>
      </c>
      <c r="I1246" s="52">
        <f>IF(J1246="","",INDEX(COA!$A$4:$A$123,MATCH(JU!$J1246,COA!$B$4:$B$123,0)))</f>
        <v>4102</v>
      </c>
      <c r="J1246" t="s">
        <v>62</v>
      </c>
      <c r="K1246" s="34">
        <f t="shared" si="215"/>
        <v>5000000</v>
      </c>
      <c r="N1246" s="260"/>
    </row>
    <row r="1247" spans="1:14" hidden="1">
      <c r="A1247" s="50" t="str">
        <f t="shared" si="214"/>
        <v xml:space="preserve">Terima Uang Masuk atas </v>
      </c>
      <c r="B1247" s="214">
        <v>46159</v>
      </c>
      <c r="C1247" s="211" t="s">
        <v>1964</v>
      </c>
      <c r="D1247" t="s">
        <v>2204</v>
      </c>
      <c r="F1247" s="52">
        <f>IF(G1247="","",INDEX(COA!$A$4:$A$123,MATCH(JU!$G1247,COA!$B$4:$B$123,0)))</f>
        <v>1103</v>
      </c>
      <c r="G1247" t="s">
        <v>154</v>
      </c>
      <c r="H1247" s="216">
        <v>3000000</v>
      </c>
      <c r="I1247" s="52">
        <f>IF(J1247="","",INDEX(COA!$A$4:$A$123,MATCH(JU!$J1247,COA!$B$4:$B$123,0)))</f>
        <v>1202</v>
      </c>
      <c r="J1247" t="s">
        <v>27</v>
      </c>
      <c r="K1247" s="34">
        <f t="shared" si="215"/>
        <v>3000000</v>
      </c>
      <c r="N1247" s="260"/>
    </row>
    <row r="1248" spans="1:14" hidden="1">
      <c r="A1248" s="50" t="str">
        <f t="shared" si="214"/>
        <v xml:space="preserve">By. Biaya </v>
      </c>
      <c r="B1248" s="214">
        <v>46160</v>
      </c>
      <c r="C1248" s="211" t="s">
        <v>1965</v>
      </c>
      <c r="D1248" s="266" t="s">
        <v>2205</v>
      </c>
      <c r="F1248" s="52">
        <f>IF(G1248="","",INDEX(COA!$A$4:$A$123,MATCH(JU!$G1248,COA!$B$4:$B$123,0)))</f>
        <v>1203</v>
      </c>
      <c r="G1248" t="s">
        <v>140</v>
      </c>
      <c r="H1248" s="216">
        <v>5000000</v>
      </c>
      <c r="I1248" s="52">
        <f>IF(J1248="","",INDEX(COA!$A$4:$A$123,MATCH(JU!$J1248,COA!$B$4:$B$123,0)))</f>
        <v>1103</v>
      </c>
      <c r="J1248" t="s">
        <v>154</v>
      </c>
      <c r="K1248" s="34">
        <f t="shared" si="215"/>
        <v>5000000</v>
      </c>
      <c r="N1248" s="260"/>
    </row>
    <row r="1249" spans="1:14" hidden="1">
      <c r="A1249" s="50" t="str">
        <f t="shared" ref="A1249" si="222">IF(G1249="BRI 568","Terima Uang Masuk atas ","By. Biaya ")</f>
        <v xml:space="preserve">By. Biaya </v>
      </c>
      <c r="B1249" s="214">
        <v>46160</v>
      </c>
      <c r="C1249" s="211" t="s">
        <v>1966</v>
      </c>
      <c r="D1249" t="s">
        <v>2290</v>
      </c>
      <c r="F1249" s="52">
        <f>IF(G1249="","",INDEX(COA!$A$4:$A$123,MATCH(JU!$G1249,COA!$B$4:$B$123,0)))</f>
        <v>1202</v>
      </c>
      <c r="G1249" t="s">
        <v>27</v>
      </c>
      <c r="H1249" s="216">
        <v>33000000</v>
      </c>
      <c r="I1249" s="52">
        <f>IF(J1249="","",INDEX(COA!$A$4:$A$123,MATCH(JU!$J1249,COA!$B$4:$B$123,0)))</f>
        <v>4101</v>
      </c>
      <c r="J1249" t="s">
        <v>61</v>
      </c>
      <c r="K1249" s="34">
        <f t="shared" ref="K1249" si="223">IF(H1249="","",H1249)</f>
        <v>33000000</v>
      </c>
      <c r="N1249" s="260"/>
    </row>
    <row r="1250" spans="1:14" hidden="1">
      <c r="A1250" s="50" t="str">
        <f t="shared" si="214"/>
        <v xml:space="preserve">Terima Uang Masuk atas </v>
      </c>
      <c r="B1250" s="214">
        <v>46160</v>
      </c>
      <c r="C1250" s="211" t="s">
        <v>1966</v>
      </c>
      <c r="D1250" t="s">
        <v>2206</v>
      </c>
      <c r="F1250" s="52">
        <f>IF(G1250="","",INDEX(COA!$A$4:$A$123,MATCH(JU!$G1250,COA!$B$4:$B$123,0)))</f>
        <v>1103</v>
      </c>
      <c r="G1250" t="s">
        <v>154</v>
      </c>
      <c r="H1250" s="216">
        <v>9000000</v>
      </c>
      <c r="I1250" s="52">
        <f>IF(J1250="","",INDEX(COA!$A$4:$A$123,MATCH(JU!$J1250,COA!$B$4:$B$123,0)))</f>
        <v>1202</v>
      </c>
      <c r="J1250" t="s">
        <v>27</v>
      </c>
      <c r="K1250" s="34">
        <f t="shared" si="215"/>
        <v>9000000</v>
      </c>
      <c r="N1250" s="260"/>
    </row>
    <row r="1251" spans="1:14" hidden="1">
      <c r="A1251" s="50" t="str">
        <f t="shared" si="214"/>
        <v xml:space="preserve">By. Biaya </v>
      </c>
      <c r="B1251" s="214">
        <v>46160</v>
      </c>
      <c r="C1251" s="211" t="s">
        <v>1967</v>
      </c>
      <c r="D1251" t="s">
        <v>2207</v>
      </c>
      <c r="F1251" s="52">
        <f>IF(G1251="","",INDEX(COA!$A$4:$A$123,MATCH(JU!$G1251,COA!$B$4:$B$123,0)))</f>
        <v>1302</v>
      </c>
      <c r="G1251" t="s">
        <v>31</v>
      </c>
      <c r="H1251" s="216">
        <v>14520000</v>
      </c>
      <c r="I1251" s="52">
        <f>IF(J1251="","",INDEX(COA!$A$4:$A$123,MATCH(JU!$J1251,COA!$B$4:$B$123,0)))</f>
        <v>1103</v>
      </c>
      <c r="J1251" t="s">
        <v>154</v>
      </c>
      <c r="K1251" s="34">
        <f t="shared" si="215"/>
        <v>14520000</v>
      </c>
      <c r="N1251" s="260"/>
    </row>
    <row r="1252" spans="1:14" hidden="1">
      <c r="A1252" s="50" t="str">
        <f t="shared" si="214"/>
        <v xml:space="preserve">By. Biaya </v>
      </c>
      <c r="B1252" s="214">
        <v>46160</v>
      </c>
      <c r="C1252" s="211" t="s">
        <v>1873</v>
      </c>
      <c r="D1252" t="s">
        <v>2101</v>
      </c>
      <c r="F1252" s="52">
        <f>IF(G1252="","",INDEX(COA!$A$4:$A$123,MATCH(JU!$G1252,COA!$B$4:$B$123,0)))</f>
        <v>1203</v>
      </c>
      <c r="G1252" t="s">
        <v>140</v>
      </c>
      <c r="H1252" s="216">
        <v>300000</v>
      </c>
      <c r="I1252" s="52">
        <f>IF(J1252="","",INDEX(COA!$A$4:$A$123,MATCH(JU!$J1252,COA!$B$4:$B$123,0)))</f>
        <v>1103</v>
      </c>
      <c r="J1252" t="s">
        <v>154</v>
      </c>
      <c r="K1252" s="34">
        <f t="shared" si="215"/>
        <v>300000</v>
      </c>
      <c r="N1252" s="260"/>
    </row>
    <row r="1253" spans="1:14" hidden="1">
      <c r="A1253" s="50" t="str">
        <f t="shared" si="214"/>
        <v xml:space="preserve">By. Biaya </v>
      </c>
      <c r="B1253" s="214">
        <v>46160</v>
      </c>
      <c r="C1253" s="211" t="s">
        <v>1852</v>
      </c>
      <c r="D1253" t="s">
        <v>2076</v>
      </c>
      <c r="F1253" s="52" t="str">
        <f>IF(G1253="","",INDEX(COA!$A$4:$A$123,MATCH(JU!$G1253,COA!$B$4:$B$123,0)))</f>
        <v>6303</v>
      </c>
      <c r="G1253" t="s">
        <v>87</v>
      </c>
      <c r="H1253" s="216">
        <v>2500</v>
      </c>
      <c r="I1253" s="52">
        <f>IF(J1253="","",INDEX(COA!$A$4:$A$123,MATCH(JU!$J1253,COA!$B$4:$B$123,0)))</f>
        <v>1103</v>
      </c>
      <c r="J1253" t="s">
        <v>154</v>
      </c>
      <c r="K1253" s="34">
        <f t="shared" si="215"/>
        <v>2500</v>
      </c>
      <c r="N1253" s="260"/>
    </row>
    <row r="1254" spans="1:14">
      <c r="A1254" s="50" t="str">
        <f t="shared" si="214"/>
        <v xml:space="preserve">By. Biaya </v>
      </c>
      <c r="B1254" s="214">
        <v>46160</v>
      </c>
      <c r="C1254" s="211" t="s">
        <v>1968</v>
      </c>
      <c r="D1254" t="s">
        <v>2208</v>
      </c>
      <c r="F1254" s="52">
        <f>IF(G1254="","",INDEX(COA!$A$4:$A$123,MATCH(JU!$G1254,COA!$B$4:$B$123,0)))</f>
        <v>1302</v>
      </c>
      <c r="G1254" t="s">
        <v>31</v>
      </c>
      <c r="H1254" s="216">
        <v>9000000</v>
      </c>
      <c r="I1254" s="52">
        <f>IF(J1254="","",INDEX(COA!$A$4:$A$123,MATCH(JU!$J1254,COA!$B$4:$B$123,0)))</f>
        <v>1103</v>
      </c>
      <c r="J1254" t="s">
        <v>154</v>
      </c>
      <c r="K1254" s="34">
        <f t="shared" si="215"/>
        <v>9000000</v>
      </c>
      <c r="N1254" s="260"/>
    </row>
    <row r="1255" spans="1:14">
      <c r="A1255" s="50" t="str">
        <f t="shared" si="214"/>
        <v xml:space="preserve">By. Biaya </v>
      </c>
      <c r="B1255" s="214">
        <v>46160</v>
      </c>
      <c r="C1255" s="211" t="s">
        <v>1969</v>
      </c>
      <c r="D1255" t="s">
        <v>2209</v>
      </c>
      <c r="F1255" s="52">
        <f>IF(G1255="","",INDEX(COA!$A$4:$A$123,MATCH(JU!$G1255,COA!$B$4:$B$123,0)))</f>
        <v>1302</v>
      </c>
      <c r="G1255" t="s">
        <v>31</v>
      </c>
      <c r="H1255" s="216">
        <v>14000000</v>
      </c>
      <c r="I1255" s="52">
        <f>IF(J1255="","",INDEX(COA!$A$4:$A$123,MATCH(JU!$J1255,COA!$B$4:$B$123,0)))</f>
        <v>1103</v>
      </c>
      <c r="J1255" t="s">
        <v>154</v>
      </c>
      <c r="K1255" s="34">
        <f t="shared" si="215"/>
        <v>14000000</v>
      </c>
      <c r="N1255" s="260"/>
    </row>
    <row r="1256" spans="1:14" hidden="1">
      <c r="A1256" s="50" t="str">
        <f t="shared" ref="A1256" si="224">IF(G1256="BRI 568","Terima Uang Masuk atas ","By. Biaya ")</f>
        <v xml:space="preserve">By. Biaya </v>
      </c>
      <c r="B1256" s="214">
        <v>46160</v>
      </c>
      <c r="C1256" s="211" t="s">
        <v>1970</v>
      </c>
      <c r="D1256" t="s">
        <v>2291</v>
      </c>
      <c r="F1256" s="52">
        <f>IF(G1256="","",INDEX(COA!$A$4:$A$123,MATCH(JU!$G1256,COA!$B$4:$B$123,0)))</f>
        <v>1301</v>
      </c>
      <c r="G1256" t="s">
        <v>30</v>
      </c>
      <c r="H1256" s="216">
        <v>128000000</v>
      </c>
      <c r="I1256" s="52" t="str">
        <f>IF(J1256="","",INDEX(COA!$A$4:$A$123,MATCH(JU!$J1256,COA!$B$4:$B$123,0)))</f>
        <v>2101</v>
      </c>
      <c r="J1256" t="s">
        <v>45</v>
      </c>
      <c r="K1256" s="34">
        <f t="shared" ref="K1256" si="225">IF(H1256="","",H1256)</f>
        <v>128000000</v>
      </c>
      <c r="N1256" s="260"/>
    </row>
    <row r="1257" spans="1:14" hidden="1">
      <c r="A1257" s="50" t="str">
        <f t="shared" si="214"/>
        <v xml:space="preserve">By. Biaya </v>
      </c>
      <c r="B1257" s="214">
        <v>46160</v>
      </c>
      <c r="C1257" s="211" t="s">
        <v>1970</v>
      </c>
      <c r="D1257" s="266" t="s">
        <v>2210</v>
      </c>
      <c r="F1257" s="52" t="str">
        <f>IF(G1257="","",INDEX(COA!$A$4:$A$123,MATCH(JU!$G1257,COA!$B$4:$B$123,0)))</f>
        <v>2101</v>
      </c>
      <c r="G1257" t="s">
        <v>45</v>
      </c>
      <c r="H1257" s="216">
        <v>18000000</v>
      </c>
      <c r="I1257" s="52">
        <f>IF(J1257="","",INDEX(COA!$A$4:$A$123,MATCH(JU!$J1257,COA!$B$4:$B$123,0)))</f>
        <v>1103</v>
      </c>
      <c r="J1257" t="s">
        <v>154</v>
      </c>
      <c r="K1257" s="34">
        <f t="shared" si="215"/>
        <v>18000000</v>
      </c>
      <c r="N1257" s="260"/>
    </row>
    <row r="1258" spans="1:14" hidden="1">
      <c r="A1258" s="50" t="str">
        <f t="shared" si="214"/>
        <v xml:space="preserve">By. Biaya </v>
      </c>
      <c r="B1258" s="214">
        <v>46160</v>
      </c>
      <c r="C1258" s="211" t="s">
        <v>1971</v>
      </c>
      <c r="D1258" t="s">
        <v>2211</v>
      </c>
      <c r="F1258" s="52">
        <f>IF(G1258="","",INDEX(COA!$A$4:$A$123,MATCH(JU!$G1258,COA!$B$4:$B$123,0)))</f>
        <v>6112</v>
      </c>
      <c r="G1258" t="s">
        <v>205</v>
      </c>
      <c r="H1258" s="216">
        <v>204800</v>
      </c>
      <c r="I1258" s="52">
        <f>IF(J1258="","",INDEX(COA!$A$4:$A$123,MATCH(JU!$J1258,COA!$B$4:$B$123,0)))</f>
        <v>1103</v>
      </c>
      <c r="J1258" t="s">
        <v>154</v>
      </c>
      <c r="K1258" s="34">
        <f t="shared" si="215"/>
        <v>204800</v>
      </c>
      <c r="N1258" s="260"/>
    </row>
    <row r="1259" spans="1:14" hidden="1">
      <c r="A1259" s="50" t="str">
        <f t="shared" si="214"/>
        <v xml:space="preserve">By. Biaya </v>
      </c>
      <c r="B1259" s="214">
        <v>46160</v>
      </c>
      <c r="C1259" s="211" t="s">
        <v>1972</v>
      </c>
      <c r="D1259" t="s">
        <v>2212</v>
      </c>
      <c r="F1259" s="52">
        <f>IF(G1259="","",INDEX(COA!$A$4:$A$123,MATCH(JU!$G1259,COA!$B$4:$B$123,0)))</f>
        <v>1301</v>
      </c>
      <c r="G1259" t="s">
        <v>30</v>
      </c>
      <c r="H1259" s="216">
        <v>100000</v>
      </c>
      <c r="I1259" s="52">
        <f>IF(J1259="","",INDEX(COA!$A$4:$A$123,MATCH(JU!$J1259,COA!$B$4:$B$123,0)))</f>
        <v>1103</v>
      </c>
      <c r="J1259" t="s">
        <v>154</v>
      </c>
      <c r="K1259" s="34">
        <f t="shared" si="215"/>
        <v>100000</v>
      </c>
      <c r="N1259" s="260"/>
    </row>
    <row r="1260" spans="1:14" hidden="1">
      <c r="A1260" s="50" t="str">
        <f t="shared" si="214"/>
        <v xml:space="preserve">By. Biaya </v>
      </c>
      <c r="B1260" s="214">
        <v>46160</v>
      </c>
      <c r="C1260" s="211" t="s">
        <v>1973</v>
      </c>
      <c r="D1260" t="s">
        <v>2213</v>
      </c>
      <c r="F1260" s="52">
        <f>IF(G1260="","",INDEX(COA!$A$4:$A$123,MATCH(JU!$G1260,COA!$B$4:$B$123,0)))</f>
        <v>6112</v>
      </c>
      <c r="G1260" t="s">
        <v>205</v>
      </c>
      <c r="H1260" s="216">
        <v>890000</v>
      </c>
      <c r="I1260" s="52">
        <f>IF(J1260="","",INDEX(COA!$A$4:$A$123,MATCH(JU!$J1260,COA!$B$4:$B$123,0)))</f>
        <v>1103</v>
      </c>
      <c r="J1260" t="s">
        <v>154</v>
      </c>
      <c r="K1260" s="34">
        <f t="shared" si="215"/>
        <v>890000</v>
      </c>
      <c r="N1260" s="260"/>
    </row>
    <row r="1261" spans="1:14" hidden="1">
      <c r="A1261" s="50" t="str">
        <f t="shared" si="214"/>
        <v xml:space="preserve">By. Biaya </v>
      </c>
      <c r="B1261" s="214">
        <v>46160</v>
      </c>
      <c r="C1261" s="211" t="s">
        <v>1852</v>
      </c>
      <c r="D1261" t="s">
        <v>2076</v>
      </c>
      <c r="F1261" s="52" t="str">
        <f>IF(G1261="","",INDEX(COA!$A$4:$A$123,MATCH(JU!$G1261,COA!$B$4:$B$123,0)))</f>
        <v>6303</v>
      </c>
      <c r="G1261" t="s">
        <v>87</v>
      </c>
      <c r="H1261" s="216">
        <v>2500</v>
      </c>
      <c r="I1261" s="52">
        <f>IF(J1261="","",INDEX(COA!$A$4:$A$123,MATCH(JU!$J1261,COA!$B$4:$B$123,0)))</f>
        <v>1103</v>
      </c>
      <c r="J1261" t="s">
        <v>154</v>
      </c>
      <c r="K1261" s="34">
        <f t="shared" si="215"/>
        <v>2500</v>
      </c>
      <c r="N1261" s="260"/>
    </row>
    <row r="1262" spans="1:14" hidden="1">
      <c r="A1262" s="50" t="str">
        <f t="shared" ref="A1262" si="226">IF(G1262="BRI 568","Terima Uang Masuk atas ","By. Biaya ")</f>
        <v xml:space="preserve">By. Biaya </v>
      </c>
      <c r="B1262" s="214">
        <v>46160</v>
      </c>
      <c r="C1262" s="211" t="s">
        <v>1974</v>
      </c>
      <c r="D1262" t="s">
        <v>2292</v>
      </c>
      <c r="F1262" s="52">
        <f>IF(G1262="","",INDEX(COA!$A$4:$A$123,MATCH(JU!$G1262,COA!$B$4:$B$123,0)))</f>
        <v>4102</v>
      </c>
      <c r="G1262" t="s">
        <v>62</v>
      </c>
      <c r="H1262" s="216">
        <v>13500000</v>
      </c>
      <c r="I1262" s="52">
        <f>IF(J1262="","",INDEX(COA!$A$4:$A$123,MATCH(JU!$J1262,COA!$B$4:$B$123,0)))</f>
        <v>1103</v>
      </c>
      <c r="J1262" t="s">
        <v>154</v>
      </c>
      <c r="K1262" s="34">
        <f t="shared" ref="K1262" si="227">IF(H1262="","",H1262)</f>
        <v>13500000</v>
      </c>
      <c r="N1262" s="260"/>
    </row>
    <row r="1263" spans="1:14" hidden="1">
      <c r="A1263" s="50" t="str">
        <f t="shared" ref="A1263" si="228">IF(G1263="BRI 568","Terima Uang Masuk atas ","By. Biaya ")</f>
        <v xml:space="preserve">By. Biaya </v>
      </c>
      <c r="B1263" s="214">
        <v>46160</v>
      </c>
      <c r="C1263" s="211" t="s">
        <v>1974</v>
      </c>
      <c r="D1263" t="s">
        <v>2293</v>
      </c>
      <c r="F1263" s="52">
        <f>IF(G1263="","",INDEX(COA!$A$4:$A$123,MATCH(JU!$G1263,COA!$B$4:$B$123,0)))</f>
        <v>5110</v>
      </c>
      <c r="G1263" t="s">
        <v>74</v>
      </c>
      <c r="H1263" s="216">
        <v>1277500</v>
      </c>
      <c r="I1263" s="52">
        <f>IF(J1263="","",INDEX(COA!$A$4:$A$123,MATCH(JU!$J1263,COA!$B$4:$B$123,0)))</f>
        <v>1103</v>
      </c>
      <c r="J1263" t="s">
        <v>154</v>
      </c>
      <c r="K1263" s="34">
        <f t="shared" ref="K1263" si="229">IF(H1263="","",H1263)</f>
        <v>1277500</v>
      </c>
      <c r="N1263" s="260"/>
    </row>
    <row r="1264" spans="1:14" hidden="1">
      <c r="A1264" s="50" t="str">
        <f>IF(G1264="BRI 568","Terima Uang Masuk atas ","By. Biaya ")</f>
        <v xml:space="preserve">By. Biaya </v>
      </c>
      <c r="B1264" s="214">
        <v>46160</v>
      </c>
      <c r="C1264" s="211" t="s">
        <v>1974</v>
      </c>
      <c r="D1264" t="s">
        <v>2294</v>
      </c>
      <c r="F1264" s="52">
        <f>IF(G1264="","",INDEX(COA!$A$4:$A$123,MATCH(JU!$G1264,COA!$B$4:$B$123,0)))</f>
        <v>5108</v>
      </c>
      <c r="G1264" t="s">
        <v>72</v>
      </c>
      <c r="H1264" s="216">
        <v>500000</v>
      </c>
      <c r="I1264" s="52">
        <f>IF(J1264="","",INDEX(COA!$A$4:$A$123,MATCH(JU!$J1264,COA!$B$4:$B$123,0)))</f>
        <v>1103</v>
      </c>
      <c r="J1264" t="s">
        <v>154</v>
      </c>
      <c r="K1264" s="34">
        <f>IF(H1264="","",H1264)</f>
        <v>500000</v>
      </c>
      <c r="N1264" s="260"/>
    </row>
    <row r="1265" spans="1:14" hidden="1">
      <c r="A1265" s="50" t="str">
        <f t="shared" si="214"/>
        <v xml:space="preserve">By. Biaya </v>
      </c>
      <c r="B1265" s="214">
        <v>46160</v>
      </c>
      <c r="C1265" s="211" t="s">
        <v>1852</v>
      </c>
      <c r="D1265" t="s">
        <v>2076</v>
      </c>
      <c r="F1265" s="52" t="str">
        <f>IF(G1265="","",INDEX(COA!$A$4:$A$123,MATCH(JU!$G1265,COA!$B$4:$B$123,0)))</f>
        <v>6303</v>
      </c>
      <c r="G1265" t="s">
        <v>87</v>
      </c>
      <c r="H1265" s="216">
        <v>2500</v>
      </c>
      <c r="I1265" s="52">
        <f>IF(J1265="","",INDEX(COA!$A$4:$A$123,MATCH(JU!$J1265,COA!$B$4:$B$123,0)))</f>
        <v>1103</v>
      </c>
      <c r="J1265" t="s">
        <v>154</v>
      </c>
      <c r="K1265" s="34">
        <f t="shared" si="215"/>
        <v>2500</v>
      </c>
      <c r="N1265" s="260"/>
    </row>
    <row r="1266" spans="1:14" hidden="1">
      <c r="A1266" s="50" t="str">
        <f t="shared" si="214"/>
        <v xml:space="preserve">By. Biaya </v>
      </c>
      <c r="B1266" s="214">
        <v>46160</v>
      </c>
      <c r="C1266" s="211" t="s">
        <v>1975</v>
      </c>
      <c r="D1266" t="s">
        <v>2214</v>
      </c>
      <c r="F1266" s="52" t="str">
        <f>IF(G1266="","",INDEX(COA!$A$4:$A$123,MATCH(JU!$G1266,COA!$B$4:$B$123,0)))</f>
        <v>2107</v>
      </c>
      <c r="G1266" t="s">
        <v>50</v>
      </c>
      <c r="H1266" s="216">
        <v>1575000</v>
      </c>
      <c r="I1266" s="52">
        <f>IF(J1266="","",INDEX(COA!$A$4:$A$123,MATCH(JU!$J1266,COA!$B$4:$B$123,0)))</f>
        <v>1103</v>
      </c>
      <c r="J1266" t="s">
        <v>154</v>
      </c>
      <c r="K1266" s="34">
        <f t="shared" si="215"/>
        <v>1575000</v>
      </c>
      <c r="N1266" s="260"/>
    </row>
    <row r="1267" spans="1:14" hidden="1">
      <c r="A1267" s="50" t="str">
        <f t="shared" si="214"/>
        <v xml:space="preserve">By. Biaya </v>
      </c>
      <c r="B1267" s="214">
        <v>46160</v>
      </c>
      <c r="C1267" s="211" t="s">
        <v>1852</v>
      </c>
      <c r="D1267" t="s">
        <v>2076</v>
      </c>
      <c r="F1267" s="52" t="str">
        <f>IF(G1267="","",INDEX(COA!$A$4:$A$123,MATCH(JU!$G1267,COA!$B$4:$B$123,0)))</f>
        <v>6303</v>
      </c>
      <c r="G1267" t="s">
        <v>87</v>
      </c>
      <c r="H1267" s="216">
        <v>2500</v>
      </c>
      <c r="I1267" s="52">
        <f>IF(J1267="","",INDEX(COA!$A$4:$A$123,MATCH(JU!$J1267,COA!$B$4:$B$123,0)))</f>
        <v>1103</v>
      </c>
      <c r="J1267" t="s">
        <v>154</v>
      </c>
      <c r="K1267" s="34">
        <f t="shared" si="215"/>
        <v>2500</v>
      </c>
      <c r="N1267" s="260"/>
    </row>
    <row r="1268" spans="1:14" hidden="1">
      <c r="A1268" s="50" t="str">
        <f t="shared" si="214"/>
        <v xml:space="preserve">By. Biaya </v>
      </c>
      <c r="B1268" s="214">
        <v>46160</v>
      </c>
      <c r="C1268" s="211" t="s">
        <v>434</v>
      </c>
      <c r="D1268" t="s">
        <v>1688</v>
      </c>
      <c r="F1268" s="52" t="str">
        <f>IF(G1268="","",INDEX(COA!$A$4:$A$123,MATCH(JU!$G1268,COA!$B$4:$B$123,0)))</f>
        <v>6201</v>
      </c>
      <c r="G1268" t="s">
        <v>81</v>
      </c>
      <c r="H1268" s="216">
        <v>150000</v>
      </c>
      <c r="I1268" s="52">
        <f>IF(J1268="","",INDEX(COA!$A$4:$A$123,MATCH(JU!$J1268,COA!$B$4:$B$123,0)))</f>
        <v>1103</v>
      </c>
      <c r="J1268" t="s">
        <v>154</v>
      </c>
      <c r="K1268" s="34">
        <f t="shared" si="215"/>
        <v>150000</v>
      </c>
      <c r="N1268" s="260"/>
    </row>
    <row r="1269" spans="1:14" hidden="1">
      <c r="A1269" s="50" t="str">
        <f t="shared" si="214"/>
        <v xml:space="preserve">By. Biaya </v>
      </c>
      <c r="B1269" s="214">
        <v>46161</v>
      </c>
      <c r="C1269" s="211" t="s">
        <v>1976</v>
      </c>
      <c r="D1269" t="s">
        <v>2215</v>
      </c>
      <c r="F1269" s="52" t="str">
        <f>IF(G1269="","",INDEX(COA!$A$4:$A$123,MATCH(JU!$G1269,COA!$B$4:$B$123,0)))</f>
        <v>2101</v>
      </c>
      <c r="G1269" t="s">
        <v>45</v>
      </c>
      <c r="H1269" s="216">
        <v>22000000</v>
      </c>
      <c r="I1269" s="52">
        <f>IF(J1269="","",INDEX(COA!$A$4:$A$123,MATCH(JU!$J1269,COA!$B$4:$B$123,0)))</f>
        <v>1103</v>
      </c>
      <c r="J1269" t="s">
        <v>154</v>
      </c>
      <c r="K1269" s="34">
        <f t="shared" ref="K1269:K1342" si="230">IF(H1269="","",H1269)</f>
        <v>22000000</v>
      </c>
      <c r="N1269" s="260"/>
    </row>
    <row r="1270" spans="1:14" hidden="1">
      <c r="A1270" s="50" t="str">
        <f t="shared" ref="A1270:A1343" si="231">IF(G1270="BRI 568","Terima Uang Masuk atas ","By. Biaya ")</f>
        <v xml:space="preserve">By. Biaya </v>
      </c>
      <c r="B1270" s="214">
        <v>46161</v>
      </c>
      <c r="C1270" s="211" t="s">
        <v>1977</v>
      </c>
      <c r="D1270" t="s">
        <v>2216</v>
      </c>
      <c r="F1270" s="52">
        <f>IF(G1270="","",INDEX(COA!$A$4:$A$123,MATCH(JU!$G1270,COA!$B$4:$B$123,0)))</f>
        <v>1302</v>
      </c>
      <c r="G1270" t="s">
        <v>31</v>
      </c>
      <c r="H1270" s="216">
        <v>50000</v>
      </c>
      <c r="I1270" s="52">
        <f>IF(J1270="","",INDEX(COA!$A$4:$A$123,MATCH(JU!$J1270,COA!$B$4:$B$123,0)))</f>
        <v>1103</v>
      </c>
      <c r="J1270" t="s">
        <v>154</v>
      </c>
      <c r="K1270" s="34">
        <f t="shared" si="230"/>
        <v>50000</v>
      </c>
      <c r="N1270" s="260"/>
    </row>
    <row r="1271" spans="1:14" hidden="1">
      <c r="A1271" s="50" t="str">
        <f t="shared" si="231"/>
        <v xml:space="preserve">By. Biaya </v>
      </c>
      <c r="B1271" s="214">
        <v>46161</v>
      </c>
      <c r="C1271" s="211" t="s">
        <v>1978</v>
      </c>
      <c r="D1271" t="s">
        <v>2217</v>
      </c>
      <c r="F1271" s="52">
        <f>IF(G1271="","",INDEX(COA!$A$4:$A$123,MATCH(JU!$G1271,COA!$B$4:$B$123,0)))</f>
        <v>6112</v>
      </c>
      <c r="G1271" t="s">
        <v>205</v>
      </c>
      <c r="H1271" s="216">
        <v>150000</v>
      </c>
      <c r="I1271" s="52">
        <f>IF(J1271="","",INDEX(COA!$A$4:$A$123,MATCH(JU!$J1271,COA!$B$4:$B$123,0)))</f>
        <v>1103</v>
      </c>
      <c r="J1271" t="s">
        <v>154</v>
      </c>
      <c r="K1271" s="34">
        <f t="shared" si="230"/>
        <v>150000</v>
      </c>
      <c r="N1271" s="260"/>
    </row>
    <row r="1272" spans="1:14" hidden="1">
      <c r="A1272" s="50" t="str">
        <f t="shared" si="231"/>
        <v xml:space="preserve">By. Biaya </v>
      </c>
      <c r="B1272" s="214">
        <v>46161</v>
      </c>
      <c r="C1272" s="211" t="s">
        <v>1979</v>
      </c>
      <c r="D1272" t="s">
        <v>2218</v>
      </c>
      <c r="F1272" s="52">
        <f>IF(G1272="","",INDEX(COA!$A$4:$A$123,MATCH(JU!$G1272,COA!$B$4:$B$123,0)))</f>
        <v>1302</v>
      </c>
      <c r="G1272" t="s">
        <v>31</v>
      </c>
      <c r="H1272" s="216">
        <v>3090000</v>
      </c>
      <c r="I1272" s="52">
        <f>IF(J1272="","",INDEX(COA!$A$4:$A$123,MATCH(JU!$J1272,COA!$B$4:$B$123,0)))</f>
        <v>1103</v>
      </c>
      <c r="J1272" t="s">
        <v>154</v>
      </c>
      <c r="K1272" s="34">
        <f t="shared" si="230"/>
        <v>3090000</v>
      </c>
      <c r="N1272" s="260"/>
    </row>
    <row r="1273" spans="1:14" hidden="1">
      <c r="A1273" s="50" t="str">
        <f t="shared" si="231"/>
        <v xml:space="preserve">By. Biaya </v>
      </c>
      <c r="B1273" s="214">
        <v>46161</v>
      </c>
      <c r="C1273" s="211" t="s">
        <v>1980</v>
      </c>
      <c r="D1273" t="s">
        <v>2219</v>
      </c>
      <c r="F1273" s="52">
        <f>IF(G1273="","",INDEX(COA!$A$4:$A$123,MATCH(JU!$G1273,COA!$B$4:$B$123,0)))</f>
        <v>5108</v>
      </c>
      <c r="G1273" s="229" t="s">
        <v>72</v>
      </c>
      <c r="H1273" s="216">
        <v>1000000</v>
      </c>
      <c r="I1273" s="52">
        <f>IF(J1273="","",INDEX(COA!$A$4:$A$123,MATCH(JU!$J1273,COA!$B$4:$B$123,0)))</f>
        <v>1103</v>
      </c>
      <c r="J1273" t="s">
        <v>154</v>
      </c>
      <c r="K1273" s="34">
        <f t="shared" si="230"/>
        <v>1000000</v>
      </c>
      <c r="N1273" s="260"/>
    </row>
    <row r="1274" spans="1:14" hidden="1">
      <c r="A1274" s="50" t="str">
        <f t="shared" si="231"/>
        <v xml:space="preserve">By. Biaya </v>
      </c>
      <c r="B1274" s="214">
        <v>46161</v>
      </c>
      <c r="C1274" s="211" t="s">
        <v>1981</v>
      </c>
      <c r="D1274" t="s">
        <v>2220</v>
      </c>
      <c r="F1274" s="52">
        <f>IF(G1274="","",INDEX(COA!$A$4:$A$123,MATCH(JU!$G1274,COA!$B$4:$B$123,0)))</f>
        <v>7101</v>
      </c>
      <c r="G1274" t="s">
        <v>93</v>
      </c>
      <c r="H1274" s="216">
        <v>1730000</v>
      </c>
      <c r="I1274" s="52">
        <f>IF(J1274="","",INDEX(COA!$A$4:$A$123,MATCH(JU!$J1274,COA!$B$4:$B$123,0)))</f>
        <v>1103</v>
      </c>
      <c r="J1274" t="s">
        <v>154</v>
      </c>
      <c r="K1274" s="34">
        <f t="shared" si="230"/>
        <v>1730000</v>
      </c>
      <c r="N1274" s="260"/>
    </row>
    <row r="1275" spans="1:14" hidden="1">
      <c r="A1275" s="50" t="str">
        <f t="shared" si="231"/>
        <v xml:space="preserve">By. Biaya </v>
      </c>
      <c r="B1275" s="214">
        <v>46161</v>
      </c>
      <c r="C1275" s="211" t="s">
        <v>1982</v>
      </c>
      <c r="D1275" t="s">
        <v>2221</v>
      </c>
      <c r="F1275" s="52">
        <f>IF(G1275="","",INDEX(COA!$A$4:$A$123,MATCH(JU!$G1275,COA!$B$4:$B$123,0)))</f>
        <v>7101</v>
      </c>
      <c r="G1275" t="s">
        <v>93</v>
      </c>
      <c r="H1275" s="216">
        <v>1730000</v>
      </c>
      <c r="I1275" s="52">
        <f>IF(J1275="","",INDEX(COA!$A$4:$A$123,MATCH(JU!$J1275,COA!$B$4:$B$123,0)))</f>
        <v>1103</v>
      </c>
      <c r="J1275" t="s">
        <v>154</v>
      </c>
      <c r="K1275" s="34">
        <f t="shared" si="230"/>
        <v>1730000</v>
      </c>
      <c r="N1275" s="260"/>
    </row>
    <row r="1276" spans="1:14" hidden="1">
      <c r="A1276" s="50" t="str">
        <f t="shared" si="231"/>
        <v xml:space="preserve">Terima Uang Masuk atas </v>
      </c>
      <c r="B1276" s="214">
        <v>46161</v>
      </c>
      <c r="C1276" s="211" t="s">
        <v>1983</v>
      </c>
      <c r="D1276" t="s">
        <v>2222</v>
      </c>
      <c r="F1276" s="52">
        <f>IF(G1276="","",INDEX(COA!$A$4:$A$123,MATCH(JU!$G1276,COA!$B$4:$B$123,0)))</f>
        <v>1103</v>
      </c>
      <c r="G1276" t="s">
        <v>154</v>
      </c>
      <c r="H1276" s="216">
        <v>100000000</v>
      </c>
      <c r="I1276" s="52">
        <f>IF(J1276="","",INDEX(COA!$A$4:$A$123,MATCH(JU!$J1276,COA!$B$4:$B$123,0)))</f>
        <v>1108</v>
      </c>
      <c r="J1276" t="s">
        <v>155</v>
      </c>
      <c r="K1276" s="34">
        <f t="shared" si="230"/>
        <v>100000000</v>
      </c>
      <c r="N1276" s="260"/>
    </row>
    <row r="1277" spans="1:14" hidden="1">
      <c r="A1277" s="50" t="str">
        <f t="shared" si="231"/>
        <v xml:space="preserve">By. Biaya </v>
      </c>
      <c r="B1277" s="214">
        <v>46161</v>
      </c>
      <c r="C1277" s="211" t="s">
        <v>1984</v>
      </c>
      <c r="D1277" t="s">
        <v>2223</v>
      </c>
      <c r="F1277" s="52">
        <f>IF(G1277="","",INDEX(COA!$A$4:$A$123,MATCH(JU!$G1277,COA!$B$4:$B$123,0)))</f>
        <v>5107</v>
      </c>
      <c r="G1277" t="s">
        <v>71</v>
      </c>
      <c r="H1277" s="216">
        <v>20000000</v>
      </c>
      <c r="I1277" s="52">
        <f>IF(J1277="","",INDEX(COA!$A$4:$A$123,MATCH(JU!$J1277,COA!$B$4:$B$123,0)))</f>
        <v>1103</v>
      </c>
      <c r="J1277" t="s">
        <v>154</v>
      </c>
      <c r="K1277" s="34">
        <f t="shared" si="230"/>
        <v>20000000</v>
      </c>
      <c r="N1277" s="260"/>
    </row>
    <row r="1278" spans="1:14" hidden="1">
      <c r="A1278" s="50" t="str">
        <f t="shared" si="231"/>
        <v xml:space="preserve">By. Biaya </v>
      </c>
      <c r="B1278" s="214">
        <v>46161</v>
      </c>
      <c r="C1278" s="211" t="s">
        <v>1985</v>
      </c>
      <c r="D1278" t="s">
        <v>2224</v>
      </c>
      <c r="F1278" s="52" t="str">
        <f>IF(G1278="","",INDEX(COA!$A$4:$A$123,MATCH(JU!$G1278,COA!$B$4:$B$123,0)))</f>
        <v>6204</v>
      </c>
      <c r="G1278" t="s">
        <v>84</v>
      </c>
      <c r="H1278" s="216">
        <v>1750000</v>
      </c>
      <c r="I1278" s="52">
        <f>IF(J1278="","",INDEX(COA!$A$4:$A$123,MATCH(JU!$J1278,COA!$B$4:$B$123,0)))</f>
        <v>1103</v>
      </c>
      <c r="J1278" t="s">
        <v>154</v>
      </c>
      <c r="K1278" s="34">
        <f t="shared" si="230"/>
        <v>1750000</v>
      </c>
      <c r="N1278" s="260"/>
    </row>
    <row r="1279" spans="1:14" hidden="1">
      <c r="A1279" s="50" t="str">
        <f t="shared" si="231"/>
        <v xml:space="preserve">By. Biaya </v>
      </c>
      <c r="B1279" s="214">
        <v>46161</v>
      </c>
      <c r="C1279" s="211" t="s">
        <v>1852</v>
      </c>
      <c r="D1279" t="s">
        <v>2076</v>
      </c>
      <c r="F1279" s="52" t="str">
        <f>IF(G1279="","",INDEX(COA!$A$4:$A$123,MATCH(JU!$G1279,COA!$B$4:$B$123,0)))</f>
        <v>6303</v>
      </c>
      <c r="G1279" t="s">
        <v>87</v>
      </c>
      <c r="H1279" s="216">
        <v>2500</v>
      </c>
      <c r="I1279" s="52">
        <f>IF(J1279="","",INDEX(COA!$A$4:$A$123,MATCH(JU!$J1279,COA!$B$4:$B$123,0)))</f>
        <v>1103</v>
      </c>
      <c r="J1279" t="s">
        <v>154</v>
      </c>
      <c r="K1279" s="34">
        <f t="shared" si="230"/>
        <v>2500</v>
      </c>
      <c r="N1279" s="260"/>
    </row>
    <row r="1280" spans="1:14" hidden="1">
      <c r="A1280" s="50" t="str">
        <f t="shared" si="231"/>
        <v xml:space="preserve">Terima Uang Masuk atas </v>
      </c>
      <c r="B1280" s="214">
        <v>46161</v>
      </c>
      <c r="D1280" t="s">
        <v>2326</v>
      </c>
      <c r="F1280" s="52">
        <f>IF(G1280="","",INDEX(COA!$A$4:$A$123,MATCH(JU!$G1280,COA!$B$4:$B$123,0)))</f>
        <v>1103</v>
      </c>
      <c r="G1280" t="s">
        <v>154</v>
      </c>
      <c r="H1280" s="216">
        <v>50000000</v>
      </c>
      <c r="I1280" s="52">
        <f>IF(J1280="","",INDEX(COA!$A$4:$A$123,MATCH(JU!$J1280,COA!$B$4:$B$123,0)))</f>
        <v>1108</v>
      </c>
      <c r="J1280" t="s">
        <v>155</v>
      </c>
      <c r="K1280" s="34">
        <f t="shared" si="230"/>
        <v>50000000</v>
      </c>
      <c r="N1280" s="260"/>
    </row>
    <row r="1281" spans="1:14">
      <c r="A1281" s="50" t="str">
        <f t="shared" si="231"/>
        <v xml:space="preserve">By. Biaya </v>
      </c>
      <c r="B1281" s="214">
        <v>46161</v>
      </c>
      <c r="C1281" s="211" t="s">
        <v>1986</v>
      </c>
      <c r="D1281" t="s">
        <v>2225</v>
      </c>
      <c r="F1281" s="52">
        <f>IF(G1281="","",INDEX(COA!$A$4:$A$123,MATCH(JU!$G1281,COA!$B$4:$B$123,0)))</f>
        <v>1302</v>
      </c>
      <c r="G1281" t="s">
        <v>31</v>
      </c>
      <c r="H1281" s="216">
        <v>3000000</v>
      </c>
      <c r="I1281" s="52">
        <f>IF(J1281="","",INDEX(COA!$A$4:$A$123,MATCH(JU!$J1281,COA!$B$4:$B$123,0)))</f>
        <v>1103</v>
      </c>
      <c r="J1281" t="s">
        <v>154</v>
      </c>
      <c r="K1281" s="34">
        <f t="shared" si="230"/>
        <v>3000000</v>
      </c>
      <c r="N1281" s="260"/>
    </row>
    <row r="1282" spans="1:14" hidden="1">
      <c r="A1282" s="50" t="str">
        <f t="shared" si="231"/>
        <v xml:space="preserve">By. Biaya </v>
      </c>
      <c r="B1282" s="214">
        <v>46161</v>
      </c>
      <c r="C1282" s="211" t="s">
        <v>1987</v>
      </c>
      <c r="D1282" t="s">
        <v>2226</v>
      </c>
      <c r="F1282" s="52">
        <f>IF(G1282="","",INDEX(COA!$A$4:$A$123,MATCH(JU!$G1282,COA!$B$4:$B$123,0)))</f>
        <v>5107</v>
      </c>
      <c r="G1282" t="s">
        <v>71</v>
      </c>
      <c r="H1282" s="216">
        <v>6617500</v>
      </c>
      <c r="I1282" s="52">
        <f>IF(J1282="","",INDEX(COA!$A$4:$A$123,MATCH(JU!$J1282,COA!$B$4:$B$123,0)))</f>
        <v>1103</v>
      </c>
      <c r="J1282" t="s">
        <v>154</v>
      </c>
      <c r="K1282" s="34">
        <f t="shared" si="230"/>
        <v>6617500</v>
      </c>
      <c r="N1282" s="260"/>
    </row>
    <row r="1283" spans="1:14" hidden="1">
      <c r="A1283" s="50" t="str">
        <f t="shared" si="231"/>
        <v xml:space="preserve">By. Biaya </v>
      </c>
      <c r="B1283" s="214">
        <v>46161</v>
      </c>
      <c r="C1283" s="211" t="s">
        <v>1988</v>
      </c>
      <c r="D1283" t="s">
        <v>2227</v>
      </c>
      <c r="F1283" s="52">
        <f>IF(G1283="","",INDEX(COA!$A$4:$A$123,MATCH(JU!$G1283,COA!$B$4:$B$123,0)))</f>
        <v>1302</v>
      </c>
      <c r="G1283" t="s">
        <v>31</v>
      </c>
      <c r="H1283" s="216">
        <v>490000</v>
      </c>
      <c r="I1283" s="52">
        <f>IF(J1283="","",INDEX(COA!$A$4:$A$123,MATCH(JU!$J1283,COA!$B$4:$B$123,0)))</f>
        <v>1103</v>
      </c>
      <c r="J1283" t="s">
        <v>154</v>
      </c>
      <c r="K1283" s="34">
        <f t="shared" si="230"/>
        <v>490000</v>
      </c>
      <c r="N1283" s="260"/>
    </row>
    <row r="1284" spans="1:14" hidden="1">
      <c r="A1284" s="50" t="str">
        <f t="shared" si="231"/>
        <v xml:space="preserve">By. Biaya </v>
      </c>
      <c r="B1284" s="214">
        <v>46161</v>
      </c>
      <c r="C1284" s="211" t="s">
        <v>1989</v>
      </c>
      <c r="D1284" t="s">
        <v>2228</v>
      </c>
      <c r="F1284" s="52">
        <f>IF(G1284="","",INDEX(COA!$A$4:$A$123,MATCH(JU!$G1284,COA!$B$4:$B$123,0)))</f>
        <v>1302</v>
      </c>
      <c r="G1284" t="s">
        <v>31</v>
      </c>
      <c r="H1284" s="216">
        <v>10000000</v>
      </c>
      <c r="I1284" s="52">
        <f>IF(J1284="","",INDEX(COA!$A$4:$A$123,MATCH(JU!$J1284,COA!$B$4:$B$123,0)))</f>
        <v>1103</v>
      </c>
      <c r="J1284" t="s">
        <v>154</v>
      </c>
      <c r="K1284" s="34">
        <f t="shared" si="230"/>
        <v>10000000</v>
      </c>
      <c r="N1284" s="260"/>
    </row>
    <row r="1285" spans="1:14">
      <c r="A1285" s="50" t="str">
        <f t="shared" si="231"/>
        <v xml:space="preserve">By. Biaya </v>
      </c>
      <c r="B1285" s="214">
        <v>46161</v>
      </c>
      <c r="C1285" s="211" t="s">
        <v>1990</v>
      </c>
      <c r="D1285" t="s">
        <v>2229</v>
      </c>
      <c r="F1285" s="52">
        <f>IF(G1285="","",INDEX(COA!$A$4:$A$123,MATCH(JU!$G1285,COA!$B$4:$B$123,0)))</f>
        <v>1302</v>
      </c>
      <c r="G1285" t="s">
        <v>31</v>
      </c>
      <c r="H1285" s="216">
        <v>12000000</v>
      </c>
      <c r="I1285" s="52">
        <f>IF(J1285="","",INDEX(COA!$A$4:$A$123,MATCH(JU!$J1285,COA!$B$4:$B$123,0)))</f>
        <v>1103</v>
      </c>
      <c r="J1285" t="s">
        <v>154</v>
      </c>
      <c r="K1285" s="34">
        <f t="shared" si="230"/>
        <v>12000000</v>
      </c>
      <c r="N1285" s="260"/>
    </row>
    <row r="1286" spans="1:14">
      <c r="A1286" s="50" t="str">
        <f t="shared" si="231"/>
        <v xml:space="preserve">By. Biaya </v>
      </c>
      <c r="B1286" s="214">
        <v>46161</v>
      </c>
      <c r="C1286" s="211" t="s">
        <v>1991</v>
      </c>
      <c r="D1286" t="s">
        <v>2230</v>
      </c>
      <c r="F1286" s="52">
        <f>IF(G1286="","",INDEX(COA!$A$4:$A$123,MATCH(JU!$G1286,COA!$B$4:$B$123,0)))</f>
        <v>1302</v>
      </c>
      <c r="G1286" t="s">
        <v>31</v>
      </c>
      <c r="H1286" s="216">
        <v>4000000</v>
      </c>
      <c r="I1286" s="52">
        <f>IF(J1286="","",INDEX(COA!$A$4:$A$123,MATCH(JU!$J1286,COA!$B$4:$B$123,0)))</f>
        <v>1103</v>
      </c>
      <c r="J1286" t="s">
        <v>154</v>
      </c>
      <c r="K1286" s="34">
        <f t="shared" si="230"/>
        <v>4000000</v>
      </c>
      <c r="N1286" s="260"/>
    </row>
    <row r="1287" spans="1:14" hidden="1">
      <c r="A1287" s="50" t="str">
        <f t="shared" si="231"/>
        <v xml:space="preserve">By. Biaya </v>
      </c>
      <c r="B1287" s="214">
        <v>46161</v>
      </c>
      <c r="C1287" s="211" t="s">
        <v>1992</v>
      </c>
      <c r="D1287" t="s">
        <v>2231</v>
      </c>
      <c r="F1287" s="52">
        <f>IF(G1287="","",INDEX(COA!$A$4:$A$123,MATCH(JU!$G1287,COA!$B$4:$B$123,0)))</f>
        <v>1301</v>
      </c>
      <c r="G1287" t="s">
        <v>30</v>
      </c>
      <c r="H1287" s="216">
        <v>1200000</v>
      </c>
      <c r="I1287" s="52">
        <f>IF(J1287="","",INDEX(COA!$A$4:$A$123,MATCH(JU!$J1287,COA!$B$4:$B$123,0)))</f>
        <v>1103</v>
      </c>
      <c r="J1287" t="s">
        <v>154</v>
      </c>
      <c r="K1287" s="34">
        <f t="shared" si="230"/>
        <v>1200000</v>
      </c>
      <c r="N1287" s="260"/>
    </row>
    <row r="1288" spans="1:14" hidden="1">
      <c r="A1288" s="50" t="str">
        <f t="shared" si="231"/>
        <v xml:space="preserve">By. Biaya </v>
      </c>
      <c r="B1288" s="214">
        <v>46161</v>
      </c>
      <c r="C1288" s="211" t="s">
        <v>1993</v>
      </c>
      <c r="D1288" t="s">
        <v>2232</v>
      </c>
      <c r="F1288" s="52">
        <f>IF(G1288="","",INDEX(COA!$A$4:$A$123,MATCH(JU!$G1288,COA!$B$4:$B$123,0)))</f>
        <v>7101</v>
      </c>
      <c r="G1288" t="s">
        <v>93</v>
      </c>
      <c r="H1288" s="216">
        <v>1730000</v>
      </c>
      <c r="I1288" s="52">
        <f>IF(J1288="","",INDEX(COA!$A$4:$A$123,MATCH(JU!$J1288,COA!$B$4:$B$123,0)))</f>
        <v>1103</v>
      </c>
      <c r="J1288" t="s">
        <v>154</v>
      </c>
      <c r="K1288" s="34">
        <f t="shared" si="230"/>
        <v>1730000</v>
      </c>
      <c r="N1288" s="260"/>
    </row>
    <row r="1289" spans="1:14" hidden="1">
      <c r="A1289" s="50" t="str">
        <f t="shared" ref="A1289" si="232">IF(G1289="BRI 568","Terima Uang Masuk atas ","By. Biaya ")</f>
        <v xml:space="preserve">By. Biaya </v>
      </c>
      <c r="B1289" s="214">
        <v>46161</v>
      </c>
      <c r="C1289" s="211" t="s">
        <v>1993</v>
      </c>
      <c r="D1289" t="s">
        <v>2232</v>
      </c>
      <c r="F1289" s="52">
        <f>IF(G1289="","",INDEX(COA!$A$4:$A$123,MATCH(JU!$G1289,COA!$B$4:$B$123,0)))</f>
        <v>1302</v>
      </c>
      <c r="G1289" t="s">
        <v>31</v>
      </c>
      <c r="H1289" s="216">
        <v>1545000</v>
      </c>
      <c r="I1289" s="52">
        <f>IF(J1289="","",INDEX(COA!$A$4:$A$123,MATCH(JU!$J1289,COA!$B$4:$B$123,0)))</f>
        <v>1103</v>
      </c>
      <c r="J1289" t="s">
        <v>154</v>
      </c>
      <c r="K1289" s="34">
        <f t="shared" ref="K1289" si="233">IF(H1289="","",H1289)</f>
        <v>1545000</v>
      </c>
      <c r="N1289" s="260"/>
    </row>
    <row r="1290" spans="1:14" hidden="1">
      <c r="A1290" s="50" t="str">
        <f t="shared" ref="A1290" si="234">IF(G1290="BRI 568","Terima Uang Masuk atas ","By. Biaya ")</f>
        <v xml:space="preserve">By. Biaya </v>
      </c>
      <c r="B1290" s="214">
        <v>46161</v>
      </c>
      <c r="C1290" s="211" t="s">
        <v>1993</v>
      </c>
      <c r="D1290" t="s">
        <v>2232</v>
      </c>
      <c r="F1290" s="52">
        <f>IF(G1290="","",INDEX(COA!$A$4:$A$123,MATCH(JU!$G1290,COA!$B$4:$B$123,0)))</f>
        <v>5108</v>
      </c>
      <c r="G1290" t="s">
        <v>72</v>
      </c>
      <c r="H1290" s="216">
        <v>500000</v>
      </c>
      <c r="I1290" s="52">
        <f>IF(J1290="","",INDEX(COA!$A$4:$A$123,MATCH(JU!$J1290,COA!$B$4:$B$123,0)))</f>
        <v>1103</v>
      </c>
      <c r="J1290" t="s">
        <v>154</v>
      </c>
      <c r="K1290" s="34">
        <f t="shared" ref="K1290" si="235">IF(H1290="","",H1290)</f>
        <v>500000</v>
      </c>
      <c r="N1290" s="260"/>
    </row>
    <row r="1291" spans="1:14" hidden="1">
      <c r="A1291" s="50" t="str">
        <f t="shared" si="231"/>
        <v xml:space="preserve">By. Biaya </v>
      </c>
      <c r="B1291" s="214">
        <v>46161</v>
      </c>
      <c r="C1291" s="211" t="s">
        <v>1994</v>
      </c>
      <c r="D1291" t="s">
        <v>2233</v>
      </c>
      <c r="F1291" s="52">
        <f>IF(G1291="","",INDEX(COA!$A$4:$A$123,MATCH(JU!$G1291,COA!$B$4:$B$123,0)))</f>
        <v>7101</v>
      </c>
      <c r="G1291" t="s">
        <v>93</v>
      </c>
      <c r="H1291" s="216">
        <v>1730000</v>
      </c>
      <c r="I1291" s="52">
        <f>IF(J1291="","",INDEX(COA!$A$4:$A$123,MATCH(JU!$J1291,COA!$B$4:$B$123,0)))</f>
        <v>1103</v>
      </c>
      <c r="J1291" t="s">
        <v>154</v>
      </c>
      <c r="K1291" s="34">
        <f t="shared" si="230"/>
        <v>1730000</v>
      </c>
      <c r="N1291" s="260"/>
    </row>
    <row r="1292" spans="1:14" hidden="1">
      <c r="A1292" s="50" t="str">
        <f t="shared" ref="A1292" si="236">IF(G1292="BRI 568","Terima Uang Masuk atas ","By. Biaya ")</f>
        <v xml:space="preserve">By. Biaya </v>
      </c>
      <c r="B1292" s="214">
        <v>46161</v>
      </c>
      <c r="C1292" s="211" t="s">
        <v>1994</v>
      </c>
      <c r="D1292" t="s">
        <v>2233</v>
      </c>
      <c r="F1292" s="52">
        <f>IF(G1292="","",INDEX(COA!$A$4:$A$123,MATCH(JU!$G1292,COA!$B$4:$B$123,0)))</f>
        <v>1302</v>
      </c>
      <c r="G1292" t="s">
        <v>31</v>
      </c>
      <c r="H1292" s="216">
        <v>1545000</v>
      </c>
      <c r="I1292" s="52">
        <f>IF(J1292="","",INDEX(COA!$A$4:$A$123,MATCH(JU!$J1292,COA!$B$4:$B$123,0)))</f>
        <v>1103</v>
      </c>
      <c r="J1292" t="s">
        <v>154</v>
      </c>
      <c r="K1292" s="34">
        <f t="shared" ref="K1292" si="237">IF(H1292="","",H1292)</f>
        <v>1545000</v>
      </c>
      <c r="N1292" s="260"/>
    </row>
    <row r="1293" spans="1:14" hidden="1">
      <c r="A1293" s="50" t="str">
        <f t="shared" ref="A1293" si="238">IF(G1293="BRI 568","Terima Uang Masuk atas ","By. Biaya ")</f>
        <v xml:space="preserve">By. Biaya </v>
      </c>
      <c r="B1293" s="214">
        <v>46161</v>
      </c>
      <c r="C1293" s="211" t="s">
        <v>1994</v>
      </c>
      <c r="D1293" t="s">
        <v>2233</v>
      </c>
      <c r="F1293" s="52">
        <f>IF(G1293="","",INDEX(COA!$A$4:$A$123,MATCH(JU!$G1293,COA!$B$4:$B$123,0)))</f>
        <v>5108</v>
      </c>
      <c r="G1293" t="s">
        <v>72</v>
      </c>
      <c r="H1293" s="216">
        <v>500000</v>
      </c>
      <c r="I1293" s="52">
        <f>IF(J1293="","",INDEX(COA!$A$4:$A$123,MATCH(JU!$J1293,COA!$B$4:$B$123,0)))</f>
        <v>1103</v>
      </c>
      <c r="J1293" t="s">
        <v>154</v>
      </c>
      <c r="K1293" s="34">
        <f t="shared" ref="K1293" si="239">IF(H1293="","",H1293)</f>
        <v>500000</v>
      </c>
      <c r="N1293" s="260"/>
    </row>
    <row r="1294" spans="1:14" hidden="1">
      <c r="A1294" s="50" t="str">
        <f t="shared" si="231"/>
        <v xml:space="preserve">Terima Uang Masuk atas </v>
      </c>
      <c r="B1294" s="214">
        <v>46161</v>
      </c>
      <c r="D1294" s="266" t="s">
        <v>417</v>
      </c>
      <c r="F1294" s="52">
        <f>IF(G1294="","",INDEX(COA!$A$4:$A$123,MATCH(JU!$G1294,COA!$B$4:$B$123,0)))</f>
        <v>1103</v>
      </c>
      <c r="G1294" t="s">
        <v>154</v>
      </c>
      <c r="H1294" s="216">
        <v>5000000</v>
      </c>
      <c r="I1294" s="52">
        <f>IF(J1294="","",INDEX(COA!$A$4:$A$123,MATCH(JU!$J1294,COA!$B$4:$B$123,0)))</f>
        <v>4102</v>
      </c>
      <c r="J1294" t="s">
        <v>62</v>
      </c>
      <c r="K1294" s="34">
        <f t="shared" si="230"/>
        <v>5000000</v>
      </c>
      <c r="N1294" s="260"/>
    </row>
    <row r="1295" spans="1:14" hidden="1">
      <c r="A1295" s="50" t="str">
        <f t="shared" si="231"/>
        <v xml:space="preserve">By. Biaya </v>
      </c>
      <c r="B1295" s="214">
        <v>46161</v>
      </c>
      <c r="C1295" s="211" t="s">
        <v>1995</v>
      </c>
      <c r="D1295" t="s">
        <v>2234</v>
      </c>
      <c r="F1295" s="52">
        <f>IF(G1295="","",INDEX(COA!$A$4:$A$123,MATCH(JU!$G1295,COA!$B$4:$B$123,0)))</f>
        <v>1302</v>
      </c>
      <c r="G1295" t="s">
        <v>31</v>
      </c>
      <c r="H1295" s="216">
        <v>70000</v>
      </c>
      <c r="I1295" s="52">
        <f>IF(J1295="","",INDEX(COA!$A$4:$A$123,MATCH(JU!$J1295,COA!$B$4:$B$123,0)))</f>
        <v>1103</v>
      </c>
      <c r="J1295" t="s">
        <v>154</v>
      </c>
      <c r="K1295" s="34">
        <f t="shared" si="230"/>
        <v>70000</v>
      </c>
      <c r="N1295" s="260"/>
    </row>
    <row r="1296" spans="1:14" hidden="1">
      <c r="A1296" s="50" t="str">
        <f t="shared" si="231"/>
        <v xml:space="preserve">By. Biaya </v>
      </c>
      <c r="B1296" s="214">
        <v>46161</v>
      </c>
      <c r="C1296" s="211" t="s">
        <v>1996</v>
      </c>
      <c r="D1296" s="266" t="s">
        <v>2235</v>
      </c>
      <c r="F1296" s="52" t="str">
        <f>IF(G1296="","",INDEX(COA!$A$4:$A$123,MATCH(JU!$G1296,COA!$B$4:$B$123,0)))</f>
        <v>2101</v>
      </c>
      <c r="G1296" t="s">
        <v>45</v>
      </c>
      <c r="H1296" s="216">
        <v>70000000</v>
      </c>
      <c r="I1296" s="52">
        <f>IF(J1296="","",INDEX(COA!$A$4:$A$123,MATCH(JU!$J1296,COA!$B$4:$B$123,0)))</f>
        <v>1103</v>
      </c>
      <c r="J1296" t="s">
        <v>154</v>
      </c>
      <c r="K1296" s="34">
        <f t="shared" si="230"/>
        <v>70000000</v>
      </c>
      <c r="N1296" s="260"/>
    </row>
    <row r="1297" spans="1:14" hidden="1">
      <c r="A1297" s="50" t="str">
        <f t="shared" si="231"/>
        <v xml:space="preserve">By. Biaya </v>
      </c>
      <c r="B1297" s="214">
        <v>46161</v>
      </c>
      <c r="C1297" s="211" t="s">
        <v>1997</v>
      </c>
      <c r="D1297" t="s">
        <v>2236</v>
      </c>
      <c r="F1297" s="52" t="str">
        <f>IF(G1297="","",INDEX(COA!$A$4:$A$123,MATCH(JU!$G1297,COA!$B$4:$B$123,0)))</f>
        <v>2107</v>
      </c>
      <c r="G1297" t="s">
        <v>50</v>
      </c>
      <c r="H1297" s="216">
        <v>10000</v>
      </c>
      <c r="I1297" s="52">
        <f>IF(J1297="","",INDEX(COA!$A$4:$A$123,MATCH(JU!$J1297,COA!$B$4:$B$123,0)))</f>
        <v>1103</v>
      </c>
      <c r="J1297" t="s">
        <v>154</v>
      </c>
      <c r="K1297" s="34">
        <f t="shared" si="230"/>
        <v>10000</v>
      </c>
      <c r="N1297" s="260"/>
    </row>
    <row r="1298" spans="1:14" hidden="1">
      <c r="A1298" s="50" t="str">
        <f t="shared" si="231"/>
        <v xml:space="preserve">Terima Uang Masuk atas </v>
      </c>
      <c r="B1298" s="214">
        <v>46161</v>
      </c>
      <c r="D1298" t="s">
        <v>2326</v>
      </c>
      <c r="F1298" s="52">
        <f>IF(G1298="","",INDEX(COA!$A$4:$A$123,MATCH(JU!$G1298,COA!$B$4:$B$123,0)))</f>
        <v>1103</v>
      </c>
      <c r="G1298" t="s">
        <v>154</v>
      </c>
      <c r="H1298" s="216">
        <v>45000000</v>
      </c>
      <c r="I1298" s="52">
        <f>IF(J1298="","",INDEX(COA!$A$4:$A$123,MATCH(JU!$J1298,COA!$B$4:$B$123,0)))</f>
        <v>1108</v>
      </c>
      <c r="J1298" t="s">
        <v>155</v>
      </c>
      <c r="K1298" s="34">
        <f t="shared" si="230"/>
        <v>45000000</v>
      </c>
      <c r="N1298" s="260"/>
    </row>
    <row r="1299" spans="1:14" hidden="1">
      <c r="A1299" s="50" t="str">
        <f t="shared" si="231"/>
        <v xml:space="preserve">By. Biaya </v>
      </c>
      <c r="B1299" s="214">
        <v>46161</v>
      </c>
      <c r="C1299" s="211" t="s">
        <v>1998</v>
      </c>
      <c r="D1299" t="s">
        <v>2237</v>
      </c>
      <c r="F1299" s="52" t="str">
        <f>IF(G1299="","",INDEX(COA!$A$4:$A$123,MATCH(JU!$G1299,COA!$B$4:$B$123,0)))</f>
        <v>6201</v>
      </c>
      <c r="G1299" t="s">
        <v>81</v>
      </c>
      <c r="H1299" s="216">
        <v>2000000</v>
      </c>
      <c r="I1299" s="52">
        <f>IF(J1299="","",INDEX(COA!$A$4:$A$123,MATCH(JU!$J1299,COA!$B$4:$B$123,0)))</f>
        <v>1103</v>
      </c>
      <c r="J1299" t="s">
        <v>154</v>
      </c>
      <c r="K1299" s="34">
        <f t="shared" si="230"/>
        <v>2000000</v>
      </c>
      <c r="N1299" s="260"/>
    </row>
    <row r="1300" spans="1:14" hidden="1">
      <c r="A1300" s="50" t="str">
        <f t="shared" si="231"/>
        <v xml:space="preserve">By. Biaya </v>
      </c>
      <c r="B1300" s="214">
        <v>46161</v>
      </c>
      <c r="C1300" s="211" t="s">
        <v>1852</v>
      </c>
      <c r="D1300" t="s">
        <v>2076</v>
      </c>
      <c r="F1300" s="52" t="str">
        <f>IF(G1300="","",INDEX(COA!$A$4:$A$123,MATCH(JU!$G1300,COA!$B$4:$B$123,0)))</f>
        <v>6303</v>
      </c>
      <c r="G1300" t="s">
        <v>87</v>
      </c>
      <c r="H1300" s="216">
        <v>2500</v>
      </c>
      <c r="I1300" s="52">
        <f>IF(J1300="","",INDEX(COA!$A$4:$A$123,MATCH(JU!$J1300,COA!$B$4:$B$123,0)))</f>
        <v>1103</v>
      </c>
      <c r="J1300" t="s">
        <v>154</v>
      </c>
      <c r="K1300" s="34">
        <f t="shared" si="230"/>
        <v>2500</v>
      </c>
      <c r="N1300" s="260"/>
    </row>
    <row r="1301" spans="1:14" hidden="1">
      <c r="A1301" s="50" t="str">
        <f t="shared" si="231"/>
        <v xml:space="preserve">By. Biaya </v>
      </c>
      <c r="B1301" s="214">
        <v>46161</v>
      </c>
      <c r="C1301" s="211" t="s">
        <v>1999</v>
      </c>
      <c r="D1301" t="s">
        <v>2238</v>
      </c>
      <c r="F1301" s="52" t="str">
        <f>IF(G1301="","",INDEX(COA!$A$4:$A$123,MATCH(JU!$G1301,COA!$B$4:$B$123,0)))</f>
        <v>6201</v>
      </c>
      <c r="G1301" t="s">
        <v>81</v>
      </c>
      <c r="H1301" s="216">
        <v>1000000</v>
      </c>
      <c r="I1301" s="52">
        <f>IF(J1301="","",INDEX(COA!$A$4:$A$123,MATCH(JU!$J1301,COA!$B$4:$B$123,0)))</f>
        <v>1103</v>
      </c>
      <c r="J1301" t="s">
        <v>154</v>
      </c>
      <c r="K1301" s="34">
        <f t="shared" si="230"/>
        <v>1000000</v>
      </c>
      <c r="N1301" s="260"/>
    </row>
    <row r="1302" spans="1:14" hidden="1">
      <c r="A1302" s="50" t="str">
        <f t="shared" si="231"/>
        <v xml:space="preserve">By. Biaya </v>
      </c>
      <c r="B1302" s="214">
        <v>46161</v>
      </c>
      <c r="C1302" s="211" t="s">
        <v>1852</v>
      </c>
      <c r="D1302" t="s">
        <v>2076</v>
      </c>
      <c r="F1302" s="52" t="str">
        <f>IF(G1302="","",INDEX(COA!$A$4:$A$123,MATCH(JU!$G1302,COA!$B$4:$B$123,0)))</f>
        <v>6303</v>
      </c>
      <c r="G1302" t="s">
        <v>87</v>
      </c>
      <c r="H1302" s="216">
        <v>2500</v>
      </c>
      <c r="I1302" s="52">
        <f>IF(J1302="","",INDEX(COA!$A$4:$A$123,MATCH(JU!$J1302,COA!$B$4:$B$123,0)))</f>
        <v>1103</v>
      </c>
      <c r="J1302" t="s">
        <v>154</v>
      </c>
      <c r="K1302" s="34">
        <f t="shared" si="230"/>
        <v>2500</v>
      </c>
      <c r="N1302" s="260"/>
    </row>
    <row r="1303" spans="1:14" hidden="1">
      <c r="A1303" s="50" t="str">
        <f t="shared" si="231"/>
        <v xml:space="preserve">Terima Uang Masuk atas </v>
      </c>
      <c r="B1303" s="214">
        <v>46162</v>
      </c>
      <c r="C1303" s="211" t="s">
        <v>1983</v>
      </c>
      <c r="D1303" t="s">
        <v>2222</v>
      </c>
      <c r="F1303" s="52">
        <f>IF(G1303="","",INDEX(COA!$A$4:$A$123,MATCH(JU!$G1303,COA!$B$4:$B$123,0)))</f>
        <v>1103</v>
      </c>
      <c r="G1303" t="s">
        <v>154</v>
      </c>
      <c r="H1303" s="216">
        <v>50000000</v>
      </c>
      <c r="I1303" s="52">
        <f>IF(J1303="","",INDEX(COA!$A$4:$A$123,MATCH(JU!$J1303,COA!$B$4:$B$123,0)))</f>
        <v>1108</v>
      </c>
      <c r="J1303" t="s">
        <v>155</v>
      </c>
      <c r="K1303" s="34">
        <f t="shared" si="230"/>
        <v>50000000</v>
      </c>
      <c r="N1303" s="260"/>
    </row>
    <row r="1304" spans="1:14" hidden="1">
      <c r="A1304" s="50" t="str">
        <f t="shared" si="231"/>
        <v xml:space="preserve">Terima Uang Masuk atas </v>
      </c>
      <c r="B1304" s="214">
        <v>46162</v>
      </c>
      <c r="C1304" s="211" t="s">
        <v>1983</v>
      </c>
      <c r="D1304" t="s">
        <v>2222</v>
      </c>
      <c r="F1304" s="52">
        <f>IF(G1304="","",INDEX(COA!$A$4:$A$123,MATCH(JU!$G1304,COA!$B$4:$B$123,0)))</f>
        <v>1103</v>
      </c>
      <c r="G1304" t="s">
        <v>154</v>
      </c>
      <c r="H1304" s="216">
        <v>100000000</v>
      </c>
      <c r="I1304" s="52">
        <f>IF(J1304="","",INDEX(COA!$A$4:$A$123,MATCH(JU!$J1304,COA!$B$4:$B$123,0)))</f>
        <v>1108</v>
      </c>
      <c r="J1304" t="s">
        <v>155</v>
      </c>
      <c r="K1304" s="34">
        <f t="shared" si="230"/>
        <v>100000000</v>
      </c>
      <c r="N1304" s="260"/>
    </row>
    <row r="1305" spans="1:14" hidden="1">
      <c r="A1305" s="50" t="str">
        <f t="shared" si="231"/>
        <v xml:space="preserve">By. Biaya </v>
      </c>
      <c r="B1305" s="214">
        <v>46162</v>
      </c>
      <c r="C1305" s="211" t="s">
        <v>2000</v>
      </c>
      <c r="D1305" t="s">
        <v>2239</v>
      </c>
      <c r="F1305" s="52" t="str">
        <f>IF(G1305="","",INDEX(COA!$A$4:$A$123,MATCH(JU!$G1305,COA!$B$4:$B$123,0)))</f>
        <v>2101</v>
      </c>
      <c r="G1305" t="s">
        <v>45</v>
      </c>
      <c r="H1305" s="216">
        <v>150000000</v>
      </c>
      <c r="I1305" s="52">
        <f>IF(J1305="","",INDEX(COA!$A$4:$A$123,MATCH(JU!$J1305,COA!$B$4:$B$123,0)))</f>
        <v>1103</v>
      </c>
      <c r="J1305" t="s">
        <v>154</v>
      </c>
      <c r="K1305" s="34">
        <f t="shared" si="230"/>
        <v>150000000</v>
      </c>
      <c r="N1305" s="260"/>
    </row>
    <row r="1306" spans="1:14" hidden="1">
      <c r="A1306" s="50" t="str">
        <f t="shared" si="231"/>
        <v xml:space="preserve">By. Biaya </v>
      </c>
      <c r="B1306" s="214">
        <v>46162</v>
      </c>
      <c r="C1306" s="211" t="s">
        <v>2001</v>
      </c>
      <c r="D1306" t="s">
        <v>2240</v>
      </c>
      <c r="F1306" s="52">
        <f>IF(G1306="","",INDEX(COA!$A$4:$A$123,MATCH(JU!$G1306,COA!$B$4:$B$123,0)))</f>
        <v>6112</v>
      </c>
      <c r="G1306" t="s">
        <v>205</v>
      </c>
      <c r="H1306" s="216">
        <v>70000</v>
      </c>
      <c r="I1306" s="52">
        <f>IF(J1306="","",INDEX(COA!$A$4:$A$123,MATCH(JU!$J1306,COA!$B$4:$B$123,0)))</f>
        <v>1103</v>
      </c>
      <c r="J1306" t="s">
        <v>154</v>
      </c>
      <c r="K1306" s="34">
        <f t="shared" si="230"/>
        <v>70000</v>
      </c>
      <c r="N1306" s="260"/>
    </row>
    <row r="1307" spans="1:14" hidden="1">
      <c r="A1307" s="50" t="str">
        <f t="shared" si="231"/>
        <v xml:space="preserve">By. Biaya </v>
      </c>
      <c r="B1307" s="214">
        <v>46162</v>
      </c>
      <c r="C1307" s="211" t="s">
        <v>2002</v>
      </c>
      <c r="D1307" t="s">
        <v>2241</v>
      </c>
      <c r="F1307" s="52">
        <f>IF(G1307="","",INDEX(COA!$A$4:$A$123,MATCH(JU!$G1307,COA!$B$4:$B$123,0)))</f>
        <v>1302</v>
      </c>
      <c r="G1307" t="s">
        <v>31</v>
      </c>
      <c r="H1307" s="216">
        <v>500000</v>
      </c>
      <c r="I1307" s="52">
        <f>IF(J1307="","",INDEX(COA!$A$4:$A$123,MATCH(JU!$J1307,COA!$B$4:$B$123,0)))</f>
        <v>1103</v>
      </c>
      <c r="J1307" t="s">
        <v>154</v>
      </c>
      <c r="K1307" s="34">
        <f t="shared" si="230"/>
        <v>500000</v>
      </c>
      <c r="N1307" s="260"/>
    </row>
    <row r="1308" spans="1:14" hidden="1">
      <c r="A1308" s="50" t="str">
        <f t="shared" si="231"/>
        <v xml:space="preserve">By. Biaya </v>
      </c>
      <c r="B1308" s="214">
        <v>46162</v>
      </c>
      <c r="C1308" s="211" t="s">
        <v>2003</v>
      </c>
      <c r="D1308" t="s">
        <v>2242</v>
      </c>
      <c r="F1308" s="52">
        <f>IF(G1308="","",INDEX(COA!$A$4:$A$123,MATCH(JU!$G1308,COA!$B$4:$B$123,0)))</f>
        <v>4102</v>
      </c>
      <c r="G1308" t="s">
        <v>62</v>
      </c>
      <c r="H1308" s="216">
        <v>8000000</v>
      </c>
      <c r="I1308" s="52">
        <f>IF(J1308="","",INDEX(COA!$A$4:$A$123,MATCH(JU!$J1308,COA!$B$4:$B$123,0)))</f>
        <v>1103</v>
      </c>
      <c r="J1308" t="s">
        <v>154</v>
      </c>
      <c r="K1308" s="34">
        <f t="shared" si="230"/>
        <v>8000000</v>
      </c>
      <c r="N1308" s="260"/>
    </row>
    <row r="1309" spans="1:14" hidden="1">
      <c r="A1309" s="50" t="str">
        <f t="shared" ref="A1309" si="240">IF(G1309="BRI 568","Terima Uang Masuk atas ","By. Biaya ")</f>
        <v xml:space="preserve">By. Biaya </v>
      </c>
      <c r="B1309" s="214">
        <v>46162</v>
      </c>
      <c r="C1309" s="211" t="s">
        <v>2003</v>
      </c>
      <c r="D1309" t="s">
        <v>2242</v>
      </c>
      <c r="F1309" s="52">
        <f>IF(G1309="","",INDEX(COA!$A$4:$A$123,MATCH(JU!$G1309,COA!$B$4:$B$123,0)))</f>
        <v>5110</v>
      </c>
      <c r="G1309" t="s">
        <v>74</v>
      </c>
      <c r="H1309" s="216">
        <v>3740000</v>
      </c>
      <c r="I1309" s="52">
        <f>IF(J1309="","",INDEX(COA!$A$4:$A$123,MATCH(JU!$J1309,COA!$B$4:$B$123,0)))</f>
        <v>1103</v>
      </c>
      <c r="J1309" t="s">
        <v>154</v>
      </c>
      <c r="K1309" s="34">
        <f t="shared" ref="K1309" si="241">IF(H1309="","",H1309)</f>
        <v>3740000</v>
      </c>
      <c r="N1309" s="260"/>
    </row>
    <row r="1310" spans="1:14" hidden="1">
      <c r="A1310" s="50" t="str">
        <f t="shared" si="231"/>
        <v xml:space="preserve">By. Biaya </v>
      </c>
      <c r="B1310" s="214">
        <v>46162</v>
      </c>
      <c r="C1310" s="211" t="s">
        <v>2004</v>
      </c>
      <c r="D1310" t="s">
        <v>2243</v>
      </c>
      <c r="F1310" s="52">
        <f>IF(G1310="","",INDEX(COA!$A$4:$A$123,MATCH(JU!$G1310,COA!$B$4:$B$123,0)))</f>
        <v>4102</v>
      </c>
      <c r="G1310" t="s">
        <v>62</v>
      </c>
      <c r="H1310" s="216">
        <v>8000000</v>
      </c>
      <c r="I1310" s="52">
        <f>IF(J1310="","",INDEX(COA!$A$4:$A$123,MATCH(JU!$J1310,COA!$B$4:$B$123,0)))</f>
        <v>1103</v>
      </c>
      <c r="J1310" t="s">
        <v>154</v>
      </c>
      <c r="K1310" s="34">
        <f t="shared" si="230"/>
        <v>8000000</v>
      </c>
      <c r="N1310" s="260"/>
    </row>
    <row r="1311" spans="1:14" hidden="1">
      <c r="A1311" s="50" t="str">
        <f t="shared" ref="A1311" si="242">IF(G1311="BRI 568","Terima Uang Masuk atas ","By. Biaya ")</f>
        <v xml:space="preserve">By. Biaya </v>
      </c>
      <c r="B1311" s="214">
        <v>46162</v>
      </c>
      <c r="C1311" s="211" t="s">
        <v>2004</v>
      </c>
      <c r="D1311" t="s">
        <v>2243</v>
      </c>
      <c r="F1311" s="52">
        <f>IF(G1311="","",INDEX(COA!$A$4:$A$123,MATCH(JU!$G1311,COA!$B$4:$B$123,0)))</f>
        <v>5110</v>
      </c>
      <c r="G1311" t="s">
        <v>74</v>
      </c>
      <c r="H1311" s="216">
        <v>3740000</v>
      </c>
      <c r="I1311" s="52">
        <f>IF(J1311="","",INDEX(COA!$A$4:$A$123,MATCH(JU!$J1311,COA!$B$4:$B$123,0)))</f>
        <v>1103</v>
      </c>
      <c r="J1311" t="s">
        <v>154</v>
      </c>
      <c r="K1311" s="34">
        <f t="shared" ref="K1311" si="243">IF(H1311="","",H1311)</f>
        <v>3740000</v>
      </c>
      <c r="N1311" s="260"/>
    </row>
    <row r="1312" spans="1:14" hidden="1">
      <c r="A1312" s="50" t="str">
        <f t="shared" si="231"/>
        <v xml:space="preserve">Terima Uang Masuk atas </v>
      </c>
      <c r="B1312" s="214">
        <v>46162</v>
      </c>
      <c r="C1312" s="211" t="s">
        <v>2005</v>
      </c>
      <c r="D1312" t="s">
        <v>2244</v>
      </c>
      <c r="F1312" s="52">
        <f>IF(G1312="","",INDEX(COA!$A$4:$A$123,MATCH(JU!$G1312,COA!$B$4:$B$123,0)))</f>
        <v>1103</v>
      </c>
      <c r="G1312" t="s">
        <v>154</v>
      </c>
      <c r="H1312" s="216">
        <v>8000000</v>
      </c>
      <c r="I1312" s="52">
        <f>IF(J1312="","",INDEX(COA!$A$4:$A$123,MATCH(JU!$J1312,COA!$B$4:$B$123,0)))</f>
        <v>4102</v>
      </c>
      <c r="J1312" t="s">
        <v>62</v>
      </c>
      <c r="K1312" s="34">
        <f t="shared" si="230"/>
        <v>8000000</v>
      </c>
      <c r="N1312" s="260"/>
    </row>
    <row r="1313" spans="1:14" hidden="1">
      <c r="A1313" s="50" t="str">
        <f t="shared" si="231"/>
        <v xml:space="preserve">Terima Uang Masuk atas </v>
      </c>
      <c r="B1313" s="214">
        <v>46162</v>
      </c>
      <c r="C1313" s="211" t="s">
        <v>2006</v>
      </c>
      <c r="D1313" t="s">
        <v>2245</v>
      </c>
      <c r="F1313" s="52">
        <f>IF(G1313="","",INDEX(COA!$A$4:$A$123,MATCH(JU!$G1313,COA!$B$4:$B$123,0)))</f>
        <v>1103</v>
      </c>
      <c r="G1313" t="s">
        <v>154</v>
      </c>
      <c r="H1313" s="216">
        <v>8000000</v>
      </c>
      <c r="I1313" s="52">
        <f>IF(J1313="","",INDEX(COA!$A$4:$A$123,MATCH(JU!$J1313,COA!$B$4:$B$123,0)))</f>
        <v>4102</v>
      </c>
      <c r="J1313" t="s">
        <v>62</v>
      </c>
      <c r="K1313" s="34">
        <f t="shared" si="230"/>
        <v>8000000</v>
      </c>
      <c r="N1313" s="260"/>
    </row>
    <row r="1314" spans="1:14" hidden="1">
      <c r="A1314" s="50" t="str">
        <f t="shared" si="231"/>
        <v xml:space="preserve">Terima Uang Masuk atas </v>
      </c>
      <c r="B1314" s="214">
        <v>46162</v>
      </c>
      <c r="C1314" s="211" t="s">
        <v>2007</v>
      </c>
      <c r="D1314" t="s">
        <v>2246</v>
      </c>
      <c r="F1314" s="52">
        <f>IF(G1314="","",INDEX(COA!$A$4:$A$123,MATCH(JU!$G1314,COA!$B$4:$B$123,0)))</f>
        <v>1103</v>
      </c>
      <c r="G1314" t="s">
        <v>154</v>
      </c>
      <c r="H1314" s="216">
        <v>15000000</v>
      </c>
      <c r="I1314" s="52">
        <f>IF(J1314="","",INDEX(COA!$A$4:$A$123,MATCH(JU!$J1314,COA!$B$4:$B$123,0)))</f>
        <v>4102</v>
      </c>
      <c r="J1314" t="s">
        <v>62</v>
      </c>
      <c r="K1314" s="34">
        <f t="shared" si="230"/>
        <v>15000000</v>
      </c>
      <c r="N1314" s="260"/>
    </row>
    <row r="1315" spans="1:14" hidden="1">
      <c r="A1315" s="50" t="str">
        <f t="shared" ref="A1315" si="244">IF(G1315="BRI 568","Terima Uang Masuk atas ","By. Biaya ")</f>
        <v xml:space="preserve">By. Biaya </v>
      </c>
      <c r="B1315" s="214">
        <v>46162</v>
      </c>
      <c r="C1315" s="211" t="s">
        <v>2007</v>
      </c>
      <c r="D1315" t="s">
        <v>2295</v>
      </c>
      <c r="F1315" s="52">
        <f>IF(G1315="","",INDEX(COA!$A$4:$A$123,MATCH(JU!$G1315,COA!$B$4:$B$123,0)))</f>
        <v>1202</v>
      </c>
      <c r="G1315" t="s">
        <v>27</v>
      </c>
      <c r="H1315" s="216">
        <v>169000000</v>
      </c>
      <c r="I1315" s="52">
        <f>IF(J1315="","",INDEX(COA!$A$4:$A$123,MATCH(JU!$J1315,COA!$B$4:$B$123,0)))</f>
        <v>4102</v>
      </c>
      <c r="J1315" t="s">
        <v>62</v>
      </c>
      <c r="K1315" s="34">
        <f t="shared" ref="K1315" si="245">IF(H1315="","",H1315)</f>
        <v>169000000</v>
      </c>
      <c r="N1315" s="260"/>
    </row>
    <row r="1316" spans="1:14" hidden="1">
      <c r="A1316" s="50" t="str">
        <f t="shared" si="231"/>
        <v xml:space="preserve">By. Biaya </v>
      </c>
      <c r="B1316" s="214">
        <v>46162</v>
      </c>
      <c r="C1316" s="211" t="s">
        <v>2008</v>
      </c>
      <c r="D1316" t="s">
        <v>2247</v>
      </c>
      <c r="F1316" s="52">
        <f>IF(G1316="","",INDEX(COA!$A$4:$A$123,MATCH(JU!$G1316,COA!$B$4:$B$123,0)))</f>
        <v>1302</v>
      </c>
      <c r="G1316" t="s">
        <v>31</v>
      </c>
      <c r="H1316" s="216">
        <v>82000</v>
      </c>
      <c r="I1316" s="52">
        <f>IF(J1316="","",INDEX(COA!$A$4:$A$123,MATCH(JU!$J1316,COA!$B$4:$B$123,0)))</f>
        <v>1103</v>
      </c>
      <c r="J1316" t="s">
        <v>154</v>
      </c>
      <c r="K1316" s="34">
        <f t="shared" si="230"/>
        <v>82000</v>
      </c>
      <c r="N1316" s="260"/>
    </row>
    <row r="1317" spans="1:14" hidden="1">
      <c r="A1317" s="50" t="str">
        <f t="shared" si="231"/>
        <v xml:space="preserve">By. Biaya </v>
      </c>
      <c r="B1317" s="214">
        <v>46162</v>
      </c>
      <c r="C1317" s="211" t="s">
        <v>1873</v>
      </c>
      <c r="D1317" t="s">
        <v>2101</v>
      </c>
      <c r="F1317" s="52">
        <f>IF(G1317="","",INDEX(COA!$A$4:$A$123,MATCH(JU!$G1317,COA!$B$4:$B$123,0)))</f>
        <v>1203</v>
      </c>
      <c r="G1317" t="s">
        <v>140</v>
      </c>
      <c r="H1317" s="216">
        <v>250000</v>
      </c>
      <c r="I1317" s="52">
        <f>IF(J1317="","",INDEX(COA!$A$4:$A$123,MATCH(JU!$J1317,COA!$B$4:$B$123,0)))</f>
        <v>1103</v>
      </c>
      <c r="J1317" t="s">
        <v>154</v>
      </c>
      <c r="K1317" s="34">
        <f t="shared" si="230"/>
        <v>250000</v>
      </c>
      <c r="N1317" s="260"/>
    </row>
    <row r="1318" spans="1:14" hidden="1">
      <c r="A1318" s="50" t="str">
        <f t="shared" si="231"/>
        <v xml:space="preserve">By. Biaya </v>
      </c>
      <c r="B1318" s="214">
        <v>46162</v>
      </c>
      <c r="C1318" s="211" t="s">
        <v>1852</v>
      </c>
      <c r="D1318" t="s">
        <v>2076</v>
      </c>
      <c r="F1318" s="52" t="str">
        <f>IF(G1318="","",INDEX(COA!$A$4:$A$123,MATCH(JU!$G1318,COA!$B$4:$B$123,0)))</f>
        <v>6303</v>
      </c>
      <c r="G1318" t="s">
        <v>87</v>
      </c>
      <c r="H1318" s="216">
        <v>2500</v>
      </c>
      <c r="I1318" s="52">
        <f>IF(J1318="","",INDEX(COA!$A$4:$A$123,MATCH(JU!$J1318,COA!$B$4:$B$123,0)))</f>
        <v>1103</v>
      </c>
      <c r="J1318" t="s">
        <v>154</v>
      </c>
      <c r="K1318" s="34">
        <f t="shared" si="230"/>
        <v>2500</v>
      </c>
      <c r="N1318" s="260"/>
    </row>
    <row r="1319" spans="1:14" hidden="1">
      <c r="A1319" s="50" t="str">
        <f t="shared" si="231"/>
        <v xml:space="preserve">By. Biaya </v>
      </c>
      <c r="B1319" s="214">
        <v>46162</v>
      </c>
      <c r="C1319" s="211" t="s">
        <v>2009</v>
      </c>
      <c r="D1319" t="s">
        <v>2248</v>
      </c>
      <c r="F1319" s="52">
        <f>IF(G1319="","",INDEX(COA!$A$4:$A$123,MATCH(JU!$G1319,COA!$B$4:$B$123,0)))</f>
        <v>5108</v>
      </c>
      <c r="G1319" t="s">
        <v>72</v>
      </c>
      <c r="H1319" s="216">
        <v>3500000</v>
      </c>
      <c r="I1319" s="52">
        <f>IF(J1319="","",INDEX(COA!$A$4:$A$123,MATCH(JU!$J1319,COA!$B$4:$B$123,0)))</f>
        <v>1103</v>
      </c>
      <c r="J1319" t="s">
        <v>154</v>
      </c>
      <c r="K1319" s="34">
        <f t="shared" si="230"/>
        <v>3500000</v>
      </c>
      <c r="N1319" s="260"/>
    </row>
    <row r="1320" spans="1:14" hidden="1">
      <c r="A1320" s="50" t="str">
        <f t="shared" si="231"/>
        <v xml:space="preserve">By. Biaya </v>
      </c>
      <c r="B1320" s="214">
        <v>46162</v>
      </c>
      <c r="C1320" s="211" t="s">
        <v>2010</v>
      </c>
      <c r="D1320" t="s">
        <v>2249</v>
      </c>
      <c r="F1320" s="52">
        <f>IF(G1320="","",INDEX(COA!$A$4:$A$123,MATCH(JU!$G1320,COA!$B$4:$B$123,0)))</f>
        <v>1301</v>
      </c>
      <c r="G1320" t="s">
        <v>30</v>
      </c>
      <c r="H1320" s="216">
        <v>1050000</v>
      </c>
      <c r="I1320" s="52">
        <f>IF(J1320="","",INDEX(COA!$A$4:$A$123,MATCH(JU!$J1320,COA!$B$4:$B$123,0)))</f>
        <v>1103</v>
      </c>
      <c r="J1320" t="s">
        <v>154</v>
      </c>
      <c r="K1320" s="34">
        <f t="shared" si="230"/>
        <v>1050000</v>
      </c>
      <c r="N1320" s="260"/>
    </row>
    <row r="1321" spans="1:14" hidden="1">
      <c r="A1321" s="50" t="str">
        <f t="shared" si="231"/>
        <v xml:space="preserve">By. Biaya </v>
      </c>
      <c r="B1321" s="214">
        <v>46162</v>
      </c>
      <c r="C1321" s="211" t="s">
        <v>2011</v>
      </c>
      <c r="D1321" t="s">
        <v>2250</v>
      </c>
      <c r="F1321" s="52">
        <f>IF(G1321="","",INDEX(COA!$A$4:$A$123,MATCH(JU!$G1321,COA!$B$4:$B$123,0)))</f>
        <v>1302</v>
      </c>
      <c r="G1321" t="s">
        <v>31</v>
      </c>
      <c r="H1321" s="216">
        <v>830000</v>
      </c>
      <c r="I1321" s="52">
        <f>IF(J1321="","",INDEX(COA!$A$4:$A$123,MATCH(JU!$J1321,COA!$B$4:$B$123,0)))</f>
        <v>1103</v>
      </c>
      <c r="J1321" t="s">
        <v>154</v>
      </c>
      <c r="K1321" s="34">
        <f t="shared" si="230"/>
        <v>830000</v>
      </c>
      <c r="N1321" s="260"/>
    </row>
    <row r="1322" spans="1:14" hidden="1">
      <c r="A1322" s="50" t="str">
        <f t="shared" si="231"/>
        <v xml:space="preserve">Terima Uang Masuk atas </v>
      </c>
      <c r="B1322" s="214">
        <v>46162</v>
      </c>
      <c r="C1322" s="211" t="s">
        <v>2012</v>
      </c>
      <c r="D1322" t="s">
        <v>2251</v>
      </c>
      <c r="F1322" s="52">
        <f>IF(G1322="","",INDEX(COA!$A$4:$A$123,MATCH(JU!$G1322,COA!$B$4:$B$123,0)))</f>
        <v>1103</v>
      </c>
      <c r="G1322" t="s">
        <v>154</v>
      </c>
      <c r="H1322" s="216">
        <v>15000000</v>
      </c>
      <c r="I1322" s="52">
        <f>IF(J1322="","",INDEX(COA!$A$4:$A$123,MATCH(JU!$J1322,COA!$B$4:$B$123,0)))</f>
        <v>4102</v>
      </c>
      <c r="J1322" t="s">
        <v>62</v>
      </c>
      <c r="K1322" s="34">
        <f t="shared" si="230"/>
        <v>15000000</v>
      </c>
      <c r="N1322" s="260"/>
    </row>
    <row r="1323" spans="1:14" hidden="1">
      <c r="A1323" s="50" t="str">
        <f t="shared" ref="A1323" si="246">IF(G1323="BRI 568","Terima Uang Masuk atas ","By. Biaya ")</f>
        <v xml:space="preserve">By. Biaya </v>
      </c>
      <c r="B1323" s="214">
        <v>46162</v>
      </c>
      <c r="C1323" s="211" t="s">
        <v>2012</v>
      </c>
      <c r="D1323" t="s">
        <v>2296</v>
      </c>
      <c r="F1323" s="52">
        <f>IF(G1323="","",INDEX(COA!$A$4:$A$123,MATCH(JU!$G1323,COA!$B$4:$B$123,0)))</f>
        <v>1202</v>
      </c>
      <c r="G1323" t="s">
        <v>27</v>
      </c>
      <c r="H1323" s="216">
        <v>169000000</v>
      </c>
      <c r="I1323" s="52">
        <f>IF(J1323="","",INDEX(COA!$A$4:$A$123,MATCH(JU!$J1323,COA!$B$4:$B$123,0)))</f>
        <v>4102</v>
      </c>
      <c r="J1323" t="s">
        <v>62</v>
      </c>
      <c r="K1323" s="34">
        <f t="shared" ref="K1323" si="247">IF(H1323="","",H1323)</f>
        <v>169000000</v>
      </c>
      <c r="N1323" s="260"/>
    </row>
    <row r="1324" spans="1:14" hidden="1">
      <c r="A1324" s="50" t="str">
        <f t="shared" si="231"/>
        <v xml:space="preserve">Terima Uang Masuk atas </v>
      </c>
      <c r="B1324" s="214">
        <v>46162</v>
      </c>
      <c r="C1324" s="211" t="s">
        <v>2013</v>
      </c>
      <c r="D1324" t="s">
        <v>2252</v>
      </c>
      <c r="F1324" s="52">
        <f>IF(G1324="","",INDEX(COA!$A$4:$A$123,MATCH(JU!$G1324,COA!$B$4:$B$123,0)))</f>
        <v>1103</v>
      </c>
      <c r="G1324" t="s">
        <v>154</v>
      </c>
      <c r="H1324" s="216">
        <v>15000000</v>
      </c>
      <c r="I1324" s="52">
        <f>IF(J1324="","",INDEX(COA!$A$4:$A$123,MATCH(JU!$J1324,COA!$B$4:$B$123,0)))</f>
        <v>4102</v>
      </c>
      <c r="J1324" t="s">
        <v>62</v>
      </c>
      <c r="K1324" s="34">
        <f t="shared" si="230"/>
        <v>15000000</v>
      </c>
      <c r="N1324" s="260"/>
    </row>
    <row r="1325" spans="1:14" hidden="1">
      <c r="A1325" s="50" t="str">
        <f t="shared" ref="A1325" si="248">IF(G1325="BRI 568","Terima Uang Masuk atas ","By. Biaya ")</f>
        <v xml:space="preserve">By. Biaya </v>
      </c>
      <c r="B1325" s="214">
        <v>46162</v>
      </c>
      <c r="C1325" s="211" t="s">
        <v>2013</v>
      </c>
      <c r="D1325" t="s">
        <v>2297</v>
      </c>
      <c r="F1325" s="52">
        <f>IF(G1325="","",INDEX(COA!$A$4:$A$123,MATCH(JU!$G1325,COA!$B$4:$B$123,0)))</f>
        <v>1202</v>
      </c>
      <c r="G1325" t="s">
        <v>27</v>
      </c>
      <c r="H1325" s="216">
        <v>169000000</v>
      </c>
      <c r="I1325" s="52">
        <f>IF(J1325="","",INDEX(COA!$A$4:$A$123,MATCH(JU!$J1325,COA!$B$4:$B$123,0)))</f>
        <v>4102</v>
      </c>
      <c r="J1325" t="s">
        <v>62</v>
      </c>
      <c r="K1325" s="34">
        <f t="shared" ref="K1325" si="249">IF(H1325="","",H1325)</f>
        <v>169000000</v>
      </c>
      <c r="N1325" s="260"/>
    </row>
    <row r="1326" spans="1:14" hidden="1">
      <c r="A1326" s="50" t="str">
        <f t="shared" si="231"/>
        <v xml:space="preserve">By. Biaya </v>
      </c>
      <c r="B1326" s="214">
        <v>46162</v>
      </c>
      <c r="C1326" s="211" t="s">
        <v>2014</v>
      </c>
      <c r="D1326" t="s">
        <v>2253</v>
      </c>
      <c r="F1326" s="52">
        <f>IF(G1326="","",INDEX(COA!$A$4:$A$123,MATCH(JU!$G1326,COA!$B$4:$B$123,0)))</f>
        <v>4102</v>
      </c>
      <c r="G1326" t="s">
        <v>62</v>
      </c>
      <c r="H1326" s="216">
        <v>8000000</v>
      </c>
      <c r="I1326" s="52">
        <f>IF(J1326="","",INDEX(COA!$A$4:$A$123,MATCH(JU!$J1326,COA!$B$4:$B$123,0)))</f>
        <v>1103</v>
      </c>
      <c r="J1326" t="s">
        <v>154</v>
      </c>
      <c r="K1326" s="34">
        <f t="shared" si="230"/>
        <v>8000000</v>
      </c>
      <c r="N1326" s="260"/>
    </row>
    <row r="1327" spans="1:14" hidden="1">
      <c r="A1327" s="50" t="str">
        <f t="shared" ref="A1327" si="250">IF(G1327="BRI 568","Terima Uang Masuk atas ","By. Biaya ")</f>
        <v xml:space="preserve">By. Biaya </v>
      </c>
      <c r="B1327" s="214">
        <v>46162</v>
      </c>
      <c r="C1327" s="211" t="s">
        <v>2014</v>
      </c>
      <c r="D1327" t="s">
        <v>2253</v>
      </c>
      <c r="F1327" s="52">
        <f>IF(G1327="","",INDEX(COA!$A$4:$A$123,MATCH(JU!$G1327,COA!$B$4:$B$123,0)))</f>
        <v>5110</v>
      </c>
      <c r="G1327" t="s">
        <v>74</v>
      </c>
      <c r="H1327" s="216">
        <v>3740000</v>
      </c>
      <c r="I1327" s="52">
        <f>IF(J1327="","",INDEX(COA!$A$4:$A$123,MATCH(JU!$J1327,COA!$B$4:$B$123,0)))</f>
        <v>1103</v>
      </c>
      <c r="J1327" t="s">
        <v>154</v>
      </c>
      <c r="K1327" s="34">
        <f t="shared" ref="K1327" si="251">IF(H1327="","",H1327)</f>
        <v>3740000</v>
      </c>
      <c r="N1327" s="260"/>
    </row>
    <row r="1328" spans="1:14" hidden="1">
      <c r="A1328" s="50" t="str">
        <f t="shared" si="231"/>
        <v xml:space="preserve">By. Biaya </v>
      </c>
      <c r="B1328" s="214">
        <v>46162</v>
      </c>
      <c r="C1328" s="211" t="s">
        <v>2015</v>
      </c>
      <c r="D1328" t="s">
        <v>2254</v>
      </c>
      <c r="F1328" s="52">
        <f>IF(G1328="","",INDEX(COA!$A$4:$A$123,MATCH(JU!$G1328,COA!$B$4:$B$123,0)))</f>
        <v>7101</v>
      </c>
      <c r="G1328" t="s">
        <v>93</v>
      </c>
      <c r="H1328" s="216">
        <v>1730000</v>
      </c>
      <c r="I1328" s="52">
        <f>IF(J1328="","",INDEX(COA!$A$4:$A$123,MATCH(JU!$J1328,COA!$B$4:$B$123,0)))</f>
        <v>1103</v>
      </c>
      <c r="J1328" t="s">
        <v>154</v>
      </c>
      <c r="K1328" s="34">
        <f t="shared" si="230"/>
        <v>1730000</v>
      </c>
      <c r="N1328" s="260"/>
    </row>
    <row r="1329" spans="1:14" hidden="1">
      <c r="A1329" s="50" t="str">
        <f t="shared" si="231"/>
        <v xml:space="preserve">By. Biaya </v>
      </c>
      <c r="B1329" s="214">
        <v>46162</v>
      </c>
      <c r="C1329" s="211" t="s">
        <v>2016</v>
      </c>
      <c r="D1329" t="s">
        <v>2255</v>
      </c>
      <c r="F1329" s="52">
        <f>IF(G1329="","",INDEX(COA!$A$4:$A$123,MATCH(JU!$G1329,COA!$B$4:$B$123,0)))</f>
        <v>7101</v>
      </c>
      <c r="G1329" t="s">
        <v>93</v>
      </c>
      <c r="H1329" s="216">
        <v>1730000</v>
      </c>
      <c r="I1329" s="52">
        <f>IF(J1329="","",INDEX(COA!$A$4:$A$123,MATCH(JU!$J1329,COA!$B$4:$B$123,0)))</f>
        <v>1103</v>
      </c>
      <c r="J1329" t="s">
        <v>154</v>
      </c>
      <c r="K1329" s="34">
        <f t="shared" si="230"/>
        <v>1730000</v>
      </c>
      <c r="N1329" s="260"/>
    </row>
    <row r="1330" spans="1:14" hidden="1">
      <c r="A1330" s="50" t="str">
        <f t="shared" si="231"/>
        <v xml:space="preserve">By. Biaya </v>
      </c>
      <c r="B1330" s="214">
        <v>46162</v>
      </c>
      <c r="C1330" s="211" t="s">
        <v>2017</v>
      </c>
      <c r="D1330" t="s">
        <v>2256</v>
      </c>
      <c r="F1330" s="52">
        <f>IF(G1330="","",INDEX(COA!$A$4:$A$123,MATCH(JU!$G1330,COA!$B$4:$B$123,0)))</f>
        <v>1302</v>
      </c>
      <c r="G1330" t="s">
        <v>31</v>
      </c>
      <c r="H1330" s="216">
        <v>3090000</v>
      </c>
      <c r="I1330" s="52">
        <f>IF(J1330="","",INDEX(COA!$A$4:$A$123,MATCH(JU!$J1330,COA!$B$4:$B$123,0)))</f>
        <v>1103</v>
      </c>
      <c r="J1330" t="s">
        <v>154</v>
      </c>
      <c r="K1330" s="34">
        <f t="shared" si="230"/>
        <v>3090000</v>
      </c>
      <c r="N1330" s="260"/>
    </row>
    <row r="1331" spans="1:14" hidden="1">
      <c r="A1331" s="50" t="str">
        <f t="shared" si="231"/>
        <v xml:space="preserve">By. Biaya </v>
      </c>
      <c r="B1331" s="214">
        <v>46162</v>
      </c>
      <c r="C1331" s="211" t="s">
        <v>1852</v>
      </c>
      <c r="D1331" t="s">
        <v>2076</v>
      </c>
      <c r="F1331" s="52" t="str">
        <f>IF(G1331="","",INDEX(COA!$A$4:$A$123,MATCH(JU!$G1331,COA!$B$4:$B$123,0)))</f>
        <v>6303</v>
      </c>
      <c r="G1331" t="s">
        <v>87</v>
      </c>
      <c r="H1331" s="216">
        <v>2500</v>
      </c>
      <c r="I1331" s="52">
        <f>IF(J1331="","",INDEX(COA!$A$4:$A$123,MATCH(JU!$J1331,COA!$B$4:$B$123,0)))</f>
        <v>1103</v>
      </c>
      <c r="J1331" t="s">
        <v>154</v>
      </c>
      <c r="K1331" s="34">
        <f t="shared" si="230"/>
        <v>2500</v>
      </c>
      <c r="N1331" s="260"/>
    </row>
    <row r="1332" spans="1:14" hidden="1">
      <c r="A1332" s="50" t="str">
        <f t="shared" si="231"/>
        <v xml:space="preserve">By. Biaya </v>
      </c>
      <c r="B1332" s="214">
        <v>46162</v>
      </c>
      <c r="C1332" s="211" t="s">
        <v>2018</v>
      </c>
      <c r="D1332" t="s">
        <v>2257</v>
      </c>
      <c r="F1332" s="52">
        <f>IF(G1332="","",INDEX(COA!$A$4:$A$123,MATCH(JU!$G1332,COA!$B$4:$B$123,0)))</f>
        <v>1203</v>
      </c>
      <c r="G1332" t="s">
        <v>140</v>
      </c>
      <c r="H1332" s="216">
        <v>258000</v>
      </c>
      <c r="I1332" s="52">
        <f>IF(J1332="","",INDEX(COA!$A$4:$A$123,MATCH(JU!$J1332,COA!$B$4:$B$123,0)))</f>
        <v>1103</v>
      </c>
      <c r="J1332" t="s">
        <v>154</v>
      </c>
      <c r="K1332" s="34">
        <f t="shared" si="230"/>
        <v>258000</v>
      </c>
      <c r="N1332" s="260"/>
    </row>
    <row r="1333" spans="1:14" hidden="1">
      <c r="A1333" s="50" t="str">
        <f t="shared" si="231"/>
        <v xml:space="preserve">By. Biaya </v>
      </c>
      <c r="B1333" s="214">
        <v>46162</v>
      </c>
      <c r="C1333" s="211" t="s">
        <v>1852</v>
      </c>
      <c r="D1333" t="s">
        <v>2076</v>
      </c>
      <c r="F1333" s="52" t="str">
        <f>IF(G1333="","",INDEX(COA!$A$4:$A$123,MATCH(JU!$G1333,COA!$B$4:$B$123,0)))</f>
        <v>6303</v>
      </c>
      <c r="G1333" t="s">
        <v>87</v>
      </c>
      <c r="H1333" s="216">
        <v>2500</v>
      </c>
      <c r="I1333" s="52">
        <f>IF(J1333="","",INDEX(COA!$A$4:$A$123,MATCH(JU!$J1333,COA!$B$4:$B$123,0)))</f>
        <v>1103</v>
      </c>
      <c r="J1333" t="s">
        <v>154</v>
      </c>
      <c r="K1333" s="34">
        <f t="shared" si="230"/>
        <v>2500</v>
      </c>
      <c r="N1333" s="260"/>
    </row>
    <row r="1334" spans="1:14" hidden="1">
      <c r="A1334" s="50" t="str">
        <f t="shared" si="231"/>
        <v xml:space="preserve">Terima Uang Masuk atas </v>
      </c>
      <c r="B1334" s="214">
        <v>46162</v>
      </c>
      <c r="C1334" s="211" t="s">
        <v>2019</v>
      </c>
      <c r="D1334" t="s">
        <v>2258</v>
      </c>
      <c r="F1334" s="52">
        <f>IF(G1334="","",INDEX(COA!$A$4:$A$123,MATCH(JU!$G1334,COA!$B$4:$B$123,0)))</f>
        <v>1103</v>
      </c>
      <c r="G1334" t="s">
        <v>154</v>
      </c>
      <c r="H1334" s="216">
        <v>8000000</v>
      </c>
      <c r="I1334" s="52">
        <f>IF(J1334="","",INDEX(COA!$A$4:$A$123,MATCH(JU!$J1334,COA!$B$4:$B$123,0)))</f>
        <v>4102</v>
      </c>
      <c r="J1334" t="s">
        <v>62</v>
      </c>
      <c r="K1334" s="34">
        <f t="shared" si="230"/>
        <v>8000000</v>
      </c>
      <c r="N1334" s="260"/>
    </row>
    <row r="1335" spans="1:14" hidden="1">
      <c r="A1335" s="50" t="str">
        <f t="shared" si="231"/>
        <v xml:space="preserve">Terima Uang Masuk atas </v>
      </c>
      <c r="B1335" s="214">
        <v>46162</v>
      </c>
      <c r="C1335" s="211" t="s">
        <v>2020</v>
      </c>
      <c r="D1335" t="s">
        <v>2259</v>
      </c>
      <c r="F1335" s="52">
        <f>IF(G1335="","",INDEX(COA!$A$4:$A$123,MATCH(JU!$G1335,COA!$B$4:$B$123,0)))</f>
        <v>1103</v>
      </c>
      <c r="G1335" t="s">
        <v>154</v>
      </c>
      <c r="H1335" s="216">
        <v>20760000</v>
      </c>
      <c r="I1335" s="52">
        <f>IF(J1335="","",INDEX(COA!$A$4:$A$123,MATCH(JU!$J1335,COA!$B$4:$B$123,0)))</f>
        <v>1202</v>
      </c>
      <c r="J1335" t="s">
        <v>27</v>
      </c>
      <c r="K1335" s="34">
        <f t="shared" si="230"/>
        <v>20760000</v>
      </c>
      <c r="N1335" s="260"/>
    </row>
    <row r="1336" spans="1:14" hidden="1">
      <c r="A1336" s="50" t="str">
        <f t="shared" si="231"/>
        <v xml:space="preserve">By. Biaya </v>
      </c>
      <c r="B1336" s="214">
        <v>46162</v>
      </c>
      <c r="C1336" s="211" t="s">
        <v>2021</v>
      </c>
      <c r="D1336" t="s">
        <v>2260</v>
      </c>
      <c r="F1336" s="52" t="str">
        <f>IF(G1336="","",INDEX(COA!$A$4:$A$123,MATCH(JU!$G1336,COA!$B$4:$B$123,0)))</f>
        <v>2107</v>
      </c>
      <c r="G1336" t="s">
        <v>50</v>
      </c>
      <c r="H1336" s="216">
        <v>13245000</v>
      </c>
      <c r="I1336" s="52">
        <f>IF(J1336="","",INDEX(COA!$A$4:$A$123,MATCH(JU!$J1336,COA!$B$4:$B$123,0)))</f>
        <v>1103</v>
      </c>
      <c r="J1336" t="s">
        <v>154</v>
      </c>
      <c r="K1336" s="34">
        <f t="shared" si="230"/>
        <v>13245000</v>
      </c>
      <c r="N1336" s="260"/>
    </row>
    <row r="1337" spans="1:14" hidden="1">
      <c r="A1337" s="50" t="str">
        <f t="shared" si="231"/>
        <v xml:space="preserve">Terima Uang Masuk atas </v>
      </c>
      <c r="B1337" s="214">
        <v>46162</v>
      </c>
      <c r="C1337" s="211" t="s">
        <v>2022</v>
      </c>
      <c r="D1337" t="s">
        <v>2261</v>
      </c>
      <c r="F1337" s="52">
        <f>IF(G1337="","",INDEX(COA!$A$4:$A$123,MATCH(JU!$G1337,COA!$B$4:$B$123,0)))</f>
        <v>1103</v>
      </c>
      <c r="G1337" t="s">
        <v>154</v>
      </c>
      <c r="H1337" s="216">
        <v>13245000</v>
      </c>
      <c r="I1337" s="52" t="str">
        <f>IF(J1337="","",INDEX(COA!$A$4:$A$123,MATCH(JU!$J1337,COA!$B$4:$B$123,0)))</f>
        <v>2107</v>
      </c>
      <c r="J1337" t="s">
        <v>50</v>
      </c>
      <c r="K1337" s="34">
        <f t="shared" si="230"/>
        <v>13245000</v>
      </c>
      <c r="N1337" s="260"/>
    </row>
    <row r="1338" spans="1:14" hidden="1">
      <c r="A1338" s="50" t="str">
        <f t="shared" si="231"/>
        <v xml:space="preserve">By. Biaya </v>
      </c>
      <c r="B1338" s="214">
        <v>46162</v>
      </c>
      <c r="C1338" s="211" t="s">
        <v>1885</v>
      </c>
      <c r="D1338" t="s">
        <v>2112</v>
      </c>
      <c r="F1338" s="52">
        <f>IF(G1338="","",INDEX(COA!$A$4:$A$123,MATCH(JU!$G1338,COA!$B$4:$B$123,0)))</f>
        <v>6105</v>
      </c>
      <c r="G1338" t="s">
        <v>2298</v>
      </c>
      <c r="H1338" s="216">
        <v>456000</v>
      </c>
      <c r="I1338" s="52">
        <f>IF(J1338="","",INDEX(COA!$A$4:$A$123,MATCH(JU!$J1338,COA!$B$4:$B$123,0)))</f>
        <v>1103</v>
      </c>
      <c r="J1338" t="s">
        <v>154</v>
      </c>
      <c r="K1338" s="34">
        <f t="shared" si="230"/>
        <v>456000</v>
      </c>
      <c r="N1338" s="260"/>
    </row>
    <row r="1339" spans="1:14" hidden="1">
      <c r="A1339" s="50" t="str">
        <f t="shared" si="231"/>
        <v xml:space="preserve">By. Biaya </v>
      </c>
      <c r="B1339" s="214">
        <v>46162</v>
      </c>
      <c r="C1339" s="211" t="s">
        <v>1852</v>
      </c>
      <c r="D1339" t="s">
        <v>2076</v>
      </c>
      <c r="F1339" s="52" t="str">
        <f>IF(G1339="","",INDEX(COA!$A$4:$A$123,MATCH(JU!$G1339,COA!$B$4:$B$123,0)))</f>
        <v>6303</v>
      </c>
      <c r="G1339" t="s">
        <v>87</v>
      </c>
      <c r="H1339" s="216">
        <v>2500</v>
      </c>
      <c r="I1339" s="52">
        <f>IF(J1339="","",INDEX(COA!$A$4:$A$123,MATCH(JU!$J1339,COA!$B$4:$B$123,0)))</f>
        <v>1103</v>
      </c>
      <c r="J1339" t="s">
        <v>154</v>
      </c>
      <c r="K1339" s="34">
        <f t="shared" si="230"/>
        <v>2500</v>
      </c>
      <c r="N1339" s="260"/>
    </row>
    <row r="1340" spans="1:14" hidden="1">
      <c r="A1340" s="50" t="str">
        <f t="shared" si="231"/>
        <v xml:space="preserve">By. Biaya </v>
      </c>
      <c r="B1340" s="214">
        <v>46163</v>
      </c>
      <c r="C1340" s="211" t="s">
        <v>2023</v>
      </c>
      <c r="D1340" t="s">
        <v>2262</v>
      </c>
      <c r="F1340" s="52">
        <f>IF(G1340="","",INDEX(COA!$A$4:$A$123,MATCH(JU!$G1340,COA!$B$4:$B$123,0)))</f>
        <v>6101</v>
      </c>
      <c r="G1340" t="s">
        <v>2299</v>
      </c>
      <c r="H1340" s="216">
        <v>792108</v>
      </c>
      <c r="I1340" s="52">
        <f>IF(J1340="","",INDEX(COA!$A$4:$A$123,MATCH(JU!$J1340,COA!$B$4:$B$123,0)))</f>
        <v>1103</v>
      </c>
      <c r="J1340" t="s">
        <v>154</v>
      </c>
      <c r="K1340" s="34">
        <f t="shared" si="230"/>
        <v>792108</v>
      </c>
      <c r="N1340" s="260"/>
    </row>
    <row r="1341" spans="1:14" hidden="1">
      <c r="A1341" s="50" t="str">
        <f t="shared" si="231"/>
        <v xml:space="preserve">By. Biaya </v>
      </c>
      <c r="B1341" s="214">
        <v>46163</v>
      </c>
      <c r="C1341" s="211" t="s">
        <v>2024</v>
      </c>
      <c r="D1341" t="s">
        <v>2263</v>
      </c>
      <c r="F1341" s="52">
        <f>IF(G1341="","",INDEX(COA!$A$4:$A$123,MATCH(JU!$G1341,COA!$B$4:$B$123,0)))</f>
        <v>6106</v>
      </c>
      <c r="G1341" t="s">
        <v>2300</v>
      </c>
      <c r="H1341" s="216">
        <v>216450</v>
      </c>
      <c r="I1341" s="52">
        <f>IF(J1341="","",INDEX(COA!$A$4:$A$123,MATCH(JU!$J1341,COA!$B$4:$B$123,0)))</f>
        <v>1103</v>
      </c>
      <c r="J1341" t="s">
        <v>154</v>
      </c>
      <c r="K1341" s="34">
        <f t="shared" si="230"/>
        <v>216450</v>
      </c>
      <c r="N1341" s="260"/>
    </row>
    <row r="1342" spans="1:14" hidden="1">
      <c r="A1342" s="50" t="str">
        <f t="shared" si="231"/>
        <v xml:space="preserve">By. Biaya </v>
      </c>
      <c r="B1342" s="214">
        <v>46163</v>
      </c>
      <c r="C1342" s="211" t="s">
        <v>1852</v>
      </c>
      <c r="D1342" t="s">
        <v>2076</v>
      </c>
      <c r="F1342" s="52" t="str">
        <f>IF(G1342="","",INDEX(COA!$A$4:$A$123,MATCH(JU!$G1342,COA!$B$4:$B$123,0)))</f>
        <v>6303</v>
      </c>
      <c r="G1342" t="s">
        <v>87</v>
      </c>
      <c r="H1342" s="216">
        <v>2800</v>
      </c>
      <c r="I1342" s="52">
        <f>IF(J1342="","",INDEX(COA!$A$4:$A$123,MATCH(JU!$J1342,COA!$B$4:$B$123,0)))</f>
        <v>1103</v>
      </c>
      <c r="J1342" t="s">
        <v>154</v>
      </c>
      <c r="K1342" s="34">
        <f t="shared" si="230"/>
        <v>2800</v>
      </c>
      <c r="N1342" s="260"/>
    </row>
    <row r="1343" spans="1:14" hidden="1">
      <c r="A1343" s="50" t="str">
        <f t="shared" si="231"/>
        <v xml:space="preserve">By. Biaya </v>
      </c>
      <c r="B1343" s="214">
        <v>46163</v>
      </c>
      <c r="C1343" s="211" t="s">
        <v>2025</v>
      </c>
      <c r="D1343" t="s">
        <v>2264</v>
      </c>
      <c r="F1343" s="52">
        <f>IF(G1343="","",INDEX(COA!$A$4:$A$123,MATCH(JU!$G1343,COA!$B$4:$B$123,0)))</f>
        <v>6106</v>
      </c>
      <c r="G1343" t="s">
        <v>2300</v>
      </c>
      <c r="H1343" s="216">
        <v>421800</v>
      </c>
      <c r="I1343" s="52">
        <f>IF(J1343="","",INDEX(COA!$A$4:$A$123,MATCH(JU!$J1343,COA!$B$4:$B$123,0)))</f>
        <v>1103</v>
      </c>
      <c r="J1343" t="s">
        <v>154</v>
      </c>
      <c r="K1343" s="34">
        <f t="shared" ref="K1343:K1411" si="252">IF(H1343="","",H1343)</f>
        <v>421800</v>
      </c>
      <c r="N1343" s="260"/>
    </row>
    <row r="1344" spans="1:14" hidden="1">
      <c r="A1344" s="50" t="str">
        <f t="shared" ref="A1344:A1385" si="253">IF(G1344="BRI 568","Terima Uang Masuk atas ","By. Biaya ")</f>
        <v xml:space="preserve">By. Biaya </v>
      </c>
      <c r="B1344" s="214">
        <v>46163</v>
      </c>
      <c r="C1344" s="211" t="s">
        <v>1852</v>
      </c>
      <c r="D1344" t="s">
        <v>2076</v>
      </c>
      <c r="F1344" s="52" t="str">
        <f>IF(G1344="","",INDEX(COA!$A$4:$A$123,MATCH(JU!$G1344,COA!$B$4:$B$123,0)))</f>
        <v>6303</v>
      </c>
      <c r="G1344" t="s">
        <v>87</v>
      </c>
      <c r="H1344" s="216">
        <v>2800</v>
      </c>
      <c r="I1344" s="52">
        <f>IF(J1344="","",INDEX(COA!$A$4:$A$123,MATCH(JU!$J1344,COA!$B$4:$B$123,0)))</f>
        <v>1103</v>
      </c>
      <c r="J1344" t="s">
        <v>154</v>
      </c>
      <c r="K1344" s="34">
        <f t="shared" si="252"/>
        <v>2800</v>
      </c>
      <c r="N1344" s="260"/>
    </row>
    <row r="1345" spans="1:14" hidden="1">
      <c r="A1345" s="50" t="str">
        <f t="shared" si="253"/>
        <v xml:space="preserve">By. Biaya </v>
      </c>
      <c r="B1345" s="214">
        <v>46163</v>
      </c>
      <c r="C1345" s="211" t="s">
        <v>2026</v>
      </c>
      <c r="D1345" t="s">
        <v>2265</v>
      </c>
      <c r="F1345" s="52">
        <f>IF(G1345="","",INDEX(COA!$A$4:$A$123,MATCH(JU!$G1345,COA!$B$4:$B$123,0)))</f>
        <v>4102</v>
      </c>
      <c r="G1345" t="s">
        <v>62</v>
      </c>
      <c r="H1345" s="216">
        <v>8000000</v>
      </c>
      <c r="I1345" s="52">
        <f>IF(J1345="","",INDEX(COA!$A$4:$A$123,MATCH(JU!$J1345,COA!$B$4:$B$123,0)))</f>
        <v>1103</v>
      </c>
      <c r="J1345" t="s">
        <v>154</v>
      </c>
      <c r="K1345" s="34">
        <f t="shared" si="252"/>
        <v>8000000</v>
      </c>
      <c r="N1345" s="260"/>
    </row>
    <row r="1346" spans="1:14" hidden="1">
      <c r="A1346" s="50" t="str">
        <f t="shared" ref="A1346" si="254">IF(G1346="BRI 568","Terima Uang Masuk atas ","By. Biaya ")</f>
        <v xml:space="preserve">By. Biaya </v>
      </c>
      <c r="B1346" s="214">
        <v>46163</v>
      </c>
      <c r="C1346" s="211" t="s">
        <v>2026</v>
      </c>
      <c r="D1346" t="s">
        <v>2265</v>
      </c>
      <c r="F1346" s="52">
        <f>IF(G1346="","",INDEX(COA!$A$4:$A$123,MATCH(JU!$G1346,COA!$B$4:$B$123,0)))</f>
        <v>5110</v>
      </c>
      <c r="G1346" t="s">
        <v>74</v>
      </c>
      <c r="H1346" s="216">
        <v>3740000</v>
      </c>
      <c r="I1346" s="52">
        <f>IF(J1346="","",INDEX(COA!$A$4:$A$123,MATCH(JU!$J1346,COA!$B$4:$B$123,0)))</f>
        <v>1103</v>
      </c>
      <c r="J1346" t="s">
        <v>154</v>
      </c>
      <c r="K1346" s="34">
        <f t="shared" ref="K1346" si="255">IF(H1346="","",H1346)</f>
        <v>3740000</v>
      </c>
      <c r="N1346" s="260"/>
    </row>
    <row r="1347" spans="1:14" hidden="1">
      <c r="A1347" s="50" t="str">
        <f t="shared" si="253"/>
        <v xml:space="preserve">By. Biaya </v>
      </c>
      <c r="B1347" s="214">
        <v>46163</v>
      </c>
      <c r="C1347" s="211" t="s">
        <v>2027</v>
      </c>
      <c r="D1347" t="s">
        <v>2266</v>
      </c>
      <c r="F1347" s="52">
        <f>IF(G1347="","",INDEX(COA!$A$4:$A$123,MATCH(JU!$G1347,COA!$B$4:$B$123,0)))</f>
        <v>4102</v>
      </c>
      <c r="G1347" t="s">
        <v>62</v>
      </c>
      <c r="H1347" s="216">
        <v>8000000</v>
      </c>
      <c r="I1347" s="52">
        <f>IF(J1347="","",INDEX(COA!$A$4:$A$123,MATCH(JU!$J1347,COA!$B$4:$B$123,0)))</f>
        <v>1103</v>
      </c>
      <c r="J1347" t="s">
        <v>154</v>
      </c>
      <c r="K1347" s="34">
        <f t="shared" si="252"/>
        <v>8000000</v>
      </c>
      <c r="N1347" s="260"/>
    </row>
    <row r="1348" spans="1:14" hidden="1">
      <c r="A1348" s="50" t="str">
        <f t="shared" ref="A1348" si="256">IF(G1348="BRI 568","Terima Uang Masuk atas ","By. Biaya ")</f>
        <v xml:space="preserve">By. Biaya </v>
      </c>
      <c r="B1348" s="214">
        <v>46163</v>
      </c>
      <c r="C1348" s="211" t="s">
        <v>2027</v>
      </c>
      <c r="D1348" t="s">
        <v>2266</v>
      </c>
      <c r="F1348" s="52">
        <f>IF(G1348="","",INDEX(COA!$A$4:$A$123,MATCH(JU!$G1348,COA!$B$4:$B$123,0)))</f>
        <v>5110</v>
      </c>
      <c r="G1348" t="s">
        <v>74</v>
      </c>
      <c r="H1348" s="216">
        <v>3740000</v>
      </c>
      <c r="I1348" s="52">
        <f>IF(J1348="","",INDEX(COA!$A$4:$A$123,MATCH(JU!$J1348,COA!$B$4:$B$123,0)))</f>
        <v>1103</v>
      </c>
      <c r="J1348" t="s">
        <v>154</v>
      </c>
      <c r="K1348" s="34">
        <f t="shared" ref="K1348" si="257">IF(H1348="","",H1348)</f>
        <v>3740000</v>
      </c>
      <c r="N1348" s="260"/>
    </row>
    <row r="1349" spans="1:14" hidden="1">
      <c r="A1349" s="50" t="str">
        <f t="shared" si="253"/>
        <v xml:space="preserve">Terima Uang Masuk atas </v>
      </c>
      <c r="B1349" s="214">
        <v>46163</v>
      </c>
      <c r="C1349" s="211" t="s">
        <v>2028</v>
      </c>
      <c r="D1349" t="s">
        <v>2267</v>
      </c>
      <c r="F1349" s="52">
        <f>IF(G1349="","",INDEX(COA!$A$4:$A$123,MATCH(JU!$G1349,COA!$B$4:$B$123,0)))</f>
        <v>1103</v>
      </c>
      <c r="G1349" t="s">
        <v>154</v>
      </c>
      <c r="H1349" s="216">
        <v>8000000</v>
      </c>
      <c r="I1349" s="52">
        <f>IF(J1349="","",INDEX(COA!$A$4:$A$123,MATCH(JU!$J1349,COA!$B$4:$B$123,0)))</f>
        <v>4102</v>
      </c>
      <c r="J1349" t="s">
        <v>62</v>
      </c>
      <c r="K1349" s="34">
        <f t="shared" si="252"/>
        <v>8000000</v>
      </c>
      <c r="N1349" s="260"/>
    </row>
    <row r="1350" spans="1:14" hidden="1">
      <c r="A1350" s="50" t="str">
        <f t="shared" si="253"/>
        <v xml:space="preserve">Terima Uang Masuk atas </v>
      </c>
      <c r="B1350" s="214">
        <v>46163</v>
      </c>
      <c r="C1350" s="211" t="s">
        <v>2029</v>
      </c>
      <c r="D1350" t="s">
        <v>2268</v>
      </c>
      <c r="F1350" s="52">
        <f>IF(G1350="","",INDEX(COA!$A$4:$A$123,MATCH(JU!$G1350,COA!$B$4:$B$123,0)))</f>
        <v>1103</v>
      </c>
      <c r="G1350" t="s">
        <v>154</v>
      </c>
      <c r="H1350" s="216">
        <v>8000000</v>
      </c>
      <c r="I1350" s="52">
        <f>IF(J1350="","",INDEX(COA!$A$4:$A$123,MATCH(JU!$J1350,COA!$B$4:$B$123,0)))</f>
        <v>4102</v>
      </c>
      <c r="J1350" t="s">
        <v>62</v>
      </c>
      <c r="K1350" s="34">
        <f t="shared" si="252"/>
        <v>8000000</v>
      </c>
      <c r="N1350" s="260"/>
    </row>
    <row r="1351" spans="1:14" hidden="1">
      <c r="A1351" s="50" t="str">
        <f t="shared" si="253"/>
        <v xml:space="preserve">By. Biaya </v>
      </c>
      <c r="B1351" s="214">
        <v>46163</v>
      </c>
      <c r="C1351" s="211" t="s">
        <v>2030</v>
      </c>
      <c r="D1351" t="s">
        <v>2269</v>
      </c>
      <c r="F1351" s="52">
        <f>IF(G1351="","",INDEX(COA!$A$4:$A$123,MATCH(JU!$G1351,COA!$B$4:$B$123,0)))</f>
        <v>1302</v>
      </c>
      <c r="G1351" t="s">
        <v>31</v>
      </c>
      <c r="H1351" s="216">
        <v>3000000</v>
      </c>
      <c r="I1351" s="52">
        <f>IF(J1351="","",INDEX(COA!$A$4:$A$123,MATCH(JU!$J1351,COA!$B$4:$B$123,0)))</f>
        <v>1103</v>
      </c>
      <c r="J1351" t="s">
        <v>154</v>
      </c>
      <c r="K1351" s="34">
        <f t="shared" si="252"/>
        <v>3000000</v>
      </c>
      <c r="N1351" s="260"/>
    </row>
    <row r="1352" spans="1:14" hidden="1">
      <c r="A1352" s="50" t="str">
        <f t="shared" si="253"/>
        <v xml:space="preserve">By. Biaya </v>
      </c>
      <c r="B1352" s="214">
        <v>46163</v>
      </c>
      <c r="C1352" s="211" t="s">
        <v>1852</v>
      </c>
      <c r="D1352" t="s">
        <v>2076</v>
      </c>
      <c r="F1352" s="52" t="str">
        <f>IF(G1352="","",INDEX(COA!$A$4:$A$123,MATCH(JU!$G1352,COA!$B$4:$B$123,0)))</f>
        <v>6303</v>
      </c>
      <c r="G1352" t="s">
        <v>87</v>
      </c>
      <c r="H1352" s="216">
        <v>2500</v>
      </c>
      <c r="I1352" s="52">
        <f>IF(J1352="","",INDEX(COA!$A$4:$A$123,MATCH(JU!$J1352,COA!$B$4:$B$123,0)))</f>
        <v>1103</v>
      </c>
      <c r="J1352" t="s">
        <v>154</v>
      </c>
      <c r="K1352" s="34">
        <f t="shared" si="252"/>
        <v>2500</v>
      </c>
      <c r="N1352" s="260"/>
    </row>
    <row r="1353" spans="1:14" hidden="1">
      <c r="A1353" s="50" t="str">
        <f t="shared" si="253"/>
        <v xml:space="preserve">By. Biaya </v>
      </c>
      <c r="B1353" s="214">
        <v>46163</v>
      </c>
      <c r="C1353" s="211" t="s">
        <v>2031</v>
      </c>
      <c r="D1353" t="s">
        <v>2270</v>
      </c>
      <c r="F1353" s="52">
        <f>IF(G1353="","",INDEX(COA!$A$4:$A$123,MATCH(JU!$G1353,COA!$B$4:$B$123,0)))</f>
        <v>6101</v>
      </c>
      <c r="G1353" t="s">
        <v>2299</v>
      </c>
      <c r="H1353" s="216">
        <v>2180000</v>
      </c>
      <c r="I1353" s="52">
        <f>IF(J1353="","",INDEX(COA!$A$4:$A$123,MATCH(JU!$J1353,COA!$B$4:$B$123,0)))</f>
        <v>1103</v>
      </c>
      <c r="J1353" t="s">
        <v>154</v>
      </c>
      <c r="K1353" s="34">
        <f t="shared" si="252"/>
        <v>2180000</v>
      </c>
      <c r="N1353" s="260"/>
    </row>
    <row r="1354" spans="1:14" hidden="1">
      <c r="A1354" s="50" t="str">
        <f t="shared" si="253"/>
        <v xml:space="preserve">By. Biaya </v>
      </c>
      <c r="B1354" s="214">
        <v>46163</v>
      </c>
      <c r="C1354" s="211" t="s">
        <v>1852</v>
      </c>
      <c r="D1354" t="s">
        <v>2076</v>
      </c>
      <c r="F1354" s="52" t="str">
        <f>IF(G1354="","",INDEX(COA!$A$4:$A$123,MATCH(JU!$G1354,COA!$B$4:$B$123,0)))</f>
        <v>6303</v>
      </c>
      <c r="G1354" t="s">
        <v>87</v>
      </c>
      <c r="H1354" s="216">
        <v>2500</v>
      </c>
      <c r="I1354" s="52">
        <f>IF(J1354="","",INDEX(COA!$A$4:$A$123,MATCH(JU!$J1354,COA!$B$4:$B$123,0)))</f>
        <v>1103</v>
      </c>
      <c r="J1354" t="s">
        <v>154</v>
      </c>
      <c r="K1354" s="34">
        <f t="shared" si="252"/>
        <v>2500</v>
      </c>
      <c r="N1354" s="260"/>
    </row>
    <row r="1355" spans="1:14" hidden="1">
      <c r="A1355" s="50" t="str">
        <f t="shared" si="253"/>
        <v xml:space="preserve">By. Biaya </v>
      </c>
      <c r="B1355" s="214">
        <v>46163</v>
      </c>
      <c r="C1355" s="211" t="s">
        <v>2032</v>
      </c>
      <c r="D1355" t="s">
        <v>2271</v>
      </c>
      <c r="F1355" s="52">
        <f>IF(G1355="","",INDEX(COA!$A$4:$A$123,MATCH(JU!$G1355,COA!$B$4:$B$123,0)))</f>
        <v>6112</v>
      </c>
      <c r="G1355" t="s">
        <v>205</v>
      </c>
      <c r="H1355" s="216">
        <v>594000</v>
      </c>
      <c r="I1355" s="52">
        <f>IF(J1355="","",INDEX(COA!$A$4:$A$123,MATCH(JU!$J1355,COA!$B$4:$B$123,0)))</f>
        <v>1103</v>
      </c>
      <c r="J1355" t="s">
        <v>154</v>
      </c>
      <c r="K1355" s="34">
        <f t="shared" si="252"/>
        <v>594000</v>
      </c>
      <c r="N1355" s="260"/>
    </row>
    <row r="1356" spans="1:14" hidden="1">
      <c r="A1356" s="50" t="str">
        <f t="shared" si="253"/>
        <v xml:space="preserve">By. Biaya </v>
      </c>
      <c r="B1356" s="214">
        <v>46163</v>
      </c>
      <c r="C1356" s="211" t="s">
        <v>1852</v>
      </c>
      <c r="D1356" t="s">
        <v>2076</v>
      </c>
      <c r="F1356" s="52" t="str">
        <f>IF(G1356="","",INDEX(COA!$A$4:$A$123,MATCH(JU!$G1356,COA!$B$4:$B$123,0)))</f>
        <v>6303</v>
      </c>
      <c r="G1356" t="s">
        <v>87</v>
      </c>
      <c r="H1356" s="216">
        <v>2500</v>
      </c>
      <c r="I1356" s="52">
        <f>IF(J1356="","",INDEX(COA!$A$4:$A$123,MATCH(JU!$J1356,COA!$B$4:$B$123,0)))</f>
        <v>1103</v>
      </c>
      <c r="J1356" t="s">
        <v>154</v>
      </c>
      <c r="K1356" s="34">
        <f t="shared" si="252"/>
        <v>2500</v>
      </c>
      <c r="N1356" s="260"/>
    </row>
    <row r="1357" spans="1:14" hidden="1">
      <c r="A1357" s="50" t="str">
        <f t="shared" si="253"/>
        <v xml:space="preserve">By. Biaya </v>
      </c>
      <c r="B1357" s="214">
        <v>46163</v>
      </c>
      <c r="C1357" s="211" t="s">
        <v>2033</v>
      </c>
      <c r="D1357" t="s">
        <v>2272</v>
      </c>
      <c r="F1357" s="52">
        <f>IF(G1357="","",INDEX(COA!$A$4:$A$123,MATCH(JU!$G1357,COA!$B$4:$B$123,0)))</f>
        <v>1203</v>
      </c>
      <c r="G1357" t="s">
        <v>140</v>
      </c>
      <c r="H1357" s="216">
        <v>176000</v>
      </c>
      <c r="I1357" s="52">
        <f>IF(J1357="","",INDEX(COA!$A$4:$A$123,MATCH(JU!$J1357,COA!$B$4:$B$123,0)))</f>
        <v>1103</v>
      </c>
      <c r="J1357" t="s">
        <v>154</v>
      </c>
      <c r="K1357" s="34">
        <f t="shared" si="252"/>
        <v>176000</v>
      </c>
      <c r="N1357" s="260"/>
    </row>
    <row r="1358" spans="1:14" hidden="1">
      <c r="A1358" s="50" t="str">
        <f t="shared" si="253"/>
        <v xml:space="preserve">By. Biaya </v>
      </c>
      <c r="B1358" s="214">
        <v>46163</v>
      </c>
      <c r="C1358" s="211" t="s">
        <v>1852</v>
      </c>
      <c r="D1358" t="s">
        <v>2076</v>
      </c>
      <c r="F1358" s="52" t="str">
        <f>IF(G1358="","",INDEX(COA!$A$4:$A$123,MATCH(JU!$G1358,COA!$B$4:$B$123,0)))</f>
        <v>6303</v>
      </c>
      <c r="G1358" t="s">
        <v>87</v>
      </c>
      <c r="H1358" s="216">
        <v>2500</v>
      </c>
      <c r="I1358" s="52">
        <f>IF(J1358="","",INDEX(COA!$A$4:$A$123,MATCH(JU!$J1358,COA!$B$4:$B$123,0)))</f>
        <v>1103</v>
      </c>
      <c r="J1358" t="s">
        <v>154</v>
      </c>
      <c r="K1358" s="34">
        <f t="shared" si="252"/>
        <v>2500</v>
      </c>
      <c r="N1358" s="260"/>
    </row>
    <row r="1359" spans="1:14" hidden="1">
      <c r="A1359" s="50" t="str">
        <f t="shared" si="253"/>
        <v xml:space="preserve">By. Biaya </v>
      </c>
      <c r="B1359" s="214">
        <v>46163</v>
      </c>
      <c r="C1359" s="211" t="s">
        <v>2034</v>
      </c>
      <c r="D1359" t="s">
        <v>2273</v>
      </c>
      <c r="F1359" s="52">
        <f>IF(G1359="","",INDEX(COA!$A$4:$A$123,MATCH(JU!$G1359,COA!$B$4:$B$123,0)))</f>
        <v>1203</v>
      </c>
      <c r="G1359" t="s">
        <v>140</v>
      </c>
      <c r="H1359" s="216">
        <v>160000</v>
      </c>
      <c r="I1359" s="52">
        <f>IF(J1359="","",INDEX(COA!$A$4:$A$123,MATCH(JU!$J1359,COA!$B$4:$B$123,0)))</f>
        <v>1103</v>
      </c>
      <c r="J1359" t="s">
        <v>154</v>
      </c>
      <c r="K1359" s="34">
        <f t="shared" si="252"/>
        <v>160000</v>
      </c>
      <c r="N1359" s="260"/>
    </row>
    <row r="1360" spans="1:14" hidden="1">
      <c r="A1360" s="50" t="str">
        <f t="shared" si="253"/>
        <v xml:space="preserve">By. Biaya </v>
      </c>
      <c r="B1360" s="214">
        <v>46163</v>
      </c>
      <c r="C1360" s="211" t="s">
        <v>1852</v>
      </c>
      <c r="D1360" t="s">
        <v>2076</v>
      </c>
      <c r="F1360" s="52" t="str">
        <f>IF(G1360="","",INDEX(COA!$A$4:$A$123,MATCH(JU!$G1360,COA!$B$4:$B$123,0)))</f>
        <v>6303</v>
      </c>
      <c r="G1360" t="s">
        <v>87</v>
      </c>
      <c r="H1360" s="216">
        <v>2500</v>
      </c>
      <c r="I1360" s="52">
        <f>IF(J1360="","",INDEX(COA!$A$4:$A$123,MATCH(JU!$J1360,COA!$B$4:$B$123,0)))</f>
        <v>1103</v>
      </c>
      <c r="J1360" t="s">
        <v>154</v>
      </c>
      <c r="K1360" s="34">
        <f t="shared" si="252"/>
        <v>2500</v>
      </c>
      <c r="N1360" s="260"/>
    </row>
    <row r="1361" spans="1:14" hidden="1">
      <c r="A1361" s="50" t="str">
        <f t="shared" si="253"/>
        <v xml:space="preserve">By. Biaya </v>
      </c>
      <c r="B1361" s="214">
        <v>46163</v>
      </c>
      <c r="C1361" s="211" t="s">
        <v>2035</v>
      </c>
      <c r="D1361" t="s">
        <v>2274</v>
      </c>
      <c r="F1361" s="52">
        <f>IF(G1361="","",INDEX(COA!$A$4:$A$123,MATCH(JU!$G1361,COA!$B$4:$B$123,0)))</f>
        <v>1203</v>
      </c>
      <c r="G1361" t="s">
        <v>140</v>
      </c>
      <c r="H1361" s="216">
        <v>270000</v>
      </c>
      <c r="I1361" s="52">
        <f>IF(J1361="","",INDEX(COA!$A$4:$A$123,MATCH(JU!$J1361,COA!$B$4:$B$123,0)))</f>
        <v>1103</v>
      </c>
      <c r="J1361" t="s">
        <v>154</v>
      </c>
      <c r="K1361" s="34">
        <f t="shared" si="252"/>
        <v>270000</v>
      </c>
      <c r="N1361" s="260"/>
    </row>
    <row r="1362" spans="1:14" hidden="1">
      <c r="A1362" s="50" t="str">
        <f t="shared" si="253"/>
        <v xml:space="preserve">By. Biaya </v>
      </c>
      <c r="B1362" s="214">
        <v>46163</v>
      </c>
      <c r="C1362" s="211" t="s">
        <v>1852</v>
      </c>
      <c r="D1362" t="s">
        <v>2076</v>
      </c>
      <c r="F1362" s="52" t="str">
        <f>IF(G1362="","",INDEX(COA!$A$4:$A$123,MATCH(JU!$G1362,COA!$B$4:$B$123,0)))</f>
        <v>6303</v>
      </c>
      <c r="G1362" t="s">
        <v>87</v>
      </c>
      <c r="H1362" s="216">
        <v>2500</v>
      </c>
      <c r="I1362" s="52">
        <f>IF(J1362="","",INDEX(COA!$A$4:$A$123,MATCH(JU!$J1362,COA!$B$4:$B$123,0)))</f>
        <v>1103</v>
      </c>
      <c r="J1362" t="s">
        <v>154</v>
      </c>
      <c r="K1362" s="34">
        <f t="shared" si="252"/>
        <v>2500</v>
      </c>
      <c r="N1362" s="260"/>
    </row>
    <row r="1363" spans="1:14" hidden="1">
      <c r="A1363" s="50" t="str">
        <f t="shared" si="253"/>
        <v xml:space="preserve">By. Biaya </v>
      </c>
      <c r="B1363" s="214">
        <v>46163</v>
      </c>
      <c r="C1363" s="211" t="s">
        <v>2036</v>
      </c>
      <c r="D1363" t="s">
        <v>2275</v>
      </c>
      <c r="F1363" s="52">
        <f>IF(G1363="","",INDEX(COA!$A$4:$A$123,MATCH(JU!$G1363,COA!$B$4:$B$123,0)))</f>
        <v>1203</v>
      </c>
      <c r="G1363" t="s">
        <v>140</v>
      </c>
      <c r="H1363" s="216">
        <v>80000000</v>
      </c>
      <c r="I1363" s="52">
        <f>IF(J1363="","",INDEX(COA!$A$4:$A$123,MATCH(JU!$J1363,COA!$B$4:$B$123,0)))</f>
        <v>1103</v>
      </c>
      <c r="J1363" t="s">
        <v>154</v>
      </c>
      <c r="K1363" s="34">
        <f t="shared" si="252"/>
        <v>80000000</v>
      </c>
      <c r="N1363" s="260"/>
    </row>
    <row r="1364" spans="1:14">
      <c r="A1364" s="50" t="str">
        <f t="shared" si="253"/>
        <v xml:space="preserve">By. Biaya </v>
      </c>
      <c r="B1364" s="214">
        <v>46164</v>
      </c>
      <c r="C1364" s="211" t="s">
        <v>2367</v>
      </c>
      <c r="D1364" s="266" t="s">
        <v>2391</v>
      </c>
      <c r="F1364" s="52">
        <f>IF(G1364="","",INDEX(COA!$A$4:$A$123,MATCH(JU!$G1364,COA!$B$4:$B$123,0)))</f>
        <v>1302</v>
      </c>
      <c r="G1364" t="s">
        <v>31</v>
      </c>
      <c r="H1364" s="216">
        <v>5000000</v>
      </c>
      <c r="I1364" s="52">
        <f>IF(J1364="","",INDEX(COA!$A$4:$A$123,MATCH(JU!$J1364,COA!$B$4:$B$123,0)))</f>
        <v>1103</v>
      </c>
      <c r="J1364" t="s">
        <v>154</v>
      </c>
      <c r="K1364" s="34">
        <f t="shared" si="252"/>
        <v>5000000</v>
      </c>
      <c r="N1364" s="260"/>
    </row>
    <row r="1365" spans="1:14" hidden="1">
      <c r="A1365" s="50" t="str">
        <f t="shared" si="253"/>
        <v xml:space="preserve">By. Biaya </v>
      </c>
      <c r="B1365" s="214">
        <v>46164</v>
      </c>
      <c r="C1365" s="211" t="s">
        <v>2368</v>
      </c>
      <c r="D1365" s="266" t="s">
        <v>2392</v>
      </c>
      <c r="F1365" s="52">
        <f>IF(G1365="","",INDEX(COA!$A$4:$A$123,MATCH(JU!$G1365,COA!$B$4:$B$123,0)))</f>
        <v>1302</v>
      </c>
      <c r="G1365" t="s">
        <v>31</v>
      </c>
      <c r="H1365" s="216">
        <v>420000</v>
      </c>
      <c r="I1365" s="52">
        <f>IF(J1365="","",INDEX(COA!$A$4:$A$123,MATCH(JU!$J1365,COA!$B$4:$B$123,0)))</f>
        <v>1103</v>
      </c>
      <c r="J1365" t="s">
        <v>154</v>
      </c>
      <c r="K1365" s="34">
        <f t="shared" si="252"/>
        <v>420000</v>
      </c>
      <c r="N1365" s="260"/>
    </row>
    <row r="1366" spans="1:14" hidden="1">
      <c r="A1366" s="50" t="str">
        <f t="shared" si="253"/>
        <v xml:space="preserve">By. Biaya </v>
      </c>
      <c r="B1366" s="214">
        <v>46164</v>
      </c>
      <c r="D1366" t="s">
        <v>2361</v>
      </c>
      <c r="F1366" s="52">
        <f>IF(G1366="","",INDEX(COA!$A$4:$A$123,MATCH(JU!$G1366,COA!$B$4:$B$123,0)))</f>
        <v>1411</v>
      </c>
      <c r="G1366" t="s">
        <v>43</v>
      </c>
      <c r="H1366" s="216">
        <v>326787224</v>
      </c>
      <c r="I1366" s="52" t="str">
        <f>IF(J1366="","",INDEX(COA!$A$4:$A$123,MATCH(JU!$J1366,COA!$B$4:$B$123,0)))</f>
        <v>2201</v>
      </c>
      <c r="J1366" t="s">
        <v>52</v>
      </c>
      <c r="K1366" s="34">
        <f t="shared" si="252"/>
        <v>326787224</v>
      </c>
    </row>
    <row r="1367" spans="1:14" hidden="1">
      <c r="A1367" s="50" t="str">
        <f t="shared" si="253"/>
        <v xml:space="preserve">By. Biaya </v>
      </c>
      <c r="B1367" s="214">
        <v>46164</v>
      </c>
      <c r="D1367" t="s">
        <v>2362</v>
      </c>
      <c r="F1367" s="52">
        <f>IF(G1367="","",INDEX(COA!$A$4:$A$123,MATCH(JU!$G1367,COA!$B$4:$B$123,0)))</f>
        <v>1411</v>
      </c>
      <c r="G1367" t="s">
        <v>43</v>
      </c>
      <c r="H1367" s="216">
        <v>48981532.079999998</v>
      </c>
      <c r="I1367" s="52" t="str">
        <f>IF(J1367="","",INDEX(COA!$A$4:$A$123,MATCH(JU!$J1367,COA!$B$4:$B$123,0)))</f>
        <v>2108</v>
      </c>
      <c r="J1367" t="s">
        <v>51</v>
      </c>
      <c r="K1367" s="34">
        <f t="shared" si="252"/>
        <v>48981532.079999998</v>
      </c>
    </row>
    <row r="1368" spans="1:14" hidden="1">
      <c r="A1368" s="50" t="str">
        <f t="shared" si="253"/>
        <v xml:space="preserve">Terima Uang Masuk atas </v>
      </c>
      <c r="B1368" s="214">
        <v>46164</v>
      </c>
      <c r="C1368" s="211" t="s">
        <v>2369</v>
      </c>
      <c r="D1368" t="s">
        <v>2380</v>
      </c>
      <c r="F1368" s="52">
        <f>IF(G1368="","",INDEX(COA!$A$4:$A$123,MATCH(JU!$G1368,COA!$B$4:$B$123,0)))</f>
        <v>1103</v>
      </c>
      <c r="G1368" t="s">
        <v>154</v>
      </c>
      <c r="H1368" s="216">
        <v>50000000</v>
      </c>
      <c r="I1368" s="52">
        <f>IF(J1368="","",INDEX(COA!$A$4:$A$123,MATCH(JU!$J1368,COA!$B$4:$B$123,0)))</f>
        <v>1202</v>
      </c>
      <c r="J1368" t="s">
        <v>27</v>
      </c>
      <c r="K1368" s="34">
        <f t="shared" si="252"/>
        <v>50000000</v>
      </c>
    </row>
    <row r="1369" spans="1:14" hidden="1">
      <c r="A1369" s="50" t="str">
        <f t="shared" si="253"/>
        <v xml:space="preserve">By. Biaya </v>
      </c>
      <c r="B1369" s="214">
        <v>46164</v>
      </c>
      <c r="C1369" s="211" t="s">
        <v>2370</v>
      </c>
      <c r="D1369" t="s">
        <v>2381</v>
      </c>
      <c r="F1369" s="52" t="str">
        <f>IF(G1369="","",INDEX(COA!$A$4:$A$123,MATCH(JU!$G1369,COA!$B$4:$B$123,0)))</f>
        <v>2201</v>
      </c>
      <c r="G1369" t="s">
        <v>52</v>
      </c>
      <c r="H1369" s="216">
        <v>12520578</v>
      </c>
      <c r="I1369" s="52">
        <f>IF(J1369="","",INDEX(COA!$A$4:$A$123,MATCH(JU!$J1369,COA!$B$4:$B$123,0)))</f>
        <v>1103</v>
      </c>
      <c r="J1369" t="s">
        <v>154</v>
      </c>
      <c r="K1369" s="34">
        <f t="shared" si="252"/>
        <v>12520578</v>
      </c>
    </row>
    <row r="1370" spans="1:14" hidden="1">
      <c r="A1370" s="50" t="str">
        <f t="shared" si="253"/>
        <v xml:space="preserve">By. Biaya </v>
      </c>
      <c r="B1370" s="214">
        <v>46164</v>
      </c>
      <c r="C1370" s="211" t="s">
        <v>1852</v>
      </c>
      <c r="D1370" t="s">
        <v>2076</v>
      </c>
      <c r="F1370" s="52" t="str">
        <f>IF(G1370="","",INDEX(COA!$A$4:$A$123,MATCH(JU!$G1370,COA!$B$4:$B$123,0)))</f>
        <v>6303</v>
      </c>
      <c r="G1370" t="s">
        <v>87</v>
      </c>
      <c r="H1370" s="216">
        <v>2500</v>
      </c>
      <c r="I1370" s="52">
        <f>IF(J1370="","",INDEX(COA!$A$4:$A$123,MATCH(JU!$J1370,COA!$B$4:$B$123,0)))</f>
        <v>1103</v>
      </c>
      <c r="J1370" t="s">
        <v>154</v>
      </c>
      <c r="K1370" s="34">
        <f t="shared" si="252"/>
        <v>2500</v>
      </c>
    </row>
    <row r="1371" spans="1:14" hidden="1">
      <c r="A1371" s="50" t="str">
        <f t="shared" si="253"/>
        <v xml:space="preserve">By. Biaya </v>
      </c>
      <c r="B1371" s="214">
        <v>46164</v>
      </c>
      <c r="C1371" s="211" t="s">
        <v>2371</v>
      </c>
      <c r="D1371" t="s">
        <v>2382</v>
      </c>
      <c r="F1371" s="52">
        <f>IF(G1371="","",INDEX(COA!$A$4:$A$123,MATCH(JU!$G1371,COA!$B$4:$B$123,0)))</f>
        <v>1301</v>
      </c>
      <c r="G1371" t="s">
        <v>30</v>
      </c>
      <c r="H1371" s="216">
        <v>8000000</v>
      </c>
      <c r="I1371" s="52">
        <f>IF(J1371="","",INDEX(COA!$A$4:$A$123,MATCH(JU!$J1371,COA!$B$4:$B$123,0)))</f>
        <v>1103</v>
      </c>
      <c r="J1371" t="s">
        <v>154</v>
      </c>
      <c r="K1371" s="34">
        <f t="shared" si="252"/>
        <v>8000000</v>
      </c>
    </row>
    <row r="1372" spans="1:14" hidden="1">
      <c r="A1372" s="50" t="str">
        <f t="shared" si="253"/>
        <v xml:space="preserve">By. Biaya </v>
      </c>
      <c r="B1372" s="214">
        <v>46164</v>
      </c>
      <c r="C1372" s="211" t="s">
        <v>1852</v>
      </c>
      <c r="D1372" t="s">
        <v>2076</v>
      </c>
      <c r="F1372" s="52" t="str">
        <f>IF(G1372="","",INDEX(COA!$A$4:$A$123,MATCH(JU!$G1372,COA!$B$4:$B$123,0)))</f>
        <v>6303</v>
      </c>
      <c r="G1372" t="s">
        <v>87</v>
      </c>
      <c r="H1372" s="216">
        <v>2500</v>
      </c>
      <c r="I1372" s="52">
        <f>IF(J1372="","",INDEX(COA!$A$4:$A$123,MATCH(JU!$J1372,COA!$B$4:$B$123,0)))</f>
        <v>1103</v>
      </c>
      <c r="J1372" t="s">
        <v>154</v>
      </c>
      <c r="K1372" s="34">
        <f t="shared" si="252"/>
        <v>2500</v>
      </c>
    </row>
    <row r="1373" spans="1:14" hidden="1">
      <c r="A1373" s="50" t="str">
        <f t="shared" si="253"/>
        <v xml:space="preserve">Terima Uang Masuk atas </v>
      </c>
      <c r="B1373" s="214">
        <v>46164</v>
      </c>
      <c r="C1373" s="211" t="s">
        <v>2369</v>
      </c>
      <c r="D1373" s="266" t="s">
        <v>2380</v>
      </c>
      <c r="F1373" s="52">
        <f>IF(G1373="","",INDEX(COA!$A$4:$A$123,MATCH(JU!$G1373,COA!$B$4:$B$123,0)))</f>
        <v>1103</v>
      </c>
      <c r="G1373" t="s">
        <v>154</v>
      </c>
      <c r="H1373" s="216">
        <v>100500000</v>
      </c>
      <c r="I1373" s="52">
        <f>IF(J1373="","",INDEX(COA!$A$4:$A$123,MATCH(JU!$J1373,COA!$B$4:$B$123,0)))</f>
        <v>1202</v>
      </c>
      <c r="J1373" t="s">
        <v>27</v>
      </c>
      <c r="K1373" s="34">
        <f t="shared" si="252"/>
        <v>100500000</v>
      </c>
    </row>
    <row r="1374" spans="1:14" hidden="1">
      <c r="A1374" s="50" t="str">
        <f t="shared" si="253"/>
        <v xml:space="preserve">By. Biaya </v>
      </c>
      <c r="B1374" s="214">
        <v>46164</v>
      </c>
      <c r="C1374" s="211" t="s">
        <v>2372</v>
      </c>
      <c r="D1374" t="s">
        <v>2383</v>
      </c>
      <c r="F1374" s="52">
        <f>IF(G1374="","",INDEX(COA!$A$4:$A$123,MATCH(JU!$G1374,COA!$B$4:$B$123,0)))</f>
        <v>1108</v>
      </c>
      <c r="G1374" t="s">
        <v>155</v>
      </c>
      <c r="H1374" s="216">
        <v>50000000</v>
      </c>
      <c r="I1374" s="52">
        <f>IF(J1374="","",INDEX(COA!$A$4:$A$123,MATCH(JU!$J1374,COA!$B$4:$B$123,0)))</f>
        <v>1103</v>
      </c>
      <c r="J1374" t="s">
        <v>154</v>
      </c>
      <c r="K1374" s="34">
        <f t="shared" si="252"/>
        <v>50000000</v>
      </c>
    </row>
    <row r="1375" spans="1:14" hidden="1">
      <c r="A1375" s="50" t="str">
        <f t="shared" si="253"/>
        <v xml:space="preserve">By. Biaya </v>
      </c>
      <c r="B1375" s="214">
        <v>46164</v>
      </c>
      <c r="C1375" s="211" t="s">
        <v>1852</v>
      </c>
      <c r="D1375" t="s">
        <v>2076</v>
      </c>
      <c r="F1375" s="52" t="str">
        <f>IF(G1375="","",INDEX(COA!$A$4:$A$123,MATCH(JU!$G1375,COA!$B$4:$B$123,0)))</f>
        <v>6303</v>
      </c>
      <c r="G1375" t="s">
        <v>87</v>
      </c>
      <c r="H1375" s="216">
        <v>2500</v>
      </c>
      <c r="I1375" s="52">
        <f>IF(J1375="","",INDEX(COA!$A$4:$A$123,MATCH(JU!$J1375,COA!$B$4:$B$123,0)))</f>
        <v>1103</v>
      </c>
      <c r="J1375" t="s">
        <v>154</v>
      </c>
      <c r="K1375" s="34">
        <f t="shared" si="252"/>
        <v>2500</v>
      </c>
    </row>
    <row r="1376" spans="1:14" hidden="1">
      <c r="A1376" s="50" t="str">
        <f t="shared" si="253"/>
        <v xml:space="preserve">Terima Uang Masuk atas </v>
      </c>
      <c r="B1376" s="214">
        <v>46165</v>
      </c>
      <c r="C1376" s="211" t="s">
        <v>2373</v>
      </c>
      <c r="D1376" t="s">
        <v>2384</v>
      </c>
      <c r="F1376" s="52">
        <f>IF(G1376="","",INDEX(COA!$A$4:$A$123,MATCH(JU!$G1376,COA!$B$4:$B$123,0)))</f>
        <v>1103</v>
      </c>
      <c r="G1376" t="s">
        <v>154</v>
      </c>
      <c r="H1376" s="216">
        <v>15000000</v>
      </c>
      <c r="I1376" s="52">
        <f>IF(J1376="","",INDEX(COA!$A$4:$A$123,MATCH(JU!$J1376,COA!$B$4:$B$123,0)))</f>
        <v>4102</v>
      </c>
      <c r="J1376" t="s">
        <v>62</v>
      </c>
      <c r="K1376" s="34">
        <f t="shared" si="252"/>
        <v>15000000</v>
      </c>
    </row>
    <row r="1377" spans="1:11" hidden="1">
      <c r="A1377" s="50" t="str">
        <f t="shared" ref="A1377:A1378" si="258">IF(G1377="BRI 568","Terima Uang Masuk atas ","By. Biaya ")</f>
        <v xml:space="preserve">By. Biaya </v>
      </c>
      <c r="B1377" s="214">
        <v>46165</v>
      </c>
      <c r="C1377" s="211" t="s">
        <v>2373</v>
      </c>
      <c r="D1377" t="s">
        <v>2393</v>
      </c>
      <c r="F1377" s="52">
        <f>IF(G1377="","",INDEX(COA!$A$4:$A$123,MATCH(JU!$G1377,COA!$B$4:$B$123,0)))</f>
        <v>1202</v>
      </c>
      <c r="G1377" t="s">
        <v>27</v>
      </c>
      <c r="H1377" s="216">
        <v>169000000</v>
      </c>
      <c r="I1377" s="52">
        <f>IF(J1377="","",INDEX(COA!$A$4:$A$123,MATCH(JU!$J1377,COA!$B$4:$B$123,0)))</f>
        <v>4102</v>
      </c>
      <c r="J1377" t="s">
        <v>62</v>
      </c>
      <c r="K1377" s="34">
        <f t="shared" ref="K1377:K1378" si="259">IF(H1377="","",H1377)</f>
        <v>169000000</v>
      </c>
    </row>
    <row r="1378" spans="1:11" hidden="1">
      <c r="A1378" s="50" t="str">
        <f t="shared" si="258"/>
        <v xml:space="preserve">By. Biaya </v>
      </c>
      <c r="B1378" s="214">
        <v>46165</v>
      </c>
      <c r="C1378" s="211" t="s">
        <v>2374</v>
      </c>
      <c r="D1378" t="s">
        <v>2395</v>
      </c>
      <c r="F1378" s="52">
        <f>IF(G1378="","",INDEX(COA!$A$4:$A$123,MATCH(JU!$G1378,COA!$B$4:$B$123,0)))</f>
        <v>1202</v>
      </c>
      <c r="G1378" t="s">
        <v>27</v>
      </c>
      <c r="H1378" s="216">
        <v>190000000</v>
      </c>
      <c r="I1378" s="52">
        <f>IF(J1378="","",INDEX(COA!$A$4:$A$123,MATCH(JU!$J1378,COA!$B$4:$B$123,0)))</f>
        <v>4102</v>
      </c>
      <c r="J1378" t="s">
        <v>62</v>
      </c>
      <c r="K1378" s="34">
        <f t="shared" si="259"/>
        <v>190000000</v>
      </c>
    </row>
    <row r="1379" spans="1:11" hidden="1">
      <c r="A1379" s="50" t="str">
        <f t="shared" si="253"/>
        <v xml:space="preserve">Terima Uang Masuk atas </v>
      </c>
      <c r="B1379" s="214">
        <v>46165</v>
      </c>
      <c r="C1379" s="211" t="s">
        <v>2374</v>
      </c>
      <c r="D1379" t="s">
        <v>2385</v>
      </c>
      <c r="F1379" s="52">
        <f>IF(G1379="","",INDEX(COA!$A$4:$A$123,MATCH(JU!$G1379,COA!$B$4:$B$123,0)))</f>
        <v>1103</v>
      </c>
      <c r="G1379" t="s">
        <v>154</v>
      </c>
      <c r="H1379" s="216">
        <v>10000000</v>
      </c>
      <c r="I1379" s="52">
        <f>IF(J1379="","",INDEX(COA!$A$4:$A$123,MATCH(JU!$J1379,COA!$B$4:$B$123,0)))</f>
        <v>1202</v>
      </c>
      <c r="J1379" t="s">
        <v>27</v>
      </c>
      <c r="K1379" s="34">
        <f t="shared" si="252"/>
        <v>10000000</v>
      </c>
    </row>
    <row r="1380" spans="1:11" hidden="1">
      <c r="A1380" s="50" t="str">
        <f t="shared" si="253"/>
        <v xml:space="preserve">Terima Uang Masuk atas </v>
      </c>
      <c r="B1380" s="214">
        <v>46165</v>
      </c>
      <c r="C1380" s="211" t="s">
        <v>2375</v>
      </c>
      <c r="D1380" t="s">
        <v>2386</v>
      </c>
      <c r="F1380" s="52">
        <f>IF(G1380="","",INDEX(COA!$A$4:$A$123,MATCH(JU!$G1380,COA!$B$4:$B$123,0)))</f>
        <v>1103</v>
      </c>
      <c r="G1380" t="s">
        <v>154</v>
      </c>
      <c r="H1380" s="216">
        <v>18000000</v>
      </c>
      <c r="I1380" s="52" t="str">
        <f>IF(J1380="","",INDEX(COA!$A$4:$A$123,MATCH(JU!$J1380,COA!$B$4:$B$123,0)))</f>
        <v>2101</v>
      </c>
      <c r="J1380" t="s">
        <v>2396</v>
      </c>
      <c r="K1380" s="34">
        <f t="shared" si="252"/>
        <v>18000000</v>
      </c>
    </row>
    <row r="1381" spans="1:11" hidden="1">
      <c r="A1381" s="50" t="str">
        <f t="shared" ref="A1381" si="260">IF(G1381="BRI 568","Terima Uang Masuk atas ","By. Biaya ")</f>
        <v xml:space="preserve">By. Biaya </v>
      </c>
      <c r="B1381" s="214">
        <v>46165</v>
      </c>
      <c r="C1381" s="211" t="s">
        <v>2375</v>
      </c>
      <c r="D1381" t="s">
        <v>2397</v>
      </c>
      <c r="F1381" s="52" t="str">
        <f>IF(G1381="","",INDEX(COA!$A$4:$A$123,MATCH(JU!$G1381,COA!$B$4:$B$123,0)))</f>
        <v>2101</v>
      </c>
      <c r="G1381" t="s">
        <v>2396</v>
      </c>
      <c r="H1381" s="216">
        <v>128000000</v>
      </c>
      <c r="I1381" s="52">
        <f>IF(J1381="","",INDEX(COA!$A$4:$A$123,MATCH(JU!$J1381,COA!$B$4:$B$123,0)))</f>
        <v>1301</v>
      </c>
      <c r="J1381" t="s">
        <v>30</v>
      </c>
      <c r="K1381" s="34">
        <f t="shared" ref="K1381" si="261">IF(H1381="","",H1381)</f>
        <v>128000000</v>
      </c>
    </row>
    <row r="1382" spans="1:11" hidden="1">
      <c r="A1382" s="50" t="str">
        <f t="shared" si="253"/>
        <v xml:space="preserve">Terima Uang Masuk atas </v>
      </c>
      <c r="B1382" s="214">
        <v>46165</v>
      </c>
      <c r="C1382" s="211" t="s">
        <v>2376</v>
      </c>
      <c r="D1382" t="s">
        <v>2387</v>
      </c>
      <c r="F1382" s="52">
        <f>IF(G1382="","",INDEX(COA!$A$4:$A$123,MATCH(JU!$G1382,COA!$B$4:$B$123,0)))</f>
        <v>1103</v>
      </c>
      <c r="G1382" t="s">
        <v>154</v>
      </c>
      <c r="H1382" s="216">
        <v>5000000</v>
      </c>
      <c r="I1382" s="52">
        <f>IF(J1382="","",INDEX(COA!$A$4:$A$123,MATCH(JU!$J1382,COA!$B$4:$B$123,0)))</f>
        <v>4102</v>
      </c>
      <c r="J1382" t="s">
        <v>62</v>
      </c>
      <c r="K1382" s="34">
        <f t="shared" si="252"/>
        <v>5000000</v>
      </c>
    </row>
    <row r="1383" spans="1:11" hidden="1">
      <c r="A1383" s="50" t="str">
        <f t="shared" si="253"/>
        <v xml:space="preserve">By. Biaya </v>
      </c>
      <c r="B1383" s="214">
        <v>46165</v>
      </c>
      <c r="C1383" s="211" t="s">
        <v>2377</v>
      </c>
      <c r="D1383" t="s">
        <v>2388</v>
      </c>
      <c r="F1383" s="52">
        <f>IF(G1383="","",INDEX(COA!$A$4:$A$123,MATCH(JU!$G1383,COA!$B$4:$B$123,0)))</f>
        <v>1302</v>
      </c>
      <c r="G1383" t="s">
        <v>31</v>
      </c>
      <c r="H1383" s="216">
        <v>10000000</v>
      </c>
      <c r="I1383" s="52">
        <f>IF(J1383="","",INDEX(COA!$A$4:$A$123,MATCH(JU!$J1383,COA!$B$4:$B$123,0)))</f>
        <v>1103</v>
      </c>
      <c r="J1383" t="s">
        <v>154</v>
      </c>
      <c r="K1383" s="34">
        <f t="shared" si="252"/>
        <v>10000000</v>
      </c>
    </row>
    <row r="1384" spans="1:11" hidden="1">
      <c r="A1384" s="50" t="str">
        <f t="shared" si="253"/>
        <v xml:space="preserve">Terima Uang Masuk atas </v>
      </c>
      <c r="B1384" s="214">
        <v>46165</v>
      </c>
      <c r="C1384" s="211" t="s">
        <v>2378</v>
      </c>
      <c r="D1384" t="s">
        <v>2389</v>
      </c>
      <c r="F1384" s="52">
        <f>IF(G1384="","",INDEX(COA!$A$4:$A$123,MATCH(JU!$G1384,COA!$B$4:$B$123,0)))</f>
        <v>1103</v>
      </c>
      <c r="G1384" t="s">
        <v>154</v>
      </c>
      <c r="H1384" s="216">
        <v>7000000</v>
      </c>
      <c r="I1384" s="52">
        <f>IF(J1384="","",INDEX(COA!$A$4:$A$123,MATCH(JU!$J1384,COA!$B$4:$B$123,0)))</f>
        <v>1302</v>
      </c>
      <c r="J1384" t="s">
        <v>31</v>
      </c>
      <c r="K1384" s="34">
        <f t="shared" si="252"/>
        <v>7000000</v>
      </c>
    </row>
    <row r="1385" spans="1:11" hidden="1">
      <c r="A1385" s="50" t="str">
        <f t="shared" si="253"/>
        <v xml:space="preserve">By. Biaya </v>
      </c>
      <c r="B1385" s="214">
        <v>46165</v>
      </c>
      <c r="C1385" s="211" t="s">
        <v>2379</v>
      </c>
      <c r="D1385" t="s">
        <v>2390</v>
      </c>
      <c r="F1385" s="52">
        <f>IF(G1385="","",INDEX(COA!$A$4:$A$123,MATCH(JU!$G1385,COA!$B$4:$B$123,0)))</f>
        <v>5107</v>
      </c>
      <c r="G1385" t="s">
        <v>71</v>
      </c>
      <c r="H1385" s="216">
        <v>500000</v>
      </c>
      <c r="I1385" s="52">
        <f>IF(J1385="","",INDEX(COA!$A$4:$A$123,MATCH(JU!$J1385,COA!$B$4:$B$123,0)))</f>
        <v>1103</v>
      </c>
      <c r="J1385" t="s">
        <v>154</v>
      </c>
      <c r="K1385" s="34">
        <f t="shared" si="252"/>
        <v>500000</v>
      </c>
    </row>
    <row r="1386" spans="1:11" hidden="1">
      <c r="A1386" s="50" t="str">
        <f t="shared" ref="A1386:A1455" si="262">IF(G1386="BRI 568","Terima Uang Masuk atas ","By. Biaya ")</f>
        <v xml:space="preserve">By. Biaya </v>
      </c>
      <c r="B1386" s="214">
        <v>46165</v>
      </c>
      <c r="C1386" s="211" t="s">
        <v>2398</v>
      </c>
      <c r="D1386" t="s">
        <v>2464</v>
      </c>
      <c r="F1386" s="52">
        <f>IF(G1386="","",INDEX(COA!$A$4:$A$123,MATCH(JU!$G1386,COA!$B$4:$B$123,0)))</f>
        <v>1203</v>
      </c>
      <c r="G1386" t="s">
        <v>140</v>
      </c>
      <c r="H1386" s="216">
        <v>7325000</v>
      </c>
      <c r="I1386" s="52">
        <f>IF(J1386="","",INDEX(COA!$A$4:$A$123,MATCH(JU!$J1386,COA!$B$4:$B$123,0)))</f>
        <v>1103</v>
      </c>
      <c r="J1386" t="s">
        <v>154</v>
      </c>
      <c r="K1386" s="34">
        <f t="shared" si="252"/>
        <v>7325000</v>
      </c>
    </row>
    <row r="1387" spans="1:11" hidden="1">
      <c r="A1387" s="50" t="str">
        <f t="shared" si="262"/>
        <v xml:space="preserve">By. Biaya </v>
      </c>
      <c r="B1387" s="214">
        <v>46165</v>
      </c>
      <c r="C1387" s="211" t="s">
        <v>2399</v>
      </c>
      <c r="D1387" t="s">
        <v>2465</v>
      </c>
      <c r="F1387" s="52">
        <f>IF(G1387="","",INDEX(COA!$A$4:$A$123,MATCH(JU!$G1387,COA!$B$4:$B$123,0)))</f>
        <v>1203</v>
      </c>
      <c r="G1387" t="s">
        <v>140</v>
      </c>
      <c r="H1387" s="216">
        <v>27000</v>
      </c>
      <c r="I1387" s="52">
        <f>IF(J1387="","",INDEX(COA!$A$4:$A$123,MATCH(JU!$J1387,COA!$B$4:$B$123,0)))</f>
        <v>1103</v>
      </c>
      <c r="J1387" t="s">
        <v>154</v>
      </c>
      <c r="K1387" s="34">
        <f t="shared" si="252"/>
        <v>27000</v>
      </c>
    </row>
    <row r="1388" spans="1:11" hidden="1">
      <c r="A1388" s="50" t="str">
        <f t="shared" si="262"/>
        <v xml:space="preserve">By. Biaya </v>
      </c>
      <c r="B1388" s="214">
        <v>46165</v>
      </c>
      <c r="C1388" s="211" t="s">
        <v>2400</v>
      </c>
      <c r="D1388" t="s">
        <v>2466</v>
      </c>
      <c r="F1388" s="52">
        <f>IF(G1388="","",INDEX(COA!$A$4:$A$123,MATCH(JU!$G1388,COA!$B$4:$B$123,0)))</f>
        <v>6112</v>
      </c>
      <c r="G1388" t="s">
        <v>205</v>
      </c>
      <c r="H1388" s="216">
        <v>350000</v>
      </c>
      <c r="I1388" s="52">
        <f>IF(J1388="","",INDEX(COA!$A$4:$A$123,MATCH(JU!$J1388,COA!$B$4:$B$123,0)))</f>
        <v>1103</v>
      </c>
      <c r="J1388" t="s">
        <v>154</v>
      </c>
      <c r="K1388" s="34">
        <f t="shared" si="252"/>
        <v>350000</v>
      </c>
    </row>
    <row r="1389" spans="1:11" hidden="1">
      <c r="A1389" s="50" t="str">
        <f t="shared" si="262"/>
        <v xml:space="preserve">By. Biaya </v>
      </c>
      <c r="B1389" s="214">
        <v>46165</v>
      </c>
      <c r="C1389" s="211" t="s">
        <v>2401</v>
      </c>
      <c r="D1389" t="s">
        <v>2467</v>
      </c>
      <c r="F1389" s="52">
        <f>IF(G1389="","",INDEX(COA!$A$4:$A$123,MATCH(JU!$G1389,COA!$B$4:$B$123,0)))</f>
        <v>7103</v>
      </c>
      <c r="G1389" t="s">
        <v>95</v>
      </c>
      <c r="H1389" s="216">
        <v>72250</v>
      </c>
      <c r="I1389" s="52">
        <f>IF(J1389="","",INDEX(COA!$A$4:$A$123,MATCH(JU!$J1389,COA!$B$4:$B$123,0)))</f>
        <v>1103</v>
      </c>
      <c r="J1389" t="s">
        <v>154</v>
      </c>
      <c r="K1389" s="34">
        <f t="shared" si="252"/>
        <v>72250</v>
      </c>
    </row>
    <row r="1390" spans="1:11" hidden="1">
      <c r="A1390" s="50" t="str">
        <f t="shared" si="262"/>
        <v xml:space="preserve">By. Biaya </v>
      </c>
      <c r="B1390" s="214">
        <v>46165</v>
      </c>
      <c r="C1390" s="211" t="s">
        <v>2402</v>
      </c>
      <c r="D1390" t="s">
        <v>2468</v>
      </c>
      <c r="F1390" s="52">
        <f>IF(G1390="","",INDEX(COA!$A$4:$A$123,MATCH(JU!$G1390,COA!$B$4:$B$123,0)))</f>
        <v>1203</v>
      </c>
      <c r="G1390" t="s">
        <v>140</v>
      </c>
      <c r="H1390" s="216">
        <v>1500000</v>
      </c>
      <c r="I1390" s="52">
        <f>IF(J1390="","",INDEX(COA!$A$4:$A$123,MATCH(JU!$J1390,COA!$B$4:$B$123,0)))</f>
        <v>1103</v>
      </c>
      <c r="J1390" t="s">
        <v>154</v>
      </c>
      <c r="K1390" s="34">
        <f t="shared" si="252"/>
        <v>1500000</v>
      </c>
    </row>
    <row r="1391" spans="1:11" hidden="1">
      <c r="A1391" s="50" t="str">
        <f t="shared" si="262"/>
        <v xml:space="preserve">By. Biaya </v>
      </c>
      <c r="B1391" s="214">
        <v>46165</v>
      </c>
      <c r="C1391" s="211" t="s">
        <v>2403</v>
      </c>
      <c r="D1391" t="s">
        <v>2469</v>
      </c>
      <c r="F1391" s="52">
        <f>IF(G1391="","",INDEX(COA!$A$4:$A$123,MATCH(JU!$G1391,COA!$B$4:$B$123,0)))</f>
        <v>6112</v>
      </c>
      <c r="G1391" t="s">
        <v>205</v>
      </c>
      <c r="H1391" s="216">
        <v>350000</v>
      </c>
      <c r="I1391" s="52">
        <f>IF(J1391="","",INDEX(COA!$A$4:$A$123,MATCH(JU!$J1391,COA!$B$4:$B$123,0)))</f>
        <v>1103</v>
      </c>
      <c r="J1391" t="s">
        <v>154</v>
      </c>
      <c r="K1391" s="34">
        <f t="shared" si="252"/>
        <v>350000</v>
      </c>
    </row>
    <row r="1392" spans="1:11" hidden="1">
      <c r="A1392" s="50" t="str">
        <f t="shared" si="262"/>
        <v xml:space="preserve">By. Biaya </v>
      </c>
      <c r="B1392" s="214">
        <v>46165</v>
      </c>
      <c r="C1392" s="211" t="s">
        <v>2404</v>
      </c>
      <c r="D1392" t="s">
        <v>2470</v>
      </c>
      <c r="F1392" s="52">
        <f>IF(G1392="","",INDEX(COA!$A$4:$A$123,MATCH(JU!$G1392,COA!$B$4:$B$123,0)))</f>
        <v>6112</v>
      </c>
      <c r="G1392" t="s">
        <v>205</v>
      </c>
      <c r="H1392" s="216">
        <v>870500</v>
      </c>
      <c r="I1392" s="52">
        <f>IF(J1392="","",INDEX(COA!$A$4:$A$123,MATCH(JU!$J1392,COA!$B$4:$B$123,0)))</f>
        <v>1103</v>
      </c>
      <c r="J1392" t="s">
        <v>154</v>
      </c>
      <c r="K1392" s="34">
        <f t="shared" si="252"/>
        <v>870500</v>
      </c>
    </row>
    <row r="1393" spans="1:12" hidden="1">
      <c r="A1393" s="50" t="str">
        <f t="shared" si="262"/>
        <v xml:space="preserve">By. Biaya </v>
      </c>
      <c r="B1393" s="214">
        <v>46165</v>
      </c>
      <c r="C1393" s="211" t="s">
        <v>1852</v>
      </c>
      <c r="D1393" t="s">
        <v>2076</v>
      </c>
      <c r="F1393" s="52" t="str">
        <f>IF(G1393="","",INDEX(COA!$A$4:$A$123,MATCH(JU!$G1393,COA!$B$4:$B$123,0)))</f>
        <v>6303</v>
      </c>
      <c r="G1393" t="s">
        <v>87</v>
      </c>
      <c r="H1393" s="216">
        <v>2500</v>
      </c>
      <c r="I1393" s="52">
        <f>IF(J1393="","",INDEX(COA!$A$4:$A$123,MATCH(JU!$J1393,COA!$B$4:$B$123,0)))</f>
        <v>1103</v>
      </c>
      <c r="J1393" t="s">
        <v>154</v>
      </c>
      <c r="K1393" s="34">
        <f t="shared" si="252"/>
        <v>2500</v>
      </c>
    </row>
    <row r="1394" spans="1:12" hidden="1">
      <c r="A1394" s="50" t="str">
        <f t="shared" si="262"/>
        <v xml:space="preserve">By. Biaya </v>
      </c>
      <c r="B1394" s="214">
        <v>46165</v>
      </c>
      <c r="C1394" s="211" t="s">
        <v>2405</v>
      </c>
      <c r="D1394" t="s">
        <v>2471</v>
      </c>
      <c r="F1394" s="52">
        <f>IF(G1394="","",INDEX(COA!$A$4:$A$123,MATCH(JU!$G1394,COA!$B$4:$B$123,0)))</f>
        <v>6112</v>
      </c>
      <c r="G1394" t="s">
        <v>205</v>
      </c>
      <c r="H1394" s="216">
        <v>120000</v>
      </c>
      <c r="I1394" s="52">
        <f>IF(J1394="","",INDEX(COA!$A$4:$A$123,MATCH(JU!$J1394,COA!$B$4:$B$123,0)))</f>
        <v>1103</v>
      </c>
      <c r="J1394" t="s">
        <v>154</v>
      </c>
      <c r="K1394" s="34">
        <f t="shared" si="252"/>
        <v>120000</v>
      </c>
    </row>
    <row r="1395" spans="1:12" hidden="1">
      <c r="A1395" s="50" t="str">
        <f t="shared" si="262"/>
        <v xml:space="preserve">By. Biaya </v>
      </c>
      <c r="B1395" s="214">
        <v>46165</v>
      </c>
      <c r="C1395" s="211" t="s">
        <v>1852</v>
      </c>
      <c r="D1395" t="s">
        <v>2076</v>
      </c>
      <c r="F1395" s="52" t="str">
        <f>IF(G1395="","",INDEX(COA!$A$4:$A$123,MATCH(JU!$G1395,COA!$B$4:$B$123,0)))</f>
        <v>6303</v>
      </c>
      <c r="G1395" t="s">
        <v>87</v>
      </c>
      <c r="H1395" s="216">
        <v>2500</v>
      </c>
      <c r="I1395" s="52">
        <f>IF(J1395="","",INDEX(COA!$A$4:$A$123,MATCH(JU!$J1395,COA!$B$4:$B$123,0)))</f>
        <v>1103</v>
      </c>
      <c r="J1395" t="s">
        <v>154</v>
      </c>
      <c r="K1395" s="34">
        <f t="shared" si="252"/>
        <v>2500</v>
      </c>
    </row>
    <row r="1396" spans="1:12" hidden="1">
      <c r="A1396" s="50" t="str">
        <f t="shared" si="262"/>
        <v xml:space="preserve">By. Biaya </v>
      </c>
      <c r="B1396" s="214">
        <v>46165</v>
      </c>
      <c r="C1396" s="211" t="s">
        <v>2406</v>
      </c>
      <c r="D1396" t="s">
        <v>2472</v>
      </c>
      <c r="F1396" s="52">
        <f>IF(G1396="","",INDEX(COA!$A$4:$A$123,MATCH(JU!$G1396,COA!$B$4:$B$123,0)))</f>
        <v>1203</v>
      </c>
      <c r="G1396" t="s">
        <v>140</v>
      </c>
      <c r="H1396" s="216">
        <v>100000</v>
      </c>
      <c r="I1396" s="52">
        <f>IF(J1396="","",INDEX(COA!$A$4:$A$123,MATCH(JU!$J1396,COA!$B$4:$B$123,0)))</f>
        <v>1103</v>
      </c>
      <c r="J1396" t="s">
        <v>154</v>
      </c>
      <c r="K1396" s="34">
        <f t="shared" si="252"/>
        <v>100000</v>
      </c>
    </row>
    <row r="1397" spans="1:12" hidden="1">
      <c r="A1397" s="50" t="str">
        <f t="shared" si="262"/>
        <v xml:space="preserve">By. Biaya </v>
      </c>
      <c r="B1397" s="214">
        <v>46165</v>
      </c>
      <c r="C1397" s="211" t="s">
        <v>2407</v>
      </c>
      <c r="D1397" t="s">
        <v>2473</v>
      </c>
      <c r="F1397" s="52">
        <f>IF(G1397="","",INDEX(COA!$A$4:$A$123,MATCH(JU!$G1397,COA!$B$4:$B$123,0)))</f>
        <v>1203</v>
      </c>
      <c r="G1397" t="s">
        <v>140</v>
      </c>
      <c r="H1397" s="216">
        <v>120000</v>
      </c>
      <c r="I1397" s="52">
        <f>IF(J1397="","",INDEX(COA!$A$4:$A$123,MATCH(JU!$J1397,COA!$B$4:$B$123,0)))</f>
        <v>1103</v>
      </c>
      <c r="J1397" t="s">
        <v>154</v>
      </c>
      <c r="K1397" s="34">
        <f t="shared" si="252"/>
        <v>120000</v>
      </c>
    </row>
    <row r="1398" spans="1:12" hidden="1">
      <c r="A1398" s="50" t="str">
        <f t="shared" si="262"/>
        <v xml:space="preserve">Terima Uang Masuk atas </v>
      </c>
      <c r="B1398" s="214">
        <v>46167</v>
      </c>
      <c r="C1398" s="211" t="s">
        <v>2408</v>
      </c>
      <c r="D1398" t="s">
        <v>2474</v>
      </c>
      <c r="F1398" s="52">
        <f>IF(G1398="","",INDEX(COA!$A$4:$A$123,MATCH(JU!$G1398,COA!$B$4:$B$123,0)))</f>
        <v>1103</v>
      </c>
      <c r="G1398" t="s">
        <v>154</v>
      </c>
      <c r="H1398" s="216">
        <v>60000000</v>
      </c>
      <c r="I1398" s="52">
        <f>IF(J1398="","",INDEX(COA!$A$4:$A$123,MATCH(JU!$J1398,COA!$B$4:$B$123,0)))</f>
        <v>4102</v>
      </c>
      <c r="J1398" t="s">
        <v>62</v>
      </c>
      <c r="K1398" s="34">
        <f t="shared" si="252"/>
        <v>60000000</v>
      </c>
    </row>
    <row r="1399" spans="1:12" hidden="1">
      <c r="A1399" s="50" t="str">
        <f t="shared" si="262"/>
        <v xml:space="preserve">By. Biaya </v>
      </c>
      <c r="B1399" s="214">
        <v>46167</v>
      </c>
      <c r="C1399" s="211" t="s">
        <v>2409</v>
      </c>
      <c r="D1399" t="s">
        <v>2475</v>
      </c>
      <c r="F1399" s="52">
        <f>IF(G1399="","",INDEX(COA!$A$4:$A$123,MATCH(JU!$G1399,COA!$B$4:$B$123,0)))</f>
        <v>1203</v>
      </c>
      <c r="G1399" t="s">
        <v>140</v>
      </c>
      <c r="H1399" s="216">
        <v>82500000</v>
      </c>
      <c r="I1399" s="52">
        <f>IF(J1399="","",INDEX(COA!$A$4:$A$123,MATCH(JU!$J1399,COA!$B$4:$B$123,0)))</f>
        <v>1103</v>
      </c>
      <c r="J1399" t="s">
        <v>154</v>
      </c>
      <c r="K1399" s="34">
        <f t="shared" si="252"/>
        <v>82500000</v>
      </c>
    </row>
    <row r="1400" spans="1:12" hidden="1">
      <c r="A1400" s="50" t="str">
        <f t="shared" si="262"/>
        <v xml:space="preserve">Terima Uang Masuk atas </v>
      </c>
      <c r="B1400" s="214">
        <v>46167</v>
      </c>
      <c r="C1400" s="211" t="s">
        <v>2410</v>
      </c>
      <c r="D1400" t="s">
        <v>2476</v>
      </c>
      <c r="F1400" s="52">
        <f>IF(G1400="","",INDEX(COA!$A$4:$A$123,MATCH(JU!$G1400,COA!$B$4:$B$123,0)))</f>
        <v>1103</v>
      </c>
      <c r="G1400" t="s">
        <v>154</v>
      </c>
      <c r="H1400" s="216">
        <v>392500000</v>
      </c>
      <c r="I1400" s="52">
        <f>IF(J1400="","",INDEX(COA!$A$4:$A$123,MATCH(JU!$J1400,COA!$B$4:$B$123,0)))</f>
        <v>1202</v>
      </c>
      <c r="J1400" t="s">
        <v>27</v>
      </c>
      <c r="K1400" s="34">
        <f t="shared" si="252"/>
        <v>392500000</v>
      </c>
      <c r="L1400" s="237"/>
    </row>
    <row r="1401" spans="1:12" hidden="1">
      <c r="A1401" s="50" t="str">
        <f t="shared" ref="A1401" si="263">IF(G1401="BRI 568","Terima Uang Masuk atas ","By. Biaya ")</f>
        <v xml:space="preserve">By. Biaya </v>
      </c>
      <c r="B1401" s="214">
        <v>46167</v>
      </c>
      <c r="C1401" s="211" t="s">
        <v>2410</v>
      </c>
      <c r="D1401" s="229" t="s">
        <v>2532</v>
      </c>
      <c r="F1401" s="52" t="str">
        <f>IF(G1401="","",INDEX(COA!$A$4:$A$123,MATCH(JU!$G1401,COA!$B$4:$B$123,0)))</f>
        <v>2101</v>
      </c>
      <c r="G1401" s="229" t="s">
        <v>45</v>
      </c>
      <c r="H1401" s="216">
        <f>5*70000000</f>
        <v>350000000</v>
      </c>
      <c r="I1401" s="52">
        <f>IF(J1401="","",INDEX(COA!$A$4:$A$123,MATCH(JU!$J1401,COA!$B$4:$B$123,0)))</f>
        <v>4102</v>
      </c>
      <c r="J1401" t="s">
        <v>62</v>
      </c>
      <c r="K1401" s="34">
        <f t="shared" ref="K1401" si="264">IF(H1401="","",H1401)</f>
        <v>350000000</v>
      </c>
      <c r="L1401" s="237"/>
    </row>
    <row r="1402" spans="1:12" hidden="1">
      <c r="A1402" s="50" t="str">
        <f t="shared" si="262"/>
        <v xml:space="preserve">By. Biaya </v>
      </c>
      <c r="B1402" s="214">
        <v>46167</v>
      </c>
      <c r="C1402" s="211" t="s">
        <v>2411</v>
      </c>
      <c r="D1402" t="s">
        <v>2477</v>
      </c>
      <c r="F1402" s="52">
        <f>IF(G1402="","",INDEX(COA!$A$4:$A$123,MATCH(JU!$G1402,COA!$B$4:$B$123,0)))</f>
        <v>4102</v>
      </c>
      <c r="G1402" t="s">
        <v>62</v>
      </c>
      <c r="H1402" s="216">
        <v>8000000</v>
      </c>
      <c r="I1402" s="52">
        <f>IF(J1402="","",INDEX(COA!$A$4:$A$123,MATCH(JU!$J1402,COA!$B$4:$B$123,0)))</f>
        <v>1103</v>
      </c>
      <c r="J1402" t="s">
        <v>154</v>
      </c>
      <c r="K1402" s="34">
        <f t="shared" si="252"/>
        <v>8000000</v>
      </c>
    </row>
    <row r="1403" spans="1:12" hidden="1">
      <c r="A1403" s="50" t="str">
        <f t="shared" ref="A1403" si="265">IF(G1403="BRI 568","Terima Uang Masuk atas ","By. Biaya ")</f>
        <v xml:space="preserve">By. Biaya </v>
      </c>
      <c r="B1403" s="214">
        <v>46167</v>
      </c>
      <c r="C1403" s="211" t="s">
        <v>2411</v>
      </c>
      <c r="D1403" t="s">
        <v>2477</v>
      </c>
      <c r="F1403" s="52">
        <f>IF(G1403="","",INDEX(COA!$A$4:$A$123,MATCH(JU!$G1403,COA!$B$4:$B$123,0)))</f>
        <v>5110</v>
      </c>
      <c r="G1403" t="s">
        <v>74</v>
      </c>
      <c r="H1403" s="216">
        <v>3740000</v>
      </c>
      <c r="I1403" s="52">
        <f>IF(J1403="","",INDEX(COA!$A$4:$A$123,MATCH(JU!$J1403,COA!$B$4:$B$123,0)))</f>
        <v>1103</v>
      </c>
      <c r="J1403" t="s">
        <v>154</v>
      </c>
      <c r="K1403" s="34">
        <f t="shared" ref="K1403" si="266">IF(H1403="","",H1403)</f>
        <v>3740000</v>
      </c>
    </row>
    <row r="1404" spans="1:12" hidden="1">
      <c r="A1404" s="50" t="str">
        <f t="shared" si="262"/>
        <v xml:space="preserve">Terima Uang Masuk atas </v>
      </c>
      <c r="B1404" s="214">
        <v>46167</v>
      </c>
      <c r="C1404" s="211" t="s">
        <v>2412</v>
      </c>
      <c r="D1404" t="s">
        <v>2478</v>
      </c>
      <c r="F1404" s="52">
        <f>IF(G1404="","",INDEX(COA!$A$4:$A$123,MATCH(JU!$G1404,COA!$B$4:$B$123,0)))</f>
        <v>1103</v>
      </c>
      <c r="G1404" t="s">
        <v>154</v>
      </c>
      <c r="H1404" s="216">
        <v>4000000</v>
      </c>
      <c r="I1404" s="52">
        <f>IF(J1404="","",INDEX(COA!$A$4:$A$123,MATCH(JU!$J1404,COA!$B$4:$B$123,0)))</f>
        <v>1202</v>
      </c>
      <c r="J1404" t="s">
        <v>27</v>
      </c>
      <c r="K1404" s="34">
        <f t="shared" si="252"/>
        <v>4000000</v>
      </c>
    </row>
    <row r="1405" spans="1:12" hidden="1">
      <c r="A1405" s="50" t="str">
        <f t="shared" si="262"/>
        <v xml:space="preserve">By. Biaya </v>
      </c>
      <c r="B1405" s="214">
        <v>46167</v>
      </c>
      <c r="C1405" s="211" t="s">
        <v>2413</v>
      </c>
      <c r="D1405" t="s">
        <v>2479</v>
      </c>
      <c r="F1405" s="52">
        <f>IF(G1405="","",INDEX(COA!$A$4:$A$123,MATCH(JU!$G1405,COA!$B$4:$B$123,0)))</f>
        <v>6112</v>
      </c>
      <c r="G1405" t="s">
        <v>205</v>
      </c>
      <c r="H1405" s="216">
        <v>18000</v>
      </c>
      <c r="I1405" s="52">
        <f>IF(J1405="","",INDEX(COA!$A$4:$A$123,MATCH(JU!$J1405,COA!$B$4:$B$123,0)))</f>
        <v>1103</v>
      </c>
      <c r="J1405" t="s">
        <v>154</v>
      </c>
      <c r="K1405" s="34">
        <f t="shared" si="252"/>
        <v>18000</v>
      </c>
    </row>
    <row r="1406" spans="1:12" hidden="1">
      <c r="A1406" s="50" t="str">
        <f t="shared" si="262"/>
        <v xml:space="preserve">By. Biaya </v>
      </c>
      <c r="B1406" s="214">
        <v>46167</v>
      </c>
      <c r="C1406" s="211" t="s">
        <v>2414</v>
      </c>
      <c r="D1406" t="s">
        <v>2480</v>
      </c>
      <c r="F1406" s="52">
        <f>IF(G1406="","",INDEX(COA!$A$4:$A$123,MATCH(JU!$G1406,COA!$B$4:$B$123,0)))</f>
        <v>1302</v>
      </c>
      <c r="G1406" t="s">
        <v>31</v>
      </c>
      <c r="H1406" s="216">
        <v>750000</v>
      </c>
      <c r="I1406" s="52">
        <f>IF(J1406="","",INDEX(COA!$A$4:$A$123,MATCH(JU!$J1406,COA!$B$4:$B$123,0)))</f>
        <v>1103</v>
      </c>
      <c r="J1406" t="s">
        <v>154</v>
      </c>
      <c r="K1406" s="34">
        <f t="shared" si="252"/>
        <v>750000</v>
      </c>
    </row>
    <row r="1407" spans="1:12" hidden="1">
      <c r="A1407" s="50" t="str">
        <f t="shared" si="262"/>
        <v xml:space="preserve">By. Biaya </v>
      </c>
      <c r="B1407" s="214">
        <v>46167</v>
      </c>
      <c r="C1407" s="211" t="s">
        <v>2415</v>
      </c>
      <c r="D1407" t="s">
        <v>2481</v>
      </c>
      <c r="F1407" s="52">
        <f>IF(G1407="","",INDEX(COA!$A$4:$A$123,MATCH(JU!$G1407,COA!$B$4:$B$123,0)))</f>
        <v>6112</v>
      </c>
      <c r="G1407" t="s">
        <v>205</v>
      </c>
      <c r="H1407" s="216">
        <v>39000</v>
      </c>
      <c r="I1407" s="52">
        <f>IF(J1407="","",INDEX(COA!$A$4:$A$123,MATCH(JU!$J1407,COA!$B$4:$B$123,0)))</f>
        <v>1103</v>
      </c>
      <c r="J1407" t="s">
        <v>154</v>
      </c>
      <c r="K1407" s="34">
        <f t="shared" si="252"/>
        <v>39000</v>
      </c>
    </row>
    <row r="1408" spans="1:12" hidden="1">
      <c r="A1408" s="50" t="str">
        <f t="shared" si="262"/>
        <v xml:space="preserve">By. Biaya </v>
      </c>
      <c r="B1408" s="214">
        <v>46167</v>
      </c>
      <c r="C1408" s="211" t="s">
        <v>2416</v>
      </c>
      <c r="D1408" t="s">
        <v>2482</v>
      </c>
      <c r="F1408" s="52">
        <f>IF(G1408="","",INDEX(COA!$A$4:$A$123,MATCH(JU!$G1408,COA!$B$4:$B$123,0)))</f>
        <v>1203</v>
      </c>
      <c r="G1408" t="s">
        <v>140</v>
      </c>
      <c r="H1408" s="216">
        <v>250000</v>
      </c>
      <c r="I1408" s="52">
        <f>IF(J1408="","",INDEX(COA!$A$4:$A$123,MATCH(JU!$J1408,COA!$B$4:$B$123,0)))</f>
        <v>1103</v>
      </c>
      <c r="J1408" t="s">
        <v>154</v>
      </c>
      <c r="K1408" s="34">
        <f t="shared" si="252"/>
        <v>250000</v>
      </c>
    </row>
    <row r="1409" spans="1:11" hidden="1">
      <c r="A1409" s="50" t="str">
        <f t="shared" si="262"/>
        <v xml:space="preserve">By. Biaya </v>
      </c>
      <c r="B1409" s="214">
        <v>46167</v>
      </c>
      <c r="C1409" s="211" t="s">
        <v>1852</v>
      </c>
      <c r="D1409" t="s">
        <v>2076</v>
      </c>
      <c r="F1409" s="52" t="str">
        <f>IF(G1409="","",INDEX(COA!$A$4:$A$123,MATCH(JU!$G1409,COA!$B$4:$B$123,0)))</f>
        <v>6303</v>
      </c>
      <c r="G1409" t="s">
        <v>87</v>
      </c>
      <c r="H1409" s="216">
        <v>2500</v>
      </c>
      <c r="I1409" s="52">
        <f>IF(J1409="","",INDEX(COA!$A$4:$A$123,MATCH(JU!$J1409,COA!$B$4:$B$123,0)))</f>
        <v>1103</v>
      </c>
      <c r="J1409" t="s">
        <v>154</v>
      </c>
      <c r="K1409" s="34">
        <f t="shared" si="252"/>
        <v>2500</v>
      </c>
    </row>
    <row r="1410" spans="1:11" hidden="1">
      <c r="A1410" s="50" t="str">
        <f t="shared" si="262"/>
        <v xml:space="preserve">By. Biaya </v>
      </c>
      <c r="B1410" s="214">
        <v>46167</v>
      </c>
      <c r="C1410" s="211" t="s">
        <v>2417</v>
      </c>
      <c r="D1410" t="s">
        <v>2483</v>
      </c>
      <c r="F1410" s="52">
        <f>IF(G1410="","",INDEX(COA!$A$4:$A$123,MATCH(JU!$G1410,COA!$B$4:$B$123,0)))</f>
        <v>7101</v>
      </c>
      <c r="G1410" t="s">
        <v>93</v>
      </c>
      <c r="H1410" s="216">
        <v>1730000</v>
      </c>
      <c r="I1410" s="52">
        <f>IF(J1410="","",INDEX(COA!$A$4:$A$123,MATCH(JU!$J1410,COA!$B$4:$B$123,0)))</f>
        <v>1103</v>
      </c>
      <c r="J1410" t="s">
        <v>154</v>
      </c>
      <c r="K1410" s="34">
        <f t="shared" si="252"/>
        <v>1730000</v>
      </c>
    </row>
    <row r="1411" spans="1:11" hidden="1">
      <c r="A1411" s="50" t="str">
        <f t="shared" si="262"/>
        <v xml:space="preserve">By. Biaya </v>
      </c>
      <c r="B1411" s="214">
        <v>46167</v>
      </c>
      <c r="C1411" s="211" t="s">
        <v>2418</v>
      </c>
      <c r="D1411" t="s">
        <v>2484</v>
      </c>
      <c r="F1411" s="52">
        <f>IF(G1411="","",INDEX(COA!$A$4:$A$123,MATCH(JU!$G1411,COA!$B$4:$B$123,0)))</f>
        <v>1302</v>
      </c>
      <c r="G1411" t="s">
        <v>31</v>
      </c>
      <c r="H1411" s="216">
        <v>1545000</v>
      </c>
      <c r="I1411" s="52">
        <f>IF(J1411="","",INDEX(COA!$A$4:$A$123,MATCH(JU!$J1411,COA!$B$4:$B$123,0)))</f>
        <v>1103</v>
      </c>
      <c r="J1411" t="s">
        <v>154</v>
      </c>
      <c r="K1411" s="34">
        <f t="shared" si="252"/>
        <v>1545000</v>
      </c>
    </row>
    <row r="1412" spans="1:11" hidden="1">
      <c r="A1412" s="50" t="str">
        <f t="shared" ref="A1412" si="267">IF(G1412="BRI 568","Terima Uang Masuk atas ","By. Biaya ")</f>
        <v xml:space="preserve">By. Biaya </v>
      </c>
      <c r="B1412" s="214">
        <v>46167</v>
      </c>
      <c r="C1412" s="211" t="s">
        <v>2418</v>
      </c>
      <c r="D1412" t="s">
        <v>2484</v>
      </c>
      <c r="F1412" s="52">
        <f>IF(G1412="","",INDEX(COA!$A$4:$A$123,MATCH(JU!$G1412,COA!$B$4:$B$123,0)))</f>
        <v>5108</v>
      </c>
      <c r="G1412" t="s">
        <v>72</v>
      </c>
      <c r="H1412" s="216">
        <v>500000</v>
      </c>
      <c r="I1412" s="52">
        <f>IF(J1412="","",INDEX(COA!$A$4:$A$123,MATCH(JU!$J1412,COA!$B$4:$B$123,0)))</f>
        <v>1103</v>
      </c>
      <c r="J1412" t="s">
        <v>154</v>
      </c>
      <c r="K1412" s="34">
        <f t="shared" ref="K1412" si="268">IF(H1412="","",H1412)</f>
        <v>500000</v>
      </c>
    </row>
    <row r="1413" spans="1:11" hidden="1">
      <c r="A1413" s="50" t="str">
        <f t="shared" si="262"/>
        <v xml:space="preserve">By. Biaya </v>
      </c>
      <c r="B1413" s="214">
        <v>46167</v>
      </c>
      <c r="C1413" s="211" t="s">
        <v>2419</v>
      </c>
      <c r="D1413" t="s">
        <v>2485</v>
      </c>
      <c r="F1413" s="52">
        <f>IF(G1413="","",INDEX(COA!$A$4:$A$123,MATCH(JU!$G1413,COA!$B$4:$B$123,0)))</f>
        <v>1302</v>
      </c>
      <c r="G1413" t="s">
        <v>31</v>
      </c>
      <c r="H1413" s="216">
        <v>1545000</v>
      </c>
      <c r="I1413" s="52">
        <f>IF(J1413="","",INDEX(COA!$A$4:$A$123,MATCH(JU!$J1413,COA!$B$4:$B$123,0)))</f>
        <v>1103</v>
      </c>
      <c r="J1413" t="s">
        <v>154</v>
      </c>
      <c r="K1413" s="34">
        <f t="shared" ref="K1413:K1481" si="269">IF(H1413="","",H1413)</f>
        <v>1545000</v>
      </c>
    </row>
    <row r="1414" spans="1:11" hidden="1">
      <c r="A1414" s="50" t="str">
        <f t="shared" ref="A1414" si="270">IF(G1414="BRI 568","Terima Uang Masuk atas ","By. Biaya ")</f>
        <v xml:space="preserve">By. Biaya </v>
      </c>
      <c r="B1414" s="214">
        <v>46167</v>
      </c>
      <c r="C1414" s="211" t="s">
        <v>2419</v>
      </c>
      <c r="D1414" t="s">
        <v>2485</v>
      </c>
      <c r="F1414" s="52">
        <f>IF(G1414="","",INDEX(COA!$A$4:$A$123,MATCH(JU!$G1414,COA!$B$4:$B$123,0)))</f>
        <v>5108</v>
      </c>
      <c r="G1414" t="s">
        <v>72</v>
      </c>
      <c r="H1414" s="216">
        <v>500000</v>
      </c>
      <c r="I1414" s="52">
        <f>IF(J1414="","",INDEX(COA!$A$4:$A$123,MATCH(JU!$J1414,COA!$B$4:$B$123,0)))</f>
        <v>1103</v>
      </c>
      <c r="J1414" t="s">
        <v>154</v>
      </c>
      <c r="K1414" s="34">
        <f t="shared" ref="K1414" si="271">IF(H1414="","",H1414)</f>
        <v>500000</v>
      </c>
    </row>
    <row r="1415" spans="1:11" hidden="1">
      <c r="A1415" s="50" t="str">
        <f t="shared" si="262"/>
        <v xml:space="preserve">By. Biaya </v>
      </c>
      <c r="B1415" s="214">
        <v>46167</v>
      </c>
      <c r="C1415" s="211" t="s">
        <v>2420</v>
      </c>
      <c r="D1415" t="s">
        <v>2486</v>
      </c>
      <c r="F1415" s="52">
        <f>IF(G1415="","",INDEX(COA!$A$4:$A$123,MATCH(JU!$G1415,COA!$B$4:$B$123,0)))</f>
        <v>1302</v>
      </c>
      <c r="G1415" t="s">
        <v>31</v>
      </c>
      <c r="H1415" s="216">
        <v>1545000</v>
      </c>
      <c r="I1415" s="52">
        <f>IF(J1415="","",INDEX(COA!$A$4:$A$123,MATCH(JU!$J1415,COA!$B$4:$B$123,0)))</f>
        <v>1103</v>
      </c>
      <c r="J1415" t="s">
        <v>154</v>
      </c>
      <c r="K1415" s="34">
        <f t="shared" si="269"/>
        <v>1545000</v>
      </c>
    </row>
    <row r="1416" spans="1:11" hidden="1">
      <c r="A1416" s="50" t="str">
        <f t="shared" ref="A1416" si="272">IF(G1416="BRI 568","Terima Uang Masuk atas ","By. Biaya ")</f>
        <v xml:space="preserve">By. Biaya </v>
      </c>
      <c r="B1416" s="214">
        <v>46167</v>
      </c>
      <c r="C1416" s="211" t="s">
        <v>2420</v>
      </c>
      <c r="D1416" t="s">
        <v>2486</v>
      </c>
      <c r="F1416" s="52">
        <f>IF(G1416="","",INDEX(COA!$A$4:$A$123,MATCH(JU!$G1416,COA!$B$4:$B$123,0)))</f>
        <v>5108</v>
      </c>
      <c r="G1416" t="s">
        <v>72</v>
      </c>
      <c r="H1416" s="216">
        <v>500000</v>
      </c>
      <c r="I1416" s="52">
        <f>IF(J1416="","",INDEX(COA!$A$4:$A$123,MATCH(JU!$J1416,COA!$B$4:$B$123,0)))</f>
        <v>1103</v>
      </c>
      <c r="J1416" t="s">
        <v>154</v>
      </c>
      <c r="K1416" s="34">
        <f t="shared" ref="K1416" si="273">IF(H1416="","",H1416)</f>
        <v>500000</v>
      </c>
    </row>
    <row r="1417" spans="1:11" hidden="1">
      <c r="A1417" s="50" t="str">
        <f t="shared" si="262"/>
        <v xml:space="preserve">Terima Uang Masuk atas </v>
      </c>
      <c r="B1417" s="214">
        <v>46167</v>
      </c>
      <c r="C1417" s="211" t="s">
        <v>2421</v>
      </c>
      <c r="D1417" t="s">
        <v>2487</v>
      </c>
      <c r="F1417" s="52">
        <f>IF(G1417="","",INDEX(COA!$A$4:$A$123,MATCH(JU!$G1417,COA!$B$4:$B$123,0)))</f>
        <v>1103</v>
      </c>
      <c r="G1417" t="s">
        <v>154</v>
      </c>
      <c r="H1417" s="216">
        <v>8000000</v>
      </c>
      <c r="I1417" s="52">
        <f>IF(J1417="","",INDEX(COA!$A$4:$A$123,MATCH(JU!$J1417,COA!$B$4:$B$123,0)))</f>
        <v>4102</v>
      </c>
      <c r="J1417" t="s">
        <v>62</v>
      </c>
      <c r="K1417" s="34">
        <f t="shared" si="269"/>
        <v>8000000</v>
      </c>
    </row>
    <row r="1418" spans="1:11" hidden="1">
      <c r="A1418" s="50" t="str">
        <f t="shared" si="262"/>
        <v xml:space="preserve">By. Biaya </v>
      </c>
      <c r="B1418" s="214">
        <v>46167</v>
      </c>
      <c r="C1418" s="211" t="s">
        <v>2422</v>
      </c>
      <c r="D1418" t="s">
        <v>2488</v>
      </c>
      <c r="F1418" s="52">
        <f>IF(G1418="","",INDEX(COA!$A$4:$A$123,MATCH(JU!$G1418,COA!$B$4:$B$123,0)))</f>
        <v>6112</v>
      </c>
      <c r="G1418" t="s">
        <v>205</v>
      </c>
      <c r="H1418" s="216">
        <v>347000</v>
      </c>
      <c r="I1418" s="52">
        <f>IF(J1418="","",INDEX(COA!$A$4:$A$123,MATCH(JU!$J1418,COA!$B$4:$B$123,0)))</f>
        <v>1103</v>
      </c>
      <c r="J1418" t="s">
        <v>154</v>
      </c>
      <c r="K1418" s="34">
        <f t="shared" si="269"/>
        <v>347000</v>
      </c>
    </row>
    <row r="1419" spans="1:11" hidden="1">
      <c r="A1419" s="50" t="str">
        <f t="shared" si="262"/>
        <v xml:space="preserve">By. Biaya </v>
      </c>
      <c r="B1419" s="214">
        <v>46167</v>
      </c>
      <c r="C1419" s="211" t="s">
        <v>1852</v>
      </c>
      <c r="D1419" t="s">
        <v>2076</v>
      </c>
      <c r="F1419" s="52" t="str">
        <f>IF(G1419="","",INDEX(COA!$A$4:$A$123,MATCH(JU!$G1419,COA!$B$4:$B$123,0)))</f>
        <v>6303</v>
      </c>
      <c r="G1419" t="s">
        <v>87</v>
      </c>
      <c r="H1419" s="216">
        <v>2500</v>
      </c>
      <c r="I1419" s="52">
        <f>IF(J1419="","",INDEX(COA!$A$4:$A$123,MATCH(JU!$J1419,COA!$B$4:$B$123,0)))</f>
        <v>1103</v>
      </c>
      <c r="J1419" t="s">
        <v>154</v>
      </c>
      <c r="K1419" s="34">
        <f t="shared" si="269"/>
        <v>2500</v>
      </c>
    </row>
    <row r="1420" spans="1:11" hidden="1">
      <c r="A1420" s="50" t="str">
        <f t="shared" si="262"/>
        <v xml:space="preserve">By. Biaya </v>
      </c>
      <c r="B1420" s="214">
        <v>46167</v>
      </c>
      <c r="C1420" s="211" t="s">
        <v>2423</v>
      </c>
      <c r="D1420" t="s">
        <v>2489</v>
      </c>
      <c r="F1420" s="52">
        <f>IF(G1420="","",INDEX(COA!$A$4:$A$123,MATCH(JU!$G1420,COA!$B$4:$B$123,0)))</f>
        <v>6112</v>
      </c>
      <c r="G1420" t="s">
        <v>205</v>
      </c>
      <c r="H1420" s="216">
        <v>380000</v>
      </c>
      <c r="I1420" s="52">
        <f>IF(J1420="","",INDEX(COA!$A$4:$A$123,MATCH(JU!$J1420,COA!$B$4:$B$123,0)))</f>
        <v>1103</v>
      </c>
      <c r="J1420" t="s">
        <v>154</v>
      </c>
      <c r="K1420" s="34">
        <f t="shared" si="269"/>
        <v>380000</v>
      </c>
    </row>
    <row r="1421" spans="1:11" hidden="1">
      <c r="A1421" s="50" t="str">
        <f t="shared" si="262"/>
        <v xml:space="preserve">By. Biaya </v>
      </c>
      <c r="B1421" s="214">
        <v>46167</v>
      </c>
      <c r="C1421" s="211" t="s">
        <v>1852</v>
      </c>
      <c r="D1421" t="s">
        <v>2076</v>
      </c>
      <c r="F1421" s="52" t="str">
        <f>IF(G1421="","",INDEX(COA!$A$4:$A$123,MATCH(JU!$G1421,COA!$B$4:$B$123,0)))</f>
        <v>6303</v>
      </c>
      <c r="G1421" t="s">
        <v>87</v>
      </c>
      <c r="H1421" s="216">
        <v>2500</v>
      </c>
      <c r="I1421" s="52">
        <f>IF(J1421="","",INDEX(COA!$A$4:$A$123,MATCH(JU!$J1421,COA!$B$4:$B$123,0)))</f>
        <v>1103</v>
      </c>
      <c r="J1421" t="s">
        <v>154</v>
      </c>
      <c r="K1421" s="34">
        <f t="shared" si="269"/>
        <v>2500</v>
      </c>
    </row>
    <row r="1422" spans="1:11" hidden="1">
      <c r="A1422" s="50" t="str">
        <f t="shared" si="262"/>
        <v xml:space="preserve">By. Biaya </v>
      </c>
      <c r="B1422" s="214">
        <v>46167</v>
      </c>
      <c r="C1422" s="211" t="s">
        <v>2424</v>
      </c>
      <c r="D1422" t="s">
        <v>2490</v>
      </c>
      <c r="F1422" s="52">
        <f>IF(G1422="","",INDEX(COA!$A$4:$A$123,MATCH(JU!$G1422,COA!$B$4:$B$123,0)))</f>
        <v>6112</v>
      </c>
      <c r="G1422" t="s">
        <v>205</v>
      </c>
      <c r="H1422" s="216">
        <v>144500</v>
      </c>
      <c r="I1422" s="52">
        <f>IF(J1422="","",INDEX(COA!$A$4:$A$123,MATCH(JU!$J1422,COA!$B$4:$B$123,0)))</f>
        <v>1103</v>
      </c>
      <c r="J1422" t="s">
        <v>154</v>
      </c>
      <c r="K1422" s="34">
        <f t="shared" si="269"/>
        <v>144500</v>
      </c>
    </row>
    <row r="1423" spans="1:11" hidden="1">
      <c r="A1423" s="50" t="str">
        <f t="shared" si="262"/>
        <v xml:space="preserve">By. Biaya </v>
      </c>
      <c r="B1423" s="214">
        <v>46167</v>
      </c>
      <c r="C1423" s="211" t="s">
        <v>2425</v>
      </c>
      <c r="D1423" t="s">
        <v>2491</v>
      </c>
      <c r="F1423" s="52" t="str">
        <f>IF(G1423="","",INDEX(COA!$A$4:$A$123,MATCH(JU!$G1423,COA!$B$4:$B$123,0)))</f>
        <v>2201</v>
      </c>
      <c r="G1423" t="s">
        <v>52</v>
      </c>
      <c r="H1423" s="216">
        <v>24000000</v>
      </c>
      <c r="I1423" s="52">
        <f>IF(J1423="","",INDEX(COA!$A$4:$A$123,MATCH(JU!$J1423,COA!$B$4:$B$123,0)))</f>
        <v>1103</v>
      </c>
      <c r="J1423" t="s">
        <v>154</v>
      </c>
      <c r="K1423" s="34">
        <f t="shared" si="269"/>
        <v>24000000</v>
      </c>
    </row>
    <row r="1424" spans="1:11" hidden="1">
      <c r="A1424" s="50" t="str">
        <f t="shared" si="262"/>
        <v xml:space="preserve">By. Biaya </v>
      </c>
      <c r="B1424" s="214">
        <v>46167</v>
      </c>
      <c r="C1424" s="211" t="s">
        <v>2426</v>
      </c>
      <c r="D1424" t="s">
        <v>2492</v>
      </c>
      <c r="F1424" s="52">
        <f>IF(G1424="","",INDEX(COA!$A$4:$A$123,MATCH(JU!$G1424,COA!$B$4:$B$123,0)))</f>
        <v>1203</v>
      </c>
      <c r="G1424" t="s">
        <v>140</v>
      </c>
      <c r="H1424" s="216">
        <v>1245000</v>
      </c>
      <c r="I1424" s="52">
        <f>IF(J1424="","",INDEX(COA!$A$4:$A$123,MATCH(JU!$J1424,COA!$B$4:$B$123,0)))</f>
        <v>1103</v>
      </c>
      <c r="J1424" t="s">
        <v>154</v>
      </c>
      <c r="K1424" s="34">
        <f t="shared" si="269"/>
        <v>1245000</v>
      </c>
    </row>
    <row r="1425" spans="1:11" hidden="1">
      <c r="A1425" s="50" t="str">
        <f t="shared" si="262"/>
        <v xml:space="preserve">By. Biaya </v>
      </c>
      <c r="B1425" s="214">
        <v>46167</v>
      </c>
      <c r="C1425" s="211" t="s">
        <v>2427</v>
      </c>
      <c r="D1425" t="s">
        <v>2493</v>
      </c>
      <c r="F1425" s="52">
        <f>IF(G1425="","",INDEX(COA!$A$4:$A$123,MATCH(JU!$G1425,COA!$B$4:$B$123,0)))</f>
        <v>1203</v>
      </c>
      <c r="G1425" t="s">
        <v>140</v>
      </c>
      <c r="H1425" s="216">
        <v>100000000</v>
      </c>
      <c r="I1425" s="52">
        <f>IF(J1425="","",INDEX(COA!$A$4:$A$123,MATCH(JU!$J1425,COA!$B$4:$B$123,0)))</f>
        <v>1103</v>
      </c>
      <c r="J1425" t="s">
        <v>154</v>
      </c>
      <c r="K1425" s="34">
        <f t="shared" si="269"/>
        <v>100000000</v>
      </c>
    </row>
    <row r="1426" spans="1:11" hidden="1">
      <c r="A1426" s="50" t="str">
        <f t="shared" si="262"/>
        <v xml:space="preserve">By. Biaya </v>
      </c>
      <c r="B1426" s="214">
        <v>46167</v>
      </c>
      <c r="C1426" s="211" t="s">
        <v>1852</v>
      </c>
      <c r="D1426" t="s">
        <v>2076</v>
      </c>
      <c r="F1426" s="52" t="str">
        <f>IF(G1426="","",INDEX(COA!$A$4:$A$123,MATCH(JU!$G1426,COA!$B$4:$B$123,0)))</f>
        <v>6303</v>
      </c>
      <c r="G1426" t="s">
        <v>87</v>
      </c>
      <c r="H1426" s="216">
        <v>2500</v>
      </c>
      <c r="I1426" s="52">
        <f>IF(J1426="","",INDEX(COA!$A$4:$A$123,MATCH(JU!$J1426,COA!$B$4:$B$123,0)))</f>
        <v>1103</v>
      </c>
      <c r="J1426" t="s">
        <v>154</v>
      </c>
      <c r="K1426" s="34">
        <f t="shared" si="269"/>
        <v>2500</v>
      </c>
    </row>
    <row r="1427" spans="1:11" hidden="1">
      <c r="A1427" s="50" t="str">
        <f t="shared" si="262"/>
        <v xml:space="preserve">Terima Uang Masuk atas </v>
      </c>
      <c r="B1427" s="214">
        <v>46168</v>
      </c>
      <c r="C1427" s="211" t="s">
        <v>2428</v>
      </c>
      <c r="D1427" t="s">
        <v>2494</v>
      </c>
      <c r="F1427" s="52">
        <f>IF(G1427="","",INDEX(COA!$A$4:$A$123,MATCH(JU!$G1427,COA!$B$4:$B$123,0)))</f>
        <v>1103</v>
      </c>
      <c r="G1427" t="s">
        <v>154</v>
      </c>
      <c r="H1427" s="216">
        <v>12632500</v>
      </c>
      <c r="I1427" s="52" t="str">
        <f>IF(J1427="","",INDEX(COA!$A$4:$A$123,MATCH(JU!$J1427,COA!$B$4:$B$123,0)))</f>
        <v>2107</v>
      </c>
      <c r="J1427" t="s">
        <v>50</v>
      </c>
      <c r="K1427" s="34">
        <f t="shared" si="269"/>
        <v>12632500</v>
      </c>
    </row>
    <row r="1428" spans="1:11" hidden="1">
      <c r="A1428" s="50" t="str">
        <f t="shared" si="262"/>
        <v xml:space="preserve">By. Biaya </v>
      </c>
      <c r="B1428" s="214">
        <v>46168</v>
      </c>
      <c r="C1428" s="211" t="s">
        <v>2428</v>
      </c>
      <c r="D1428" t="s">
        <v>2495</v>
      </c>
      <c r="F1428" s="52" t="str">
        <f>IF(G1428="","",INDEX(COA!$A$4:$A$123,MATCH(JU!$G1428,COA!$B$4:$B$123,0)))</f>
        <v>2107</v>
      </c>
      <c r="G1428" t="s">
        <v>50</v>
      </c>
      <c r="H1428" s="216">
        <v>12632550</v>
      </c>
      <c r="I1428" s="52">
        <f>IF(J1428="","",INDEX(COA!$A$4:$A$123,MATCH(JU!$J1428,COA!$B$4:$B$123,0)))</f>
        <v>1103</v>
      </c>
      <c r="J1428" t="s">
        <v>154</v>
      </c>
      <c r="K1428" s="34">
        <f t="shared" si="269"/>
        <v>12632550</v>
      </c>
    </row>
    <row r="1429" spans="1:11" hidden="1">
      <c r="A1429" s="50" t="str">
        <f t="shared" si="262"/>
        <v xml:space="preserve">By. Biaya </v>
      </c>
      <c r="B1429" s="214">
        <v>46168</v>
      </c>
      <c r="C1429" s="211" t="s">
        <v>2429</v>
      </c>
      <c r="D1429" t="s">
        <v>2496</v>
      </c>
      <c r="F1429" s="52">
        <f>IF(G1429="","",INDEX(COA!$A$4:$A$123,MATCH(JU!$G1429,COA!$B$4:$B$123,0)))</f>
        <v>1203</v>
      </c>
      <c r="G1429" t="s">
        <v>140</v>
      </c>
      <c r="H1429" s="216">
        <v>15000000</v>
      </c>
      <c r="I1429" s="52">
        <f>IF(J1429="","",INDEX(COA!$A$4:$A$123,MATCH(JU!$J1429,COA!$B$4:$B$123,0)))</f>
        <v>1103</v>
      </c>
      <c r="J1429" t="s">
        <v>154</v>
      </c>
      <c r="K1429" s="34">
        <f t="shared" si="269"/>
        <v>15000000</v>
      </c>
    </row>
    <row r="1430" spans="1:11" hidden="1">
      <c r="A1430" s="50" t="str">
        <f t="shared" si="262"/>
        <v xml:space="preserve">By. Biaya </v>
      </c>
      <c r="B1430" s="214">
        <v>46168</v>
      </c>
      <c r="C1430" s="211" t="s">
        <v>2430</v>
      </c>
      <c r="D1430" t="s">
        <v>2497</v>
      </c>
      <c r="F1430" s="52">
        <f>IF(G1430="","",INDEX(COA!$A$4:$A$123,MATCH(JU!$G1430,COA!$B$4:$B$123,0)))</f>
        <v>7101</v>
      </c>
      <c r="G1430" t="s">
        <v>93</v>
      </c>
      <c r="H1430" s="216">
        <v>1730000</v>
      </c>
      <c r="I1430" s="52">
        <f>IF(J1430="","",INDEX(COA!$A$4:$A$123,MATCH(JU!$J1430,COA!$B$4:$B$123,0)))</f>
        <v>1103</v>
      </c>
      <c r="J1430" t="s">
        <v>154</v>
      </c>
      <c r="K1430" s="34">
        <f t="shared" si="269"/>
        <v>1730000</v>
      </c>
    </row>
    <row r="1431" spans="1:11" hidden="1">
      <c r="A1431" s="50" t="str">
        <f t="shared" si="262"/>
        <v xml:space="preserve">By. Biaya </v>
      </c>
      <c r="B1431" s="214">
        <v>46168</v>
      </c>
      <c r="C1431" s="211" t="s">
        <v>2431</v>
      </c>
      <c r="D1431" t="s">
        <v>2498</v>
      </c>
      <c r="F1431" s="52">
        <f>IF(G1431="","",INDEX(COA!$A$4:$A$123,MATCH(JU!$G1431,COA!$B$4:$B$123,0)))</f>
        <v>7101</v>
      </c>
      <c r="G1431" t="s">
        <v>93</v>
      </c>
      <c r="H1431" s="216">
        <v>1730000</v>
      </c>
      <c r="I1431" s="52">
        <f>IF(J1431="","",INDEX(COA!$A$4:$A$123,MATCH(JU!$J1431,COA!$B$4:$B$123,0)))</f>
        <v>1103</v>
      </c>
      <c r="J1431" t="s">
        <v>154</v>
      </c>
      <c r="K1431" s="34">
        <f t="shared" si="269"/>
        <v>1730000</v>
      </c>
    </row>
    <row r="1432" spans="1:11" hidden="1">
      <c r="A1432" s="50" t="str">
        <f t="shared" si="262"/>
        <v xml:space="preserve">By. Biaya </v>
      </c>
      <c r="B1432" s="214">
        <v>46168</v>
      </c>
      <c r="C1432" s="211" t="s">
        <v>2432</v>
      </c>
      <c r="D1432" t="s">
        <v>2499</v>
      </c>
      <c r="F1432" s="52">
        <f>IF(G1432="","",INDEX(COA!$A$4:$A$123,MATCH(JU!$G1432,COA!$B$4:$B$123,0)))</f>
        <v>6112</v>
      </c>
      <c r="G1432" t="s">
        <v>205</v>
      </c>
      <c r="H1432" s="216">
        <v>230000</v>
      </c>
      <c r="I1432" s="52">
        <f>IF(J1432="","",INDEX(COA!$A$4:$A$123,MATCH(JU!$J1432,COA!$B$4:$B$123,0)))</f>
        <v>1103</v>
      </c>
      <c r="J1432" t="s">
        <v>154</v>
      </c>
      <c r="K1432" s="34">
        <f t="shared" si="269"/>
        <v>230000</v>
      </c>
    </row>
    <row r="1433" spans="1:11" hidden="1">
      <c r="A1433" s="50" t="str">
        <f t="shared" si="262"/>
        <v xml:space="preserve">By. Biaya </v>
      </c>
      <c r="B1433" s="214">
        <v>46168</v>
      </c>
      <c r="C1433" s="211" t="s">
        <v>2433</v>
      </c>
      <c r="D1433" t="s">
        <v>2500</v>
      </c>
      <c r="F1433" s="52">
        <f>IF(G1433="","",INDEX(COA!$A$4:$A$123,MATCH(JU!$G1433,COA!$B$4:$B$123,0)))</f>
        <v>1203</v>
      </c>
      <c r="G1433" t="s">
        <v>140</v>
      </c>
      <c r="H1433" s="216">
        <v>1330000</v>
      </c>
      <c r="I1433" s="52">
        <f>IF(J1433="","",INDEX(COA!$A$4:$A$123,MATCH(JU!$J1433,COA!$B$4:$B$123,0)))</f>
        <v>1103</v>
      </c>
      <c r="J1433" t="s">
        <v>154</v>
      </c>
      <c r="K1433" s="34">
        <f t="shared" si="269"/>
        <v>1330000</v>
      </c>
    </row>
    <row r="1434" spans="1:11" hidden="1">
      <c r="A1434" s="50" t="str">
        <f t="shared" si="262"/>
        <v xml:space="preserve">By. Biaya </v>
      </c>
      <c r="B1434" s="214">
        <v>46168</v>
      </c>
      <c r="C1434" s="211" t="s">
        <v>1852</v>
      </c>
      <c r="D1434" t="s">
        <v>2076</v>
      </c>
      <c r="F1434" s="52" t="str">
        <f>IF(G1434="","",INDEX(COA!$A$4:$A$123,MATCH(JU!$G1434,COA!$B$4:$B$123,0)))</f>
        <v>6303</v>
      </c>
      <c r="G1434" t="s">
        <v>87</v>
      </c>
      <c r="H1434" s="216">
        <v>2500</v>
      </c>
      <c r="I1434" s="52">
        <f>IF(J1434="","",INDEX(COA!$A$4:$A$123,MATCH(JU!$J1434,COA!$B$4:$B$123,0)))</f>
        <v>1103</v>
      </c>
      <c r="J1434" t="s">
        <v>154</v>
      </c>
      <c r="K1434" s="34">
        <f t="shared" si="269"/>
        <v>2500</v>
      </c>
    </row>
    <row r="1435" spans="1:11" hidden="1">
      <c r="A1435" s="50" t="str">
        <f t="shared" si="262"/>
        <v xml:space="preserve">By. Biaya </v>
      </c>
      <c r="B1435" s="214">
        <v>46168</v>
      </c>
      <c r="C1435" s="211" t="s">
        <v>2434</v>
      </c>
      <c r="D1435" t="s">
        <v>2501</v>
      </c>
      <c r="F1435" s="52">
        <f>IF(G1435="","",INDEX(COA!$A$4:$A$123,MATCH(JU!$G1435,COA!$B$4:$B$123,0)))</f>
        <v>1203</v>
      </c>
      <c r="G1435" t="s">
        <v>140</v>
      </c>
      <c r="H1435" s="216">
        <v>200000</v>
      </c>
      <c r="I1435" s="52">
        <f>IF(J1435="","",INDEX(COA!$A$4:$A$123,MATCH(JU!$J1435,COA!$B$4:$B$123,0)))</f>
        <v>1103</v>
      </c>
      <c r="J1435" t="s">
        <v>154</v>
      </c>
      <c r="K1435" s="34">
        <f t="shared" si="269"/>
        <v>200000</v>
      </c>
    </row>
    <row r="1436" spans="1:11">
      <c r="A1436" s="50" t="str">
        <f t="shared" si="262"/>
        <v xml:space="preserve">By. Biaya </v>
      </c>
      <c r="B1436" s="214">
        <v>46168</v>
      </c>
      <c r="C1436" s="211" t="s">
        <v>2435</v>
      </c>
      <c r="D1436" t="s">
        <v>2502</v>
      </c>
      <c r="F1436" s="52">
        <f>IF(G1436="","",INDEX(COA!$A$4:$A$123,MATCH(JU!$G1436,COA!$B$4:$B$123,0)))</f>
        <v>1302</v>
      </c>
      <c r="G1436" t="s">
        <v>31</v>
      </c>
      <c r="H1436" s="216">
        <v>59020000</v>
      </c>
      <c r="I1436" s="52">
        <f>IF(J1436="","",INDEX(COA!$A$4:$A$123,MATCH(JU!$J1436,COA!$B$4:$B$123,0)))</f>
        <v>1103</v>
      </c>
      <c r="J1436" t="s">
        <v>154</v>
      </c>
      <c r="K1436" s="34">
        <f t="shared" si="269"/>
        <v>59020000</v>
      </c>
    </row>
    <row r="1437" spans="1:11">
      <c r="A1437" s="50" t="str">
        <f t="shared" si="262"/>
        <v xml:space="preserve">By. Biaya </v>
      </c>
      <c r="B1437" s="214">
        <v>46168</v>
      </c>
      <c r="C1437" s="211" t="s">
        <v>2436</v>
      </c>
      <c r="D1437" t="s">
        <v>2503</v>
      </c>
      <c r="F1437" s="52">
        <f>IF(G1437="","",INDEX(COA!$A$4:$A$123,MATCH(JU!$G1437,COA!$B$4:$B$123,0)))</f>
        <v>5107</v>
      </c>
      <c r="G1437" t="s">
        <v>71</v>
      </c>
      <c r="H1437" s="216">
        <v>1200000</v>
      </c>
      <c r="I1437" s="52">
        <f>IF(J1437="","",INDEX(COA!$A$4:$A$123,MATCH(JU!$J1437,COA!$B$4:$B$123,0)))</f>
        <v>1103</v>
      </c>
      <c r="J1437" t="s">
        <v>154</v>
      </c>
      <c r="K1437" s="34">
        <f t="shared" si="269"/>
        <v>1200000</v>
      </c>
    </row>
    <row r="1438" spans="1:11" hidden="1">
      <c r="A1438" s="50" t="str">
        <f t="shared" si="262"/>
        <v xml:space="preserve">By. Biaya </v>
      </c>
      <c r="B1438" s="214">
        <v>46168</v>
      </c>
      <c r="C1438" s="211" t="s">
        <v>2437</v>
      </c>
      <c r="D1438" t="s">
        <v>2504</v>
      </c>
      <c r="F1438" s="52">
        <f>IF(G1438="","",INDEX(COA!$A$4:$A$123,MATCH(JU!$G1438,COA!$B$4:$B$123,0)))</f>
        <v>1302</v>
      </c>
      <c r="G1438" t="s">
        <v>31</v>
      </c>
      <c r="H1438" s="216">
        <v>35167500</v>
      </c>
      <c r="I1438" s="52">
        <f>IF(J1438="","",INDEX(COA!$A$4:$A$123,MATCH(JU!$J1438,COA!$B$4:$B$123,0)))</f>
        <v>1103</v>
      </c>
      <c r="J1438" t="s">
        <v>154</v>
      </c>
      <c r="K1438" s="34">
        <f t="shared" si="269"/>
        <v>35167500</v>
      </c>
    </row>
    <row r="1439" spans="1:11">
      <c r="A1439" s="50" t="str">
        <f t="shared" si="262"/>
        <v xml:space="preserve">By. Biaya </v>
      </c>
      <c r="B1439" s="214">
        <v>46168</v>
      </c>
      <c r="C1439" s="211" t="s">
        <v>2438</v>
      </c>
      <c r="D1439" t="s">
        <v>2505</v>
      </c>
      <c r="F1439" s="52">
        <f>IF(G1439="","",INDEX(COA!$A$4:$A$123,MATCH(JU!$G1439,COA!$B$4:$B$123,0)))</f>
        <v>1302</v>
      </c>
      <c r="G1439" t="s">
        <v>31</v>
      </c>
      <c r="H1439" s="216">
        <v>30000000</v>
      </c>
      <c r="I1439" s="52">
        <f>IF(J1439="","",INDEX(COA!$A$4:$A$123,MATCH(JU!$J1439,COA!$B$4:$B$123,0)))</f>
        <v>1103</v>
      </c>
      <c r="J1439" t="s">
        <v>154</v>
      </c>
      <c r="K1439" s="34">
        <f t="shared" si="269"/>
        <v>30000000</v>
      </c>
    </row>
    <row r="1440" spans="1:11" hidden="1">
      <c r="A1440" s="50" t="str">
        <f t="shared" si="262"/>
        <v xml:space="preserve">By. Biaya </v>
      </c>
      <c r="B1440" s="214">
        <v>46168</v>
      </c>
      <c r="C1440" s="211" t="s">
        <v>2439</v>
      </c>
      <c r="D1440" t="s">
        <v>2506</v>
      </c>
      <c r="F1440" s="52" t="str">
        <f>IF(G1440="","",INDEX(COA!$A$4:$A$123,MATCH(JU!$G1440,COA!$B$4:$B$123,0)))</f>
        <v>2108</v>
      </c>
      <c r="G1440" t="s">
        <v>51</v>
      </c>
      <c r="H1440" s="216">
        <v>1700000</v>
      </c>
      <c r="I1440" s="52">
        <f>IF(J1440="","",INDEX(COA!$A$4:$A$123,MATCH(JU!$J1440,COA!$B$4:$B$123,0)))</f>
        <v>1103</v>
      </c>
      <c r="J1440" t="s">
        <v>154</v>
      </c>
      <c r="K1440" s="34">
        <f t="shared" si="269"/>
        <v>1700000</v>
      </c>
    </row>
    <row r="1441" spans="1:11" hidden="1">
      <c r="A1441" s="50" t="str">
        <f t="shared" si="262"/>
        <v xml:space="preserve">By. Biaya </v>
      </c>
      <c r="B1441" s="214">
        <v>46168</v>
      </c>
      <c r="C1441" s="211" t="s">
        <v>2440</v>
      </c>
      <c r="D1441" t="s">
        <v>2507</v>
      </c>
      <c r="F1441" s="52">
        <f>IF(G1441="","",INDEX(COA!$A$4:$A$123,MATCH(JU!$G1441,COA!$B$4:$B$123,0)))</f>
        <v>5107</v>
      </c>
      <c r="G1441" t="s">
        <v>71</v>
      </c>
      <c r="H1441" s="216">
        <v>2500000</v>
      </c>
      <c r="I1441" s="52">
        <f>IF(J1441="","",INDEX(COA!$A$4:$A$123,MATCH(JU!$J1441,COA!$B$4:$B$123,0)))</f>
        <v>1103</v>
      </c>
      <c r="J1441" t="s">
        <v>154</v>
      </c>
      <c r="K1441" s="34">
        <f t="shared" si="269"/>
        <v>2500000</v>
      </c>
    </row>
    <row r="1442" spans="1:11" hidden="1">
      <c r="A1442" s="50" t="str">
        <f t="shared" si="262"/>
        <v xml:space="preserve">By. Biaya </v>
      </c>
      <c r="B1442" s="214">
        <v>46168</v>
      </c>
      <c r="C1442" s="211" t="s">
        <v>2441</v>
      </c>
      <c r="D1442" t="s">
        <v>2508</v>
      </c>
      <c r="F1442" s="52">
        <f>IF(G1442="","",INDEX(COA!$A$4:$A$123,MATCH(JU!$G1442,COA!$B$4:$B$123,0)))</f>
        <v>1203</v>
      </c>
      <c r="G1442" t="s">
        <v>140</v>
      </c>
      <c r="H1442" s="216">
        <v>195000000</v>
      </c>
      <c r="I1442" s="52">
        <f>IF(J1442="","",INDEX(COA!$A$4:$A$123,MATCH(JU!$J1442,COA!$B$4:$B$123,0)))</f>
        <v>1103</v>
      </c>
      <c r="J1442" t="s">
        <v>154</v>
      </c>
      <c r="K1442" s="34">
        <f t="shared" si="269"/>
        <v>195000000</v>
      </c>
    </row>
    <row r="1443" spans="1:11">
      <c r="A1443" s="50" t="str">
        <f t="shared" si="262"/>
        <v xml:space="preserve">By. Biaya </v>
      </c>
      <c r="B1443" s="214">
        <v>46168</v>
      </c>
      <c r="C1443" s="211" t="s">
        <v>2442</v>
      </c>
      <c r="D1443" t="s">
        <v>2509</v>
      </c>
      <c r="F1443" s="52">
        <f>IF(G1443="","",INDEX(COA!$A$4:$A$123,MATCH(JU!$G1443,COA!$B$4:$B$123,0)))</f>
        <v>1302</v>
      </c>
      <c r="G1443" t="s">
        <v>31</v>
      </c>
      <c r="H1443" s="216">
        <v>2000000</v>
      </c>
      <c r="I1443" s="52">
        <f>IF(J1443="","",INDEX(COA!$A$4:$A$123,MATCH(JU!$J1443,COA!$B$4:$B$123,0)))</f>
        <v>1103</v>
      </c>
      <c r="J1443" t="s">
        <v>154</v>
      </c>
      <c r="K1443" s="34">
        <f t="shared" si="269"/>
        <v>2000000</v>
      </c>
    </row>
    <row r="1444" spans="1:11" hidden="1">
      <c r="A1444" s="50" t="str">
        <f t="shared" si="262"/>
        <v xml:space="preserve">By. Biaya </v>
      </c>
      <c r="B1444" s="214">
        <v>46168</v>
      </c>
      <c r="C1444" s="211" t="s">
        <v>2443</v>
      </c>
      <c r="D1444" t="s">
        <v>2510</v>
      </c>
      <c r="F1444" s="52">
        <f>IF(G1444="","",INDEX(COA!$A$4:$A$123,MATCH(JU!$G1444,COA!$B$4:$B$123,0)))</f>
        <v>1302</v>
      </c>
      <c r="G1444" t="s">
        <v>31</v>
      </c>
      <c r="H1444" s="216">
        <v>2700000</v>
      </c>
      <c r="I1444" s="52">
        <f>IF(J1444="","",INDEX(COA!$A$4:$A$123,MATCH(JU!$J1444,COA!$B$4:$B$123,0)))</f>
        <v>1103</v>
      </c>
      <c r="J1444" t="s">
        <v>154</v>
      </c>
      <c r="K1444" s="34">
        <f t="shared" si="269"/>
        <v>2700000</v>
      </c>
    </row>
    <row r="1445" spans="1:11" hidden="1">
      <c r="A1445" s="50" t="str">
        <f t="shared" si="262"/>
        <v xml:space="preserve">By. Biaya </v>
      </c>
      <c r="B1445" s="214">
        <v>46168</v>
      </c>
      <c r="C1445" s="211" t="s">
        <v>2444</v>
      </c>
      <c r="D1445" t="s">
        <v>2511</v>
      </c>
      <c r="F1445" s="52">
        <f>IF(G1445="","",INDEX(COA!$A$4:$A$123,MATCH(JU!$G1445,COA!$B$4:$B$123,0)))</f>
        <v>1302</v>
      </c>
      <c r="G1445" t="s">
        <v>31</v>
      </c>
      <c r="H1445" s="216">
        <v>140000</v>
      </c>
      <c r="I1445" s="52">
        <f>IF(J1445="","",INDEX(COA!$A$4:$A$123,MATCH(JU!$J1445,COA!$B$4:$B$123,0)))</f>
        <v>1103</v>
      </c>
      <c r="J1445" t="s">
        <v>154</v>
      </c>
      <c r="K1445" s="34">
        <f t="shared" si="269"/>
        <v>140000</v>
      </c>
    </row>
    <row r="1446" spans="1:11" hidden="1">
      <c r="A1446" s="50" t="str">
        <f t="shared" si="262"/>
        <v xml:space="preserve">By. Biaya </v>
      </c>
      <c r="B1446" s="214">
        <v>46168</v>
      </c>
      <c r="C1446" s="211" t="s">
        <v>2445</v>
      </c>
      <c r="D1446" t="s">
        <v>2512</v>
      </c>
      <c r="F1446" s="52">
        <f>IF(G1446="","",INDEX(COA!$A$4:$A$123,MATCH(JU!$G1446,COA!$B$4:$B$123,0)))</f>
        <v>1203</v>
      </c>
      <c r="G1446" t="s">
        <v>140</v>
      </c>
      <c r="H1446" s="216">
        <v>150000</v>
      </c>
      <c r="I1446" s="52">
        <f>IF(J1446="","",INDEX(COA!$A$4:$A$123,MATCH(JU!$J1446,COA!$B$4:$B$123,0)))</f>
        <v>1103</v>
      </c>
      <c r="J1446" t="s">
        <v>154</v>
      </c>
      <c r="K1446" s="34">
        <f t="shared" si="269"/>
        <v>150000</v>
      </c>
    </row>
    <row r="1447" spans="1:11" hidden="1">
      <c r="A1447" s="50" t="str">
        <f t="shared" si="262"/>
        <v xml:space="preserve">By. Biaya </v>
      </c>
      <c r="B1447" s="214">
        <v>46168</v>
      </c>
      <c r="C1447" s="211" t="s">
        <v>1852</v>
      </c>
      <c r="D1447" t="s">
        <v>2076</v>
      </c>
      <c r="F1447" s="52" t="str">
        <f>IF(G1447="","",INDEX(COA!$A$4:$A$123,MATCH(JU!$G1447,COA!$B$4:$B$123,0)))</f>
        <v>6303</v>
      </c>
      <c r="G1447" t="s">
        <v>87</v>
      </c>
      <c r="H1447" s="216">
        <v>2500</v>
      </c>
      <c r="I1447" s="52">
        <f>IF(J1447="","",INDEX(COA!$A$4:$A$123,MATCH(JU!$J1447,COA!$B$4:$B$123,0)))</f>
        <v>1103</v>
      </c>
      <c r="J1447" t="s">
        <v>154</v>
      </c>
      <c r="K1447" s="34">
        <f t="shared" si="269"/>
        <v>2500</v>
      </c>
    </row>
    <row r="1448" spans="1:11" hidden="1">
      <c r="A1448" s="50" t="str">
        <f t="shared" si="262"/>
        <v xml:space="preserve">Terima Uang Masuk atas </v>
      </c>
      <c r="B1448" s="214">
        <v>46168</v>
      </c>
      <c r="C1448" s="211" t="s">
        <v>2446</v>
      </c>
      <c r="D1448" t="s">
        <v>2513</v>
      </c>
      <c r="F1448" s="52">
        <f>IF(G1448="","",INDEX(COA!$A$4:$A$123,MATCH(JU!$G1448,COA!$B$4:$B$123,0)))</f>
        <v>1103</v>
      </c>
      <c r="G1448" t="s">
        <v>154</v>
      </c>
      <c r="H1448" s="216">
        <v>15000000</v>
      </c>
      <c r="I1448" s="52">
        <f>IF(J1448="","",INDEX(COA!$A$4:$A$123,MATCH(JU!$J1448,COA!$B$4:$B$123,0)))</f>
        <v>4102</v>
      </c>
      <c r="J1448" t="s">
        <v>62</v>
      </c>
      <c r="K1448" s="34">
        <f t="shared" si="269"/>
        <v>15000000</v>
      </c>
    </row>
    <row r="1449" spans="1:11" hidden="1">
      <c r="A1449" s="50" t="str">
        <f t="shared" ref="A1449" si="274">IF(G1449="BRI 568","Terima Uang Masuk atas ","By. Biaya ")</f>
        <v xml:space="preserve">By. Biaya </v>
      </c>
      <c r="B1449" s="214">
        <v>46168</v>
      </c>
      <c r="C1449" s="211" t="s">
        <v>2446</v>
      </c>
      <c r="D1449" t="s">
        <v>2531</v>
      </c>
      <c r="F1449" s="52">
        <f>IF(G1449="","",INDEX(COA!$A$4:$A$123,MATCH(JU!$G1449,COA!$B$4:$B$123,0)))</f>
        <v>1203</v>
      </c>
      <c r="G1449" t="s">
        <v>140</v>
      </c>
      <c r="H1449" s="216">
        <v>169000000</v>
      </c>
      <c r="I1449" s="52">
        <f>IF(J1449="","",INDEX(COA!$A$4:$A$123,MATCH(JU!$J1449,COA!$B$4:$B$123,0)))</f>
        <v>4102</v>
      </c>
      <c r="J1449" t="s">
        <v>62</v>
      </c>
      <c r="K1449" s="34">
        <f t="shared" ref="K1449" si="275">IF(H1449="","",H1449)</f>
        <v>169000000</v>
      </c>
    </row>
    <row r="1450" spans="1:11" hidden="1">
      <c r="A1450" s="50" t="str">
        <f t="shared" si="262"/>
        <v xml:space="preserve">Terima Uang Masuk atas </v>
      </c>
      <c r="B1450" s="214">
        <v>46168</v>
      </c>
      <c r="C1450" s="211" t="s">
        <v>2447</v>
      </c>
      <c r="D1450" t="s">
        <v>2514</v>
      </c>
      <c r="F1450" s="52">
        <f>IF(G1450="","",INDEX(COA!$A$4:$A$123,MATCH(JU!$G1450,COA!$B$4:$B$123,0)))</f>
        <v>1103</v>
      </c>
      <c r="G1450" t="s">
        <v>154</v>
      </c>
      <c r="H1450" s="216">
        <v>5000000</v>
      </c>
      <c r="I1450" s="52">
        <f>IF(J1450="","",INDEX(COA!$A$4:$A$123,MATCH(JU!$J1450,COA!$B$4:$B$123,0)))</f>
        <v>4102</v>
      </c>
      <c r="J1450" t="s">
        <v>62</v>
      </c>
      <c r="K1450" s="34">
        <f t="shared" si="269"/>
        <v>5000000</v>
      </c>
    </row>
    <row r="1451" spans="1:11" hidden="1">
      <c r="A1451" s="50" t="str">
        <f t="shared" si="262"/>
        <v xml:space="preserve">By. Biaya </v>
      </c>
      <c r="B1451" s="214">
        <v>46168</v>
      </c>
      <c r="C1451" s="211" t="s">
        <v>2448</v>
      </c>
      <c r="D1451" t="s">
        <v>2515</v>
      </c>
      <c r="F1451" s="52">
        <f>IF(G1451="","",INDEX(COA!$A$4:$A$123,MATCH(JU!$G1451,COA!$B$4:$B$123,0)))</f>
        <v>6402</v>
      </c>
      <c r="G1451" t="s">
        <v>90</v>
      </c>
      <c r="H1451" s="216">
        <v>19000000</v>
      </c>
      <c r="I1451" s="52">
        <f>IF(J1451="","",INDEX(COA!$A$4:$A$123,MATCH(JU!$J1451,COA!$B$4:$B$123,0)))</f>
        <v>1103</v>
      </c>
      <c r="J1451" t="s">
        <v>154</v>
      </c>
      <c r="K1451" s="34">
        <f t="shared" si="269"/>
        <v>19000000</v>
      </c>
    </row>
    <row r="1452" spans="1:11" hidden="1">
      <c r="A1452" s="50" t="str">
        <f t="shared" si="262"/>
        <v xml:space="preserve">By. Biaya </v>
      </c>
      <c r="B1452" s="214">
        <v>46169</v>
      </c>
      <c r="C1452" s="211" t="s">
        <v>2449</v>
      </c>
      <c r="D1452" t="s">
        <v>2516</v>
      </c>
      <c r="F1452" s="52" t="str">
        <f>IF(G1452="","",INDEX(COA!$A$4:$A$123,MATCH(JU!$G1452,COA!$B$4:$B$123,0)))</f>
        <v>6201</v>
      </c>
      <c r="G1452" t="s">
        <v>81</v>
      </c>
      <c r="H1452" s="216">
        <v>1000000</v>
      </c>
      <c r="I1452" s="52">
        <f>IF(J1452="","",INDEX(COA!$A$4:$A$123,MATCH(JU!$J1452,COA!$B$4:$B$123,0)))</f>
        <v>1103</v>
      </c>
      <c r="J1452" t="s">
        <v>154</v>
      </c>
      <c r="K1452" s="34">
        <f t="shared" si="269"/>
        <v>1000000</v>
      </c>
    </row>
    <row r="1453" spans="1:11" hidden="1">
      <c r="A1453" s="50" t="str">
        <f t="shared" si="262"/>
        <v xml:space="preserve">By. Biaya </v>
      </c>
      <c r="B1453" s="214">
        <v>46169</v>
      </c>
      <c r="C1453" s="211" t="s">
        <v>1852</v>
      </c>
      <c r="D1453" t="s">
        <v>2076</v>
      </c>
      <c r="F1453" s="52" t="str">
        <f>IF(G1453="","",INDEX(COA!$A$4:$A$123,MATCH(JU!$G1453,COA!$B$4:$B$123,0)))</f>
        <v>6303</v>
      </c>
      <c r="G1453" t="s">
        <v>87</v>
      </c>
      <c r="H1453" s="216">
        <v>2500</v>
      </c>
      <c r="I1453" s="52">
        <f>IF(J1453="","",INDEX(COA!$A$4:$A$123,MATCH(JU!$J1453,COA!$B$4:$B$123,0)))</f>
        <v>1103</v>
      </c>
      <c r="J1453" t="s">
        <v>154</v>
      </c>
      <c r="K1453" s="34">
        <f t="shared" si="269"/>
        <v>2500</v>
      </c>
    </row>
    <row r="1454" spans="1:11" hidden="1">
      <c r="A1454" s="50" t="str">
        <f t="shared" si="262"/>
        <v xml:space="preserve">Terima Uang Masuk atas </v>
      </c>
      <c r="B1454" s="214">
        <v>46171</v>
      </c>
      <c r="C1454" s="211" t="s">
        <v>2450</v>
      </c>
      <c r="D1454" t="s">
        <v>2517</v>
      </c>
      <c r="F1454" s="52">
        <f>IF(G1454="","",INDEX(COA!$A$4:$A$123,MATCH(JU!$G1454,COA!$B$4:$B$123,0)))</f>
        <v>1103</v>
      </c>
      <c r="G1454" t="s">
        <v>154</v>
      </c>
      <c r="H1454" s="216">
        <v>115500000</v>
      </c>
      <c r="I1454" s="52">
        <f>IF(J1454="","",INDEX(COA!$A$4:$A$123,MATCH(JU!$J1454,COA!$B$4:$B$123,0)))</f>
        <v>1202</v>
      </c>
      <c r="J1454" t="s">
        <v>27</v>
      </c>
      <c r="K1454" s="34">
        <f t="shared" si="269"/>
        <v>115500000</v>
      </c>
    </row>
    <row r="1455" spans="1:11" hidden="1">
      <c r="A1455" s="50" t="str">
        <f t="shared" si="262"/>
        <v xml:space="preserve">By. Biaya </v>
      </c>
      <c r="B1455" s="214">
        <v>46171</v>
      </c>
      <c r="C1455" s="211" t="s">
        <v>2451</v>
      </c>
      <c r="D1455" t="s">
        <v>2518</v>
      </c>
      <c r="F1455" s="52">
        <f>IF(G1455="","",INDEX(COA!$A$4:$A$123,MATCH(JU!$G1455,COA!$B$4:$B$123,0)))</f>
        <v>4102</v>
      </c>
      <c r="G1455" t="s">
        <v>62</v>
      </c>
      <c r="H1455" s="216">
        <v>8000000</v>
      </c>
      <c r="I1455" s="52">
        <f>IF(J1455="","",INDEX(COA!$A$4:$A$123,MATCH(JU!$J1455,COA!$B$4:$B$123,0)))</f>
        <v>1103</v>
      </c>
      <c r="J1455" t="s">
        <v>154</v>
      </c>
      <c r="K1455" s="34">
        <f t="shared" si="269"/>
        <v>8000000</v>
      </c>
    </row>
    <row r="1456" spans="1:11" hidden="1">
      <c r="A1456" s="50" t="str">
        <f t="shared" ref="A1456" si="276">IF(G1456="BRI 568","Terima Uang Masuk atas ","By. Biaya ")</f>
        <v xml:space="preserve">By. Biaya </v>
      </c>
      <c r="B1456" s="214">
        <v>46171</v>
      </c>
      <c r="C1456" s="211" t="s">
        <v>2451</v>
      </c>
      <c r="D1456" t="s">
        <v>2518</v>
      </c>
      <c r="F1456" s="52">
        <f>IF(G1456="","",INDEX(COA!$A$4:$A$123,MATCH(JU!$G1456,COA!$B$4:$B$123,0)))</f>
        <v>5110</v>
      </c>
      <c r="G1456" t="s">
        <v>74</v>
      </c>
      <c r="H1456" s="216">
        <v>3740000</v>
      </c>
      <c r="I1456" s="52">
        <f>IF(J1456="","",INDEX(COA!$A$4:$A$123,MATCH(JU!$J1456,COA!$B$4:$B$123,0)))</f>
        <v>1103</v>
      </c>
      <c r="J1456" t="s">
        <v>154</v>
      </c>
      <c r="K1456" s="34">
        <f t="shared" ref="K1456" si="277">IF(H1456="","",H1456)</f>
        <v>3740000</v>
      </c>
    </row>
    <row r="1457" spans="1:11" hidden="1">
      <c r="A1457" s="50" t="str">
        <f t="shared" ref="A1457:A1471" si="278">IF(G1457="BRI 568","Terima Uang Masuk atas ","By. Biaya ")</f>
        <v xml:space="preserve">By. Biaya </v>
      </c>
      <c r="B1457" s="214">
        <v>46171</v>
      </c>
      <c r="C1457" s="211" t="s">
        <v>2452</v>
      </c>
      <c r="D1457" t="s">
        <v>2519</v>
      </c>
      <c r="F1457" s="52">
        <f>IF(G1457="","",INDEX(COA!$A$4:$A$123,MATCH(JU!$G1457,COA!$B$4:$B$123,0)))</f>
        <v>4102</v>
      </c>
      <c r="G1457" t="s">
        <v>62</v>
      </c>
      <c r="H1457" s="216">
        <v>8000000</v>
      </c>
      <c r="I1457" s="52">
        <f>IF(J1457="","",INDEX(COA!$A$4:$A$123,MATCH(JU!$J1457,COA!$B$4:$B$123,0)))</f>
        <v>1103</v>
      </c>
      <c r="J1457" t="s">
        <v>154</v>
      </c>
      <c r="K1457" s="34">
        <f t="shared" si="269"/>
        <v>8000000</v>
      </c>
    </row>
    <row r="1458" spans="1:11" hidden="1">
      <c r="A1458" s="50" t="str">
        <f t="shared" ref="A1458" si="279">IF(G1458="BRI 568","Terima Uang Masuk atas ","By. Biaya ")</f>
        <v xml:space="preserve">By. Biaya </v>
      </c>
      <c r="B1458" s="214">
        <v>46171</v>
      </c>
      <c r="C1458" s="211" t="s">
        <v>2452</v>
      </c>
      <c r="D1458" t="s">
        <v>2519</v>
      </c>
      <c r="F1458" s="52">
        <f>IF(G1458="","",INDEX(COA!$A$4:$A$123,MATCH(JU!$G1458,COA!$B$4:$B$123,0)))</f>
        <v>5110</v>
      </c>
      <c r="G1458" t="s">
        <v>74</v>
      </c>
      <c r="H1458" s="216">
        <v>3740000</v>
      </c>
      <c r="I1458" s="52">
        <f>IF(J1458="","",INDEX(COA!$A$4:$A$123,MATCH(JU!$J1458,COA!$B$4:$B$123,0)))</f>
        <v>1103</v>
      </c>
      <c r="J1458" t="s">
        <v>154</v>
      </c>
      <c r="K1458" s="34">
        <f t="shared" ref="K1458" si="280">IF(H1458="","",H1458)</f>
        <v>3740000</v>
      </c>
    </row>
    <row r="1459" spans="1:11" hidden="1">
      <c r="A1459" s="50" t="str">
        <f t="shared" si="278"/>
        <v xml:space="preserve">By. Biaya </v>
      </c>
      <c r="B1459" s="214">
        <v>46171</v>
      </c>
      <c r="C1459" s="211" t="s">
        <v>2453</v>
      </c>
      <c r="D1459" t="s">
        <v>2520</v>
      </c>
      <c r="F1459" s="52">
        <f>IF(G1459="","",INDEX(COA!$A$4:$A$123,MATCH(JU!$G1459,COA!$B$4:$B$123,0)))</f>
        <v>1302</v>
      </c>
      <c r="G1459" t="s">
        <v>31</v>
      </c>
      <c r="H1459" s="216">
        <v>7500000</v>
      </c>
      <c r="I1459" s="52">
        <f>IF(J1459="","",INDEX(COA!$A$4:$A$123,MATCH(JU!$J1459,COA!$B$4:$B$123,0)))</f>
        <v>1103</v>
      </c>
      <c r="J1459" t="s">
        <v>154</v>
      </c>
      <c r="K1459" s="34">
        <f t="shared" si="269"/>
        <v>7500000</v>
      </c>
    </row>
    <row r="1460" spans="1:11" hidden="1">
      <c r="A1460" s="50" t="str">
        <f t="shared" si="278"/>
        <v xml:space="preserve">By. Biaya </v>
      </c>
      <c r="B1460" s="214">
        <v>46171</v>
      </c>
      <c r="C1460" s="211" t="s">
        <v>1852</v>
      </c>
      <c r="D1460" t="s">
        <v>2076</v>
      </c>
      <c r="F1460" s="52" t="str">
        <f>IF(G1460="","",INDEX(COA!$A$4:$A$123,MATCH(JU!$G1460,COA!$B$4:$B$123,0)))</f>
        <v>6303</v>
      </c>
      <c r="G1460" t="s">
        <v>87</v>
      </c>
      <c r="H1460" s="216">
        <v>2500</v>
      </c>
      <c r="I1460" s="52">
        <f>IF(J1460="","",INDEX(COA!$A$4:$A$123,MATCH(JU!$J1460,COA!$B$4:$B$123,0)))</f>
        <v>1103</v>
      </c>
      <c r="J1460" t="s">
        <v>154</v>
      </c>
      <c r="K1460" s="34">
        <f t="shared" si="269"/>
        <v>2500</v>
      </c>
    </row>
    <row r="1461" spans="1:11">
      <c r="A1461" s="50" t="str">
        <f t="shared" si="278"/>
        <v xml:space="preserve">By. Biaya </v>
      </c>
      <c r="B1461" s="214">
        <v>46171</v>
      </c>
      <c r="C1461" s="211" t="s">
        <v>2454</v>
      </c>
      <c r="D1461" t="s">
        <v>2521</v>
      </c>
      <c r="F1461" s="52">
        <f>IF(G1461="","",INDEX(COA!$A$4:$A$123,MATCH(JU!$G1461,COA!$B$4:$B$123,0)))</f>
        <v>1302</v>
      </c>
      <c r="G1461" t="s">
        <v>31</v>
      </c>
      <c r="H1461" s="216">
        <v>10000000</v>
      </c>
      <c r="I1461" s="52">
        <f>IF(J1461="","",INDEX(COA!$A$4:$A$123,MATCH(JU!$J1461,COA!$B$4:$B$123,0)))</f>
        <v>1103</v>
      </c>
      <c r="J1461" t="s">
        <v>154</v>
      </c>
      <c r="K1461" s="34">
        <f t="shared" si="269"/>
        <v>10000000</v>
      </c>
    </row>
    <row r="1462" spans="1:11" hidden="1">
      <c r="A1462" s="50" t="str">
        <f t="shared" si="278"/>
        <v xml:space="preserve">Terima Uang Masuk atas </v>
      </c>
      <c r="B1462" s="214">
        <v>46171</v>
      </c>
      <c r="C1462" s="211" t="s">
        <v>2455</v>
      </c>
      <c r="D1462" t="s">
        <v>2522</v>
      </c>
      <c r="F1462" s="52">
        <f>IF(G1462="","",INDEX(COA!$A$4:$A$123,MATCH(JU!$G1462,COA!$B$4:$B$123,0)))</f>
        <v>1103</v>
      </c>
      <c r="G1462" t="s">
        <v>154</v>
      </c>
      <c r="H1462" s="216">
        <v>8000000</v>
      </c>
      <c r="I1462" s="52">
        <f>IF(J1462="","",INDEX(COA!$A$4:$A$123,MATCH(JU!$J1462,COA!$B$4:$B$123,0)))</f>
        <v>4102</v>
      </c>
      <c r="J1462" t="s">
        <v>62</v>
      </c>
      <c r="K1462" s="34">
        <f t="shared" si="269"/>
        <v>8000000</v>
      </c>
    </row>
    <row r="1463" spans="1:11" hidden="1">
      <c r="A1463" s="50" t="str">
        <f t="shared" si="278"/>
        <v xml:space="preserve">By. Biaya </v>
      </c>
      <c r="B1463" s="214">
        <v>46171</v>
      </c>
      <c r="C1463" s="211" t="s">
        <v>2456</v>
      </c>
      <c r="D1463" t="s">
        <v>2523</v>
      </c>
      <c r="F1463" s="52">
        <f>IF(G1463="","",INDEX(COA!$A$4:$A$123,MATCH(JU!$G1463,COA!$B$4:$B$123,0)))</f>
        <v>1203</v>
      </c>
      <c r="G1463" t="s">
        <v>140</v>
      </c>
      <c r="H1463" s="216">
        <v>7400000</v>
      </c>
      <c r="I1463" s="52">
        <f>IF(J1463="","",INDEX(COA!$A$4:$A$123,MATCH(JU!$J1463,COA!$B$4:$B$123,0)))</f>
        <v>1103</v>
      </c>
      <c r="J1463" t="s">
        <v>154</v>
      </c>
      <c r="K1463" s="34">
        <f t="shared" si="269"/>
        <v>7400000</v>
      </c>
    </row>
    <row r="1464" spans="1:11" hidden="1">
      <c r="A1464" s="50" t="str">
        <f t="shared" si="278"/>
        <v xml:space="preserve">By. Biaya </v>
      </c>
      <c r="B1464" s="214">
        <v>46171</v>
      </c>
      <c r="C1464" s="211" t="s">
        <v>2457</v>
      </c>
      <c r="D1464" t="s">
        <v>2524</v>
      </c>
      <c r="F1464" s="52">
        <f>IF(G1464="","",INDEX(COA!$A$4:$A$123,MATCH(JU!$G1464,COA!$B$4:$B$123,0)))</f>
        <v>1203</v>
      </c>
      <c r="G1464" t="s">
        <v>140</v>
      </c>
      <c r="H1464" s="216">
        <v>2150000</v>
      </c>
      <c r="I1464" s="52">
        <f>IF(J1464="","",INDEX(COA!$A$4:$A$123,MATCH(JU!$J1464,COA!$B$4:$B$123,0)))</f>
        <v>1103</v>
      </c>
      <c r="J1464" t="s">
        <v>154</v>
      </c>
      <c r="K1464" s="34">
        <f t="shared" si="269"/>
        <v>2150000</v>
      </c>
    </row>
    <row r="1465" spans="1:11" hidden="1">
      <c r="A1465" s="50" t="str">
        <f t="shared" si="278"/>
        <v xml:space="preserve">Terima Uang Masuk atas </v>
      </c>
      <c r="B1465" s="214">
        <v>46171</v>
      </c>
      <c r="C1465" s="211" t="s">
        <v>2458</v>
      </c>
      <c r="D1465" t="s">
        <v>2525</v>
      </c>
      <c r="F1465" s="52">
        <f>IF(G1465="","",INDEX(COA!$A$4:$A$123,MATCH(JU!$G1465,COA!$B$4:$B$123,0)))</f>
        <v>1103</v>
      </c>
      <c r="G1465" t="s">
        <v>154</v>
      </c>
      <c r="H1465" s="216">
        <v>8000000</v>
      </c>
      <c r="I1465" s="52">
        <f>IF(J1465="","",INDEX(COA!$A$4:$A$123,MATCH(JU!$J1465,COA!$B$4:$B$123,0)))</f>
        <v>4102</v>
      </c>
      <c r="J1465" t="s">
        <v>62</v>
      </c>
      <c r="K1465" s="34">
        <f t="shared" si="269"/>
        <v>8000000</v>
      </c>
    </row>
    <row r="1466" spans="1:11" hidden="1">
      <c r="A1466" s="50" t="str">
        <f t="shared" si="278"/>
        <v xml:space="preserve">Terima Uang Masuk atas </v>
      </c>
      <c r="B1466" s="214">
        <v>46171</v>
      </c>
      <c r="C1466" s="211" t="s">
        <v>2459</v>
      </c>
      <c r="D1466" t="s">
        <v>2526</v>
      </c>
      <c r="F1466" s="52">
        <f>IF(G1466="","",INDEX(COA!$A$4:$A$123,MATCH(JU!$G1466,COA!$B$4:$B$123,0)))</f>
        <v>1103</v>
      </c>
      <c r="G1466" t="s">
        <v>154</v>
      </c>
      <c r="H1466" s="216">
        <v>66000000</v>
      </c>
      <c r="I1466" s="52">
        <f>IF(J1466="","",INDEX(COA!$A$4:$A$123,MATCH(JU!$J1466,COA!$B$4:$B$123,0)))</f>
        <v>1203</v>
      </c>
      <c r="J1466" t="s">
        <v>140</v>
      </c>
      <c r="K1466" s="34">
        <f t="shared" si="269"/>
        <v>66000000</v>
      </c>
    </row>
    <row r="1467" spans="1:11" hidden="1">
      <c r="A1467" s="50" t="str">
        <f t="shared" si="278"/>
        <v xml:space="preserve">By. Biaya </v>
      </c>
      <c r="B1467" s="214">
        <v>46171</v>
      </c>
      <c r="C1467" s="211" t="s">
        <v>2460</v>
      </c>
      <c r="D1467" t="s">
        <v>2527</v>
      </c>
      <c r="F1467" s="52">
        <f>IF(G1467="","",INDEX(COA!$A$4:$A$123,MATCH(JU!$G1467,COA!$B$4:$B$123,0)))</f>
        <v>1301</v>
      </c>
      <c r="G1467" t="s">
        <v>30</v>
      </c>
      <c r="H1467" s="216">
        <v>10000000</v>
      </c>
      <c r="I1467" s="52">
        <f>IF(J1467="","",INDEX(COA!$A$4:$A$123,MATCH(JU!$J1467,COA!$B$4:$B$123,0)))</f>
        <v>1103</v>
      </c>
      <c r="J1467" t="s">
        <v>154</v>
      </c>
      <c r="K1467" s="34">
        <f t="shared" si="269"/>
        <v>10000000</v>
      </c>
    </row>
    <row r="1468" spans="1:11" hidden="1">
      <c r="A1468" s="50" t="str">
        <f t="shared" si="278"/>
        <v xml:space="preserve">By. Biaya </v>
      </c>
      <c r="B1468" s="214">
        <v>46171</v>
      </c>
      <c r="C1468" s="211" t="s">
        <v>2461</v>
      </c>
      <c r="D1468" t="s">
        <v>2528</v>
      </c>
      <c r="F1468" s="52">
        <f>IF(G1468="","",INDEX(COA!$A$4:$A$123,MATCH(JU!$G1468,COA!$B$4:$B$123,0)))</f>
        <v>5110</v>
      </c>
      <c r="G1468" t="s">
        <v>74</v>
      </c>
      <c r="H1468" s="216">
        <v>1575000</v>
      </c>
      <c r="I1468" s="52">
        <f>IF(J1468="","",INDEX(COA!$A$4:$A$123,MATCH(JU!$J1468,COA!$B$4:$B$123,0)))</f>
        <v>1103</v>
      </c>
      <c r="J1468" t="s">
        <v>154</v>
      </c>
      <c r="K1468" s="34">
        <f t="shared" si="269"/>
        <v>1575000</v>
      </c>
    </row>
    <row r="1469" spans="1:11" hidden="1">
      <c r="A1469" s="50" t="str">
        <f t="shared" si="278"/>
        <v xml:space="preserve">By. Biaya </v>
      </c>
      <c r="B1469" s="214">
        <v>46171</v>
      </c>
      <c r="C1469" s="211" t="s">
        <v>1852</v>
      </c>
      <c r="D1469" t="s">
        <v>2076</v>
      </c>
      <c r="F1469" s="52" t="str">
        <f>IF(G1469="","",INDEX(COA!$A$4:$A$123,MATCH(JU!$G1469,COA!$B$4:$B$123,0)))</f>
        <v>6303</v>
      </c>
      <c r="G1469" t="s">
        <v>87</v>
      </c>
      <c r="H1469" s="216">
        <v>2500</v>
      </c>
      <c r="I1469" s="52">
        <f>IF(J1469="","",INDEX(COA!$A$4:$A$123,MATCH(JU!$J1469,COA!$B$4:$B$123,0)))</f>
        <v>1103</v>
      </c>
      <c r="J1469" t="s">
        <v>154</v>
      </c>
      <c r="K1469" s="34">
        <f t="shared" si="269"/>
        <v>2500</v>
      </c>
    </row>
    <row r="1470" spans="1:11" hidden="1">
      <c r="A1470" s="50" t="str">
        <f t="shared" si="278"/>
        <v xml:space="preserve">Terima Uang Masuk atas </v>
      </c>
      <c r="B1470" s="214">
        <v>46171</v>
      </c>
      <c r="C1470" s="211" t="s">
        <v>2462</v>
      </c>
      <c r="D1470" t="s">
        <v>2529</v>
      </c>
      <c r="F1470" s="52">
        <f>IF(G1470="","",INDEX(COA!$A$4:$A$123,MATCH(JU!$G1470,COA!$B$4:$B$123,0)))</f>
        <v>1103</v>
      </c>
      <c r="G1470" t="s">
        <v>154</v>
      </c>
      <c r="H1470" s="216">
        <v>16000000</v>
      </c>
      <c r="I1470" s="52">
        <f>IF(J1470="","",INDEX(COA!$A$4:$A$123,MATCH(JU!$J1470,COA!$B$4:$B$123,0)))</f>
        <v>1202</v>
      </c>
      <c r="J1470" t="s">
        <v>27</v>
      </c>
      <c r="K1470" s="34">
        <f t="shared" si="269"/>
        <v>16000000</v>
      </c>
    </row>
    <row r="1471" spans="1:11" hidden="1">
      <c r="A1471" s="50" t="str">
        <f t="shared" si="278"/>
        <v xml:space="preserve">By. Biaya </v>
      </c>
      <c r="B1471" s="214">
        <v>46171</v>
      </c>
      <c r="C1471" s="211" t="s">
        <v>2463</v>
      </c>
      <c r="D1471" t="s">
        <v>2530</v>
      </c>
      <c r="F1471" s="52">
        <f>IF(G1471="","",INDEX(COA!$A$4:$A$123,MATCH(JU!$G1471,COA!$B$4:$B$123,0)))</f>
        <v>1302</v>
      </c>
      <c r="G1471" t="s">
        <v>31</v>
      </c>
      <c r="H1471" s="216">
        <v>100000000</v>
      </c>
      <c r="I1471" s="52">
        <f>IF(J1471="","",INDEX(COA!$A$4:$A$123,MATCH(JU!$J1471,COA!$B$4:$B$123,0)))</f>
        <v>1103</v>
      </c>
      <c r="J1471" t="s">
        <v>154</v>
      </c>
      <c r="K1471" s="34">
        <f t="shared" si="269"/>
        <v>100000000</v>
      </c>
    </row>
    <row r="1472" spans="1:11" hidden="1">
      <c r="A1472" s="50" t="str">
        <f>IF(G1472="BRI 568","Terima Uang Masuk atas ","By. Biaya ")</f>
        <v xml:space="preserve">By. Biaya </v>
      </c>
      <c r="B1472" s="215">
        <v>46173</v>
      </c>
      <c r="D1472" s="218" t="s">
        <v>2533</v>
      </c>
      <c r="F1472" s="52">
        <f>IF(G1472="","",INDEX(COA!$A$4:$A$123,MATCH(JU!$G1472,COA!$B$4:$B$123,0)))</f>
        <v>5102</v>
      </c>
      <c r="G1472" t="s">
        <v>201</v>
      </c>
      <c r="H1472" s="216">
        <f>13*65000000</f>
        <v>845000000</v>
      </c>
      <c r="I1472" s="52">
        <f>IF(J1472="","",INDEX(COA!$A$4:$A$123,MATCH(JU!$J1472,COA!$B$4:$B$123,0)))</f>
        <v>1302</v>
      </c>
      <c r="J1472" t="s">
        <v>31</v>
      </c>
      <c r="K1472" s="34">
        <f>IF(H1472="","",H1472)</f>
        <v>845000000</v>
      </c>
    </row>
    <row r="1473" spans="6:11" hidden="1">
      <c r="F1473" s="52" t="str">
        <f>IF(G1473="","",INDEX(COA!$A$4:$A$123,MATCH(JU!$G1473,COA!$B$4:$B$123,0)))</f>
        <v/>
      </c>
      <c r="I1473" s="52" t="str">
        <f>IF(J1473="","",INDEX(COA!$A$4:$A$123,MATCH(JU!$J1473,COA!$B$4:$B$123,0)))</f>
        <v/>
      </c>
      <c r="K1473" s="34" t="str">
        <f t="shared" si="269"/>
        <v/>
      </c>
    </row>
    <row r="1474" spans="6:11" hidden="1">
      <c r="F1474" s="52" t="str">
        <f>IF(G1474="","",INDEX(COA!$A$4:$A$123,MATCH(JU!$G1474,COA!$B$4:$B$123,0)))</f>
        <v/>
      </c>
      <c r="I1474" s="52" t="str">
        <f>IF(J1474="","",INDEX(COA!$A$4:$A$123,MATCH(JU!$J1474,COA!$B$4:$B$123,0)))</f>
        <v/>
      </c>
      <c r="K1474" s="34" t="str">
        <f t="shared" si="269"/>
        <v/>
      </c>
    </row>
    <row r="1475" spans="6:11" hidden="1">
      <c r="F1475" s="52" t="str">
        <f>IF(G1475="","",INDEX(COA!$A$4:$A$123,MATCH(JU!$G1475,COA!$B$4:$B$123,0)))</f>
        <v/>
      </c>
      <c r="I1475" s="52" t="str">
        <f>IF(J1475="","",INDEX(COA!$A$4:$A$123,MATCH(JU!$J1475,COA!$B$4:$B$123,0)))</f>
        <v/>
      </c>
      <c r="K1475" s="34" t="str">
        <f t="shared" si="269"/>
        <v/>
      </c>
    </row>
    <row r="1476" spans="6:11" hidden="1">
      <c r="F1476" s="52" t="str">
        <f>IF(G1476="","",INDEX(COA!$A$4:$A$123,MATCH(JU!$G1476,COA!$B$4:$B$123,0)))</f>
        <v/>
      </c>
      <c r="I1476" s="52" t="str">
        <f>IF(J1476="","",INDEX(COA!$A$4:$A$123,MATCH(JU!$J1476,COA!$B$4:$B$123,0)))</f>
        <v/>
      </c>
      <c r="K1476" s="34" t="str">
        <f t="shared" si="269"/>
        <v/>
      </c>
    </row>
    <row r="1477" spans="6:11" hidden="1">
      <c r="F1477" s="52" t="str">
        <f>IF(G1477="","",INDEX(COA!$A$4:$A$123,MATCH(JU!$G1477,COA!$B$4:$B$123,0)))</f>
        <v/>
      </c>
      <c r="I1477" s="52" t="str">
        <f>IF(J1477="","",INDEX(COA!$A$4:$A$123,MATCH(JU!$J1477,COA!$B$4:$B$123,0)))</f>
        <v/>
      </c>
      <c r="K1477" s="34" t="str">
        <f t="shared" si="269"/>
        <v/>
      </c>
    </row>
    <row r="1478" spans="6:11" hidden="1">
      <c r="F1478" s="52" t="str">
        <f>IF(G1478="","",INDEX(COA!$A$4:$A$123,MATCH(JU!$G1478,COA!$B$4:$B$123,0)))</f>
        <v/>
      </c>
      <c r="I1478" s="52" t="str">
        <f>IF(J1478="","",INDEX(COA!$A$4:$A$123,MATCH(JU!$J1478,COA!$B$4:$B$123,0)))</f>
        <v/>
      </c>
      <c r="K1478" s="34" t="str">
        <f t="shared" si="269"/>
        <v/>
      </c>
    </row>
    <row r="1479" spans="6:11" hidden="1">
      <c r="F1479" s="52" t="str">
        <f>IF(G1479="","",INDEX(COA!$A$4:$A$123,MATCH(JU!$G1479,COA!$B$4:$B$123,0)))</f>
        <v/>
      </c>
      <c r="I1479" s="52" t="str">
        <f>IF(J1479="","",INDEX(COA!$A$4:$A$123,MATCH(JU!$J1479,COA!$B$4:$B$123,0)))</f>
        <v/>
      </c>
      <c r="K1479" s="34" t="str">
        <f t="shared" si="269"/>
        <v/>
      </c>
    </row>
    <row r="1480" spans="6:11" hidden="1">
      <c r="F1480" s="52" t="str">
        <f>IF(G1480="","",INDEX(COA!$A$4:$A$123,MATCH(JU!$G1480,COA!$B$4:$B$123,0)))</f>
        <v/>
      </c>
      <c r="I1480" s="52" t="str">
        <f>IF(J1480="","",INDEX(COA!$A$4:$A$123,MATCH(JU!$J1480,COA!$B$4:$B$123,0)))</f>
        <v/>
      </c>
      <c r="K1480" s="34" t="str">
        <f t="shared" si="269"/>
        <v/>
      </c>
    </row>
    <row r="1481" spans="6:11" hidden="1">
      <c r="F1481" s="52" t="str">
        <f>IF(G1481="","",INDEX(COA!$A$4:$A$123,MATCH(JU!$G1481,COA!$B$4:$B$123,0)))</f>
        <v/>
      </c>
      <c r="I1481" s="52" t="str">
        <f>IF(J1481="","",INDEX(COA!$A$4:$A$123,MATCH(JU!$J1481,COA!$B$4:$B$123,0)))</f>
        <v/>
      </c>
      <c r="K1481" s="34" t="str">
        <f t="shared" si="269"/>
        <v/>
      </c>
    </row>
    <row r="1482" spans="6:11" hidden="1">
      <c r="F1482" s="52" t="str">
        <f>IF(G1482="","",INDEX(COA!$A$4:$A$123,MATCH(JU!$G1482,COA!$B$4:$B$123,0)))</f>
        <v/>
      </c>
      <c r="I1482" s="52" t="str">
        <f>IF(J1482="","",INDEX(COA!$A$4:$A$123,MATCH(JU!$J1482,COA!$B$4:$B$123,0)))</f>
        <v/>
      </c>
      <c r="K1482" s="34" t="str">
        <f t="shared" ref="K1482:K1545" si="281">IF(H1482="","",H1482)</f>
        <v/>
      </c>
    </row>
    <row r="1483" spans="6:11" hidden="1">
      <c r="F1483" s="52" t="str">
        <f>IF(G1483="","",INDEX(COA!$A$4:$A$123,MATCH(JU!$G1483,COA!$B$4:$B$123,0)))</f>
        <v/>
      </c>
      <c r="I1483" s="52" t="str">
        <f>IF(J1483="","",INDEX(COA!$A$4:$A$123,MATCH(JU!$J1483,COA!$B$4:$B$123,0)))</f>
        <v/>
      </c>
      <c r="K1483" s="34" t="str">
        <f t="shared" si="281"/>
        <v/>
      </c>
    </row>
    <row r="1484" spans="6:11" hidden="1">
      <c r="F1484" s="52" t="str">
        <f>IF(G1484="","",INDEX(COA!$A$4:$A$123,MATCH(JU!$G1484,COA!$B$4:$B$123,0)))</f>
        <v/>
      </c>
      <c r="I1484" s="52" t="str">
        <f>IF(J1484="","",INDEX(COA!$A$4:$A$123,MATCH(JU!$J1484,COA!$B$4:$B$123,0)))</f>
        <v/>
      </c>
      <c r="K1484" s="34" t="str">
        <f t="shared" si="281"/>
        <v/>
      </c>
    </row>
    <row r="1485" spans="6:11" hidden="1">
      <c r="F1485" s="52" t="str">
        <f>IF(G1485="","",INDEX(COA!$A$4:$A$123,MATCH(JU!$G1485,COA!$B$4:$B$123,0)))</f>
        <v/>
      </c>
      <c r="I1485" s="52" t="str">
        <f>IF(J1485="","",INDEX(COA!$A$4:$A$123,MATCH(JU!$J1485,COA!$B$4:$B$123,0)))</f>
        <v/>
      </c>
      <c r="K1485" s="34" t="str">
        <f t="shared" si="281"/>
        <v/>
      </c>
    </row>
    <row r="1486" spans="6:11" hidden="1">
      <c r="F1486" s="52" t="str">
        <f>IF(G1486="","",INDEX(COA!$A$4:$A$123,MATCH(JU!$G1486,COA!$B$4:$B$123,0)))</f>
        <v/>
      </c>
      <c r="I1486" s="52" t="str">
        <f>IF(J1486="","",INDEX(COA!$A$4:$A$123,MATCH(JU!$J1486,COA!$B$4:$B$123,0)))</f>
        <v/>
      </c>
      <c r="K1486" s="34" t="str">
        <f t="shared" si="281"/>
        <v/>
      </c>
    </row>
    <row r="1487" spans="6:11" hidden="1">
      <c r="F1487" s="52" t="str">
        <f>IF(G1487="","",INDEX(COA!$A$4:$A$123,MATCH(JU!$G1487,COA!$B$4:$B$123,0)))</f>
        <v/>
      </c>
      <c r="I1487" s="52" t="str">
        <f>IF(J1487="","",INDEX(COA!$A$4:$A$123,MATCH(JU!$J1487,COA!$B$4:$B$123,0)))</f>
        <v/>
      </c>
      <c r="K1487" s="34" t="str">
        <f t="shared" si="281"/>
        <v/>
      </c>
    </row>
    <row r="1488" spans="6:11" hidden="1">
      <c r="F1488" s="52" t="str">
        <f>IF(G1488="","",INDEX(COA!$A$4:$A$123,MATCH(JU!$G1488,COA!$B$4:$B$123,0)))</f>
        <v/>
      </c>
      <c r="I1488" s="52" t="str">
        <f>IF(J1488="","",INDEX(COA!$A$4:$A$123,MATCH(JU!$J1488,COA!$B$4:$B$123,0)))</f>
        <v/>
      </c>
      <c r="K1488" s="34" t="str">
        <f t="shared" si="281"/>
        <v/>
      </c>
    </row>
    <row r="1489" spans="6:11" hidden="1">
      <c r="F1489" s="52" t="str">
        <f>IF(G1489="","",INDEX(COA!$A$4:$A$123,MATCH(JU!$G1489,COA!$B$4:$B$123,0)))</f>
        <v/>
      </c>
      <c r="I1489" s="52" t="str">
        <f>IF(J1489="","",INDEX(COA!$A$4:$A$123,MATCH(JU!$J1489,COA!$B$4:$B$123,0)))</f>
        <v/>
      </c>
      <c r="K1489" s="34" t="str">
        <f t="shared" si="281"/>
        <v/>
      </c>
    </row>
    <row r="1490" spans="6:11" hidden="1">
      <c r="F1490" s="52" t="str">
        <f>IF(G1490="","",INDEX(COA!$A$4:$A$123,MATCH(JU!$G1490,COA!$B$4:$B$123,0)))</f>
        <v/>
      </c>
      <c r="I1490" s="52" t="str">
        <f>IF(J1490="","",INDEX(COA!$A$4:$A$123,MATCH(JU!$J1490,COA!$B$4:$B$123,0)))</f>
        <v/>
      </c>
      <c r="K1490" s="34" t="str">
        <f t="shared" si="281"/>
        <v/>
      </c>
    </row>
    <row r="1491" spans="6:11" hidden="1">
      <c r="F1491" s="52" t="str">
        <f>IF(G1491="","",INDEX(COA!$A$4:$A$123,MATCH(JU!$G1491,COA!$B$4:$B$123,0)))</f>
        <v/>
      </c>
      <c r="I1491" s="52" t="str">
        <f>IF(J1491="","",INDEX(COA!$A$4:$A$123,MATCH(JU!$J1491,COA!$B$4:$B$123,0)))</f>
        <v/>
      </c>
      <c r="K1491" s="34" t="str">
        <f t="shared" si="281"/>
        <v/>
      </c>
    </row>
    <row r="1492" spans="6:11" hidden="1">
      <c r="F1492" s="52" t="str">
        <f>IF(G1492="","",INDEX(COA!$A$4:$A$123,MATCH(JU!$G1492,COA!$B$4:$B$123,0)))</f>
        <v/>
      </c>
      <c r="I1492" s="52" t="str">
        <f>IF(J1492="","",INDEX(COA!$A$4:$A$123,MATCH(JU!$J1492,COA!$B$4:$B$123,0)))</f>
        <v/>
      </c>
      <c r="K1492" s="34" t="str">
        <f t="shared" si="281"/>
        <v/>
      </c>
    </row>
    <row r="1493" spans="6:11" hidden="1">
      <c r="F1493" s="52" t="str">
        <f>IF(G1493="","",INDEX(COA!$A$4:$A$123,MATCH(JU!$G1493,COA!$B$4:$B$123,0)))</f>
        <v/>
      </c>
      <c r="I1493" s="52" t="str">
        <f>IF(J1493="","",INDEX(COA!$A$4:$A$123,MATCH(JU!$J1493,COA!$B$4:$B$123,0)))</f>
        <v/>
      </c>
      <c r="K1493" s="34" t="str">
        <f t="shared" si="281"/>
        <v/>
      </c>
    </row>
    <row r="1494" spans="6:11" hidden="1">
      <c r="F1494" s="52" t="str">
        <f>IF(G1494="","",INDEX(COA!$A$4:$A$123,MATCH(JU!$G1494,COA!$B$4:$B$123,0)))</f>
        <v/>
      </c>
      <c r="I1494" s="52" t="str">
        <f>IF(J1494="","",INDEX(COA!$A$4:$A$123,MATCH(JU!$J1494,COA!$B$4:$B$123,0)))</f>
        <v/>
      </c>
      <c r="K1494" s="34" t="str">
        <f t="shared" si="281"/>
        <v/>
      </c>
    </row>
    <row r="1495" spans="6:11" hidden="1">
      <c r="F1495" s="52" t="str">
        <f>IF(G1495="","",INDEX(COA!$A$4:$A$123,MATCH(JU!$G1495,COA!$B$4:$B$123,0)))</f>
        <v/>
      </c>
      <c r="I1495" s="52" t="str">
        <f>IF(J1495="","",INDEX(COA!$A$4:$A$123,MATCH(JU!$J1495,COA!$B$4:$B$123,0)))</f>
        <v/>
      </c>
      <c r="K1495" s="34" t="str">
        <f t="shared" si="281"/>
        <v/>
      </c>
    </row>
    <row r="1496" spans="6:11" hidden="1">
      <c r="F1496" s="52" t="str">
        <f>IF(G1496="","",INDEX(COA!$A$4:$A$123,MATCH(JU!$G1496,COA!$B$4:$B$123,0)))</f>
        <v/>
      </c>
      <c r="I1496" s="52" t="str">
        <f>IF(J1496="","",INDEX(COA!$A$4:$A$123,MATCH(JU!$J1496,COA!$B$4:$B$123,0)))</f>
        <v/>
      </c>
      <c r="K1496" s="34" t="str">
        <f t="shared" si="281"/>
        <v/>
      </c>
    </row>
    <row r="1497" spans="6:11" hidden="1">
      <c r="F1497" s="52" t="str">
        <f>IF(G1497="","",INDEX(COA!$A$4:$A$123,MATCH(JU!$G1497,COA!$B$4:$B$123,0)))</f>
        <v/>
      </c>
      <c r="I1497" s="52" t="str">
        <f>IF(J1497="","",INDEX(COA!$A$4:$A$123,MATCH(JU!$J1497,COA!$B$4:$B$123,0)))</f>
        <v/>
      </c>
      <c r="K1497" s="34" t="str">
        <f t="shared" si="281"/>
        <v/>
      </c>
    </row>
    <row r="1498" spans="6:11" hidden="1">
      <c r="F1498" s="52" t="str">
        <f>IF(G1498="","",INDEX(COA!$A$4:$A$123,MATCH(JU!$G1498,COA!$B$4:$B$123,0)))</f>
        <v/>
      </c>
      <c r="I1498" s="52" t="str">
        <f>IF(J1498="","",INDEX(COA!$A$4:$A$123,MATCH(JU!$J1498,COA!$B$4:$B$123,0)))</f>
        <v/>
      </c>
      <c r="K1498" s="34" t="str">
        <f t="shared" si="281"/>
        <v/>
      </c>
    </row>
    <row r="1499" spans="6:11" hidden="1">
      <c r="F1499" s="52" t="str">
        <f>IF(G1499="","",INDEX(COA!$A$4:$A$123,MATCH(JU!$G1499,COA!$B$4:$B$123,0)))</f>
        <v/>
      </c>
      <c r="I1499" s="52" t="str">
        <f>IF(J1499="","",INDEX(COA!$A$4:$A$123,MATCH(JU!$J1499,COA!$B$4:$B$123,0)))</f>
        <v/>
      </c>
      <c r="K1499" s="34" t="str">
        <f t="shared" si="281"/>
        <v/>
      </c>
    </row>
    <row r="1500" spans="6:11" hidden="1">
      <c r="F1500" s="52" t="str">
        <f>IF(G1500="","",INDEX(COA!$A$4:$A$123,MATCH(JU!$G1500,COA!$B$4:$B$123,0)))</f>
        <v/>
      </c>
      <c r="I1500" s="52" t="str">
        <f>IF(J1500="","",INDEX(COA!$A$4:$A$123,MATCH(JU!$J1500,COA!$B$4:$B$123,0)))</f>
        <v/>
      </c>
      <c r="K1500" s="34" t="str">
        <f t="shared" si="281"/>
        <v/>
      </c>
    </row>
    <row r="1501" spans="6:11" hidden="1">
      <c r="F1501" s="52" t="str">
        <f>IF(G1501="","",INDEX(COA!$A$4:$A$123,MATCH(JU!$G1501,COA!$B$4:$B$123,0)))</f>
        <v/>
      </c>
      <c r="I1501" s="52" t="str">
        <f>IF(J1501="","",INDEX(COA!$A$4:$A$123,MATCH(JU!$J1501,COA!$B$4:$B$123,0)))</f>
        <v/>
      </c>
      <c r="K1501" s="34" t="str">
        <f t="shared" si="281"/>
        <v/>
      </c>
    </row>
    <row r="1502" spans="6:11" hidden="1">
      <c r="F1502" s="52" t="str">
        <f>IF(G1502="","",INDEX(COA!$A$4:$A$123,MATCH(JU!$G1502,COA!$B$4:$B$123,0)))</f>
        <v/>
      </c>
      <c r="I1502" s="52" t="str">
        <f>IF(J1502="","",INDEX(COA!$A$4:$A$123,MATCH(JU!$J1502,COA!$B$4:$B$123,0)))</f>
        <v/>
      </c>
      <c r="K1502" s="34" t="str">
        <f t="shared" si="281"/>
        <v/>
      </c>
    </row>
    <row r="1503" spans="6:11" hidden="1">
      <c r="F1503" s="52" t="str">
        <f>IF(G1503="","",INDEX(COA!$A$4:$A$123,MATCH(JU!$G1503,COA!$B$4:$B$123,0)))</f>
        <v/>
      </c>
      <c r="I1503" s="52" t="str">
        <f>IF(J1503="","",INDEX(COA!$A$4:$A$123,MATCH(JU!$J1503,COA!$B$4:$B$123,0)))</f>
        <v/>
      </c>
      <c r="K1503" s="34" t="str">
        <f t="shared" si="281"/>
        <v/>
      </c>
    </row>
    <row r="1504" spans="6:11" hidden="1">
      <c r="F1504" s="52" t="str">
        <f>IF(G1504="","",INDEX(COA!$A$4:$A$123,MATCH(JU!$G1504,COA!$B$4:$B$123,0)))</f>
        <v/>
      </c>
      <c r="I1504" s="52" t="str">
        <f>IF(J1504="","",INDEX(COA!$A$4:$A$123,MATCH(JU!$J1504,COA!$B$4:$B$123,0)))</f>
        <v/>
      </c>
      <c r="K1504" s="34" t="str">
        <f t="shared" si="281"/>
        <v/>
      </c>
    </row>
    <row r="1505" spans="6:11" hidden="1">
      <c r="F1505" s="52" t="str">
        <f>IF(G1505="","",INDEX(COA!$A$4:$A$123,MATCH(JU!$G1505,COA!$B$4:$B$123,0)))</f>
        <v/>
      </c>
      <c r="I1505" s="52" t="str">
        <f>IF(J1505="","",INDEX(COA!$A$4:$A$123,MATCH(JU!$J1505,COA!$B$4:$B$123,0)))</f>
        <v/>
      </c>
      <c r="K1505" s="34" t="str">
        <f t="shared" si="281"/>
        <v/>
      </c>
    </row>
    <row r="1506" spans="6:11" hidden="1">
      <c r="F1506" s="52" t="str">
        <f>IF(G1506="","",INDEX(COA!$A$4:$A$123,MATCH(JU!$G1506,COA!$B$4:$B$123,0)))</f>
        <v/>
      </c>
      <c r="I1506" s="52" t="str">
        <f>IF(J1506="","",INDEX(COA!$A$4:$A$123,MATCH(JU!$J1506,COA!$B$4:$B$123,0)))</f>
        <v/>
      </c>
      <c r="K1506" s="34" t="str">
        <f t="shared" si="281"/>
        <v/>
      </c>
    </row>
    <row r="1507" spans="6:11" hidden="1">
      <c r="F1507" s="52" t="str">
        <f>IF(G1507="","",INDEX(COA!$A$4:$A$123,MATCH(JU!$G1507,COA!$B$4:$B$123,0)))</f>
        <v/>
      </c>
      <c r="I1507" s="52" t="str">
        <f>IF(J1507="","",INDEX(COA!$A$4:$A$123,MATCH(JU!$J1507,COA!$B$4:$B$123,0)))</f>
        <v/>
      </c>
      <c r="K1507" s="34" t="str">
        <f t="shared" si="281"/>
        <v/>
      </c>
    </row>
    <row r="1508" spans="6:11" hidden="1">
      <c r="F1508" s="52" t="str">
        <f>IF(G1508="","",INDEX(COA!$A$4:$A$123,MATCH(JU!$G1508,COA!$B$4:$B$123,0)))</f>
        <v/>
      </c>
      <c r="I1508" s="52" t="str">
        <f>IF(J1508="","",INDEX(COA!$A$4:$A$123,MATCH(JU!$J1508,COA!$B$4:$B$123,0)))</f>
        <v/>
      </c>
      <c r="K1508" s="34" t="str">
        <f t="shared" si="281"/>
        <v/>
      </c>
    </row>
    <row r="1509" spans="6:11" hidden="1">
      <c r="F1509" s="52" t="str">
        <f>IF(G1509="","",INDEX(COA!$A$4:$A$123,MATCH(JU!$G1509,COA!$B$4:$B$123,0)))</f>
        <v/>
      </c>
      <c r="I1509" s="52" t="str">
        <f>IF(J1509="","",INDEX(COA!$A$4:$A$123,MATCH(JU!$J1509,COA!$B$4:$B$123,0)))</f>
        <v/>
      </c>
      <c r="K1509" s="34" t="str">
        <f t="shared" si="281"/>
        <v/>
      </c>
    </row>
    <row r="1510" spans="6:11" hidden="1">
      <c r="F1510" s="52" t="str">
        <f>IF(G1510="","",INDEX(COA!$A$4:$A$123,MATCH(JU!$G1510,COA!$B$4:$B$123,0)))</f>
        <v/>
      </c>
      <c r="I1510" s="52" t="str">
        <f>IF(J1510="","",INDEX(COA!$A$4:$A$123,MATCH(JU!$J1510,COA!$B$4:$B$123,0)))</f>
        <v/>
      </c>
      <c r="K1510" s="34" t="str">
        <f t="shared" si="281"/>
        <v/>
      </c>
    </row>
    <row r="1511" spans="6:11" hidden="1">
      <c r="F1511" s="52" t="str">
        <f>IF(G1511="","",INDEX(COA!$A$4:$A$123,MATCH(JU!$G1511,COA!$B$4:$B$123,0)))</f>
        <v/>
      </c>
      <c r="I1511" s="52" t="str">
        <f>IF(J1511="","",INDEX(COA!$A$4:$A$123,MATCH(JU!$J1511,COA!$B$4:$B$123,0)))</f>
        <v/>
      </c>
      <c r="K1511" s="34" t="str">
        <f t="shared" si="281"/>
        <v/>
      </c>
    </row>
    <row r="1512" spans="6:11" hidden="1">
      <c r="F1512" s="52" t="str">
        <f>IF(G1512="","",INDEX(COA!$A$4:$A$123,MATCH(JU!$G1512,COA!$B$4:$B$123,0)))</f>
        <v/>
      </c>
      <c r="I1512" s="52" t="str">
        <f>IF(J1512="","",INDEX(COA!$A$4:$A$123,MATCH(JU!$J1512,COA!$B$4:$B$123,0)))</f>
        <v/>
      </c>
      <c r="K1512" s="34" t="str">
        <f t="shared" si="281"/>
        <v/>
      </c>
    </row>
    <row r="1513" spans="6:11" hidden="1">
      <c r="F1513" s="52" t="str">
        <f>IF(G1513="","",INDEX(COA!$A$4:$A$123,MATCH(JU!$G1513,COA!$B$4:$B$123,0)))</f>
        <v/>
      </c>
      <c r="I1513" s="52" t="str">
        <f>IF(J1513="","",INDEX(COA!$A$4:$A$123,MATCH(JU!$J1513,COA!$B$4:$B$123,0)))</f>
        <v/>
      </c>
      <c r="K1513" s="34" t="str">
        <f t="shared" si="281"/>
        <v/>
      </c>
    </row>
    <row r="1514" spans="6:11" hidden="1">
      <c r="F1514" s="52" t="str">
        <f>IF(G1514="","",INDEX(COA!$A$4:$A$123,MATCH(JU!$G1514,COA!$B$4:$B$123,0)))</f>
        <v/>
      </c>
      <c r="I1514" s="52" t="str">
        <f>IF(J1514="","",INDEX(COA!$A$4:$A$123,MATCH(JU!$J1514,COA!$B$4:$B$123,0)))</f>
        <v/>
      </c>
      <c r="K1514" s="34" t="str">
        <f t="shared" si="281"/>
        <v/>
      </c>
    </row>
    <row r="1515" spans="6:11" hidden="1">
      <c r="F1515" s="52" t="str">
        <f>IF(G1515="","",INDEX(COA!$A$4:$A$123,MATCH(JU!$G1515,COA!$B$4:$B$123,0)))</f>
        <v/>
      </c>
      <c r="I1515" s="52" t="str">
        <f>IF(J1515="","",INDEX(COA!$A$4:$A$123,MATCH(JU!$J1515,COA!$B$4:$B$123,0)))</f>
        <v/>
      </c>
      <c r="K1515" s="34" t="str">
        <f t="shared" si="281"/>
        <v/>
      </c>
    </row>
    <row r="1516" spans="6:11" hidden="1">
      <c r="F1516" s="52" t="str">
        <f>IF(G1516="","",INDEX(COA!$A$4:$A$123,MATCH(JU!$G1516,COA!$B$4:$B$123,0)))</f>
        <v/>
      </c>
      <c r="I1516" s="52" t="str">
        <f>IF(J1516="","",INDEX(COA!$A$4:$A$123,MATCH(JU!$J1516,COA!$B$4:$B$123,0)))</f>
        <v/>
      </c>
      <c r="K1516" s="34" t="str">
        <f t="shared" si="281"/>
        <v/>
      </c>
    </row>
    <row r="1517" spans="6:11" hidden="1">
      <c r="F1517" s="52" t="str">
        <f>IF(G1517="","",INDEX(COA!$A$4:$A$123,MATCH(JU!$G1517,COA!$B$4:$B$123,0)))</f>
        <v/>
      </c>
      <c r="I1517" s="52" t="str">
        <f>IF(J1517="","",INDEX(COA!$A$4:$A$123,MATCH(JU!$J1517,COA!$B$4:$B$123,0)))</f>
        <v/>
      </c>
      <c r="K1517" s="34" t="str">
        <f t="shared" si="281"/>
        <v/>
      </c>
    </row>
    <row r="1518" spans="6:11" hidden="1">
      <c r="F1518" s="52" t="str">
        <f>IF(G1518="","",INDEX(COA!$A$4:$A$123,MATCH(JU!$G1518,COA!$B$4:$B$123,0)))</f>
        <v/>
      </c>
      <c r="I1518" s="52" t="str">
        <f>IF(J1518="","",INDEX(COA!$A$4:$A$123,MATCH(JU!$J1518,COA!$B$4:$B$123,0)))</f>
        <v/>
      </c>
      <c r="K1518" s="34" t="str">
        <f t="shared" si="281"/>
        <v/>
      </c>
    </row>
    <row r="1519" spans="6:11" hidden="1">
      <c r="F1519" s="52" t="str">
        <f>IF(G1519="","",INDEX(COA!$A$4:$A$123,MATCH(JU!$G1519,COA!$B$4:$B$123,0)))</f>
        <v/>
      </c>
      <c r="I1519" s="52" t="str">
        <f>IF(J1519="","",INDEX(COA!$A$4:$A$123,MATCH(JU!$J1519,COA!$B$4:$B$123,0)))</f>
        <v/>
      </c>
      <c r="K1519" s="34" t="str">
        <f t="shared" si="281"/>
        <v/>
      </c>
    </row>
    <row r="1520" spans="6:11" hidden="1">
      <c r="F1520" s="52" t="str">
        <f>IF(G1520="","",INDEX(COA!$A$4:$A$123,MATCH(JU!$G1520,COA!$B$4:$B$123,0)))</f>
        <v/>
      </c>
      <c r="I1520" s="52" t="str">
        <f>IF(J1520="","",INDEX(COA!$A$4:$A$123,MATCH(JU!$J1520,COA!$B$4:$B$123,0)))</f>
        <v/>
      </c>
      <c r="K1520" s="34" t="str">
        <f t="shared" si="281"/>
        <v/>
      </c>
    </row>
    <row r="1521" spans="6:11" hidden="1">
      <c r="F1521" s="52" t="str">
        <f>IF(G1521="","",INDEX(COA!$A$4:$A$123,MATCH(JU!$G1521,COA!$B$4:$B$123,0)))</f>
        <v/>
      </c>
      <c r="I1521" s="52" t="str">
        <f>IF(J1521="","",INDEX(COA!$A$4:$A$123,MATCH(JU!$J1521,COA!$B$4:$B$123,0)))</f>
        <v/>
      </c>
      <c r="K1521" s="34" t="str">
        <f t="shared" si="281"/>
        <v/>
      </c>
    </row>
    <row r="1522" spans="6:11" hidden="1">
      <c r="F1522" s="52" t="str">
        <f>IF(G1522="","",INDEX(COA!$A$4:$A$123,MATCH(JU!$G1522,COA!$B$4:$B$123,0)))</f>
        <v/>
      </c>
      <c r="I1522" s="52" t="str">
        <f>IF(J1522="","",INDEX(COA!$A$4:$A$123,MATCH(JU!$J1522,COA!$B$4:$B$123,0)))</f>
        <v/>
      </c>
      <c r="K1522" s="34" t="str">
        <f t="shared" si="281"/>
        <v/>
      </c>
    </row>
    <row r="1523" spans="6:11" hidden="1">
      <c r="F1523" s="52" t="str">
        <f>IF(G1523="","",INDEX(COA!$A$4:$A$123,MATCH(JU!$G1523,COA!$B$4:$B$123,0)))</f>
        <v/>
      </c>
      <c r="I1523" s="52" t="str">
        <f>IF(J1523="","",INDEX(COA!$A$4:$A$123,MATCH(JU!$J1523,COA!$B$4:$B$123,0)))</f>
        <v/>
      </c>
      <c r="K1523" s="34" t="str">
        <f t="shared" si="281"/>
        <v/>
      </c>
    </row>
    <row r="1524" spans="6:11" hidden="1">
      <c r="F1524" s="52" t="str">
        <f>IF(G1524="","",INDEX(COA!$A$4:$A$123,MATCH(JU!$G1524,COA!$B$4:$B$123,0)))</f>
        <v/>
      </c>
      <c r="I1524" s="52" t="str">
        <f>IF(J1524="","",INDEX(COA!$A$4:$A$123,MATCH(JU!$J1524,COA!$B$4:$B$123,0)))</f>
        <v/>
      </c>
      <c r="K1524" s="34" t="str">
        <f t="shared" si="281"/>
        <v/>
      </c>
    </row>
    <row r="1525" spans="6:11" hidden="1">
      <c r="F1525" s="52" t="str">
        <f>IF(G1525="","",INDEX(COA!$A$4:$A$123,MATCH(JU!$G1525,COA!$B$4:$B$123,0)))</f>
        <v/>
      </c>
      <c r="I1525" s="52" t="str">
        <f>IF(J1525="","",INDEX(COA!$A$4:$A$123,MATCH(JU!$J1525,COA!$B$4:$B$123,0)))</f>
        <v/>
      </c>
      <c r="K1525" s="34" t="str">
        <f t="shared" si="281"/>
        <v/>
      </c>
    </row>
    <row r="1526" spans="6:11" hidden="1">
      <c r="F1526" s="52" t="str">
        <f>IF(G1526="","",INDEX(COA!$A$4:$A$123,MATCH(JU!$G1526,COA!$B$4:$B$123,0)))</f>
        <v/>
      </c>
      <c r="I1526" s="52" t="str">
        <f>IF(J1526="","",INDEX(COA!$A$4:$A$123,MATCH(JU!$J1526,COA!$B$4:$B$123,0)))</f>
        <v/>
      </c>
      <c r="K1526" s="34" t="str">
        <f t="shared" si="281"/>
        <v/>
      </c>
    </row>
    <row r="1527" spans="6:11" hidden="1">
      <c r="F1527" s="52" t="str">
        <f>IF(G1527="","",INDEX(COA!$A$4:$A$123,MATCH(JU!$G1527,COA!$B$4:$B$123,0)))</f>
        <v/>
      </c>
      <c r="I1527" s="52" t="str">
        <f>IF(J1527="","",INDEX(COA!$A$4:$A$123,MATCH(JU!$J1527,COA!$B$4:$B$123,0)))</f>
        <v/>
      </c>
      <c r="K1527" s="34" t="str">
        <f t="shared" si="281"/>
        <v/>
      </c>
    </row>
    <row r="1528" spans="6:11" hidden="1">
      <c r="F1528" s="52" t="str">
        <f>IF(G1528="","",INDEX(COA!$A$4:$A$123,MATCH(JU!$G1528,COA!$B$4:$B$123,0)))</f>
        <v/>
      </c>
      <c r="I1528" s="52" t="str">
        <f>IF(J1528="","",INDEX(COA!$A$4:$A$123,MATCH(JU!$J1528,COA!$B$4:$B$123,0)))</f>
        <v/>
      </c>
      <c r="K1528" s="34" t="str">
        <f t="shared" si="281"/>
        <v/>
      </c>
    </row>
    <row r="1529" spans="6:11" hidden="1">
      <c r="F1529" s="52" t="str">
        <f>IF(G1529="","",INDEX(COA!$A$4:$A$123,MATCH(JU!$G1529,COA!$B$4:$B$123,0)))</f>
        <v/>
      </c>
      <c r="I1529" s="52" t="str">
        <f>IF(J1529="","",INDEX(COA!$A$4:$A$123,MATCH(JU!$J1529,COA!$B$4:$B$123,0)))</f>
        <v/>
      </c>
      <c r="K1529" s="34" t="str">
        <f t="shared" si="281"/>
        <v/>
      </c>
    </row>
    <row r="1530" spans="6:11" hidden="1">
      <c r="F1530" s="52" t="str">
        <f>IF(G1530="","",INDEX(COA!$A$4:$A$123,MATCH(JU!$G1530,COA!$B$4:$B$123,0)))</f>
        <v/>
      </c>
      <c r="I1530" s="52" t="str">
        <f>IF(J1530="","",INDEX(COA!$A$4:$A$123,MATCH(JU!$J1530,COA!$B$4:$B$123,0)))</f>
        <v/>
      </c>
      <c r="K1530" s="34" t="str">
        <f t="shared" si="281"/>
        <v/>
      </c>
    </row>
    <row r="1531" spans="6:11" hidden="1">
      <c r="F1531" s="52" t="str">
        <f>IF(G1531="","",INDEX(COA!$A$4:$A$123,MATCH(JU!$G1531,COA!$B$4:$B$123,0)))</f>
        <v/>
      </c>
      <c r="I1531" s="52" t="str">
        <f>IF(J1531="","",INDEX(COA!$A$4:$A$123,MATCH(JU!$J1531,COA!$B$4:$B$123,0)))</f>
        <v/>
      </c>
      <c r="K1531" s="34" t="str">
        <f t="shared" si="281"/>
        <v/>
      </c>
    </row>
    <row r="1532" spans="6:11" hidden="1">
      <c r="F1532" s="52" t="str">
        <f>IF(G1532="","",INDEX(COA!$A$4:$A$123,MATCH(JU!$G1532,COA!$B$4:$B$123,0)))</f>
        <v/>
      </c>
      <c r="I1532" s="52" t="str">
        <f>IF(J1532="","",INDEX(COA!$A$4:$A$123,MATCH(JU!$J1532,COA!$B$4:$B$123,0)))</f>
        <v/>
      </c>
      <c r="K1532" s="34" t="str">
        <f t="shared" si="281"/>
        <v/>
      </c>
    </row>
    <row r="1533" spans="6:11" hidden="1">
      <c r="F1533" s="52" t="str">
        <f>IF(G1533="","",INDEX(COA!$A$4:$A$123,MATCH(JU!$G1533,COA!$B$4:$B$123,0)))</f>
        <v/>
      </c>
      <c r="I1533" s="52" t="str">
        <f>IF(J1533="","",INDEX(COA!$A$4:$A$123,MATCH(JU!$J1533,COA!$B$4:$B$123,0)))</f>
        <v/>
      </c>
      <c r="K1533" s="34" t="str">
        <f t="shared" si="281"/>
        <v/>
      </c>
    </row>
    <row r="1534" spans="6:11" hidden="1">
      <c r="F1534" s="52" t="str">
        <f>IF(G1534="","",INDEX(COA!$A$4:$A$123,MATCH(JU!$G1534,COA!$B$4:$B$123,0)))</f>
        <v/>
      </c>
      <c r="I1534" s="52" t="str">
        <f>IF(J1534="","",INDEX(COA!$A$4:$A$123,MATCH(JU!$J1534,COA!$B$4:$B$123,0)))</f>
        <v/>
      </c>
      <c r="K1534" s="34" t="str">
        <f t="shared" si="281"/>
        <v/>
      </c>
    </row>
    <row r="1535" spans="6:11" hidden="1">
      <c r="F1535" s="52" t="str">
        <f>IF(G1535="","",INDEX(COA!$A$4:$A$123,MATCH(JU!$G1535,COA!$B$4:$B$123,0)))</f>
        <v/>
      </c>
      <c r="I1535" s="52" t="str">
        <f>IF(J1535="","",INDEX(COA!$A$4:$A$123,MATCH(JU!$J1535,COA!$B$4:$B$123,0)))</f>
        <v/>
      </c>
      <c r="K1535" s="34" t="str">
        <f t="shared" si="281"/>
        <v/>
      </c>
    </row>
    <row r="1536" spans="6:11" hidden="1">
      <c r="F1536" s="52" t="str">
        <f>IF(G1536="","",INDEX(COA!$A$4:$A$123,MATCH(JU!$G1536,COA!$B$4:$B$123,0)))</f>
        <v/>
      </c>
      <c r="I1536" s="52" t="str">
        <f>IF(J1536="","",INDEX(COA!$A$4:$A$123,MATCH(JU!$J1536,COA!$B$4:$B$123,0)))</f>
        <v/>
      </c>
      <c r="K1536" s="34" t="str">
        <f t="shared" si="281"/>
        <v/>
      </c>
    </row>
    <row r="1537" spans="6:11" hidden="1">
      <c r="F1537" s="52" t="str">
        <f>IF(G1537="","",INDEX(COA!$A$4:$A$123,MATCH(JU!$G1537,COA!$B$4:$B$123,0)))</f>
        <v/>
      </c>
      <c r="I1537" s="52" t="str">
        <f>IF(J1537="","",INDEX(COA!$A$4:$A$123,MATCH(JU!$J1537,COA!$B$4:$B$123,0)))</f>
        <v/>
      </c>
      <c r="K1537" s="34" t="str">
        <f t="shared" si="281"/>
        <v/>
      </c>
    </row>
    <row r="1538" spans="6:11" hidden="1">
      <c r="F1538" s="52" t="str">
        <f>IF(G1538="","",INDEX(COA!$A$4:$A$123,MATCH(JU!$G1538,COA!$B$4:$B$123,0)))</f>
        <v/>
      </c>
      <c r="I1538" s="52" t="str">
        <f>IF(J1538="","",INDEX(COA!$A$4:$A$123,MATCH(JU!$J1538,COA!$B$4:$B$123,0)))</f>
        <v/>
      </c>
      <c r="K1538" s="34" t="str">
        <f t="shared" si="281"/>
        <v/>
      </c>
    </row>
    <row r="1539" spans="6:11" hidden="1">
      <c r="F1539" s="52" t="str">
        <f>IF(G1539="","",INDEX(COA!$A$4:$A$123,MATCH(JU!$G1539,COA!$B$4:$B$123,0)))</f>
        <v/>
      </c>
      <c r="I1539" s="52" t="str">
        <f>IF(J1539="","",INDEX(COA!$A$4:$A$123,MATCH(JU!$J1539,COA!$B$4:$B$123,0)))</f>
        <v/>
      </c>
      <c r="K1539" s="34" t="str">
        <f t="shared" si="281"/>
        <v/>
      </c>
    </row>
    <row r="1540" spans="6:11" hidden="1">
      <c r="F1540" s="52" t="str">
        <f>IF(G1540="","",INDEX(COA!$A$4:$A$123,MATCH(JU!$G1540,COA!$B$4:$B$123,0)))</f>
        <v/>
      </c>
      <c r="I1540" s="52" t="str">
        <f>IF(J1540="","",INDEX(COA!$A$4:$A$123,MATCH(JU!$J1540,COA!$B$4:$B$123,0)))</f>
        <v/>
      </c>
      <c r="K1540" s="34" t="str">
        <f t="shared" si="281"/>
        <v/>
      </c>
    </row>
    <row r="1541" spans="6:11" hidden="1">
      <c r="F1541" s="52" t="str">
        <f>IF(G1541="","",INDEX(COA!$A$4:$A$123,MATCH(JU!$G1541,COA!$B$4:$B$123,0)))</f>
        <v/>
      </c>
      <c r="I1541" s="52" t="str">
        <f>IF(J1541="","",INDEX(COA!$A$4:$A$123,MATCH(JU!$J1541,COA!$B$4:$B$123,0)))</f>
        <v/>
      </c>
      <c r="K1541" s="34" t="str">
        <f t="shared" si="281"/>
        <v/>
      </c>
    </row>
    <row r="1542" spans="6:11" hidden="1">
      <c r="F1542" s="52" t="str">
        <f>IF(G1542="","",INDEX(COA!$A$4:$A$123,MATCH(JU!$G1542,COA!$B$4:$B$123,0)))</f>
        <v/>
      </c>
      <c r="I1542" s="52" t="str">
        <f>IF(J1542="","",INDEX(COA!$A$4:$A$123,MATCH(JU!$J1542,COA!$B$4:$B$123,0)))</f>
        <v/>
      </c>
      <c r="K1542" s="34" t="str">
        <f t="shared" si="281"/>
        <v/>
      </c>
    </row>
    <row r="1543" spans="6:11" hidden="1">
      <c r="F1543" s="52" t="str">
        <f>IF(G1543="","",INDEX(COA!$A$4:$A$123,MATCH(JU!$G1543,COA!$B$4:$B$123,0)))</f>
        <v/>
      </c>
      <c r="I1543" s="52" t="str">
        <f>IF(J1543="","",INDEX(COA!$A$4:$A$123,MATCH(JU!$J1543,COA!$B$4:$B$123,0)))</f>
        <v/>
      </c>
      <c r="K1543" s="34" t="str">
        <f t="shared" si="281"/>
        <v/>
      </c>
    </row>
    <row r="1544" spans="6:11" hidden="1">
      <c r="F1544" s="52" t="str">
        <f>IF(G1544="","",INDEX(COA!$A$4:$A$123,MATCH(JU!$G1544,COA!$B$4:$B$123,0)))</f>
        <v/>
      </c>
      <c r="I1544" s="52" t="str">
        <f>IF(J1544="","",INDEX(COA!$A$4:$A$123,MATCH(JU!$J1544,COA!$B$4:$B$123,0)))</f>
        <v/>
      </c>
      <c r="K1544" s="34" t="str">
        <f t="shared" si="281"/>
        <v/>
      </c>
    </row>
    <row r="1545" spans="6:11" hidden="1">
      <c r="F1545" s="52" t="str">
        <f>IF(G1545="","",INDEX(COA!$A$4:$A$123,MATCH(JU!$G1545,COA!$B$4:$B$123,0)))</f>
        <v/>
      </c>
      <c r="I1545" s="52" t="str">
        <f>IF(J1545="","",INDEX(COA!$A$4:$A$123,MATCH(JU!$J1545,COA!$B$4:$B$123,0)))</f>
        <v/>
      </c>
      <c r="K1545" s="34" t="str">
        <f t="shared" si="281"/>
        <v/>
      </c>
    </row>
    <row r="1546" spans="6:11" hidden="1">
      <c r="F1546" s="52" t="str">
        <f>IF(G1546="","",INDEX(COA!$A$4:$A$123,MATCH(JU!$G1546,COA!$B$4:$B$123,0)))</f>
        <v/>
      </c>
      <c r="I1546" s="52" t="str">
        <f>IF(J1546="","",INDEX(COA!$A$4:$A$123,MATCH(JU!$J1546,COA!$B$4:$B$123,0)))</f>
        <v/>
      </c>
      <c r="K1546" s="34" t="str">
        <f t="shared" ref="K1546:K1609" si="282">IF(H1546="","",H1546)</f>
        <v/>
      </c>
    </row>
    <row r="1547" spans="6:11" hidden="1">
      <c r="F1547" s="52" t="str">
        <f>IF(G1547="","",INDEX(COA!$A$4:$A$123,MATCH(JU!$G1547,COA!$B$4:$B$123,0)))</f>
        <v/>
      </c>
      <c r="I1547" s="52" t="str">
        <f>IF(J1547="","",INDEX(COA!$A$4:$A$123,MATCH(JU!$J1547,COA!$B$4:$B$123,0)))</f>
        <v/>
      </c>
      <c r="K1547" s="34" t="str">
        <f t="shared" si="282"/>
        <v/>
      </c>
    </row>
    <row r="1548" spans="6:11" hidden="1">
      <c r="F1548" s="52" t="str">
        <f>IF(G1548="","",INDEX(COA!$A$4:$A$123,MATCH(JU!$G1548,COA!$B$4:$B$123,0)))</f>
        <v/>
      </c>
      <c r="I1548" s="52" t="str">
        <f>IF(J1548="","",INDEX(COA!$A$4:$A$123,MATCH(JU!$J1548,COA!$B$4:$B$123,0)))</f>
        <v/>
      </c>
      <c r="K1548" s="34" t="str">
        <f t="shared" si="282"/>
        <v/>
      </c>
    </row>
    <row r="1549" spans="6:11" hidden="1">
      <c r="F1549" s="52" t="str">
        <f>IF(G1549="","",INDEX(COA!$A$4:$A$123,MATCH(JU!$G1549,COA!$B$4:$B$123,0)))</f>
        <v/>
      </c>
      <c r="I1549" s="52" t="str">
        <f>IF(J1549="","",INDEX(COA!$A$4:$A$123,MATCH(JU!$J1549,COA!$B$4:$B$123,0)))</f>
        <v/>
      </c>
      <c r="K1549" s="34" t="str">
        <f t="shared" si="282"/>
        <v/>
      </c>
    </row>
    <row r="1550" spans="6:11" hidden="1">
      <c r="F1550" s="52" t="str">
        <f>IF(G1550="","",INDEX(COA!$A$4:$A$123,MATCH(JU!$G1550,COA!$B$4:$B$123,0)))</f>
        <v/>
      </c>
      <c r="I1550" s="52" t="str">
        <f>IF(J1550="","",INDEX(COA!$A$4:$A$123,MATCH(JU!$J1550,COA!$B$4:$B$123,0)))</f>
        <v/>
      </c>
      <c r="K1550" s="34" t="str">
        <f t="shared" si="282"/>
        <v/>
      </c>
    </row>
    <row r="1551" spans="6:11" hidden="1">
      <c r="F1551" s="52" t="str">
        <f>IF(G1551="","",INDEX(COA!$A$4:$A$123,MATCH(JU!$G1551,COA!$B$4:$B$123,0)))</f>
        <v/>
      </c>
      <c r="I1551" s="52" t="str">
        <f>IF(J1551="","",INDEX(COA!$A$4:$A$123,MATCH(JU!$J1551,COA!$B$4:$B$123,0)))</f>
        <v/>
      </c>
      <c r="K1551" s="34" t="str">
        <f t="shared" si="282"/>
        <v/>
      </c>
    </row>
    <row r="1552" spans="6:11" hidden="1">
      <c r="F1552" s="52" t="str">
        <f>IF(G1552="","",INDEX(COA!$A$4:$A$123,MATCH(JU!$G1552,COA!$B$4:$B$123,0)))</f>
        <v/>
      </c>
      <c r="I1552" s="52" t="str">
        <f>IF(J1552="","",INDEX(COA!$A$4:$A$123,MATCH(JU!$J1552,COA!$B$4:$B$123,0)))</f>
        <v/>
      </c>
      <c r="K1552" s="34" t="str">
        <f t="shared" si="282"/>
        <v/>
      </c>
    </row>
    <row r="1553" spans="6:11" hidden="1">
      <c r="F1553" s="52" t="str">
        <f>IF(G1553="","",INDEX(COA!$A$4:$A$123,MATCH(JU!$G1553,COA!$B$4:$B$123,0)))</f>
        <v/>
      </c>
      <c r="I1553" s="52" t="str">
        <f>IF(J1553="","",INDEX(COA!$A$4:$A$123,MATCH(JU!$J1553,COA!$B$4:$B$123,0)))</f>
        <v/>
      </c>
      <c r="K1553" s="34" t="str">
        <f t="shared" si="282"/>
        <v/>
      </c>
    </row>
    <row r="1554" spans="6:11" hidden="1">
      <c r="F1554" s="52" t="str">
        <f>IF(G1554="","",INDEX(COA!$A$4:$A$123,MATCH(JU!$G1554,COA!$B$4:$B$123,0)))</f>
        <v/>
      </c>
      <c r="I1554" s="52" t="str">
        <f>IF(J1554="","",INDEX(COA!$A$4:$A$123,MATCH(JU!$J1554,COA!$B$4:$B$123,0)))</f>
        <v/>
      </c>
      <c r="K1554" s="34" t="str">
        <f t="shared" si="282"/>
        <v/>
      </c>
    </row>
    <row r="1555" spans="6:11" hidden="1">
      <c r="F1555" s="52" t="str">
        <f>IF(G1555="","",INDEX(COA!$A$4:$A$123,MATCH(JU!$G1555,COA!$B$4:$B$123,0)))</f>
        <v/>
      </c>
      <c r="I1555" s="52" t="str">
        <f>IF(J1555="","",INDEX(COA!$A$4:$A$123,MATCH(JU!$J1555,COA!$B$4:$B$123,0)))</f>
        <v/>
      </c>
      <c r="K1555" s="34" t="str">
        <f t="shared" si="282"/>
        <v/>
      </c>
    </row>
    <row r="1556" spans="6:11" hidden="1">
      <c r="F1556" s="52" t="str">
        <f>IF(G1556="","",INDEX(COA!$A$4:$A$123,MATCH(JU!$G1556,COA!$B$4:$B$123,0)))</f>
        <v/>
      </c>
      <c r="I1556" s="52" t="str">
        <f>IF(J1556="","",INDEX(COA!$A$4:$A$123,MATCH(JU!$J1556,COA!$B$4:$B$123,0)))</f>
        <v/>
      </c>
      <c r="K1556" s="34" t="str">
        <f t="shared" si="282"/>
        <v/>
      </c>
    </row>
    <row r="1557" spans="6:11" hidden="1">
      <c r="F1557" s="52" t="str">
        <f>IF(G1557="","",INDEX(COA!$A$4:$A$123,MATCH(JU!$G1557,COA!$B$4:$B$123,0)))</f>
        <v/>
      </c>
      <c r="I1557" s="52" t="str">
        <f>IF(J1557="","",INDEX(COA!$A$4:$A$123,MATCH(JU!$J1557,COA!$B$4:$B$123,0)))</f>
        <v/>
      </c>
      <c r="K1557" s="34" t="str">
        <f t="shared" si="282"/>
        <v/>
      </c>
    </row>
    <row r="1558" spans="6:11" hidden="1">
      <c r="F1558" s="52" t="str">
        <f>IF(G1558="","",INDEX(COA!$A$4:$A$123,MATCH(JU!$G1558,COA!$B$4:$B$123,0)))</f>
        <v/>
      </c>
      <c r="I1558" s="52" t="str">
        <f>IF(J1558="","",INDEX(COA!$A$4:$A$123,MATCH(JU!$J1558,COA!$B$4:$B$123,0)))</f>
        <v/>
      </c>
      <c r="K1558" s="34" t="str">
        <f t="shared" si="282"/>
        <v/>
      </c>
    </row>
    <row r="1559" spans="6:11" hidden="1">
      <c r="F1559" s="52" t="str">
        <f>IF(G1559="","",INDEX(COA!$A$4:$A$123,MATCH(JU!$G1559,COA!$B$4:$B$123,0)))</f>
        <v/>
      </c>
      <c r="I1559" s="52" t="str">
        <f>IF(J1559="","",INDEX(COA!$A$4:$A$123,MATCH(JU!$J1559,COA!$B$4:$B$123,0)))</f>
        <v/>
      </c>
      <c r="K1559" s="34" t="str">
        <f t="shared" si="282"/>
        <v/>
      </c>
    </row>
    <row r="1560" spans="6:11" hidden="1">
      <c r="F1560" s="52" t="str">
        <f>IF(G1560="","",INDEX(COA!$A$4:$A$123,MATCH(JU!$G1560,COA!$B$4:$B$123,0)))</f>
        <v/>
      </c>
      <c r="I1560" s="52" t="str">
        <f>IF(J1560="","",INDEX(COA!$A$4:$A$123,MATCH(JU!$J1560,COA!$B$4:$B$123,0)))</f>
        <v/>
      </c>
      <c r="K1560" s="34" t="str">
        <f t="shared" si="282"/>
        <v/>
      </c>
    </row>
    <row r="1561" spans="6:11" hidden="1">
      <c r="F1561" s="52" t="str">
        <f>IF(G1561="","",INDEX(COA!$A$4:$A$123,MATCH(JU!$G1561,COA!$B$4:$B$123,0)))</f>
        <v/>
      </c>
      <c r="I1561" s="52" t="str">
        <f>IF(J1561="","",INDEX(COA!$A$4:$A$123,MATCH(JU!$J1561,COA!$B$4:$B$123,0)))</f>
        <v/>
      </c>
      <c r="K1561" s="34" t="str">
        <f t="shared" si="282"/>
        <v/>
      </c>
    </row>
    <row r="1562" spans="6:11" hidden="1">
      <c r="F1562" s="52" t="str">
        <f>IF(G1562="","",INDEX(COA!$A$4:$A$123,MATCH(JU!$G1562,COA!$B$4:$B$123,0)))</f>
        <v/>
      </c>
      <c r="I1562" s="52" t="str">
        <f>IF(J1562="","",INDEX(COA!$A$4:$A$123,MATCH(JU!$J1562,COA!$B$4:$B$123,0)))</f>
        <v/>
      </c>
      <c r="K1562" s="34" t="str">
        <f t="shared" si="282"/>
        <v/>
      </c>
    </row>
    <row r="1563" spans="6:11" hidden="1">
      <c r="F1563" s="52" t="str">
        <f>IF(G1563="","",INDEX(COA!$A$4:$A$123,MATCH(JU!$G1563,COA!$B$4:$B$123,0)))</f>
        <v/>
      </c>
      <c r="I1563" s="52" t="str">
        <f>IF(J1563="","",INDEX(COA!$A$4:$A$123,MATCH(JU!$J1563,COA!$B$4:$B$123,0)))</f>
        <v/>
      </c>
      <c r="K1563" s="34" t="str">
        <f t="shared" si="282"/>
        <v/>
      </c>
    </row>
    <row r="1564" spans="6:11" hidden="1">
      <c r="F1564" s="52" t="str">
        <f>IF(G1564="","",INDEX(COA!$A$4:$A$123,MATCH(JU!$G1564,COA!$B$4:$B$123,0)))</f>
        <v/>
      </c>
      <c r="I1564" s="52" t="str">
        <f>IF(J1564="","",INDEX(COA!$A$4:$A$123,MATCH(JU!$J1564,COA!$B$4:$B$123,0)))</f>
        <v/>
      </c>
      <c r="K1564" s="34" t="str">
        <f t="shared" si="282"/>
        <v/>
      </c>
    </row>
    <row r="1565" spans="6:11" hidden="1">
      <c r="F1565" s="52" t="str">
        <f>IF(G1565="","",INDEX(COA!$A$4:$A$123,MATCH(JU!$G1565,COA!$B$4:$B$123,0)))</f>
        <v/>
      </c>
      <c r="I1565" s="52" t="str">
        <f>IF(J1565="","",INDEX(COA!$A$4:$A$123,MATCH(JU!$J1565,COA!$B$4:$B$123,0)))</f>
        <v/>
      </c>
      <c r="K1565" s="34" t="str">
        <f t="shared" si="282"/>
        <v/>
      </c>
    </row>
    <row r="1566" spans="6:11" hidden="1">
      <c r="F1566" s="52" t="str">
        <f>IF(G1566="","",INDEX(COA!$A$4:$A$123,MATCH(JU!$G1566,COA!$B$4:$B$123,0)))</f>
        <v/>
      </c>
      <c r="I1566" s="52" t="str">
        <f>IF(J1566="","",INDEX(COA!$A$4:$A$123,MATCH(JU!$J1566,COA!$B$4:$B$123,0)))</f>
        <v/>
      </c>
      <c r="K1566" s="34" t="str">
        <f t="shared" si="282"/>
        <v/>
      </c>
    </row>
    <row r="1567" spans="6:11" hidden="1">
      <c r="F1567" s="52" t="str">
        <f>IF(G1567="","",INDEX(COA!$A$4:$A$123,MATCH(JU!$G1567,COA!$B$4:$B$123,0)))</f>
        <v/>
      </c>
      <c r="I1567" s="52" t="str">
        <f>IF(J1567="","",INDEX(COA!$A$4:$A$123,MATCH(JU!$J1567,COA!$B$4:$B$123,0)))</f>
        <v/>
      </c>
      <c r="K1567" s="34" t="str">
        <f t="shared" si="282"/>
        <v/>
      </c>
    </row>
    <row r="1568" spans="6:11" hidden="1">
      <c r="F1568" s="52" t="str">
        <f>IF(G1568="","",INDEX(COA!$A$4:$A$123,MATCH(JU!$G1568,COA!$B$4:$B$123,0)))</f>
        <v/>
      </c>
      <c r="I1568" s="52" t="str">
        <f>IF(J1568="","",INDEX(COA!$A$4:$A$123,MATCH(JU!$J1568,COA!$B$4:$B$123,0)))</f>
        <v/>
      </c>
      <c r="K1568" s="34" t="str">
        <f t="shared" si="282"/>
        <v/>
      </c>
    </row>
    <row r="1569" spans="6:11" hidden="1">
      <c r="F1569" s="52" t="str">
        <f>IF(G1569="","",INDEX(COA!$A$4:$A$123,MATCH(JU!$G1569,COA!$B$4:$B$123,0)))</f>
        <v/>
      </c>
      <c r="I1569" s="52" t="str">
        <f>IF(J1569="","",INDEX(COA!$A$4:$A$123,MATCH(JU!$J1569,COA!$B$4:$B$123,0)))</f>
        <v/>
      </c>
      <c r="K1569" s="34" t="str">
        <f t="shared" si="282"/>
        <v/>
      </c>
    </row>
    <row r="1570" spans="6:11" hidden="1">
      <c r="F1570" s="52" t="str">
        <f>IF(G1570="","",INDEX(COA!$A$4:$A$123,MATCH(JU!$G1570,COA!$B$4:$B$123,0)))</f>
        <v/>
      </c>
      <c r="I1570" s="52" t="str">
        <f>IF(J1570="","",INDEX(COA!$A$4:$A$123,MATCH(JU!$J1570,COA!$B$4:$B$123,0)))</f>
        <v/>
      </c>
      <c r="K1570" s="34" t="str">
        <f t="shared" si="282"/>
        <v/>
      </c>
    </row>
    <row r="1571" spans="6:11" hidden="1">
      <c r="F1571" s="52" t="str">
        <f>IF(G1571="","",INDEX(COA!$A$4:$A$123,MATCH(JU!$G1571,COA!$B$4:$B$123,0)))</f>
        <v/>
      </c>
      <c r="I1571" s="52" t="str">
        <f>IF(J1571="","",INDEX(COA!$A$4:$A$123,MATCH(JU!$J1571,COA!$B$4:$B$123,0)))</f>
        <v/>
      </c>
      <c r="K1571" s="34" t="str">
        <f t="shared" si="282"/>
        <v/>
      </c>
    </row>
    <row r="1572" spans="6:11" hidden="1">
      <c r="F1572" s="52" t="str">
        <f>IF(G1572="","",INDEX(COA!$A$4:$A$123,MATCH(JU!$G1572,COA!$B$4:$B$123,0)))</f>
        <v/>
      </c>
      <c r="I1572" s="52" t="str">
        <f>IF(J1572="","",INDEX(COA!$A$4:$A$123,MATCH(JU!$J1572,COA!$B$4:$B$123,0)))</f>
        <v/>
      </c>
      <c r="K1572" s="34" t="str">
        <f t="shared" si="282"/>
        <v/>
      </c>
    </row>
    <row r="1573" spans="6:11" hidden="1">
      <c r="F1573" s="52" t="str">
        <f>IF(G1573="","",INDEX(COA!$A$4:$A$123,MATCH(JU!$G1573,COA!$B$4:$B$123,0)))</f>
        <v/>
      </c>
      <c r="I1573" s="52" t="str">
        <f>IF(J1573="","",INDEX(COA!$A$4:$A$123,MATCH(JU!$J1573,COA!$B$4:$B$123,0)))</f>
        <v/>
      </c>
      <c r="K1573" s="34" t="str">
        <f t="shared" si="282"/>
        <v/>
      </c>
    </row>
    <row r="1574" spans="6:11" hidden="1">
      <c r="F1574" s="52" t="str">
        <f>IF(G1574="","",INDEX(COA!$A$4:$A$123,MATCH(JU!$G1574,COA!$B$4:$B$123,0)))</f>
        <v/>
      </c>
      <c r="I1574" s="52" t="str">
        <f>IF(J1574="","",INDEX(COA!$A$4:$A$123,MATCH(JU!$J1574,COA!$B$4:$B$123,0)))</f>
        <v/>
      </c>
      <c r="K1574" s="34" t="str">
        <f t="shared" si="282"/>
        <v/>
      </c>
    </row>
    <row r="1575" spans="6:11" hidden="1">
      <c r="F1575" s="52" t="str">
        <f>IF(G1575="","",INDEX(COA!$A$4:$A$123,MATCH(JU!$G1575,COA!$B$4:$B$123,0)))</f>
        <v/>
      </c>
      <c r="I1575" s="52" t="str">
        <f>IF(J1575="","",INDEX(COA!$A$4:$A$123,MATCH(JU!$J1575,COA!$B$4:$B$123,0)))</f>
        <v/>
      </c>
      <c r="K1575" s="34" t="str">
        <f t="shared" si="282"/>
        <v/>
      </c>
    </row>
    <row r="1576" spans="6:11" hidden="1">
      <c r="F1576" s="52" t="str">
        <f>IF(G1576="","",INDEX(COA!$A$4:$A$123,MATCH(JU!$G1576,COA!$B$4:$B$123,0)))</f>
        <v/>
      </c>
      <c r="I1576" s="52" t="str">
        <f>IF(J1576="","",INDEX(COA!$A$4:$A$123,MATCH(JU!$J1576,COA!$B$4:$B$123,0)))</f>
        <v/>
      </c>
      <c r="K1576" s="34" t="str">
        <f t="shared" si="282"/>
        <v/>
      </c>
    </row>
    <row r="1577" spans="6:11" hidden="1">
      <c r="F1577" s="52" t="str">
        <f>IF(G1577="","",INDEX(COA!$A$4:$A$123,MATCH(JU!$G1577,COA!$B$4:$B$123,0)))</f>
        <v/>
      </c>
      <c r="I1577" s="52" t="str">
        <f>IF(J1577="","",INDEX(COA!$A$4:$A$123,MATCH(JU!$J1577,COA!$B$4:$B$123,0)))</f>
        <v/>
      </c>
      <c r="K1577" s="34" t="str">
        <f t="shared" si="282"/>
        <v/>
      </c>
    </row>
    <row r="1578" spans="6:11" hidden="1">
      <c r="F1578" s="52" t="str">
        <f>IF(G1578="","",INDEX(COA!$A$4:$A$123,MATCH(JU!$G1578,COA!$B$4:$B$123,0)))</f>
        <v/>
      </c>
      <c r="I1578" s="52" t="str">
        <f>IF(J1578="","",INDEX(COA!$A$4:$A$123,MATCH(JU!$J1578,COA!$B$4:$B$123,0)))</f>
        <v/>
      </c>
      <c r="K1578" s="34" t="str">
        <f t="shared" si="282"/>
        <v/>
      </c>
    </row>
    <row r="1579" spans="6:11" hidden="1">
      <c r="F1579" s="52" t="str">
        <f>IF(G1579="","",INDEX(COA!$A$4:$A$123,MATCH(JU!$G1579,COA!$B$4:$B$123,0)))</f>
        <v/>
      </c>
      <c r="I1579" s="52" t="str">
        <f>IF(J1579="","",INDEX(COA!$A$4:$A$123,MATCH(JU!$J1579,COA!$B$4:$B$123,0)))</f>
        <v/>
      </c>
      <c r="K1579" s="34" t="str">
        <f t="shared" si="282"/>
        <v/>
      </c>
    </row>
    <row r="1580" spans="6:11" hidden="1">
      <c r="F1580" s="52" t="str">
        <f>IF(G1580="","",INDEX(COA!$A$4:$A$123,MATCH(JU!$G1580,COA!$B$4:$B$123,0)))</f>
        <v/>
      </c>
      <c r="I1580" s="52" t="str">
        <f>IF(J1580="","",INDEX(COA!$A$4:$A$123,MATCH(JU!$J1580,COA!$B$4:$B$123,0)))</f>
        <v/>
      </c>
      <c r="K1580" s="34" t="str">
        <f t="shared" si="282"/>
        <v/>
      </c>
    </row>
    <row r="1581" spans="6:11" hidden="1">
      <c r="F1581" s="52" t="str">
        <f>IF(G1581="","",INDEX(COA!$A$4:$A$123,MATCH(JU!$G1581,COA!$B$4:$B$123,0)))</f>
        <v/>
      </c>
      <c r="I1581" s="52" t="str">
        <f>IF(J1581="","",INDEX(COA!$A$4:$A$123,MATCH(JU!$J1581,COA!$B$4:$B$123,0)))</f>
        <v/>
      </c>
      <c r="K1581" s="34" t="str">
        <f t="shared" si="282"/>
        <v/>
      </c>
    </row>
    <row r="1582" spans="6:11" hidden="1">
      <c r="F1582" s="52" t="str">
        <f>IF(G1582="","",INDEX(COA!$A$4:$A$123,MATCH(JU!$G1582,COA!$B$4:$B$123,0)))</f>
        <v/>
      </c>
      <c r="I1582" s="52" t="str">
        <f>IF(J1582="","",INDEX(COA!$A$4:$A$123,MATCH(JU!$J1582,COA!$B$4:$B$123,0)))</f>
        <v/>
      </c>
      <c r="K1582" s="34" t="str">
        <f t="shared" si="282"/>
        <v/>
      </c>
    </row>
    <row r="1583" spans="6:11" hidden="1">
      <c r="F1583" s="52" t="str">
        <f>IF(G1583="","",INDEX(COA!$A$4:$A$123,MATCH(JU!$G1583,COA!$B$4:$B$123,0)))</f>
        <v/>
      </c>
      <c r="I1583" s="52" t="str">
        <f>IF(J1583="","",INDEX(COA!$A$4:$A$123,MATCH(JU!$J1583,COA!$B$4:$B$123,0)))</f>
        <v/>
      </c>
      <c r="K1583" s="34" t="str">
        <f t="shared" si="282"/>
        <v/>
      </c>
    </row>
    <row r="1584" spans="6:11" hidden="1">
      <c r="F1584" s="52" t="str">
        <f>IF(G1584="","",INDEX(COA!$A$4:$A$123,MATCH(JU!$G1584,COA!$B$4:$B$123,0)))</f>
        <v/>
      </c>
      <c r="I1584" s="52" t="str">
        <f>IF(J1584="","",INDEX(COA!$A$4:$A$123,MATCH(JU!$J1584,COA!$B$4:$B$123,0)))</f>
        <v/>
      </c>
      <c r="K1584" s="34" t="str">
        <f t="shared" si="282"/>
        <v/>
      </c>
    </row>
    <row r="1585" spans="6:11" hidden="1">
      <c r="F1585" s="52" t="str">
        <f>IF(G1585="","",INDEX(COA!$A$4:$A$123,MATCH(JU!$G1585,COA!$B$4:$B$123,0)))</f>
        <v/>
      </c>
      <c r="I1585" s="52" t="str">
        <f>IF(J1585="","",INDEX(COA!$A$4:$A$123,MATCH(JU!$J1585,COA!$B$4:$B$123,0)))</f>
        <v/>
      </c>
      <c r="K1585" s="34" t="str">
        <f t="shared" si="282"/>
        <v/>
      </c>
    </row>
    <row r="1586" spans="6:11" hidden="1">
      <c r="F1586" s="52" t="str">
        <f>IF(G1586="","",INDEX(COA!$A$4:$A$123,MATCH(JU!$G1586,COA!$B$4:$B$123,0)))</f>
        <v/>
      </c>
      <c r="I1586" s="52" t="str">
        <f>IF(J1586="","",INDEX(COA!$A$4:$A$123,MATCH(JU!$J1586,COA!$B$4:$B$123,0)))</f>
        <v/>
      </c>
      <c r="K1586" s="34" t="str">
        <f t="shared" si="282"/>
        <v/>
      </c>
    </row>
    <row r="1587" spans="6:11" hidden="1">
      <c r="F1587" s="52" t="str">
        <f>IF(G1587="","",INDEX(COA!$A$4:$A$123,MATCH(JU!$G1587,COA!$B$4:$B$123,0)))</f>
        <v/>
      </c>
      <c r="I1587" s="52" t="str">
        <f>IF(J1587="","",INDEX(COA!$A$4:$A$123,MATCH(JU!$J1587,COA!$B$4:$B$123,0)))</f>
        <v/>
      </c>
      <c r="K1587" s="34" t="str">
        <f t="shared" si="282"/>
        <v/>
      </c>
    </row>
    <row r="1588" spans="6:11" hidden="1">
      <c r="F1588" s="52" t="str">
        <f>IF(G1588="","",INDEX(COA!$A$4:$A$123,MATCH(JU!$G1588,COA!$B$4:$B$123,0)))</f>
        <v/>
      </c>
      <c r="I1588" s="52" t="str">
        <f>IF(J1588="","",INDEX(COA!$A$4:$A$123,MATCH(JU!$J1588,COA!$B$4:$B$123,0)))</f>
        <v/>
      </c>
      <c r="K1588" s="34" t="str">
        <f t="shared" si="282"/>
        <v/>
      </c>
    </row>
    <row r="1589" spans="6:11" hidden="1">
      <c r="F1589" s="52" t="str">
        <f>IF(G1589="","",INDEX(COA!$A$4:$A$123,MATCH(JU!$G1589,COA!$B$4:$B$123,0)))</f>
        <v/>
      </c>
      <c r="I1589" s="52" t="str">
        <f>IF(J1589="","",INDEX(COA!$A$4:$A$123,MATCH(JU!$J1589,COA!$B$4:$B$123,0)))</f>
        <v/>
      </c>
      <c r="K1589" s="34" t="str">
        <f t="shared" si="282"/>
        <v/>
      </c>
    </row>
    <row r="1590" spans="6:11" hidden="1">
      <c r="F1590" s="52" t="str">
        <f>IF(G1590="","",INDEX(COA!$A$4:$A$123,MATCH(JU!$G1590,COA!$B$4:$B$123,0)))</f>
        <v/>
      </c>
      <c r="I1590" s="52" t="str">
        <f>IF(J1590="","",INDEX(COA!$A$4:$A$123,MATCH(JU!$J1590,COA!$B$4:$B$123,0)))</f>
        <v/>
      </c>
      <c r="K1590" s="34" t="str">
        <f t="shared" si="282"/>
        <v/>
      </c>
    </row>
    <row r="1591" spans="6:11" hidden="1">
      <c r="F1591" s="52" t="str">
        <f>IF(G1591="","",INDEX(COA!$A$4:$A$123,MATCH(JU!$G1591,COA!$B$4:$B$123,0)))</f>
        <v/>
      </c>
      <c r="I1591" s="52" t="str">
        <f>IF(J1591="","",INDEX(COA!$A$4:$A$123,MATCH(JU!$J1591,COA!$B$4:$B$123,0)))</f>
        <v/>
      </c>
      <c r="K1591" s="34" t="str">
        <f t="shared" si="282"/>
        <v/>
      </c>
    </row>
    <row r="1592" spans="6:11" hidden="1">
      <c r="F1592" s="52" t="str">
        <f>IF(G1592="","",INDEX(COA!$A$4:$A$123,MATCH(JU!$G1592,COA!$B$4:$B$123,0)))</f>
        <v/>
      </c>
      <c r="I1592" s="52" t="str">
        <f>IF(J1592="","",INDEX(COA!$A$4:$A$123,MATCH(JU!$J1592,COA!$B$4:$B$123,0)))</f>
        <v/>
      </c>
      <c r="K1592" s="34" t="str">
        <f t="shared" si="282"/>
        <v/>
      </c>
    </row>
    <row r="1593" spans="6:11" hidden="1">
      <c r="F1593" s="52" t="str">
        <f>IF(G1593="","",INDEX(COA!$A$4:$A$123,MATCH(JU!$G1593,COA!$B$4:$B$123,0)))</f>
        <v/>
      </c>
      <c r="I1593" s="52" t="str">
        <f>IF(J1593="","",INDEX(COA!$A$4:$A$123,MATCH(JU!$J1593,COA!$B$4:$B$123,0)))</f>
        <v/>
      </c>
      <c r="K1593" s="34" t="str">
        <f t="shared" si="282"/>
        <v/>
      </c>
    </row>
    <row r="1594" spans="6:11" hidden="1">
      <c r="F1594" s="52" t="str">
        <f>IF(G1594="","",INDEX(COA!$A$4:$A$123,MATCH(JU!$G1594,COA!$B$4:$B$123,0)))</f>
        <v/>
      </c>
      <c r="I1594" s="52" t="str">
        <f>IF(J1594="","",INDEX(COA!$A$4:$A$123,MATCH(JU!$J1594,COA!$B$4:$B$123,0)))</f>
        <v/>
      </c>
      <c r="K1594" s="34" t="str">
        <f t="shared" si="282"/>
        <v/>
      </c>
    </row>
    <row r="1595" spans="6:11" hidden="1">
      <c r="F1595" s="52" t="str">
        <f>IF(G1595="","",INDEX(COA!$A$4:$A$123,MATCH(JU!$G1595,COA!$B$4:$B$123,0)))</f>
        <v/>
      </c>
      <c r="I1595" s="52" t="str">
        <f>IF(J1595="","",INDEX(COA!$A$4:$A$123,MATCH(JU!$J1595,COA!$B$4:$B$123,0)))</f>
        <v/>
      </c>
      <c r="K1595" s="34" t="str">
        <f t="shared" si="282"/>
        <v/>
      </c>
    </row>
    <row r="1596" spans="6:11" hidden="1">
      <c r="F1596" s="52" t="str">
        <f>IF(G1596="","",INDEX(COA!$A$4:$A$123,MATCH(JU!$G1596,COA!$B$4:$B$123,0)))</f>
        <v/>
      </c>
      <c r="I1596" s="52" t="str">
        <f>IF(J1596="","",INDEX(COA!$A$4:$A$123,MATCH(JU!$J1596,COA!$B$4:$B$123,0)))</f>
        <v/>
      </c>
      <c r="K1596" s="34" t="str">
        <f t="shared" si="282"/>
        <v/>
      </c>
    </row>
    <row r="1597" spans="6:11" hidden="1">
      <c r="F1597" s="52" t="str">
        <f>IF(G1597="","",INDEX(COA!$A$4:$A$123,MATCH(JU!$G1597,COA!$B$4:$B$123,0)))</f>
        <v/>
      </c>
      <c r="I1597" s="52" t="str">
        <f>IF(J1597="","",INDEX(COA!$A$4:$A$123,MATCH(JU!$J1597,COA!$B$4:$B$123,0)))</f>
        <v/>
      </c>
      <c r="K1597" s="34" t="str">
        <f t="shared" si="282"/>
        <v/>
      </c>
    </row>
    <row r="1598" spans="6:11" hidden="1">
      <c r="F1598" s="52" t="str">
        <f>IF(G1598="","",INDEX(COA!$A$4:$A$123,MATCH(JU!$G1598,COA!$B$4:$B$123,0)))</f>
        <v/>
      </c>
      <c r="I1598" s="52" t="str">
        <f>IF(J1598="","",INDEX(COA!$A$4:$A$123,MATCH(JU!$J1598,COA!$B$4:$B$123,0)))</f>
        <v/>
      </c>
      <c r="K1598" s="34" t="str">
        <f t="shared" si="282"/>
        <v/>
      </c>
    </row>
    <row r="1599" spans="6:11" hidden="1">
      <c r="F1599" s="52" t="str">
        <f>IF(G1599="","",INDEX(COA!$A$4:$A$123,MATCH(JU!$G1599,COA!$B$4:$B$123,0)))</f>
        <v/>
      </c>
      <c r="I1599" s="52" t="str">
        <f>IF(J1599="","",INDEX(COA!$A$4:$A$123,MATCH(JU!$J1599,COA!$B$4:$B$123,0)))</f>
        <v/>
      </c>
      <c r="K1599" s="34" t="str">
        <f t="shared" si="282"/>
        <v/>
      </c>
    </row>
    <row r="1600" spans="6:11" hidden="1">
      <c r="F1600" s="52" t="str">
        <f>IF(G1600="","",INDEX(COA!$A$4:$A$123,MATCH(JU!$G1600,COA!$B$4:$B$123,0)))</f>
        <v/>
      </c>
      <c r="I1600" s="52" t="str">
        <f>IF(J1600="","",INDEX(COA!$A$4:$A$123,MATCH(JU!$J1600,COA!$B$4:$B$123,0)))</f>
        <v/>
      </c>
      <c r="K1600" s="34" t="str">
        <f t="shared" si="282"/>
        <v/>
      </c>
    </row>
    <row r="1601" spans="6:11" hidden="1">
      <c r="F1601" s="52" t="str">
        <f>IF(G1601="","",INDEX(COA!$A$4:$A$123,MATCH(JU!$G1601,COA!$B$4:$B$123,0)))</f>
        <v/>
      </c>
      <c r="I1601" s="52" t="str">
        <f>IF(J1601="","",INDEX(COA!$A$4:$A$123,MATCH(JU!$J1601,COA!$B$4:$B$123,0)))</f>
        <v/>
      </c>
      <c r="K1601" s="34" t="str">
        <f t="shared" si="282"/>
        <v/>
      </c>
    </row>
    <row r="1602" spans="6:11" hidden="1">
      <c r="F1602" s="52" t="str">
        <f>IF(G1602="","",INDEX(COA!$A$4:$A$123,MATCH(JU!$G1602,COA!$B$4:$B$123,0)))</f>
        <v/>
      </c>
      <c r="I1602" s="52" t="str">
        <f>IF(J1602="","",INDEX(COA!$A$4:$A$123,MATCH(JU!$J1602,COA!$B$4:$B$123,0)))</f>
        <v/>
      </c>
      <c r="K1602" s="34" t="str">
        <f t="shared" si="282"/>
        <v/>
      </c>
    </row>
    <row r="1603" spans="6:11" hidden="1">
      <c r="F1603" s="52" t="str">
        <f>IF(G1603="","",INDEX(COA!$A$4:$A$123,MATCH(JU!$G1603,COA!$B$4:$B$123,0)))</f>
        <v/>
      </c>
      <c r="I1603" s="52" t="str">
        <f>IF(J1603="","",INDEX(COA!$A$4:$A$123,MATCH(JU!$J1603,COA!$B$4:$B$123,0)))</f>
        <v/>
      </c>
      <c r="K1603" s="34" t="str">
        <f t="shared" si="282"/>
        <v/>
      </c>
    </row>
    <row r="1604" spans="6:11" hidden="1">
      <c r="F1604" s="52" t="str">
        <f>IF(G1604="","",INDEX(COA!$A$4:$A$123,MATCH(JU!$G1604,COA!$B$4:$B$123,0)))</f>
        <v/>
      </c>
      <c r="I1604" s="52" t="str">
        <f>IF(J1604="","",INDEX(COA!$A$4:$A$123,MATCH(JU!$J1604,COA!$B$4:$B$123,0)))</f>
        <v/>
      </c>
      <c r="K1604" s="34" t="str">
        <f t="shared" si="282"/>
        <v/>
      </c>
    </row>
    <row r="1605" spans="6:11" hidden="1">
      <c r="F1605" s="52" t="str">
        <f>IF(G1605="","",INDEX(COA!$A$4:$A$123,MATCH(JU!$G1605,COA!$B$4:$B$123,0)))</f>
        <v/>
      </c>
      <c r="I1605" s="52" t="str">
        <f>IF(J1605="","",INDEX(COA!$A$4:$A$123,MATCH(JU!$J1605,COA!$B$4:$B$123,0)))</f>
        <v/>
      </c>
      <c r="K1605" s="34" t="str">
        <f t="shared" si="282"/>
        <v/>
      </c>
    </row>
    <row r="1606" spans="6:11" hidden="1">
      <c r="F1606" s="52" t="str">
        <f>IF(G1606="","",INDEX(COA!$A$4:$A$123,MATCH(JU!$G1606,COA!$B$4:$B$123,0)))</f>
        <v/>
      </c>
      <c r="I1606" s="52" t="str">
        <f>IF(J1606="","",INDEX(COA!$A$4:$A$123,MATCH(JU!$J1606,COA!$B$4:$B$123,0)))</f>
        <v/>
      </c>
      <c r="K1606" s="34" t="str">
        <f t="shared" si="282"/>
        <v/>
      </c>
    </row>
    <row r="1607" spans="6:11" hidden="1">
      <c r="F1607" s="52" t="str">
        <f>IF(G1607="","",INDEX(COA!$A$4:$A$123,MATCH(JU!$G1607,COA!$B$4:$B$123,0)))</f>
        <v/>
      </c>
      <c r="I1607" s="52" t="str">
        <f>IF(J1607="","",INDEX(COA!$A$4:$A$123,MATCH(JU!$J1607,COA!$B$4:$B$123,0)))</f>
        <v/>
      </c>
      <c r="K1607" s="34" t="str">
        <f t="shared" si="282"/>
        <v/>
      </c>
    </row>
    <row r="1608" spans="6:11" hidden="1">
      <c r="F1608" s="52" t="str">
        <f>IF(G1608="","",INDEX(COA!$A$4:$A$123,MATCH(JU!$G1608,COA!$B$4:$B$123,0)))</f>
        <v/>
      </c>
      <c r="I1608" s="52" t="str">
        <f>IF(J1608="","",INDEX(COA!$A$4:$A$123,MATCH(JU!$J1608,COA!$B$4:$B$123,0)))</f>
        <v/>
      </c>
      <c r="K1608" s="34" t="str">
        <f t="shared" si="282"/>
        <v/>
      </c>
    </row>
    <row r="1609" spans="6:11" hidden="1">
      <c r="F1609" s="52" t="str">
        <f>IF(G1609="","",INDEX(COA!$A$4:$A$123,MATCH(JU!$G1609,COA!$B$4:$B$123,0)))</f>
        <v/>
      </c>
      <c r="I1609" s="52" t="str">
        <f>IF(J1609="","",INDEX(COA!$A$4:$A$123,MATCH(JU!$J1609,COA!$B$4:$B$123,0)))</f>
        <v/>
      </c>
      <c r="K1609" s="34" t="str">
        <f t="shared" si="282"/>
        <v/>
      </c>
    </row>
    <row r="1610" spans="6:11" hidden="1">
      <c r="F1610" s="52" t="str">
        <f>IF(G1610="","",INDEX(COA!$A$4:$A$123,MATCH(JU!$G1610,COA!$B$4:$B$123,0)))</f>
        <v/>
      </c>
      <c r="I1610" s="52" t="str">
        <f>IF(J1610="","",INDEX(COA!$A$4:$A$123,MATCH(JU!$J1610,COA!$B$4:$B$123,0)))</f>
        <v/>
      </c>
      <c r="K1610" s="34" t="str">
        <f t="shared" ref="K1610:K1673" si="283">IF(H1610="","",H1610)</f>
        <v/>
      </c>
    </row>
    <row r="1611" spans="6:11" hidden="1">
      <c r="F1611" s="52" t="str">
        <f>IF(G1611="","",INDEX(COA!$A$4:$A$123,MATCH(JU!$G1611,COA!$B$4:$B$123,0)))</f>
        <v/>
      </c>
      <c r="I1611" s="52" t="str">
        <f>IF(J1611="","",INDEX(COA!$A$4:$A$123,MATCH(JU!$J1611,COA!$B$4:$B$123,0)))</f>
        <v/>
      </c>
      <c r="K1611" s="34" t="str">
        <f t="shared" si="283"/>
        <v/>
      </c>
    </row>
    <row r="1612" spans="6:11" hidden="1">
      <c r="F1612" s="52" t="str">
        <f>IF(G1612="","",INDEX(COA!$A$4:$A$123,MATCH(JU!$G1612,COA!$B$4:$B$123,0)))</f>
        <v/>
      </c>
      <c r="I1612" s="52" t="str">
        <f>IF(J1612="","",INDEX(COA!$A$4:$A$123,MATCH(JU!$J1612,COA!$B$4:$B$123,0)))</f>
        <v/>
      </c>
      <c r="K1612" s="34" t="str">
        <f t="shared" si="283"/>
        <v/>
      </c>
    </row>
    <row r="1613" spans="6:11" hidden="1">
      <c r="F1613" s="52" t="str">
        <f>IF(G1613="","",INDEX(COA!$A$4:$A$123,MATCH(JU!$G1613,COA!$B$4:$B$123,0)))</f>
        <v/>
      </c>
      <c r="I1613" s="52" t="str">
        <f>IF(J1613="","",INDEX(COA!$A$4:$A$123,MATCH(JU!$J1613,COA!$B$4:$B$123,0)))</f>
        <v/>
      </c>
      <c r="K1613" s="34" t="str">
        <f t="shared" si="283"/>
        <v/>
      </c>
    </row>
    <row r="1614" spans="6:11" hidden="1">
      <c r="F1614" s="52" t="str">
        <f>IF(G1614="","",INDEX(COA!$A$4:$A$123,MATCH(JU!$G1614,COA!$B$4:$B$123,0)))</f>
        <v/>
      </c>
      <c r="I1614" s="52" t="str">
        <f>IF(J1614="","",INDEX(COA!$A$4:$A$123,MATCH(JU!$J1614,COA!$B$4:$B$123,0)))</f>
        <v/>
      </c>
      <c r="K1614" s="34" t="str">
        <f t="shared" si="283"/>
        <v/>
      </c>
    </row>
    <row r="1615" spans="6:11" hidden="1">
      <c r="F1615" s="52" t="str">
        <f>IF(G1615="","",INDEX(COA!$A$4:$A$123,MATCH(JU!$G1615,COA!$B$4:$B$123,0)))</f>
        <v/>
      </c>
      <c r="I1615" s="52" t="str">
        <f>IF(J1615="","",INDEX(COA!$A$4:$A$123,MATCH(JU!$J1615,COA!$B$4:$B$123,0)))</f>
        <v/>
      </c>
      <c r="K1615" s="34" t="str">
        <f t="shared" si="283"/>
        <v/>
      </c>
    </row>
    <row r="1616" spans="6:11" hidden="1">
      <c r="F1616" s="52" t="str">
        <f>IF(G1616="","",INDEX(COA!$A$4:$A$123,MATCH(JU!$G1616,COA!$B$4:$B$123,0)))</f>
        <v/>
      </c>
      <c r="I1616" s="52" t="str">
        <f>IF(J1616="","",INDEX(COA!$A$4:$A$123,MATCH(JU!$J1616,COA!$B$4:$B$123,0)))</f>
        <v/>
      </c>
      <c r="K1616" s="34" t="str">
        <f t="shared" si="283"/>
        <v/>
      </c>
    </row>
    <row r="1617" spans="6:11" hidden="1">
      <c r="F1617" s="52" t="str">
        <f>IF(G1617="","",INDEX(COA!$A$4:$A$123,MATCH(JU!$G1617,COA!$B$4:$B$123,0)))</f>
        <v/>
      </c>
      <c r="I1617" s="52" t="str">
        <f>IF(J1617="","",INDEX(COA!$A$4:$A$123,MATCH(JU!$J1617,COA!$B$4:$B$123,0)))</f>
        <v/>
      </c>
      <c r="K1617" s="34" t="str">
        <f t="shared" si="283"/>
        <v/>
      </c>
    </row>
    <row r="1618" spans="6:11" hidden="1">
      <c r="F1618" s="52" t="str">
        <f>IF(G1618="","",INDEX(COA!$A$4:$A$123,MATCH(JU!$G1618,COA!$B$4:$B$123,0)))</f>
        <v/>
      </c>
      <c r="I1618" s="52" t="str">
        <f>IF(J1618="","",INDEX(COA!$A$4:$A$123,MATCH(JU!$J1618,COA!$B$4:$B$123,0)))</f>
        <v/>
      </c>
      <c r="K1618" s="34" t="str">
        <f t="shared" si="283"/>
        <v/>
      </c>
    </row>
    <row r="1619" spans="6:11" hidden="1">
      <c r="F1619" s="52" t="str">
        <f>IF(G1619="","",INDEX(COA!$A$4:$A$123,MATCH(JU!$G1619,COA!$B$4:$B$123,0)))</f>
        <v/>
      </c>
      <c r="I1619" s="52" t="str">
        <f>IF(J1619="","",INDEX(COA!$A$4:$A$123,MATCH(JU!$J1619,COA!$B$4:$B$123,0)))</f>
        <v/>
      </c>
      <c r="K1619" s="34" t="str">
        <f t="shared" si="283"/>
        <v/>
      </c>
    </row>
    <row r="1620" spans="6:11" hidden="1">
      <c r="F1620" s="52" t="str">
        <f>IF(G1620="","",INDEX(COA!$A$4:$A$123,MATCH(JU!$G1620,COA!$B$4:$B$123,0)))</f>
        <v/>
      </c>
      <c r="I1620" s="52" t="str">
        <f>IF(J1620="","",INDEX(COA!$A$4:$A$123,MATCH(JU!$J1620,COA!$B$4:$B$123,0)))</f>
        <v/>
      </c>
      <c r="K1620" s="34" t="str">
        <f t="shared" si="283"/>
        <v/>
      </c>
    </row>
    <row r="1621" spans="6:11" hidden="1">
      <c r="F1621" s="52" t="str">
        <f>IF(G1621="","",INDEX(COA!$A$4:$A$123,MATCH(JU!$G1621,COA!$B$4:$B$123,0)))</f>
        <v/>
      </c>
      <c r="I1621" s="52" t="str">
        <f>IF(J1621="","",INDEX(COA!$A$4:$A$123,MATCH(JU!$J1621,COA!$B$4:$B$123,0)))</f>
        <v/>
      </c>
      <c r="K1621" s="34" t="str">
        <f t="shared" si="283"/>
        <v/>
      </c>
    </row>
    <row r="1622" spans="6:11" hidden="1">
      <c r="F1622" s="52" t="str">
        <f>IF(G1622="","",INDEX(COA!$A$4:$A$123,MATCH(JU!$G1622,COA!$B$4:$B$123,0)))</f>
        <v/>
      </c>
      <c r="I1622" s="52" t="str">
        <f>IF(J1622="","",INDEX(COA!$A$4:$A$123,MATCH(JU!$J1622,COA!$B$4:$B$123,0)))</f>
        <v/>
      </c>
      <c r="K1622" s="34" t="str">
        <f t="shared" si="283"/>
        <v/>
      </c>
    </row>
    <row r="1623" spans="6:11" hidden="1">
      <c r="F1623" s="52" t="str">
        <f>IF(G1623="","",INDEX(COA!$A$4:$A$123,MATCH(JU!$G1623,COA!$B$4:$B$123,0)))</f>
        <v/>
      </c>
      <c r="I1623" s="52" t="str">
        <f>IF(J1623="","",INDEX(COA!$A$4:$A$123,MATCH(JU!$J1623,COA!$B$4:$B$123,0)))</f>
        <v/>
      </c>
      <c r="K1623" s="34" t="str">
        <f t="shared" si="283"/>
        <v/>
      </c>
    </row>
    <row r="1624" spans="6:11" hidden="1">
      <c r="F1624" s="52" t="str">
        <f>IF(G1624="","",INDEX(COA!$A$4:$A$123,MATCH(JU!$G1624,COA!$B$4:$B$123,0)))</f>
        <v/>
      </c>
      <c r="I1624" s="52" t="str">
        <f>IF(J1624="","",INDEX(COA!$A$4:$A$123,MATCH(JU!$J1624,COA!$B$4:$B$123,0)))</f>
        <v/>
      </c>
      <c r="K1624" s="34" t="str">
        <f t="shared" si="283"/>
        <v/>
      </c>
    </row>
    <row r="1625" spans="6:11" hidden="1">
      <c r="F1625" s="52" t="str">
        <f>IF(G1625="","",INDEX(COA!$A$4:$A$123,MATCH(JU!$G1625,COA!$B$4:$B$123,0)))</f>
        <v/>
      </c>
      <c r="I1625" s="52" t="str">
        <f>IF(J1625="","",INDEX(COA!$A$4:$A$123,MATCH(JU!$J1625,COA!$B$4:$B$123,0)))</f>
        <v/>
      </c>
      <c r="K1625" s="34" t="str">
        <f t="shared" si="283"/>
        <v/>
      </c>
    </row>
    <row r="1626" spans="6:11" hidden="1">
      <c r="F1626" s="52" t="str">
        <f>IF(G1626="","",INDEX(COA!$A$4:$A$123,MATCH(JU!$G1626,COA!$B$4:$B$123,0)))</f>
        <v/>
      </c>
      <c r="I1626" s="52" t="str">
        <f>IF(J1626="","",INDEX(COA!$A$4:$A$123,MATCH(JU!$J1626,COA!$B$4:$B$123,0)))</f>
        <v/>
      </c>
      <c r="K1626" s="34" t="str">
        <f t="shared" si="283"/>
        <v/>
      </c>
    </row>
    <row r="1627" spans="6:11" hidden="1">
      <c r="F1627" s="52" t="str">
        <f>IF(G1627="","",INDEX(COA!$A$4:$A$123,MATCH(JU!$G1627,COA!$B$4:$B$123,0)))</f>
        <v/>
      </c>
      <c r="I1627" s="52" t="str">
        <f>IF(J1627="","",INDEX(COA!$A$4:$A$123,MATCH(JU!$J1627,COA!$B$4:$B$123,0)))</f>
        <v/>
      </c>
      <c r="K1627" s="34" t="str">
        <f t="shared" si="283"/>
        <v/>
      </c>
    </row>
    <row r="1628" spans="6:11" hidden="1">
      <c r="F1628" s="52" t="str">
        <f>IF(G1628="","",INDEX(COA!$A$4:$A$123,MATCH(JU!$G1628,COA!$B$4:$B$123,0)))</f>
        <v/>
      </c>
      <c r="I1628" s="52" t="str">
        <f>IF(J1628="","",INDEX(COA!$A$4:$A$123,MATCH(JU!$J1628,COA!$B$4:$B$123,0)))</f>
        <v/>
      </c>
      <c r="K1628" s="34" t="str">
        <f t="shared" si="283"/>
        <v/>
      </c>
    </row>
    <row r="1629" spans="6:11" hidden="1">
      <c r="F1629" s="52" t="str">
        <f>IF(G1629="","",INDEX(COA!$A$4:$A$123,MATCH(JU!$G1629,COA!$B$4:$B$123,0)))</f>
        <v/>
      </c>
      <c r="I1629" s="52" t="str">
        <f>IF(J1629="","",INDEX(COA!$A$4:$A$123,MATCH(JU!$J1629,COA!$B$4:$B$123,0)))</f>
        <v/>
      </c>
      <c r="K1629" s="34" t="str">
        <f t="shared" si="283"/>
        <v/>
      </c>
    </row>
    <row r="1630" spans="6:11" hidden="1">
      <c r="F1630" s="52" t="str">
        <f>IF(G1630="","",INDEX(COA!$A$4:$A$123,MATCH(JU!$G1630,COA!$B$4:$B$123,0)))</f>
        <v/>
      </c>
      <c r="I1630" s="52" t="str">
        <f>IF(J1630="","",INDEX(COA!$A$4:$A$123,MATCH(JU!$J1630,COA!$B$4:$B$123,0)))</f>
        <v/>
      </c>
      <c r="K1630" s="34" t="str">
        <f t="shared" si="283"/>
        <v/>
      </c>
    </row>
    <row r="1631" spans="6:11" hidden="1">
      <c r="F1631" s="52" t="str">
        <f>IF(G1631="","",INDEX(COA!$A$4:$A$123,MATCH(JU!$G1631,COA!$B$4:$B$123,0)))</f>
        <v/>
      </c>
      <c r="I1631" s="52" t="str">
        <f>IF(J1631="","",INDEX(COA!$A$4:$A$123,MATCH(JU!$J1631,COA!$B$4:$B$123,0)))</f>
        <v/>
      </c>
      <c r="K1631" s="34" t="str">
        <f t="shared" si="283"/>
        <v/>
      </c>
    </row>
    <row r="1632" spans="6:11" hidden="1">
      <c r="F1632" s="52" t="str">
        <f>IF(G1632="","",INDEX(COA!$A$4:$A$123,MATCH(JU!$G1632,COA!$B$4:$B$123,0)))</f>
        <v/>
      </c>
      <c r="I1632" s="52" t="str">
        <f>IF(J1632="","",INDEX(COA!$A$4:$A$123,MATCH(JU!$J1632,COA!$B$4:$B$123,0)))</f>
        <v/>
      </c>
      <c r="K1632" s="34" t="str">
        <f t="shared" si="283"/>
        <v/>
      </c>
    </row>
    <row r="1633" spans="6:11" hidden="1">
      <c r="F1633" s="52" t="str">
        <f>IF(G1633="","",INDEX(COA!$A$4:$A$123,MATCH(JU!$G1633,COA!$B$4:$B$123,0)))</f>
        <v/>
      </c>
      <c r="I1633" s="52" t="str">
        <f>IF(J1633="","",INDEX(COA!$A$4:$A$123,MATCH(JU!$J1633,COA!$B$4:$B$123,0)))</f>
        <v/>
      </c>
      <c r="K1633" s="34" t="str">
        <f t="shared" si="283"/>
        <v/>
      </c>
    </row>
    <row r="1634" spans="6:11" hidden="1">
      <c r="F1634" s="52" t="str">
        <f>IF(G1634="","",INDEX(COA!$A$4:$A$123,MATCH(JU!$G1634,COA!$B$4:$B$123,0)))</f>
        <v/>
      </c>
      <c r="I1634" s="52" t="str">
        <f>IF(J1634="","",INDEX(COA!$A$4:$A$123,MATCH(JU!$J1634,COA!$B$4:$B$123,0)))</f>
        <v/>
      </c>
      <c r="K1634" s="34" t="str">
        <f t="shared" si="283"/>
        <v/>
      </c>
    </row>
    <row r="1635" spans="6:11" hidden="1">
      <c r="F1635" s="52" t="str">
        <f>IF(G1635="","",INDEX(COA!$A$4:$A$123,MATCH(JU!$G1635,COA!$B$4:$B$123,0)))</f>
        <v/>
      </c>
      <c r="I1635" s="52" t="str">
        <f>IF(J1635="","",INDEX(COA!$A$4:$A$123,MATCH(JU!$J1635,COA!$B$4:$B$123,0)))</f>
        <v/>
      </c>
      <c r="K1635" s="34" t="str">
        <f t="shared" si="283"/>
        <v/>
      </c>
    </row>
    <row r="1636" spans="6:11" hidden="1">
      <c r="F1636" s="52" t="str">
        <f>IF(G1636="","",INDEX(COA!$A$4:$A$123,MATCH(JU!$G1636,COA!$B$4:$B$123,0)))</f>
        <v/>
      </c>
      <c r="I1636" s="52" t="str">
        <f>IF(J1636="","",INDEX(COA!$A$4:$A$123,MATCH(JU!$J1636,COA!$B$4:$B$123,0)))</f>
        <v/>
      </c>
      <c r="K1636" s="34" t="str">
        <f t="shared" si="283"/>
        <v/>
      </c>
    </row>
    <row r="1637" spans="6:11" hidden="1">
      <c r="F1637" s="52" t="str">
        <f>IF(G1637="","",INDEX(COA!$A$4:$A$123,MATCH(JU!$G1637,COA!$B$4:$B$123,0)))</f>
        <v/>
      </c>
      <c r="I1637" s="52" t="str">
        <f>IF(J1637="","",INDEX(COA!$A$4:$A$123,MATCH(JU!$J1637,COA!$B$4:$B$123,0)))</f>
        <v/>
      </c>
      <c r="K1637" s="34" t="str">
        <f t="shared" si="283"/>
        <v/>
      </c>
    </row>
    <row r="1638" spans="6:11" hidden="1">
      <c r="F1638" s="52" t="str">
        <f>IF(G1638="","",INDEX(COA!$A$4:$A$123,MATCH(JU!$G1638,COA!$B$4:$B$123,0)))</f>
        <v/>
      </c>
      <c r="I1638" s="52" t="str">
        <f>IF(J1638="","",INDEX(COA!$A$4:$A$123,MATCH(JU!$J1638,COA!$B$4:$B$123,0)))</f>
        <v/>
      </c>
      <c r="K1638" s="34" t="str">
        <f t="shared" si="283"/>
        <v/>
      </c>
    </row>
    <row r="1639" spans="6:11" hidden="1">
      <c r="F1639" s="52" t="str">
        <f>IF(G1639="","",INDEX(COA!$A$4:$A$123,MATCH(JU!$G1639,COA!$B$4:$B$123,0)))</f>
        <v/>
      </c>
      <c r="I1639" s="52" t="str">
        <f>IF(J1639="","",INDEX(COA!$A$4:$A$123,MATCH(JU!$J1639,COA!$B$4:$B$123,0)))</f>
        <v/>
      </c>
      <c r="K1639" s="34" t="str">
        <f t="shared" si="283"/>
        <v/>
      </c>
    </row>
    <row r="1640" spans="6:11" hidden="1">
      <c r="F1640" s="52" t="str">
        <f>IF(G1640="","",INDEX(COA!$A$4:$A$123,MATCH(JU!$G1640,COA!$B$4:$B$123,0)))</f>
        <v/>
      </c>
      <c r="I1640" s="52" t="str">
        <f>IF(J1640="","",INDEX(COA!$A$4:$A$123,MATCH(JU!$J1640,COA!$B$4:$B$123,0)))</f>
        <v/>
      </c>
      <c r="K1640" s="34" t="str">
        <f t="shared" si="283"/>
        <v/>
      </c>
    </row>
    <row r="1641" spans="6:11" hidden="1">
      <c r="F1641" s="52" t="str">
        <f>IF(G1641="","",INDEX(COA!$A$4:$A$123,MATCH(JU!$G1641,COA!$B$4:$B$123,0)))</f>
        <v/>
      </c>
      <c r="I1641" s="52" t="str">
        <f>IF(J1641="","",INDEX(COA!$A$4:$A$123,MATCH(JU!$J1641,COA!$B$4:$B$123,0)))</f>
        <v/>
      </c>
      <c r="K1641" s="34" t="str">
        <f t="shared" si="283"/>
        <v/>
      </c>
    </row>
    <row r="1642" spans="6:11" hidden="1">
      <c r="F1642" s="52" t="str">
        <f>IF(G1642="","",INDEX(COA!$A$4:$A$123,MATCH(JU!$G1642,COA!$B$4:$B$123,0)))</f>
        <v/>
      </c>
      <c r="I1642" s="52" t="str">
        <f>IF(J1642="","",INDEX(COA!$A$4:$A$123,MATCH(JU!$J1642,COA!$B$4:$B$123,0)))</f>
        <v/>
      </c>
      <c r="K1642" s="34" t="str">
        <f t="shared" si="283"/>
        <v/>
      </c>
    </row>
    <row r="1643" spans="6:11" hidden="1">
      <c r="F1643" s="52" t="str">
        <f>IF(G1643="","",INDEX(COA!$A$4:$A$123,MATCH(JU!$G1643,COA!$B$4:$B$123,0)))</f>
        <v/>
      </c>
      <c r="I1643" s="52" t="str">
        <f>IF(J1643="","",INDEX(COA!$A$4:$A$123,MATCH(JU!$J1643,COA!$B$4:$B$123,0)))</f>
        <v/>
      </c>
      <c r="K1643" s="34" t="str">
        <f t="shared" si="283"/>
        <v/>
      </c>
    </row>
    <row r="1644" spans="6:11" hidden="1">
      <c r="F1644" s="52" t="str">
        <f>IF(G1644="","",INDEX(COA!$A$4:$A$123,MATCH(JU!$G1644,COA!$B$4:$B$123,0)))</f>
        <v/>
      </c>
      <c r="I1644" s="52" t="str">
        <f>IF(J1644="","",INDEX(COA!$A$4:$A$123,MATCH(JU!$J1644,COA!$B$4:$B$123,0)))</f>
        <v/>
      </c>
      <c r="K1644" s="34" t="str">
        <f t="shared" si="283"/>
        <v/>
      </c>
    </row>
    <row r="1645" spans="6:11" hidden="1">
      <c r="F1645" s="52" t="str">
        <f>IF(G1645="","",INDEX(COA!$A$4:$A$123,MATCH(JU!$G1645,COA!$B$4:$B$123,0)))</f>
        <v/>
      </c>
      <c r="I1645" s="52" t="str">
        <f>IF(J1645="","",INDEX(COA!$A$4:$A$123,MATCH(JU!$J1645,COA!$B$4:$B$123,0)))</f>
        <v/>
      </c>
      <c r="K1645" s="34" t="str">
        <f t="shared" si="283"/>
        <v/>
      </c>
    </row>
    <row r="1646" spans="6:11" hidden="1">
      <c r="F1646" s="52" t="str">
        <f>IF(G1646="","",INDEX(COA!$A$4:$A$123,MATCH(JU!$G1646,COA!$B$4:$B$123,0)))</f>
        <v/>
      </c>
      <c r="I1646" s="52" t="str">
        <f>IF(J1646="","",INDEX(COA!$A$4:$A$123,MATCH(JU!$J1646,COA!$B$4:$B$123,0)))</f>
        <v/>
      </c>
      <c r="K1646" s="34" t="str">
        <f t="shared" si="283"/>
        <v/>
      </c>
    </row>
    <row r="1647" spans="6:11" hidden="1">
      <c r="F1647" s="52" t="str">
        <f>IF(G1647="","",INDEX(COA!$A$4:$A$123,MATCH(JU!$G1647,COA!$B$4:$B$123,0)))</f>
        <v/>
      </c>
      <c r="I1647" s="52" t="str">
        <f>IF(J1647="","",INDEX(COA!$A$4:$A$123,MATCH(JU!$J1647,COA!$B$4:$B$123,0)))</f>
        <v/>
      </c>
      <c r="K1647" s="34" t="str">
        <f t="shared" si="283"/>
        <v/>
      </c>
    </row>
    <row r="1648" spans="6:11" hidden="1">
      <c r="F1648" s="52" t="str">
        <f>IF(G1648="","",INDEX(COA!$A$4:$A$123,MATCH(JU!$G1648,COA!$B$4:$B$123,0)))</f>
        <v/>
      </c>
      <c r="I1648" s="52" t="str">
        <f>IF(J1648="","",INDEX(COA!$A$4:$A$123,MATCH(JU!$J1648,COA!$B$4:$B$123,0)))</f>
        <v/>
      </c>
      <c r="K1648" s="34" t="str">
        <f t="shared" si="283"/>
        <v/>
      </c>
    </row>
    <row r="1649" spans="6:11" hidden="1">
      <c r="F1649" s="52" t="str">
        <f>IF(G1649="","",INDEX(COA!$A$4:$A$123,MATCH(JU!$G1649,COA!$B$4:$B$123,0)))</f>
        <v/>
      </c>
      <c r="I1649" s="52" t="str">
        <f>IF(J1649="","",INDEX(COA!$A$4:$A$123,MATCH(JU!$J1649,COA!$B$4:$B$123,0)))</f>
        <v/>
      </c>
      <c r="K1649" s="34" t="str">
        <f t="shared" si="283"/>
        <v/>
      </c>
    </row>
    <row r="1650" spans="6:11" hidden="1">
      <c r="F1650" s="52" t="str">
        <f>IF(G1650="","",INDEX(COA!$A$4:$A$123,MATCH(JU!$G1650,COA!$B$4:$B$123,0)))</f>
        <v/>
      </c>
      <c r="I1650" s="52" t="str">
        <f>IF(J1650="","",INDEX(COA!$A$4:$A$123,MATCH(JU!$J1650,COA!$B$4:$B$123,0)))</f>
        <v/>
      </c>
      <c r="K1650" s="34" t="str">
        <f t="shared" si="283"/>
        <v/>
      </c>
    </row>
    <row r="1651" spans="6:11" hidden="1">
      <c r="F1651" s="52" t="str">
        <f>IF(G1651="","",INDEX(COA!$A$4:$A$123,MATCH(JU!$G1651,COA!$B$4:$B$123,0)))</f>
        <v/>
      </c>
      <c r="I1651" s="52" t="str">
        <f>IF(J1651="","",INDEX(COA!$A$4:$A$123,MATCH(JU!$J1651,COA!$B$4:$B$123,0)))</f>
        <v/>
      </c>
      <c r="K1651" s="34" t="str">
        <f t="shared" si="283"/>
        <v/>
      </c>
    </row>
    <row r="1652" spans="6:11" hidden="1">
      <c r="F1652" s="52" t="str">
        <f>IF(G1652="","",INDEX(COA!$A$4:$A$123,MATCH(JU!$G1652,COA!$B$4:$B$123,0)))</f>
        <v/>
      </c>
      <c r="I1652" s="52" t="str">
        <f>IF(J1652="","",INDEX(COA!$A$4:$A$123,MATCH(JU!$J1652,COA!$B$4:$B$123,0)))</f>
        <v/>
      </c>
      <c r="K1652" s="34" t="str">
        <f t="shared" si="283"/>
        <v/>
      </c>
    </row>
    <row r="1653" spans="6:11" hidden="1">
      <c r="F1653" s="52" t="str">
        <f>IF(G1653="","",INDEX(COA!$A$4:$A$123,MATCH(JU!$G1653,COA!$B$4:$B$123,0)))</f>
        <v/>
      </c>
      <c r="I1653" s="52" t="str">
        <f>IF(J1653="","",INDEX(COA!$A$4:$A$123,MATCH(JU!$J1653,COA!$B$4:$B$123,0)))</f>
        <v/>
      </c>
      <c r="K1653" s="34" t="str">
        <f t="shared" si="283"/>
        <v/>
      </c>
    </row>
    <row r="1654" spans="6:11" hidden="1">
      <c r="F1654" s="52" t="str">
        <f>IF(G1654="","",INDEX(COA!$A$4:$A$123,MATCH(JU!$G1654,COA!$B$4:$B$123,0)))</f>
        <v/>
      </c>
      <c r="I1654" s="52" t="str">
        <f>IF(J1654="","",INDEX(COA!$A$4:$A$123,MATCH(JU!$J1654,COA!$B$4:$B$123,0)))</f>
        <v/>
      </c>
      <c r="K1654" s="34" t="str">
        <f t="shared" si="283"/>
        <v/>
      </c>
    </row>
    <row r="1655" spans="6:11" hidden="1">
      <c r="F1655" s="52" t="str">
        <f>IF(G1655="","",INDEX(COA!$A$4:$A$123,MATCH(JU!$G1655,COA!$B$4:$B$123,0)))</f>
        <v/>
      </c>
      <c r="I1655" s="52" t="str">
        <f>IF(J1655="","",INDEX(COA!$A$4:$A$123,MATCH(JU!$J1655,COA!$B$4:$B$123,0)))</f>
        <v/>
      </c>
      <c r="K1655" s="34" t="str">
        <f t="shared" si="283"/>
        <v/>
      </c>
    </row>
    <row r="1656" spans="6:11" hidden="1">
      <c r="F1656" s="52" t="str">
        <f>IF(G1656="","",INDEX(COA!$A$4:$A$123,MATCH(JU!$G1656,COA!$B$4:$B$123,0)))</f>
        <v/>
      </c>
      <c r="I1656" s="52" t="str">
        <f>IF(J1656="","",INDEX(COA!$A$4:$A$123,MATCH(JU!$J1656,COA!$B$4:$B$123,0)))</f>
        <v/>
      </c>
      <c r="K1656" s="34" t="str">
        <f t="shared" si="283"/>
        <v/>
      </c>
    </row>
    <row r="1657" spans="6:11" hidden="1">
      <c r="F1657" s="52" t="str">
        <f>IF(G1657="","",INDEX(COA!$A$4:$A$123,MATCH(JU!$G1657,COA!$B$4:$B$123,0)))</f>
        <v/>
      </c>
      <c r="I1657" s="52" t="str">
        <f>IF(J1657="","",INDEX(COA!$A$4:$A$123,MATCH(JU!$J1657,COA!$B$4:$B$123,0)))</f>
        <v/>
      </c>
      <c r="K1657" s="34" t="str">
        <f t="shared" si="283"/>
        <v/>
      </c>
    </row>
    <row r="1658" spans="6:11" hidden="1">
      <c r="F1658" s="52" t="str">
        <f>IF(G1658="","",INDEX(COA!$A$4:$A$123,MATCH(JU!$G1658,COA!$B$4:$B$123,0)))</f>
        <v/>
      </c>
      <c r="I1658" s="52" t="str">
        <f>IF(J1658="","",INDEX(COA!$A$4:$A$123,MATCH(JU!$J1658,COA!$B$4:$B$123,0)))</f>
        <v/>
      </c>
      <c r="K1658" s="34" t="str">
        <f t="shared" si="283"/>
        <v/>
      </c>
    </row>
    <row r="1659" spans="6:11" hidden="1">
      <c r="F1659" s="52" t="str">
        <f>IF(G1659="","",INDEX(COA!$A$4:$A$123,MATCH(JU!$G1659,COA!$B$4:$B$123,0)))</f>
        <v/>
      </c>
      <c r="I1659" s="52" t="str">
        <f>IF(J1659="","",INDEX(COA!$A$4:$A$123,MATCH(JU!$J1659,COA!$B$4:$B$123,0)))</f>
        <v/>
      </c>
      <c r="K1659" s="34" t="str">
        <f t="shared" si="283"/>
        <v/>
      </c>
    </row>
    <row r="1660" spans="6:11" hidden="1">
      <c r="F1660" s="52" t="str">
        <f>IF(G1660="","",INDEX(COA!$A$4:$A$123,MATCH(JU!$G1660,COA!$B$4:$B$123,0)))</f>
        <v/>
      </c>
      <c r="I1660" s="52" t="str">
        <f>IF(J1660="","",INDEX(COA!$A$4:$A$123,MATCH(JU!$J1660,COA!$B$4:$B$123,0)))</f>
        <v/>
      </c>
      <c r="K1660" s="34" t="str">
        <f t="shared" si="283"/>
        <v/>
      </c>
    </row>
    <row r="1661" spans="6:11" hidden="1">
      <c r="F1661" s="52" t="str">
        <f>IF(G1661="","",INDEX(COA!$A$4:$A$123,MATCH(JU!$G1661,COA!$B$4:$B$123,0)))</f>
        <v/>
      </c>
      <c r="I1661" s="52" t="str">
        <f>IF(J1661="","",INDEX(COA!$A$4:$A$123,MATCH(JU!$J1661,COA!$B$4:$B$123,0)))</f>
        <v/>
      </c>
      <c r="K1661" s="34" t="str">
        <f t="shared" si="283"/>
        <v/>
      </c>
    </row>
    <row r="1662" spans="6:11" hidden="1">
      <c r="F1662" s="52" t="str">
        <f>IF(G1662="","",INDEX(COA!$A$4:$A$123,MATCH(JU!$G1662,COA!$B$4:$B$123,0)))</f>
        <v/>
      </c>
      <c r="I1662" s="52" t="str">
        <f>IF(J1662="","",INDEX(COA!$A$4:$A$123,MATCH(JU!$J1662,COA!$B$4:$B$123,0)))</f>
        <v/>
      </c>
      <c r="K1662" s="34" t="str">
        <f t="shared" si="283"/>
        <v/>
      </c>
    </row>
    <row r="1663" spans="6:11" hidden="1">
      <c r="F1663" s="52" t="str">
        <f>IF(G1663="","",INDEX(COA!$A$4:$A$123,MATCH(JU!$G1663,COA!$B$4:$B$123,0)))</f>
        <v/>
      </c>
      <c r="I1663" s="52" t="str">
        <f>IF(J1663="","",INDEX(COA!$A$4:$A$123,MATCH(JU!$J1663,COA!$B$4:$B$123,0)))</f>
        <v/>
      </c>
      <c r="K1663" s="34" t="str">
        <f t="shared" si="283"/>
        <v/>
      </c>
    </row>
    <row r="1664" spans="6:11" hidden="1">
      <c r="F1664" s="52" t="str">
        <f>IF(G1664="","",INDEX(COA!$A$4:$A$123,MATCH(JU!$G1664,COA!$B$4:$B$123,0)))</f>
        <v/>
      </c>
      <c r="I1664" s="52" t="str">
        <f>IF(J1664="","",INDEX(COA!$A$4:$A$123,MATCH(JU!$J1664,COA!$B$4:$B$123,0)))</f>
        <v/>
      </c>
      <c r="K1664" s="34" t="str">
        <f t="shared" si="283"/>
        <v/>
      </c>
    </row>
    <row r="1665" spans="6:11" hidden="1">
      <c r="F1665" s="52" t="str">
        <f>IF(G1665="","",INDEX(COA!$A$4:$A$123,MATCH(JU!$G1665,COA!$B$4:$B$123,0)))</f>
        <v/>
      </c>
      <c r="I1665" s="52" t="str">
        <f>IF(J1665="","",INDEX(COA!$A$4:$A$123,MATCH(JU!$J1665,COA!$B$4:$B$123,0)))</f>
        <v/>
      </c>
      <c r="K1665" s="34" t="str">
        <f t="shared" si="283"/>
        <v/>
      </c>
    </row>
    <row r="1666" spans="6:11" hidden="1">
      <c r="F1666" s="52" t="str">
        <f>IF(G1666="","",INDEX(COA!$A$4:$A$123,MATCH(JU!$G1666,COA!$B$4:$B$123,0)))</f>
        <v/>
      </c>
      <c r="I1666" s="52" t="str">
        <f>IF(J1666="","",INDEX(COA!$A$4:$A$123,MATCH(JU!$J1666,COA!$B$4:$B$123,0)))</f>
        <v/>
      </c>
      <c r="K1666" s="34" t="str">
        <f t="shared" si="283"/>
        <v/>
      </c>
    </row>
    <row r="1667" spans="6:11" hidden="1">
      <c r="F1667" s="52" t="str">
        <f>IF(G1667="","",INDEX(COA!$A$4:$A$123,MATCH(JU!$G1667,COA!$B$4:$B$123,0)))</f>
        <v/>
      </c>
      <c r="I1667" s="52" t="str">
        <f>IF(J1667="","",INDEX(COA!$A$4:$A$123,MATCH(JU!$J1667,COA!$B$4:$B$123,0)))</f>
        <v/>
      </c>
      <c r="K1667" s="34" t="str">
        <f t="shared" si="283"/>
        <v/>
      </c>
    </row>
    <row r="1668" spans="6:11" hidden="1">
      <c r="F1668" s="52" t="str">
        <f>IF(G1668="","",INDEX(COA!$A$4:$A$123,MATCH(JU!$G1668,COA!$B$4:$B$123,0)))</f>
        <v/>
      </c>
      <c r="I1668" s="52" t="str">
        <f>IF(J1668="","",INDEX(COA!$A$4:$A$123,MATCH(JU!$J1668,COA!$B$4:$B$123,0)))</f>
        <v/>
      </c>
      <c r="K1668" s="34" t="str">
        <f t="shared" si="283"/>
        <v/>
      </c>
    </row>
    <row r="1669" spans="6:11" hidden="1">
      <c r="F1669" s="52" t="str">
        <f>IF(G1669="","",INDEX(COA!$A$4:$A$123,MATCH(JU!$G1669,COA!$B$4:$B$123,0)))</f>
        <v/>
      </c>
      <c r="I1669" s="52" t="str">
        <f>IF(J1669="","",INDEX(COA!$A$4:$A$123,MATCH(JU!$J1669,COA!$B$4:$B$123,0)))</f>
        <v/>
      </c>
      <c r="K1669" s="34" t="str">
        <f t="shared" si="283"/>
        <v/>
      </c>
    </row>
    <row r="1670" spans="6:11" hidden="1">
      <c r="F1670" s="52" t="str">
        <f>IF(G1670="","",INDEX(COA!$A$4:$A$123,MATCH(JU!$G1670,COA!$B$4:$B$123,0)))</f>
        <v/>
      </c>
      <c r="I1670" s="52" t="str">
        <f>IF(J1670="","",INDEX(COA!$A$4:$A$123,MATCH(JU!$J1670,COA!$B$4:$B$123,0)))</f>
        <v/>
      </c>
      <c r="K1670" s="34" t="str">
        <f t="shared" si="283"/>
        <v/>
      </c>
    </row>
    <row r="1671" spans="6:11" hidden="1">
      <c r="F1671" s="52" t="str">
        <f>IF(G1671="","",INDEX(COA!$A$4:$A$123,MATCH(JU!$G1671,COA!$B$4:$B$123,0)))</f>
        <v/>
      </c>
      <c r="I1671" s="52" t="str">
        <f>IF(J1671="","",INDEX(COA!$A$4:$A$123,MATCH(JU!$J1671,COA!$B$4:$B$123,0)))</f>
        <v/>
      </c>
      <c r="K1671" s="34" t="str">
        <f t="shared" si="283"/>
        <v/>
      </c>
    </row>
    <row r="1672" spans="6:11" hidden="1">
      <c r="F1672" s="52" t="str">
        <f>IF(G1672="","",INDEX(COA!$A$4:$A$123,MATCH(JU!$G1672,COA!$B$4:$B$123,0)))</f>
        <v/>
      </c>
      <c r="I1672" s="52" t="str">
        <f>IF(J1672="","",INDEX(COA!$A$4:$A$123,MATCH(JU!$J1672,COA!$B$4:$B$123,0)))</f>
        <v/>
      </c>
      <c r="K1672" s="34" t="str">
        <f t="shared" si="283"/>
        <v/>
      </c>
    </row>
    <row r="1673" spans="6:11" hidden="1">
      <c r="F1673" s="52" t="str">
        <f>IF(G1673="","",INDEX(COA!$A$4:$A$123,MATCH(JU!$G1673,COA!$B$4:$B$123,0)))</f>
        <v/>
      </c>
      <c r="I1673" s="52" t="str">
        <f>IF(J1673="","",INDEX(COA!$A$4:$A$123,MATCH(JU!$J1673,COA!$B$4:$B$123,0)))</f>
        <v/>
      </c>
      <c r="K1673" s="34" t="str">
        <f t="shared" si="283"/>
        <v/>
      </c>
    </row>
    <row r="1674" spans="6:11" hidden="1">
      <c r="F1674" s="52" t="str">
        <f>IF(G1674="","",INDEX(COA!$A$4:$A$123,MATCH(JU!$G1674,COA!$B$4:$B$123,0)))</f>
        <v/>
      </c>
      <c r="I1674" s="52" t="str">
        <f>IF(J1674="","",INDEX(COA!$A$4:$A$123,MATCH(JU!$J1674,COA!$B$4:$B$123,0)))</f>
        <v/>
      </c>
      <c r="K1674" s="34" t="str">
        <f t="shared" ref="K1674:K1737" si="284">IF(H1674="","",H1674)</f>
        <v/>
      </c>
    </row>
    <row r="1675" spans="6:11" hidden="1">
      <c r="F1675" s="52" t="str">
        <f>IF(G1675="","",INDEX(COA!$A$4:$A$123,MATCH(JU!$G1675,COA!$B$4:$B$123,0)))</f>
        <v/>
      </c>
      <c r="I1675" s="52" t="str">
        <f>IF(J1675="","",INDEX(COA!$A$4:$A$123,MATCH(JU!$J1675,COA!$B$4:$B$123,0)))</f>
        <v/>
      </c>
      <c r="K1675" s="34" t="str">
        <f t="shared" si="284"/>
        <v/>
      </c>
    </row>
    <row r="1676" spans="6:11" hidden="1">
      <c r="F1676" s="52" t="str">
        <f>IF(G1676="","",INDEX(COA!$A$4:$A$123,MATCH(JU!$G1676,COA!$B$4:$B$123,0)))</f>
        <v/>
      </c>
      <c r="I1676" s="52" t="str">
        <f>IF(J1676="","",INDEX(COA!$A$4:$A$123,MATCH(JU!$J1676,COA!$B$4:$B$123,0)))</f>
        <v/>
      </c>
      <c r="K1676" s="34" t="str">
        <f t="shared" si="284"/>
        <v/>
      </c>
    </row>
    <row r="1677" spans="6:11" hidden="1">
      <c r="F1677" s="52" t="str">
        <f>IF(G1677="","",INDEX(COA!$A$4:$A$123,MATCH(JU!$G1677,COA!$B$4:$B$123,0)))</f>
        <v/>
      </c>
      <c r="I1677" s="52" t="str">
        <f>IF(J1677="","",INDEX(COA!$A$4:$A$123,MATCH(JU!$J1677,COA!$B$4:$B$123,0)))</f>
        <v/>
      </c>
      <c r="K1677" s="34" t="str">
        <f t="shared" si="284"/>
        <v/>
      </c>
    </row>
    <row r="1678" spans="6:11" hidden="1">
      <c r="F1678" s="52" t="str">
        <f>IF(G1678="","",INDEX(COA!$A$4:$A$123,MATCH(JU!$G1678,COA!$B$4:$B$123,0)))</f>
        <v/>
      </c>
      <c r="I1678" s="52" t="str">
        <f>IF(J1678="","",INDEX(COA!$A$4:$A$123,MATCH(JU!$J1678,COA!$B$4:$B$123,0)))</f>
        <v/>
      </c>
      <c r="K1678" s="34" t="str">
        <f t="shared" si="284"/>
        <v/>
      </c>
    </row>
    <row r="1679" spans="6:11" hidden="1">
      <c r="F1679" s="52" t="str">
        <f>IF(G1679="","",INDEX(COA!$A$4:$A$123,MATCH(JU!$G1679,COA!$B$4:$B$123,0)))</f>
        <v/>
      </c>
      <c r="I1679" s="52" t="str">
        <f>IF(J1679="","",INDEX(COA!$A$4:$A$123,MATCH(JU!$J1679,COA!$B$4:$B$123,0)))</f>
        <v/>
      </c>
      <c r="K1679" s="34" t="str">
        <f t="shared" si="284"/>
        <v/>
      </c>
    </row>
    <row r="1680" spans="6:11" hidden="1">
      <c r="F1680" s="52" t="str">
        <f>IF(G1680="","",INDEX(COA!$A$4:$A$123,MATCH(JU!$G1680,COA!$B$4:$B$123,0)))</f>
        <v/>
      </c>
      <c r="I1680" s="52" t="str">
        <f>IF(J1680="","",INDEX(COA!$A$4:$A$123,MATCH(JU!$J1680,COA!$B$4:$B$123,0)))</f>
        <v/>
      </c>
      <c r="K1680" s="34" t="str">
        <f t="shared" si="284"/>
        <v/>
      </c>
    </row>
    <row r="1681" spans="6:11" hidden="1">
      <c r="F1681" s="52" t="str">
        <f>IF(G1681="","",INDEX(COA!$A$4:$A$123,MATCH(JU!$G1681,COA!$B$4:$B$123,0)))</f>
        <v/>
      </c>
      <c r="I1681" s="52" t="str">
        <f>IF(J1681="","",INDEX(COA!$A$4:$A$123,MATCH(JU!$J1681,COA!$B$4:$B$123,0)))</f>
        <v/>
      </c>
      <c r="K1681" s="34" t="str">
        <f t="shared" si="284"/>
        <v/>
      </c>
    </row>
    <row r="1682" spans="6:11" hidden="1">
      <c r="F1682" s="52" t="str">
        <f>IF(G1682="","",INDEX(COA!$A$4:$A$123,MATCH(JU!$G1682,COA!$B$4:$B$123,0)))</f>
        <v/>
      </c>
      <c r="I1682" s="52" t="str">
        <f>IF(J1682="","",INDEX(COA!$A$4:$A$123,MATCH(JU!$J1682,COA!$B$4:$B$123,0)))</f>
        <v/>
      </c>
      <c r="K1682" s="34" t="str">
        <f t="shared" si="284"/>
        <v/>
      </c>
    </row>
    <row r="1683" spans="6:11" hidden="1">
      <c r="F1683" s="52" t="str">
        <f>IF(G1683="","",INDEX(COA!$A$4:$A$123,MATCH(JU!$G1683,COA!$B$4:$B$123,0)))</f>
        <v/>
      </c>
      <c r="I1683" s="52" t="str">
        <f>IF(J1683="","",INDEX(COA!$A$4:$A$123,MATCH(JU!$J1683,COA!$B$4:$B$123,0)))</f>
        <v/>
      </c>
      <c r="K1683" s="34" t="str">
        <f t="shared" si="284"/>
        <v/>
      </c>
    </row>
    <row r="1684" spans="6:11" hidden="1">
      <c r="F1684" s="52" t="str">
        <f>IF(G1684="","",INDEX(COA!$A$4:$A$123,MATCH(JU!$G1684,COA!$B$4:$B$123,0)))</f>
        <v/>
      </c>
      <c r="I1684" s="52" t="str">
        <f>IF(J1684="","",INDEX(COA!$A$4:$A$123,MATCH(JU!$J1684,COA!$B$4:$B$123,0)))</f>
        <v/>
      </c>
      <c r="K1684" s="34" t="str">
        <f t="shared" si="284"/>
        <v/>
      </c>
    </row>
    <row r="1685" spans="6:11" hidden="1">
      <c r="F1685" s="52" t="str">
        <f>IF(G1685="","",INDEX(COA!$A$4:$A$123,MATCH(JU!$G1685,COA!$B$4:$B$123,0)))</f>
        <v/>
      </c>
      <c r="I1685" s="52" t="str">
        <f>IF(J1685="","",INDEX(COA!$A$4:$A$123,MATCH(JU!$J1685,COA!$B$4:$B$123,0)))</f>
        <v/>
      </c>
      <c r="K1685" s="34" t="str">
        <f t="shared" si="284"/>
        <v/>
      </c>
    </row>
    <row r="1686" spans="6:11" hidden="1">
      <c r="F1686" s="52" t="str">
        <f>IF(G1686="","",INDEX(COA!$A$4:$A$123,MATCH(JU!$G1686,COA!$B$4:$B$123,0)))</f>
        <v/>
      </c>
      <c r="I1686" s="52" t="str">
        <f>IF(J1686="","",INDEX(COA!$A$4:$A$123,MATCH(JU!$J1686,COA!$B$4:$B$123,0)))</f>
        <v/>
      </c>
      <c r="K1686" s="34" t="str">
        <f t="shared" si="284"/>
        <v/>
      </c>
    </row>
    <row r="1687" spans="6:11" hidden="1">
      <c r="F1687" s="52" t="str">
        <f>IF(G1687="","",INDEX(COA!$A$4:$A$123,MATCH(JU!$G1687,COA!$B$4:$B$123,0)))</f>
        <v/>
      </c>
      <c r="I1687" s="52" t="str">
        <f>IF(J1687="","",INDEX(COA!$A$4:$A$123,MATCH(JU!$J1687,COA!$B$4:$B$123,0)))</f>
        <v/>
      </c>
      <c r="K1687" s="34" t="str">
        <f t="shared" si="284"/>
        <v/>
      </c>
    </row>
    <row r="1688" spans="6:11" hidden="1">
      <c r="F1688" s="52" t="str">
        <f>IF(G1688="","",INDEX(COA!$A$4:$A$123,MATCH(JU!$G1688,COA!$B$4:$B$123,0)))</f>
        <v/>
      </c>
      <c r="I1688" s="52" t="str">
        <f>IF(J1688="","",INDEX(COA!$A$4:$A$123,MATCH(JU!$J1688,COA!$B$4:$B$123,0)))</f>
        <v/>
      </c>
      <c r="K1688" s="34" t="str">
        <f t="shared" si="284"/>
        <v/>
      </c>
    </row>
    <row r="1689" spans="6:11" hidden="1">
      <c r="F1689" s="52" t="str">
        <f>IF(G1689="","",INDEX(COA!$A$4:$A$123,MATCH(JU!$G1689,COA!$B$4:$B$123,0)))</f>
        <v/>
      </c>
      <c r="I1689" s="52" t="str">
        <f>IF(J1689="","",INDEX(COA!$A$4:$A$123,MATCH(JU!$J1689,COA!$B$4:$B$123,0)))</f>
        <v/>
      </c>
      <c r="K1689" s="34" t="str">
        <f t="shared" si="284"/>
        <v/>
      </c>
    </row>
    <row r="1690" spans="6:11" hidden="1">
      <c r="F1690" s="52" t="str">
        <f>IF(G1690="","",INDEX(COA!$A$4:$A$123,MATCH(JU!$G1690,COA!$B$4:$B$123,0)))</f>
        <v/>
      </c>
      <c r="I1690" s="52" t="str">
        <f>IF(J1690="","",INDEX(COA!$A$4:$A$123,MATCH(JU!$J1690,COA!$B$4:$B$123,0)))</f>
        <v/>
      </c>
      <c r="K1690" s="34" t="str">
        <f t="shared" si="284"/>
        <v/>
      </c>
    </row>
    <row r="1691" spans="6:11" hidden="1">
      <c r="F1691" s="52" t="str">
        <f>IF(G1691="","",INDEX(COA!$A$4:$A$123,MATCH(JU!$G1691,COA!$B$4:$B$123,0)))</f>
        <v/>
      </c>
      <c r="I1691" s="52" t="str">
        <f>IF(J1691="","",INDEX(COA!$A$4:$A$123,MATCH(JU!$J1691,COA!$B$4:$B$123,0)))</f>
        <v/>
      </c>
      <c r="K1691" s="34" t="str">
        <f t="shared" si="284"/>
        <v/>
      </c>
    </row>
    <row r="1692" spans="6:11" hidden="1">
      <c r="F1692" s="52" t="str">
        <f>IF(G1692="","",INDEX(COA!$A$4:$A$123,MATCH(JU!$G1692,COA!$B$4:$B$123,0)))</f>
        <v/>
      </c>
      <c r="I1692" s="52" t="str">
        <f>IF(J1692="","",INDEX(COA!$A$4:$A$123,MATCH(JU!$J1692,COA!$B$4:$B$123,0)))</f>
        <v/>
      </c>
      <c r="K1692" s="34" t="str">
        <f t="shared" si="284"/>
        <v/>
      </c>
    </row>
    <row r="1693" spans="6:11" hidden="1">
      <c r="F1693" s="52" t="str">
        <f>IF(G1693="","",INDEX(COA!$A$4:$A$123,MATCH(JU!$G1693,COA!$B$4:$B$123,0)))</f>
        <v/>
      </c>
      <c r="I1693" s="52" t="str">
        <f>IF(J1693="","",INDEX(COA!$A$4:$A$123,MATCH(JU!$J1693,COA!$B$4:$B$123,0)))</f>
        <v/>
      </c>
      <c r="K1693" s="34" t="str">
        <f t="shared" si="284"/>
        <v/>
      </c>
    </row>
    <row r="1694" spans="6:11" hidden="1">
      <c r="F1694" s="52" t="str">
        <f>IF(G1694="","",INDEX(COA!$A$4:$A$123,MATCH(JU!$G1694,COA!$B$4:$B$123,0)))</f>
        <v/>
      </c>
      <c r="I1694" s="52" t="str">
        <f>IF(J1694="","",INDEX(COA!$A$4:$A$123,MATCH(JU!$J1694,COA!$B$4:$B$123,0)))</f>
        <v/>
      </c>
      <c r="K1694" s="34" t="str">
        <f t="shared" si="284"/>
        <v/>
      </c>
    </row>
    <row r="1695" spans="6:11" hidden="1">
      <c r="F1695" s="52" t="str">
        <f>IF(G1695="","",INDEX(COA!$A$4:$A$123,MATCH(JU!$G1695,COA!$B$4:$B$123,0)))</f>
        <v/>
      </c>
      <c r="I1695" s="52" t="str">
        <f>IF(J1695="","",INDEX(COA!$A$4:$A$123,MATCH(JU!$J1695,COA!$B$4:$B$123,0)))</f>
        <v/>
      </c>
      <c r="K1695" s="34" t="str">
        <f t="shared" si="284"/>
        <v/>
      </c>
    </row>
    <row r="1696" spans="6:11" hidden="1">
      <c r="F1696" s="52" t="str">
        <f>IF(G1696="","",INDEX(COA!$A$4:$A$123,MATCH(JU!$G1696,COA!$B$4:$B$123,0)))</f>
        <v/>
      </c>
      <c r="I1696" s="52" t="str">
        <f>IF(J1696="","",INDEX(COA!$A$4:$A$123,MATCH(JU!$J1696,COA!$B$4:$B$123,0)))</f>
        <v/>
      </c>
      <c r="K1696" s="34" t="str">
        <f t="shared" si="284"/>
        <v/>
      </c>
    </row>
    <row r="1697" spans="6:11" hidden="1">
      <c r="F1697" s="52" t="str">
        <f>IF(G1697="","",INDEX(COA!$A$4:$A$123,MATCH(JU!$G1697,COA!$B$4:$B$123,0)))</f>
        <v/>
      </c>
      <c r="I1697" s="52" t="str">
        <f>IF(J1697="","",INDEX(COA!$A$4:$A$123,MATCH(JU!$J1697,COA!$B$4:$B$123,0)))</f>
        <v/>
      </c>
      <c r="K1697" s="34" t="str">
        <f t="shared" si="284"/>
        <v/>
      </c>
    </row>
    <row r="1698" spans="6:11" hidden="1">
      <c r="F1698" s="52" t="str">
        <f>IF(G1698="","",INDEX(COA!$A$4:$A$123,MATCH(JU!$G1698,COA!$B$4:$B$123,0)))</f>
        <v/>
      </c>
      <c r="I1698" s="52" t="str">
        <f>IF(J1698="","",INDEX(COA!$A$4:$A$123,MATCH(JU!$J1698,COA!$B$4:$B$123,0)))</f>
        <v/>
      </c>
      <c r="K1698" s="34" t="str">
        <f t="shared" si="284"/>
        <v/>
      </c>
    </row>
    <row r="1699" spans="6:11" hidden="1">
      <c r="F1699" s="52" t="str">
        <f>IF(G1699="","",INDEX(COA!$A$4:$A$123,MATCH(JU!$G1699,COA!$B$4:$B$123,0)))</f>
        <v/>
      </c>
      <c r="I1699" s="52" t="str">
        <f>IF(J1699="","",INDEX(COA!$A$4:$A$123,MATCH(JU!$J1699,COA!$B$4:$B$123,0)))</f>
        <v/>
      </c>
      <c r="K1699" s="34" t="str">
        <f t="shared" si="284"/>
        <v/>
      </c>
    </row>
    <row r="1700" spans="6:11" hidden="1">
      <c r="F1700" s="52" t="str">
        <f>IF(G1700="","",INDEX(COA!$A$4:$A$123,MATCH(JU!$G1700,COA!$B$4:$B$123,0)))</f>
        <v/>
      </c>
      <c r="I1700" s="52" t="str">
        <f>IF(J1700="","",INDEX(COA!$A$4:$A$123,MATCH(JU!$J1700,COA!$B$4:$B$123,0)))</f>
        <v/>
      </c>
      <c r="K1700" s="34" t="str">
        <f t="shared" si="284"/>
        <v/>
      </c>
    </row>
    <row r="1701" spans="6:11" hidden="1">
      <c r="F1701" s="52" t="str">
        <f>IF(G1701="","",INDEX(COA!$A$4:$A$123,MATCH(JU!$G1701,COA!$B$4:$B$123,0)))</f>
        <v/>
      </c>
      <c r="I1701" s="52" t="str">
        <f>IF(J1701="","",INDEX(COA!$A$4:$A$123,MATCH(JU!$J1701,COA!$B$4:$B$123,0)))</f>
        <v/>
      </c>
      <c r="K1701" s="34" t="str">
        <f t="shared" si="284"/>
        <v/>
      </c>
    </row>
    <row r="1702" spans="6:11" hidden="1">
      <c r="F1702" s="52" t="str">
        <f>IF(G1702="","",INDEX(COA!$A$4:$A$123,MATCH(JU!$G1702,COA!$B$4:$B$123,0)))</f>
        <v/>
      </c>
      <c r="I1702" s="52" t="str">
        <f>IF(J1702="","",INDEX(COA!$A$4:$A$123,MATCH(JU!$J1702,COA!$B$4:$B$123,0)))</f>
        <v/>
      </c>
      <c r="K1702" s="34" t="str">
        <f t="shared" si="284"/>
        <v/>
      </c>
    </row>
    <row r="1703" spans="6:11" hidden="1">
      <c r="F1703" s="52" t="str">
        <f>IF(G1703="","",INDEX(COA!$A$4:$A$123,MATCH(JU!$G1703,COA!$B$4:$B$123,0)))</f>
        <v/>
      </c>
      <c r="I1703" s="52" t="str">
        <f>IF(J1703="","",INDEX(COA!$A$4:$A$123,MATCH(JU!$J1703,COA!$B$4:$B$123,0)))</f>
        <v/>
      </c>
      <c r="K1703" s="34" t="str">
        <f t="shared" si="284"/>
        <v/>
      </c>
    </row>
    <row r="1704" spans="6:11" hidden="1">
      <c r="F1704" s="52" t="str">
        <f>IF(G1704="","",INDEX(COA!$A$4:$A$123,MATCH(JU!$G1704,COA!$B$4:$B$123,0)))</f>
        <v/>
      </c>
      <c r="I1704" s="52" t="str">
        <f>IF(J1704="","",INDEX(COA!$A$4:$A$123,MATCH(JU!$J1704,COA!$B$4:$B$123,0)))</f>
        <v/>
      </c>
      <c r="K1704" s="34" t="str">
        <f t="shared" si="284"/>
        <v/>
      </c>
    </row>
    <row r="1705" spans="6:11" hidden="1">
      <c r="F1705" s="52" t="str">
        <f>IF(G1705="","",INDEX(COA!$A$4:$A$123,MATCH(JU!$G1705,COA!$B$4:$B$123,0)))</f>
        <v/>
      </c>
      <c r="I1705" s="52" t="str">
        <f>IF(J1705="","",INDEX(COA!$A$4:$A$123,MATCH(JU!$J1705,COA!$B$4:$B$123,0)))</f>
        <v/>
      </c>
      <c r="K1705" s="34" t="str">
        <f t="shared" si="284"/>
        <v/>
      </c>
    </row>
    <row r="1706" spans="6:11" hidden="1">
      <c r="F1706" s="52" t="str">
        <f>IF(G1706="","",INDEX(COA!$A$4:$A$123,MATCH(JU!$G1706,COA!$B$4:$B$123,0)))</f>
        <v/>
      </c>
      <c r="I1706" s="52" t="str">
        <f>IF(J1706="","",INDEX(COA!$A$4:$A$123,MATCH(JU!$J1706,COA!$B$4:$B$123,0)))</f>
        <v/>
      </c>
      <c r="K1706" s="34" t="str">
        <f t="shared" si="284"/>
        <v/>
      </c>
    </row>
    <row r="1707" spans="6:11" hidden="1">
      <c r="F1707" s="52" t="str">
        <f>IF(G1707="","",INDEX(COA!$A$4:$A$123,MATCH(JU!$G1707,COA!$B$4:$B$123,0)))</f>
        <v/>
      </c>
      <c r="I1707" s="52" t="str">
        <f>IF(J1707="","",INDEX(COA!$A$4:$A$123,MATCH(JU!$J1707,COA!$B$4:$B$123,0)))</f>
        <v/>
      </c>
      <c r="K1707" s="34" t="str">
        <f t="shared" si="284"/>
        <v/>
      </c>
    </row>
    <row r="1708" spans="6:11" hidden="1">
      <c r="F1708" s="52" t="str">
        <f>IF(G1708="","",INDEX(COA!$A$4:$A$123,MATCH(JU!$G1708,COA!$B$4:$B$123,0)))</f>
        <v/>
      </c>
      <c r="I1708" s="52" t="str">
        <f>IF(J1708="","",INDEX(COA!$A$4:$A$123,MATCH(JU!$J1708,COA!$B$4:$B$123,0)))</f>
        <v/>
      </c>
      <c r="K1708" s="34" t="str">
        <f t="shared" si="284"/>
        <v/>
      </c>
    </row>
    <row r="1709" spans="6:11" hidden="1">
      <c r="F1709" s="52" t="str">
        <f>IF(G1709="","",INDEX(COA!$A$4:$A$123,MATCH(JU!$G1709,COA!$B$4:$B$123,0)))</f>
        <v/>
      </c>
      <c r="I1709" s="52" t="str">
        <f>IF(J1709="","",INDEX(COA!$A$4:$A$123,MATCH(JU!$J1709,COA!$B$4:$B$123,0)))</f>
        <v/>
      </c>
      <c r="K1709" s="34" t="str">
        <f t="shared" si="284"/>
        <v/>
      </c>
    </row>
    <row r="1710" spans="6:11" hidden="1">
      <c r="F1710" s="52" t="str">
        <f>IF(G1710="","",INDEX(COA!$A$4:$A$123,MATCH(JU!$G1710,COA!$B$4:$B$123,0)))</f>
        <v/>
      </c>
      <c r="I1710" s="52" t="str">
        <f>IF(J1710="","",INDEX(COA!$A$4:$A$123,MATCH(JU!$J1710,COA!$B$4:$B$123,0)))</f>
        <v/>
      </c>
      <c r="K1710" s="34" t="str">
        <f t="shared" si="284"/>
        <v/>
      </c>
    </row>
    <row r="1711" spans="6:11" hidden="1">
      <c r="F1711" s="52" t="str">
        <f>IF(G1711="","",INDEX(COA!$A$4:$A$123,MATCH(JU!$G1711,COA!$B$4:$B$123,0)))</f>
        <v/>
      </c>
      <c r="I1711" s="52" t="str">
        <f>IF(J1711="","",INDEX(COA!$A$4:$A$123,MATCH(JU!$J1711,COA!$B$4:$B$123,0)))</f>
        <v/>
      </c>
      <c r="K1711" s="34" t="str">
        <f t="shared" si="284"/>
        <v/>
      </c>
    </row>
    <row r="1712" spans="6:11" hidden="1">
      <c r="F1712" s="52" t="str">
        <f>IF(G1712="","",INDEX(COA!$A$4:$A$123,MATCH(JU!$G1712,COA!$B$4:$B$123,0)))</f>
        <v/>
      </c>
      <c r="I1712" s="52" t="str">
        <f>IF(J1712="","",INDEX(COA!$A$4:$A$123,MATCH(JU!$J1712,COA!$B$4:$B$123,0)))</f>
        <v/>
      </c>
      <c r="K1712" s="34" t="str">
        <f t="shared" si="284"/>
        <v/>
      </c>
    </row>
    <row r="1713" spans="6:11" hidden="1">
      <c r="F1713" s="52" t="str">
        <f>IF(G1713="","",INDEX(COA!$A$4:$A$123,MATCH(JU!$G1713,COA!$B$4:$B$123,0)))</f>
        <v/>
      </c>
      <c r="I1713" s="52" t="str">
        <f>IF(J1713="","",INDEX(COA!$A$4:$A$123,MATCH(JU!$J1713,COA!$B$4:$B$123,0)))</f>
        <v/>
      </c>
      <c r="K1713" s="34" t="str">
        <f t="shared" si="284"/>
        <v/>
      </c>
    </row>
    <row r="1714" spans="6:11" hidden="1">
      <c r="F1714" s="52" t="str">
        <f>IF(G1714="","",INDEX(COA!$A$4:$A$123,MATCH(JU!$G1714,COA!$B$4:$B$123,0)))</f>
        <v/>
      </c>
      <c r="I1714" s="52" t="str">
        <f>IF(J1714="","",INDEX(COA!$A$4:$A$123,MATCH(JU!$J1714,COA!$B$4:$B$123,0)))</f>
        <v/>
      </c>
      <c r="K1714" s="34" t="str">
        <f t="shared" si="284"/>
        <v/>
      </c>
    </row>
    <row r="1715" spans="6:11" hidden="1">
      <c r="F1715" s="52" t="str">
        <f>IF(G1715="","",INDEX(COA!$A$4:$A$123,MATCH(JU!$G1715,COA!$B$4:$B$123,0)))</f>
        <v/>
      </c>
      <c r="I1715" s="52" t="str">
        <f>IF(J1715="","",INDEX(COA!$A$4:$A$123,MATCH(JU!$J1715,COA!$B$4:$B$123,0)))</f>
        <v/>
      </c>
      <c r="K1715" s="34" t="str">
        <f t="shared" si="284"/>
        <v/>
      </c>
    </row>
    <row r="1716" spans="6:11" hidden="1">
      <c r="F1716" s="52" t="str">
        <f>IF(G1716="","",INDEX(COA!$A$4:$A$123,MATCH(JU!$G1716,COA!$B$4:$B$123,0)))</f>
        <v/>
      </c>
      <c r="I1716" s="52" t="str">
        <f>IF(J1716="","",INDEX(COA!$A$4:$A$123,MATCH(JU!$J1716,COA!$B$4:$B$123,0)))</f>
        <v/>
      </c>
      <c r="K1716" s="34" t="str">
        <f t="shared" si="284"/>
        <v/>
      </c>
    </row>
    <row r="1717" spans="6:11" hidden="1">
      <c r="F1717" s="52" t="str">
        <f>IF(G1717="","",INDEX(COA!$A$4:$A$123,MATCH(JU!$G1717,COA!$B$4:$B$123,0)))</f>
        <v/>
      </c>
      <c r="I1717" s="52" t="str">
        <f>IF(J1717="","",INDEX(COA!$A$4:$A$123,MATCH(JU!$J1717,COA!$B$4:$B$123,0)))</f>
        <v/>
      </c>
      <c r="K1717" s="34" t="str">
        <f t="shared" si="284"/>
        <v/>
      </c>
    </row>
    <row r="1718" spans="6:11" hidden="1">
      <c r="F1718" s="52" t="str">
        <f>IF(G1718="","",INDEX(COA!$A$4:$A$123,MATCH(JU!$G1718,COA!$B$4:$B$123,0)))</f>
        <v/>
      </c>
      <c r="I1718" s="52" t="str">
        <f>IF(J1718="","",INDEX(COA!$A$4:$A$123,MATCH(JU!$J1718,COA!$B$4:$B$123,0)))</f>
        <v/>
      </c>
      <c r="K1718" s="34" t="str">
        <f t="shared" si="284"/>
        <v/>
      </c>
    </row>
    <row r="1719" spans="6:11" hidden="1">
      <c r="F1719" s="52" t="str">
        <f>IF(G1719="","",INDEX(COA!$A$4:$A$123,MATCH(JU!$G1719,COA!$B$4:$B$123,0)))</f>
        <v/>
      </c>
      <c r="I1719" s="52" t="str">
        <f>IF(J1719="","",INDEX(COA!$A$4:$A$123,MATCH(JU!$J1719,COA!$B$4:$B$123,0)))</f>
        <v/>
      </c>
      <c r="K1719" s="34" t="str">
        <f t="shared" si="284"/>
        <v/>
      </c>
    </row>
    <row r="1720" spans="6:11" hidden="1">
      <c r="F1720" s="52" t="str">
        <f>IF(G1720="","",INDEX(COA!$A$4:$A$123,MATCH(JU!$G1720,COA!$B$4:$B$123,0)))</f>
        <v/>
      </c>
      <c r="I1720" s="52" t="str">
        <f>IF(J1720="","",INDEX(COA!$A$4:$A$123,MATCH(JU!$J1720,COA!$B$4:$B$123,0)))</f>
        <v/>
      </c>
      <c r="K1720" s="34" t="str">
        <f t="shared" si="284"/>
        <v/>
      </c>
    </row>
    <row r="1721" spans="6:11" hidden="1">
      <c r="F1721" s="52" t="str">
        <f>IF(G1721="","",INDEX(COA!$A$4:$A$123,MATCH(JU!$G1721,COA!$B$4:$B$123,0)))</f>
        <v/>
      </c>
      <c r="I1721" s="52" t="str">
        <f>IF(J1721="","",INDEX(COA!$A$4:$A$123,MATCH(JU!$J1721,COA!$B$4:$B$123,0)))</f>
        <v/>
      </c>
      <c r="K1721" s="34" t="str">
        <f t="shared" si="284"/>
        <v/>
      </c>
    </row>
    <row r="1722" spans="6:11" hidden="1">
      <c r="F1722" s="52" t="str">
        <f>IF(G1722="","",INDEX(COA!$A$4:$A$123,MATCH(JU!$G1722,COA!$B$4:$B$123,0)))</f>
        <v/>
      </c>
      <c r="I1722" s="52" t="str">
        <f>IF(J1722="","",INDEX(COA!$A$4:$A$123,MATCH(JU!$J1722,COA!$B$4:$B$123,0)))</f>
        <v/>
      </c>
      <c r="K1722" s="34" t="str">
        <f t="shared" si="284"/>
        <v/>
      </c>
    </row>
    <row r="1723" spans="6:11" hidden="1">
      <c r="F1723" s="52" t="str">
        <f>IF(G1723="","",INDEX(COA!$A$4:$A$123,MATCH(JU!$G1723,COA!$B$4:$B$123,0)))</f>
        <v/>
      </c>
      <c r="I1723" s="52" t="str">
        <f>IF(J1723="","",INDEX(COA!$A$4:$A$123,MATCH(JU!$J1723,COA!$B$4:$B$123,0)))</f>
        <v/>
      </c>
      <c r="K1723" s="34" t="str">
        <f t="shared" si="284"/>
        <v/>
      </c>
    </row>
    <row r="1724" spans="6:11" hidden="1">
      <c r="F1724" s="52" t="str">
        <f>IF(G1724="","",INDEX(COA!$A$4:$A$123,MATCH(JU!$G1724,COA!$B$4:$B$123,0)))</f>
        <v/>
      </c>
      <c r="I1724" s="52" t="str">
        <f>IF(J1724="","",INDEX(COA!$A$4:$A$123,MATCH(JU!$J1724,COA!$B$4:$B$123,0)))</f>
        <v/>
      </c>
      <c r="K1724" s="34" t="str">
        <f t="shared" si="284"/>
        <v/>
      </c>
    </row>
    <row r="1725" spans="6:11" hidden="1">
      <c r="F1725" s="52" t="str">
        <f>IF(G1725="","",INDEX(COA!$A$4:$A$123,MATCH(JU!$G1725,COA!$B$4:$B$123,0)))</f>
        <v/>
      </c>
      <c r="I1725" s="52" t="str">
        <f>IF(J1725="","",INDEX(COA!$A$4:$A$123,MATCH(JU!$J1725,COA!$B$4:$B$123,0)))</f>
        <v/>
      </c>
      <c r="K1725" s="34" t="str">
        <f t="shared" si="284"/>
        <v/>
      </c>
    </row>
    <row r="1726" spans="6:11" hidden="1">
      <c r="F1726" s="52" t="str">
        <f>IF(G1726="","",INDEX(COA!$A$4:$A$123,MATCH(JU!$G1726,COA!$B$4:$B$123,0)))</f>
        <v/>
      </c>
      <c r="I1726" s="52" t="str">
        <f>IF(J1726="","",INDEX(COA!$A$4:$A$123,MATCH(JU!$J1726,COA!$B$4:$B$123,0)))</f>
        <v/>
      </c>
      <c r="K1726" s="34" t="str">
        <f t="shared" si="284"/>
        <v/>
      </c>
    </row>
    <row r="1727" spans="6:11" hidden="1">
      <c r="F1727" s="52" t="str">
        <f>IF(G1727="","",INDEX(COA!$A$4:$A$123,MATCH(JU!$G1727,COA!$B$4:$B$123,0)))</f>
        <v/>
      </c>
      <c r="I1727" s="52" t="str">
        <f>IF(J1727="","",INDEX(COA!$A$4:$A$123,MATCH(JU!$J1727,COA!$B$4:$B$123,0)))</f>
        <v/>
      </c>
      <c r="K1727" s="34" t="str">
        <f t="shared" si="284"/>
        <v/>
      </c>
    </row>
    <row r="1728" spans="6:11" hidden="1">
      <c r="F1728" s="52" t="str">
        <f>IF(G1728="","",INDEX(COA!$A$4:$A$123,MATCH(JU!$G1728,COA!$B$4:$B$123,0)))</f>
        <v/>
      </c>
      <c r="I1728" s="52" t="str">
        <f>IF(J1728="","",INDEX(COA!$A$4:$A$123,MATCH(JU!$J1728,COA!$B$4:$B$123,0)))</f>
        <v/>
      </c>
      <c r="K1728" s="34" t="str">
        <f t="shared" si="284"/>
        <v/>
      </c>
    </row>
    <row r="1729" spans="6:11" hidden="1">
      <c r="F1729" s="52" t="str">
        <f>IF(G1729="","",INDEX(COA!$A$4:$A$123,MATCH(JU!$G1729,COA!$B$4:$B$123,0)))</f>
        <v/>
      </c>
      <c r="I1729" s="52" t="str">
        <f>IF(J1729="","",INDEX(COA!$A$4:$A$123,MATCH(JU!$J1729,COA!$B$4:$B$123,0)))</f>
        <v/>
      </c>
      <c r="K1729" s="34" t="str">
        <f t="shared" si="284"/>
        <v/>
      </c>
    </row>
    <row r="1730" spans="6:11" hidden="1">
      <c r="F1730" s="52" t="str">
        <f>IF(G1730="","",INDEX(COA!$A$4:$A$123,MATCH(JU!$G1730,COA!$B$4:$B$123,0)))</f>
        <v/>
      </c>
      <c r="I1730" s="52" t="str">
        <f>IF(J1730="","",INDEX(COA!$A$4:$A$123,MATCH(JU!$J1730,COA!$B$4:$B$123,0)))</f>
        <v/>
      </c>
      <c r="K1730" s="34" t="str">
        <f t="shared" si="284"/>
        <v/>
      </c>
    </row>
    <row r="1731" spans="6:11" hidden="1">
      <c r="F1731" s="52" t="str">
        <f>IF(G1731="","",INDEX(COA!$A$4:$A$123,MATCH(JU!$G1731,COA!$B$4:$B$123,0)))</f>
        <v/>
      </c>
      <c r="I1731" s="52" t="str">
        <f>IF(J1731="","",INDEX(COA!$A$4:$A$123,MATCH(JU!$J1731,COA!$B$4:$B$123,0)))</f>
        <v/>
      </c>
      <c r="K1731" s="34" t="str">
        <f t="shared" si="284"/>
        <v/>
      </c>
    </row>
    <row r="1732" spans="6:11" hidden="1">
      <c r="F1732" s="52" t="str">
        <f>IF(G1732="","",INDEX(COA!$A$4:$A$123,MATCH(JU!$G1732,COA!$B$4:$B$123,0)))</f>
        <v/>
      </c>
      <c r="I1732" s="52" t="str">
        <f>IF(J1732="","",INDEX(COA!$A$4:$A$123,MATCH(JU!$J1732,COA!$B$4:$B$123,0)))</f>
        <v/>
      </c>
      <c r="K1732" s="34" t="str">
        <f t="shared" si="284"/>
        <v/>
      </c>
    </row>
    <row r="1733" spans="6:11" hidden="1">
      <c r="F1733" s="52" t="str">
        <f>IF(G1733="","",INDEX(COA!$A$4:$A$123,MATCH(JU!$G1733,COA!$B$4:$B$123,0)))</f>
        <v/>
      </c>
      <c r="I1733" s="52" t="str">
        <f>IF(J1733="","",INDEX(COA!$A$4:$A$123,MATCH(JU!$J1733,COA!$B$4:$B$123,0)))</f>
        <v/>
      </c>
      <c r="K1733" s="34" t="str">
        <f t="shared" si="284"/>
        <v/>
      </c>
    </row>
    <row r="1734" spans="6:11" hidden="1">
      <c r="F1734" s="52" t="str">
        <f>IF(G1734="","",INDEX(COA!$A$4:$A$123,MATCH(JU!$G1734,COA!$B$4:$B$123,0)))</f>
        <v/>
      </c>
      <c r="I1734" s="52" t="str">
        <f>IF(J1734="","",INDEX(COA!$A$4:$A$123,MATCH(JU!$J1734,COA!$B$4:$B$123,0)))</f>
        <v/>
      </c>
      <c r="K1734" s="34" t="str">
        <f t="shared" si="284"/>
        <v/>
      </c>
    </row>
    <row r="1735" spans="6:11" hidden="1">
      <c r="F1735" s="52" t="str">
        <f>IF(G1735="","",INDEX(COA!$A$4:$A$123,MATCH(JU!$G1735,COA!$B$4:$B$123,0)))</f>
        <v/>
      </c>
      <c r="I1735" s="52" t="str">
        <f>IF(J1735="","",INDEX(COA!$A$4:$A$123,MATCH(JU!$J1735,COA!$B$4:$B$123,0)))</f>
        <v/>
      </c>
      <c r="K1735" s="34" t="str">
        <f t="shared" si="284"/>
        <v/>
      </c>
    </row>
    <row r="1736" spans="6:11" hidden="1">
      <c r="F1736" s="52" t="str">
        <f>IF(G1736="","",INDEX(COA!$A$4:$A$123,MATCH(JU!$G1736,COA!$B$4:$B$123,0)))</f>
        <v/>
      </c>
      <c r="I1736" s="52" t="str">
        <f>IF(J1736="","",INDEX(COA!$A$4:$A$123,MATCH(JU!$J1736,COA!$B$4:$B$123,0)))</f>
        <v/>
      </c>
      <c r="K1736" s="34" t="str">
        <f t="shared" si="284"/>
        <v/>
      </c>
    </row>
    <row r="1737" spans="6:11" hidden="1">
      <c r="F1737" s="52" t="str">
        <f>IF(G1737="","",INDEX(COA!$A$4:$A$123,MATCH(JU!$G1737,COA!$B$4:$B$123,0)))</f>
        <v/>
      </c>
      <c r="I1737" s="52" t="str">
        <f>IF(J1737="","",INDEX(COA!$A$4:$A$123,MATCH(JU!$J1737,COA!$B$4:$B$123,0)))</f>
        <v/>
      </c>
      <c r="K1737" s="34" t="str">
        <f t="shared" si="284"/>
        <v/>
      </c>
    </row>
    <row r="1738" spans="6:11" hidden="1">
      <c r="F1738" s="52" t="str">
        <f>IF(G1738="","",INDEX(COA!$A$4:$A$123,MATCH(JU!$G1738,COA!$B$4:$B$123,0)))</f>
        <v/>
      </c>
      <c r="I1738" s="52" t="str">
        <f>IF(J1738="","",INDEX(COA!$A$4:$A$123,MATCH(JU!$J1738,COA!$B$4:$B$123,0)))</f>
        <v/>
      </c>
      <c r="K1738" s="34" t="str">
        <f t="shared" ref="K1738:K1801" si="285">IF(H1738="","",H1738)</f>
        <v/>
      </c>
    </row>
    <row r="1739" spans="6:11" hidden="1">
      <c r="F1739" s="52" t="str">
        <f>IF(G1739="","",INDEX(COA!$A$4:$A$123,MATCH(JU!$G1739,COA!$B$4:$B$123,0)))</f>
        <v/>
      </c>
      <c r="I1739" s="52" t="str">
        <f>IF(J1739="","",INDEX(COA!$A$4:$A$123,MATCH(JU!$J1739,COA!$B$4:$B$123,0)))</f>
        <v/>
      </c>
      <c r="K1739" s="34" t="str">
        <f t="shared" si="285"/>
        <v/>
      </c>
    </row>
    <row r="1740" spans="6:11" hidden="1">
      <c r="F1740" s="52" t="str">
        <f>IF(G1740="","",INDEX(COA!$A$4:$A$123,MATCH(JU!$G1740,COA!$B$4:$B$123,0)))</f>
        <v/>
      </c>
      <c r="I1740" s="52" t="str">
        <f>IF(J1740="","",INDEX(COA!$A$4:$A$123,MATCH(JU!$J1740,COA!$B$4:$B$123,0)))</f>
        <v/>
      </c>
      <c r="K1740" s="34" t="str">
        <f t="shared" si="285"/>
        <v/>
      </c>
    </row>
    <row r="1741" spans="6:11" hidden="1">
      <c r="F1741" s="52" t="str">
        <f>IF(G1741="","",INDEX(COA!$A$4:$A$123,MATCH(JU!$G1741,COA!$B$4:$B$123,0)))</f>
        <v/>
      </c>
      <c r="I1741" s="52" t="str">
        <f>IF(J1741="","",INDEX(COA!$A$4:$A$123,MATCH(JU!$J1741,COA!$B$4:$B$123,0)))</f>
        <v/>
      </c>
      <c r="K1741" s="34" t="str">
        <f t="shared" si="285"/>
        <v/>
      </c>
    </row>
    <row r="1742" spans="6:11" hidden="1">
      <c r="F1742" s="52" t="str">
        <f>IF(G1742="","",INDEX(COA!$A$4:$A$123,MATCH(JU!$G1742,COA!$B$4:$B$123,0)))</f>
        <v/>
      </c>
      <c r="I1742" s="52" t="str">
        <f>IF(J1742="","",INDEX(COA!$A$4:$A$123,MATCH(JU!$J1742,COA!$B$4:$B$123,0)))</f>
        <v/>
      </c>
      <c r="K1742" s="34" t="str">
        <f t="shared" si="285"/>
        <v/>
      </c>
    </row>
    <row r="1743" spans="6:11" hidden="1">
      <c r="F1743" s="52" t="str">
        <f>IF(G1743="","",INDEX(COA!$A$4:$A$123,MATCH(JU!$G1743,COA!$B$4:$B$123,0)))</f>
        <v/>
      </c>
      <c r="I1743" s="52" t="str">
        <f>IF(J1743="","",INDEX(COA!$A$4:$A$123,MATCH(JU!$J1743,COA!$B$4:$B$123,0)))</f>
        <v/>
      </c>
      <c r="K1743" s="34" t="str">
        <f t="shared" si="285"/>
        <v/>
      </c>
    </row>
    <row r="1744" spans="6:11" hidden="1">
      <c r="F1744" s="52" t="str">
        <f>IF(G1744="","",INDEX(COA!$A$4:$A$123,MATCH(JU!$G1744,COA!$B$4:$B$123,0)))</f>
        <v/>
      </c>
      <c r="I1744" s="52" t="str">
        <f>IF(J1744="","",INDEX(COA!$A$4:$A$123,MATCH(JU!$J1744,COA!$B$4:$B$123,0)))</f>
        <v/>
      </c>
      <c r="K1744" s="34" t="str">
        <f t="shared" si="285"/>
        <v/>
      </c>
    </row>
    <row r="1745" spans="6:11" hidden="1">
      <c r="F1745" s="52" t="str">
        <f>IF(G1745="","",INDEX(COA!$A$4:$A$123,MATCH(JU!$G1745,COA!$B$4:$B$123,0)))</f>
        <v/>
      </c>
      <c r="I1745" s="52" t="str">
        <f>IF(J1745="","",INDEX(COA!$A$4:$A$123,MATCH(JU!$J1745,COA!$B$4:$B$123,0)))</f>
        <v/>
      </c>
      <c r="K1745" s="34" t="str">
        <f t="shared" si="285"/>
        <v/>
      </c>
    </row>
    <row r="1746" spans="6:11" hidden="1">
      <c r="F1746" s="52" t="str">
        <f>IF(G1746="","",INDEX(COA!$A$4:$A$123,MATCH(JU!$G1746,COA!$B$4:$B$123,0)))</f>
        <v/>
      </c>
      <c r="I1746" s="52" t="str">
        <f>IF(J1746="","",INDEX(COA!$A$4:$A$123,MATCH(JU!$J1746,COA!$B$4:$B$123,0)))</f>
        <v/>
      </c>
      <c r="K1746" s="34" t="str">
        <f t="shared" si="285"/>
        <v/>
      </c>
    </row>
    <row r="1747" spans="6:11" hidden="1">
      <c r="F1747" s="52" t="str">
        <f>IF(G1747="","",INDEX(COA!$A$4:$A$123,MATCH(JU!$G1747,COA!$B$4:$B$123,0)))</f>
        <v/>
      </c>
      <c r="I1747" s="52" t="str">
        <f>IF(J1747="","",INDEX(COA!$A$4:$A$123,MATCH(JU!$J1747,COA!$B$4:$B$123,0)))</f>
        <v/>
      </c>
      <c r="K1747" s="34" t="str">
        <f t="shared" si="285"/>
        <v/>
      </c>
    </row>
    <row r="1748" spans="6:11" hidden="1">
      <c r="F1748" s="52" t="str">
        <f>IF(G1748="","",INDEX(COA!$A$4:$A$123,MATCH(JU!$G1748,COA!$B$4:$B$123,0)))</f>
        <v/>
      </c>
      <c r="I1748" s="52" t="str">
        <f>IF(J1748="","",INDEX(COA!$A$4:$A$123,MATCH(JU!$J1748,COA!$B$4:$B$123,0)))</f>
        <v/>
      </c>
      <c r="K1748" s="34" t="str">
        <f t="shared" si="285"/>
        <v/>
      </c>
    </row>
    <row r="1749" spans="6:11" hidden="1">
      <c r="F1749" s="52" t="str">
        <f>IF(G1749="","",INDEX(COA!$A$4:$A$123,MATCH(JU!$G1749,COA!$B$4:$B$123,0)))</f>
        <v/>
      </c>
      <c r="I1749" s="52" t="str">
        <f>IF(J1749="","",INDEX(COA!$A$4:$A$123,MATCH(JU!$J1749,COA!$B$4:$B$123,0)))</f>
        <v/>
      </c>
      <c r="K1749" s="34" t="str">
        <f t="shared" si="285"/>
        <v/>
      </c>
    </row>
    <row r="1750" spans="6:11" hidden="1">
      <c r="F1750" s="52" t="str">
        <f>IF(G1750="","",INDEX(COA!$A$4:$A$123,MATCH(JU!$G1750,COA!$B$4:$B$123,0)))</f>
        <v/>
      </c>
      <c r="I1750" s="52" t="str">
        <f>IF(J1750="","",INDEX(COA!$A$4:$A$123,MATCH(JU!$J1750,COA!$B$4:$B$123,0)))</f>
        <v/>
      </c>
      <c r="K1750" s="34" t="str">
        <f t="shared" si="285"/>
        <v/>
      </c>
    </row>
    <row r="1751" spans="6:11" hidden="1">
      <c r="F1751" s="52" t="str">
        <f>IF(G1751="","",INDEX(COA!$A$4:$A$123,MATCH(JU!$G1751,COA!$B$4:$B$123,0)))</f>
        <v/>
      </c>
      <c r="I1751" s="52" t="str">
        <f>IF(J1751="","",INDEX(COA!$A$4:$A$123,MATCH(JU!$J1751,COA!$B$4:$B$123,0)))</f>
        <v/>
      </c>
      <c r="K1751" s="34" t="str">
        <f t="shared" si="285"/>
        <v/>
      </c>
    </row>
    <row r="1752" spans="6:11" hidden="1">
      <c r="F1752" s="52" t="str">
        <f>IF(G1752="","",INDEX(COA!$A$4:$A$123,MATCH(JU!$G1752,COA!$B$4:$B$123,0)))</f>
        <v/>
      </c>
      <c r="I1752" s="52" t="str">
        <f>IF(J1752="","",INDEX(COA!$A$4:$A$123,MATCH(JU!$J1752,COA!$B$4:$B$123,0)))</f>
        <v/>
      </c>
      <c r="K1752" s="34" t="str">
        <f t="shared" si="285"/>
        <v/>
      </c>
    </row>
    <row r="1753" spans="6:11" hidden="1">
      <c r="F1753" s="52" t="str">
        <f>IF(G1753="","",INDEX(COA!$A$4:$A$123,MATCH(JU!$G1753,COA!$B$4:$B$123,0)))</f>
        <v/>
      </c>
      <c r="I1753" s="52" t="str">
        <f>IF(J1753="","",INDEX(COA!$A$4:$A$123,MATCH(JU!$J1753,COA!$B$4:$B$123,0)))</f>
        <v/>
      </c>
      <c r="K1753" s="34" t="str">
        <f t="shared" si="285"/>
        <v/>
      </c>
    </row>
    <row r="1754" spans="6:11" hidden="1">
      <c r="F1754" s="52" t="str">
        <f>IF(G1754="","",INDEX(COA!$A$4:$A$123,MATCH(JU!$G1754,COA!$B$4:$B$123,0)))</f>
        <v/>
      </c>
      <c r="I1754" s="52" t="str">
        <f>IF(J1754="","",INDEX(COA!$A$4:$A$123,MATCH(JU!$J1754,COA!$B$4:$B$123,0)))</f>
        <v/>
      </c>
      <c r="K1754" s="34" t="str">
        <f t="shared" si="285"/>
        <v/>
      </c>
    </row>
    <row r="1755" spans="6:11" hidden="1">
      <c r="F1755" s="52" t="str">
        <f>IF(G1755="","",INDEX(COA!$A$4:$A$123,MATCH(JU!$G1755,COA!$B$4:$B$123,0)))</f>
        <v/>
      </c>
      <c r="I1755" s="52" t="str">
        <f>IF(J1755="","",INDEX(COA!$A$4:$A$123,MATCH(JU!$J1755,COA!$B$4:$B$123,0)))</f>
        <v/>
      </c>
      <c r="K1755" s="34" t="str">
        <f t="shared" si="285"/>
        <v/>
      </c>
    </row>
    <row r="1756" spans="6:11" hidden="1">
      <c r="F1756" s="52" t="str">
        <f>IF(G1756="","",INDEX(COA!$A$4:$A$123,MATCH(JU!$G1756,COA!$B$4:$B$123,0)))</f>
        <v/>
      </c>
      <c r="I1756" s="52" t="str">
        <f>IF(J1756="","",INDEX(COA!$A$4:$A$123,MATCH(JU!$J1756,COA!$B$4:$B$123,0)))</f>
        <v/>
      </c>
      <c r="K1756" s="34" t="str">
        <f t="shared" si="285"/>
        <v/>
      </c>
    </row>
    <row r="1757" spans="6:11" hidden="1">
      <c r="F1757" s="52" t="str">
        <f>IF(G1757="","",INDEX(COA!$A$4:$A$123,MATCH(JU!$G1757,COA!$B$4:$B$123,0)))</f>
        <v/>
      </c>
      <c r="I1757" s="52" t="str">
        <f>IF(J1757="","",INDEX(COA!$A$4:$A$123,MATCH(JU!$J1757,COA!$B$4:$B$123,0)))</f>
        <v/>
      </c>
      <c r="K1757" s="34" t="str">
        <f t="shared" si="285"/>
        <v/>
      </c>
    </row>
    <row r="1758" spans="6:11" hidden="1">
      <c r="F1758" s="52" t="str">
        <f>IF(G1758="","",INDEX(COA!$A$4:$A$123,MATCH(JU!$G1758,COA!$B$4:$B$123,0)))</f>
        <v/>
      </c>
      <c r="I1758" s="52" t="str">
        <f>IF(J1758="","",INDEX(COA!$A$4:$A$123,MATCH(JU!$J1758,COA!$B$4:$B$123,0)))</f>
        <v/>
      </c>
      <c r="K1758" s="34" t="str">
        <f t="shared" si="285"/>
        <v/>
      </c>
    </row>
    <row r="1759" spans="6:11" hidden="1">
      <c r="F1759" s="52" t="str">
        <f>IF(G1759="","",INDEX(COA!$A$4:$A$123,MATCH(JU!$G1759,COA!$B$4:$B$123,0)))</f>
        <v/>
      </c>
      <c r="I1759" s="52" t="str">
        <f>IF(J1759="","",INDEX(COA!$A$4:$A$123,MATCH(JU!$J1759,COA!$B$4:$B$123,0)))</f>
        <v/>
      </c>
      <c r="K1759" s="34" t="str">
        <f t="shared" si="285"/>
        <v/>
      </c>
    </row>
    <row r="1760" spans="6:11" hidden="1">
      <c r="F1760" s="52" t="str">
        <f>IF(G1760="","",INDEX(COA!$A$4:$A$123,MATCH(JU!$G1760,COA!$B$4:$B$123,0)))</f>
        <v/>
      </c>
      <c r="I1760" s="52" t="str">
        <f>IF(J1760="","",INDEX(COA!$A$4:$A$123,MATCH(JU!$J1760,COA!$B$4:$B$123,0)))</f>
        <v/>
      </c>
      <c r="K1760" s="34" t="str">
        <f t="shared" si="285"/>
        <v/>
      </c>
    </row>
    <row r="1761" spans="6:11" hidden="1">
      <c r="F1761" s="52" t="str">
        <f>IF(G1761="","",INDEX(COA!$A$4:$A$123,MATCH(JU!$G1761,COA!$B$4:$B$123,0)))</f>
        <v/>
      </c>
      <c r="I1761" s="52" t="str">
        <f>IF(J1761="","",INDEX(COA!$A$4:$A$123,MATCH(JU!$J1761,COA!$B$4:$B$123,0)))</f>
        <v/>
      </c>
      <c r="K1761" s="34" t="str">
        <f t="shared" si="285"/>
        <v/>
      </c>
    </row>
    <row r="1762" spans="6:11" hidden="1">
      <c r="F1762" s="52" t="str">
        <f>IF(G1762="","",INDEX(COA!$A$4:$A$123,MATCH(JU!$G1762,COA!$B$4:$B$123,0)))</f>
        <v/>
      </c>
      <c r="I1762" s="52" t="str">
        <f>IF(J1762="","",INDEX(COA!$A$4:$A$123,MATCH(JU!$J1762,COA!$B$4:$B$123,0)))</f>
        <v/>
      </c>
      <c r="K1762" s="34" t="str">
        <f t="shared" si="285"/>
        <v/>
      </c>
    </row>
    <row r="1763" spans="6:11" hidden="1">
      <c r="F1763" s="52" t="str">
        <f>IF(G1763="","",INDEX(COA!$A$4:$A$123,MATCH(JU!$G1763,COA!$B$4:$B$123,0)))</f>
        <v/>
      </c>
      <c r="I1763" s="52" t="str">
        <f>IF(J1763="","",INDEX(COA!$A$4:$A$123,MATCH(JU!$J1763,COA!$B$4:$B$123,0)))</f>
        <v/>
      </c>
      <c r="K1763" s="34" t="str">
        <f t="shared" si="285"/>
        <v/>
      </c>
    </row>
    <row r="1764" spans="6:11" hidden="1">
      <c r="F1764" s="52" t="str">
        <f>IF(G1764="","",INDEX(COA!$A$4:$A$123,MATCH(JU!$G1764,COA!$B$4:$B$123,0)))</f>
        <v/>
      </c>
      <c r="I1764" s="52" t="str">
        <f>IF(J1764="","",INDEX(COA!$A$4:$A$123,MATCH(JU!$J1764,COA!$B$4:$B$123,0)))</f>
        <v/>
      </c>
      <c r="K1764" s="34" t="str">
        <f t="shared" si="285"/>
        <v/>
      </c>
    </row>
    <row r="1765" spans="6:11" hidden="1">
      <c r="F1765" s="52" t="str">
        <f>IF(G1765="","",INDEX(COA!$A$4:$A$123,MATCH(JU!$G1765,COA!$B$4:$B$123,0)))</f>
        <v/>
      </c>
      <c r="I1765" s="52" t="str">
        <f>IF(J1765="","",INDEX(COA!$A$4:$A$123,MATCH(JU!$J1765,COA!$B$4:$B$123,0)))</f>
        <v/>
      </c>
      <c r="K1765" s="34" t="str">
        <f t="shared" si="285"/>
        <v/>
      </c>
    </row>
    <row r="1766" spans="6:11" hidden="1">
      <c r="F1766" s="52" t="str">
        <f>IF(G1766="","",INDEX(COA!$A$4:$A$123,MATCH(JU!$G1766,COA!$B$4:$B$123,0)))</f>
        <v/>
      </c>
      <c r="I1766" s="52" t="str">
        <f>IF(J1766="","",INDEX(COA!$A$4:$A$123,MATCH(JU!$J1766,COA!$B$4:$B$123,0)))</f>
        <v/>
      </c>
      <c r="K1766" s="34" t="str">
        <f t="shared" si="285"/>
        <v/>
      </c>
    </row>
    <row r="1767" spans="6:11" hidden="1">
      <c r="F1767" s="52" t="str">
        <f>IF(G1767="","",INDEX(COA!$A$4:$A$123,MATCH(JU!$G1767,COA!$B$4:$B$123,0)))</f>
        <v/>
      </c>
      <c r="I1767" s="52" t="str">
        <f>IF(J1767="","",INDEX(COA!$A$4:$A$123,MATCH(JU!$J1767,COA!$B$4:$B$123,0)))</f>
        <v/>
      </c>
      <c r="K1767" s="34" t="str">
        <f t="shared" si="285"/>
        <v/>
      </c>
    </row>
    <row r="1768" spans="6:11" hidden="1">
      <c r="F1768" s="52" t="str">
        <f>IF(G1768="","",INDEX(COA!$A$4:$A$123,MATCH(JU!$G1768,COA!$B$4:$B$123,0)))</f>
        <v/>
      </c>
      <c r="I1768" s="52" t="str">
        <f>IF(J1768="","",INDEX(COA!$A$4:$A$123,MATCH(JU!$J1768,COA!$B$4:$B$123,0)))</f>
        <v/>
      </c>
      <c r="K1768" s="34" t="str">
        <f t="shared" si="285"/>
        <v/>
      </c>
    </row>
    <row r="1769" spans="6:11" hidden="1">
      <c r="F1769" s="52" t="str">
        <f>IF(G1769="","",INDEX(COA!$A$4:$A$123,MATCH(JU!$G1769,COA!$B$4:$B$123,0)))</f>
        <v/>
      </c>
      <c r="I1769" s="52" t="str">
        <f>IF(J1769="","",INDEX(COA!$A$4:$A$123,MATCH(JU!$J1769,COA!$B$4:$B$123,0)))</f>
        <v/>
      </c>
      <c r="K1769" s="34" t="str">
        <f t="shared" si="285"/>
        <v/>
      </c>
    </row>
    <row r="1770" spans="6:11" hidden="1">
      <c r="F1770" s="52" t="str">
        <f>IF(G1770="","",INDEX(COA!$A$4:$A$123,MATCH(JU!$G1770,COA!$B$4:$B$123,0)))</f>
        <v/>
      </c>
      <c r="I1770" s="52" t="str">
        <f>IF(J1770="","",INDEX(COA!$A$4:$A$123,MATCH(JU!$J1770,COA!$B$4:$B$123,0)))</f>
        <v/>
      </c>
      <c r="K1770" s="34" t="str">
        <f t="shared" si="285"/>
        <v/>
      </c>
    </row>
    <row r="1771" spans="6:11" hidden="1">
      <c r="F1771" s="52" t="str">
        <f>IF(G1771="","",INDEX(COA!$A$4:$A$123,MATCH(JU!$G1771,COA!$B$4:$B$123,0)))</f>
        <v/>
      </c>
      <c r="I1771" s="52" t="str">
        <f>IF(J1771="","",INDEX(COA!$A$4:$A$123,MATCH(JU!$J1771,COA!$B$4:$B$123,0)))</f>
        <v/>
      </c>
      <c r="K1771" s="34" t="str">
        <f t="shared" si="285"/>
        <v/>
      </c>
    </row>
    <row r="1772" spans="6:11" hidden="1">
      <c r="F1772" s="52" t="str">
        <f>IF(G1772="","",INDEX(COA!$A$4:$A$123,MATCH(JU!$G1772,COA!$B$4:$B$123,0)))</f>
        <v/>
      </c>
      <c r="I1772" s="52" t="str">
        <f>IF(J1772="","",INDEX(COA!$A$4:$A$123,MATCH(JU!$J1772,COA!$B$4:$B$123,0)))</f>
        <v/>
      </c>
      <c r="K1772" s="34" t="str">
        <f t="shared" si="285"/>
        <v/>
      </c>
    </row>
    <row r="1773" spans="6:11" hidden="1">
      <c r="F1773" s="52" t="str">
        <f>IF(G1773="","",INDEX(COA!$A$4:$A$123,MATCH(JU!$G1773,COA!$B$4:$B$123,0)))</f>
        <v/>
      </c>
      <c r="I1773" s="52" t="str">
        <f>IF(J1773="","",INDEX(COA!$A$4:$A$123,MATCH(JU!$J1773,COA!$B$4:$B$123,0)))</f>
        <v/>
      </c>
      <c r="K1773" s="34" t="str">
        <f t="shared" si="285"/>
        <v/>
      </c>
    </row>
    <row r="1774" spans="6:11" hidden="1">
      <c r="F1774" s="52" t="str">
        <f>IF(G1774="","",INDEX(COA!$A$4:$A$123,MATCH(JU!$G1774,COA!$B$4:$B$123,0)))</f>
        <v/>
      </c>
      <c r="I1774" s="52" t="str">
        <f>IF(J1774="","",INDEX(COA!$A$4:$A$123,MATCH(JU!$J1774,COA!$B$4:$B$123,0)))</f>
        <v/>
      </c>
      <c r="K1774" s="34" t="str">
        <f t="shared" si="285"/>
        <v/>
      </c>
    </row>
    <row r="1775" spans="6:11" hidden="1">
      <c r="F1775" s="52" t="str">
        <f>IF(G1775="","",INDEX(COA!$A$4:$A$123,MATCH(JU!$G1775,COA!$B$4:$B$123,0)))</f>
        <v/>
      </c>
      <c r="I1775" s="52" t="str">
        <f>IF(J1775="","",INDEX(COA!$A$4:$A$123,MATCH(JU!$J1775,COA!$B$4:$B$123,0)))</f>
        <v/>
      </c>
      <c r="K1775" s="34" t="str">
        <f t="shared" si="285"/>
        <v/>
      </c>
    </row>
    <row r="1776" spans="6:11" hidden="1">
      <c r="F1776" s="52" t="str">
        <f>IF(G1776="","",INDEX(COA!$A$4:$A$123,MATCH(JU!$G1776,COA!$B$4:$B$123,0)))</f>
        <v/>
      </c>
      <c r="I1776" s="52" t="str">
        <f>IF(J1776="","",INDEX(COA!$A$4:$A$123,MATCH(JU!$J1776,COA!$B$4:$B$123,0)))</f>
        <v/>
      </c>
      <c r="K1776" s="34" t="str">
        <f t="shared" si="285"/>
        <v/>
      </c>
    </row>
    <row r="1777" spans="6:11" hidden="1">
      <c r="F1777" s="52" t="str">
        <f>IF(G1777="","",INDEX(COA!$A$4:$A$123,MATCH(JU!$G1777,COA!$B$4:$B$123,0)))</f>
        <v/>
      </c>
      <c r="I1777" s="52" t="str">
        <f>IF(J1777="","",INDEX(COA!$A$4:$A$123,MATCH(JU!$J1777,COA!$B$4:$B$123,0)))</f>
        <v/>
      </c>
      <c r="K1777" s="34" t="str">
        <f t="shared" si="285"/>
        <v/>
      </c>
    </row>
    <row r="1778" spans="6:11" hidden="1">
      <c r="F1778" s="52" t="str">
        <f>IF(G1778="","",INDEX(COA!$A$4:$A$123,MATCH(JU!$G1778,COA!$B$4:$B$123,0)))</f>
        <v/>
      </c>
      <c r="I1778" s="52" t="str">
        <f>IF(J1778="","",INDEX(COA!$A$4:$A$123,MATCH(JU!$J1778,COA!$B$4:$B$123,0)))</f>
        <v/>
      </c>
      <c r="K1778" s="34" t="str">
        <f t="shared" si="285"/>
        <v/>
      </c>
    </row>
    <row r="1779" spans="6:11" hidden="1">
      <c r="F1779" s="52" t="str">
        <f>IF(G1779="","",INDEX(COA!$A$4:$A$123,MATCH(JU!$G1779,COA!$B$4:$B$123,0)))</f>
        <v/>
      </c>
      <c r="I1779" s="52" t="str">
        <f>IF(J1779="","",INDEX(COA!$A$4:$A$123,MATCH(JU!$J1779,COA!$B$4:$B$123,0)))</f>
        <v/>
      </c>
      <c r="K1779" s="34" t="str">
        <f t="shared" si="285"/>
        <v/>
      </c>
    </row>
    <row r="1780" spans="6:11" hidden="1">
      <c r="F1780" s="52" t="str">
        <f>IF(G1780="","",INDEX(COA!$A$4:$A$123,MATCH(JU!$G1780,COA!$B$4:$B$123,0)))</f>
        <v/>
      </c>
      <c r="I1780" s="52" t="str">
        <f>IF(J1780="","",INDEX(COA!$A$4:$A$123,MATCH(JU!$J1780,COA!$B$4:$B$123,0)))</f>
        <v/>
      </c>
      <c r="K1780" s="34" t="str">
        <f t="shared" si="285"/>
        <v/>
      </c>
    </row>
    <row r="1781" spans="6:11" hidden="1">
      <c r="F1781" s="52" t="str">
        <f>IF(G1781="","",INDEX(COA!$A$4:$A$123,MATCH(JU!$G1781,COA!$B$4:$B$123,0)))</f>
        <v/>
      </c>
      <c r="I1781" s="52" t="str">
        <f>IF(J1781="","",INDEX(COA!$A$4:$A$123,MATCH(JU!$J1781,COA!$B$4:$B$123,0)))</f>
        <v/>
      </c>
      <c r="K1781" s="34" t="str">
        <f t="shared" si="285"/>
        <v/>
      </c>
    </row>
    <row r="1782" spans="6:11" hidden="1">
      <c r="F1782" s="52" t="str">
        <f>IF(G1782="","",INDEX(COA!$A$4:$A$123,MATCH(JU!$G1782,COA!$B$4:$B$123,0)))</f>
        <v/>
      </c>
      <c r="I1782" s="52" t="str">
        <f>IF(J1782="","",INDEX(COA!$A$4:$A$123,MATCH(JU!$J1782,COA!$B$4:$B$123,0)))</f>
        <v/>
      </c>
      <c r="K1782" s="34" t="str">
        <f t="shared" si="285"/>
        <v/>
      </c>
    </row>
    <row r="1783" spans="6:11" hidden="1">
      <c r="F1783" s="52" t="str">
        <f>IF(G1783="","",INDEX(COA!$A$4:$A$123,MATCH(JU!$G1783,COA!$B$4:$B$123,0)))</f>
        <v/>
      </c>
      <c r="I1783" s="52" t="str">
        <f>IF(J1783="","",INDEX(COA!$A$4:$A$123,MATCH(JU!$J1783,COA!$B$4:$B$123,0)))</f>
        <v/>
      </c>
      <c r="K1783" s="34" t="str">
        <f t="shared" si="285"/>
        <v/>
      </c>
    </row>
    <row r="1784" spans="6:11" hidden="1">
      <c r="F1784" s="52" t="str">
        <f>IF(G1784="","",INDEX(COA!$A$4:$A$123,MATCH(JU!$G1784,COA!$B$4:$B$123,0)))</f>
        <v/>
      </c>
      <c r="I1784" s="52" t="str">
        <f>IF(J1784="","",INDEX(COA!$A$4:$A$123,MATCH(JU!$J1784,COA!$B$4:$B$123,0)))</f>
        <v/>
      </c>
      <c r="K1784" s="34" t="str">
        <f t="shared" si="285"/>
        <v/>
      </c>
    </row>
    <row r="1785" spans="6:11" hidden="1">
      <c r="F1785" s="52" t="str">
        <f>IF(G1785="","",INDEX(COA!$A$4:$A$123,MATCH(JU!$G1785,COA!$B$4:$B$123,0)))</f>
        <v/>
      </c>
      <c r="I1785" s="52" t="str">
        <f>IF(J1785="","",INDEX(COA!$A$4:$A$123,MATCH(JU!$J1785,COA!$B$4:$B$123,0)))</f>
        <v/>
      </c>
      <c r="K1785" s="34" t="str">
        <f t="shared" si="285"/>
        <v/>
      </c>
    </row>
    <row r="1786" spans="6:11" hidden="1">
      <c r="F1786" s="52" t="str">
        <f>IF(G1786="","",INDEX(COA!$A$4:$A$123,MATCH(JU!$G1786,COA!$B$4:$B$123,0)))</f>
        <v/>
      </c>
      <c r="I1786" s="52" t="str">
        <f>IF(J1786="","",INDEX(COA!$A$4:$A$123,MATCH(JU!$J1786,COA!$B$4:$B$123,0)))</f>
        <v/>
      </c>
      <c r="K1786" s="34" t="str">
        <f t="shared" si="285"/>
        <v/>
      </c>
    </row>
    <row r="1787" spans="6:11" hidden="1">
      <c r="F1787" s="52" t="str">
        <f>IF(G1787="","",INDEX(COA!$A$4:$A$123,MATCH(JU!$G1787,COA!$B$4:$B$123,0)))</f>
        <v/>
      </c>
      <c r="I1787" s="52" t="str">
        <f>IF(J1787="","",INDEX(COA!$A$4:$A$123,MATCH(JU!$J1787,COA!$B$4:$B$123,0)))</f>
        <v/>
      </c>
      <c r="K1787" s="34" t="str">
        <f t="shared" si="285"/>
        <v/>
      </c>
    </row>
    <row r="1788" spans="6:11" hidden="1">
      <c r="F1788" s="52" t="str">
        <f>IF(G1788="","",INDEX(COA!$A$4:$A$123,MATCH(JU!$G1788,COA!$B$4:$B$123,0)))</f>
        <v/>
      </c>
      <c r="I1788" s="52" t="str">
        <f>IF(J1788="","",INDEX(COA!$A$4:$A$123,MATCH(JU!$J1788,COA!$B$4:$B$123,0)))</f>
        <v/>
      </c>
      <c r="K1788" s="34" t="str">
        <f t="shared" si="285"/>
        <v/>
      </c>
    </row>
    <row r="1789" spans="6:11" hidden="1">
      <c r="F1789" s="52" t="str">
        <f>IF(G1789="","",INDEX(COA!$A$4:$A$123,MATCH(JU!$G1789,COA!$B$4:$B$123,0)))</f>
        <v/>
      </c>
      <c r="I1789" s="52" t="str">
        <f>IF(J1789="","",INDEX(COA!$A$4:$A$123,MATCH(JU!$J1789,COA!$B$4:$B$123,0)))</f>
        <v/>
      </c>
      <c r="K1789" s="34" t="str">
        <f t="shared" si="285"/>
        <v/>
      </c>
    </row>
    <row r="1790" spans="6:11" hidden="1">
      <c r="F1790" s="52" t="str">
        <f>IF(G1790="","",INDEX(COA!$A$4:$A$123,MATCH(JU!$G1790,COA!$B$4:$B$123,0)))</f>
        <v/>
      </c>
      <c r="I1790" s="52" t="str">
        <f>IF(J1790="","",INDEX(COA!$A$4:$A$123,MATCH(JU!$J1790,COA!$B$4:$B$123,0)))</f>
        <v/>
      </c>
      <c r="K1790" s="34" t="str">
        <f t="shared" si="285"/>
        <v/>
      </c>
    </row>
    <row r="1791" spans="6:11" hidden="1">
      <c r="F1791" s="52" t="str">
        <f>IF(G1791="","",INDEX(COA!$A$4:$A$123,MATCH(JU!$G1791,COA!$B$4:$B$123,0)))</f>
        <v/>
      </c>
      <c r="I1791" s="52" t="str">
        <f>IF(J1791="","",INDEX(COA!$A$4:$A$123,MATCH(JU!$J1791,COA!$B$4:$B$123,0)))</f>
        <v/>
      </c>
      <c r="K1791" s="34" t="str">
        <f t="shared" si="285"/>
        <v/>
      </c>
    </row>
    <row r="1792" spans="6:11" hidden="1">
      <c r="F1792" s="52" t="str">
        <f>IF(G1792="","",INDEX(COA!$A$4:$A$123,MATCH(JU!$G1792,COA!$B$4:$B$123,0)))</f>
        <v/>
      </c>
      <c r="I1792" s="52" t="str">
        <f>IF(J1792="","",INDEX(COA!$A$4:$A$123,MATCH(JU!$J1792,COA!$B$4:$B$123,0)))</f>
        <v/>
      </c>
      <c r="K1792" s="34" t="str">
        <f t="shared" si="285"/>
        <v/>
      </c>
    </row>
    <row r="1793" spans="6:11" hidden="1">
      <c r="F1793" s="52" t="str">
        <f>IF(G1793="","",INDEX(COA!$A$4:$A$123,MATCH(JU!$G1793,COA!$B$4:$B$123,0)))</f>
        <v/>
      </c>
      <c r="I1793" s="52" t="str">
        <f>IF(J1793="","",INDEX(COA!$A$4:$A$123,MATCH(JU!$J1793,COA!$B$4:$B$123,0)))</f>
        <v/>
      </c>
      <c r="K1793" s="34" t="str">
        <f t="shared" si="285"/>
        <v/>
      </c>
    </row>
    <row r="1794" spans="6:11" hidden="1">
      <c r="F1794" s="52" t="str">
        <f>IF(G1794="","",INDEX(COA!$A$4:$A$123,MATCH(JU!$G1794,COA!$B$4:$B$123,0)))</f>
        <v/>
      </c>
      <c r="I1794" s="52" t="str">
        <f>IF(J1794="","",INDEX(COA!$A$4:$A$123,MATCH(JU!$J1794,COA!$B$4:$B$123,0)))</f>
        <v/>
      </c>
      <c r="K1794" s="34" t="str">
        <f t="shared" si="285"/>
        <v/>
      </c>
    </row>
    <row r="1795" spans="6:11" hidden="1">
      <c r="F1795" s="52" t="str">
        <f>IF(G1795="","",INDEX(COA!$A$4:$A$123,MATCH(JU!$G1795,COA!$B$4:$B$123,0)))</f>
        <v/>
      </c>
      <c r="I1795" s="52" t="str">
        <f>IF(J1795="","",INDEX(COA!$A$4:$A$123,MATCH(JU!$J1795,COA!$B$4:$B$123,0)))</f>
        <v/>
      </c>
      <c r="K1795" s="34" t="str">
        <f t="shared" si="285"/>
        <v/>
      </c>
    </row>
    <row r="1796" spans="6:11" hidden="1">
      <c r="F1796" s="52" t="str">
        <f>IF(G1796="","",INDEX(COA!$A$4:$A$123,MATCH(JU!$G1796,COA!$B$4:$B$123,0)))</f>
        <v/>
      </c>
      <c r="I1796" s="52" t="str">
        <f>IF(J1796="","",INDEX(COA!$A$4:$A$123,MATCH(JU!$J1796,COA!$B$4:$B$123,0)))</f>
        <v/>
      </c>
      <c r="K1796" s="34" t="str">
        <f t="shared" si="285"/>
        <v/>
      </c>
    </row>
    <row r="1797" spans="6:11" hidden="1">
      <c r="F1797" s="52" t="str">
        <f>IF(G1797="","",INDEX(COA!$A$4:$A$123,MATCH(JU!$G1797,COA!$B$4:$B$123,0)))</f>
        <v/>
      </c>
      <c r="I1797" s="52" t="str">
        <f>IF(J1797="","",INDEX(COA!$A$4:$A$123,MATCH(JU!$J1797,COA!$B$4:$B$123,0)))</f>
        <v/>
      </c>
      <c r="K1797" s="34" t="str">
        <f t="shared" si="285"/>
        <v/>
      </c>
    </row>
    <row r="1798" spans="6:11" hidden="1">
      <c r="F1798" s="52" t="str">
        <f>IF(G1798="","",INDEX(COA!$A$4:$A$123,MATCH(JU!$G1798,COA!$B$4:$B$123,0)))</f>
        <v/>
      </c>
      <c r="I1798" s="52" t="str">
        <f>IF(J1798="","",INDEX(COA!$A$4:$A$123,MATCH(JU!$J1798,COA!$B$4:$B$123,0)))</f>
        <v/>
      </c>
      <c r="K1798" s="34" t="str">
        <f t="shared" si="285"/>
        <v/>
      </c>
    </row>
    <row r="1799" spans="6:11" hidden="1">
      <c r="I1799" s="52" t="str">
        <f>IF(J1799="","",INDEX(COA!$A$4:$A$123,MATCH(JU!$J1799,COA!$B$4:$B$123,0)))</f>
        <v/>
      </c>
      <c r="K1799" s="34" t="str">
        <f t="shared" si="285"/>
        <v/>
      </c>
    </row>
    <row r="1800" spans="6:11" hidden="1">
      <c r="F1800" s="52" t="str">
        <f>IF(G1800="","",INDEX(COA!$A$4:$A$123,MATCH(JU!$G1800,COA!$B$4:$B$123,0)))</f>
        <v/>
      </c>
      <c r="I1800" s="52" t="str">
        <f>IF(J1800="","",INDEX(COA!$A$4:$A$123,MATCH(JU!$J1800,COA!$B$4:$B$123,0)))</f>
        <v/>
      </c>
      <c r="K1800" s="34" t="str">
        <f t="shared" si="285"/>
        <v/>
      </c>
    </row>
    <row r="1801" spans="6:11" hidden="1">
      <c r="F1801" s="52" t="str">
        <f>IF(G1801="","",INDEX(COA!$A$4:$A$123,MATCH(JU!$G1801,COA!$B$4:$B$123,0)))</f>
        <v/>
      </c>
      <c r="I1801" s="52" t="str">
        <f>IF(J1801="","",INDEX(COA!$A$4:$A$123,MATCH(JU!$J1801,COA!$B$4:$B$123,0)))</f>
        <v/>
      </c>
      <c r="K1801" s="34" t="str">
        <f t="shared" si="285"/>
        <v/>
      </c>
    </row>
    <row r="1802" spans="6:11" hidden="1">
      <c r="F1802" s="52" t="str">
        <f>IF(G1802="","",INDEX(COA!$A$4:$A$123,MATCH(JU!$G1802,COA!$B$4:$B$123,0)))</f>
        <v/>
      </c>
      <c r="I1802" s="52" t="str">
        <f>IF(J1802="","",INDEX(COA!$A$4:$A$123,MATCH(JU!$J1802,COA!$B$4:$B$123,0)))</f>
        <v/>
      </c>
      <c r="K1802" s="34" t="str">
        <f t="shared" ref="K1802:K1865" si="286">IF(H1802="","",H1802)</f>
        <v/>
      </c>
    </row>
    <row r="1803" spans="6:11" hidden="1">
      <c r="F1803" s="52" t="str">
        <f>IF(G1803="","",INDEX(COA!$A$4:$A$123,MATCH(JU!$G1803,COA!$B$4:$B$123,0)))</f>
        <v/>
      </c>
      <c r="I1803" s="52" t="str">
        <f>IF(J1803="","",INDEX(COA!$A$4:$A$123,MATCH(JU!$J1803,COA!$B$4:$B$123,0)))</f>
        <v/>
      </c>
      <c r="K1803" s="34" t="str">
        <f t="shared" si="286"/>
        <v/>
      </c>
    </row>
    <row r="1804" spans="6:11" hidden="1">
      <c r="F1804" s="52" t="str">
        <f>IF(G1804="","",INDEX(COA!$A$4:$A$123,MATCH(JU!$G1804,COA!$B$4:$B$123,0)))</f>
        <v/>
      </c>
      <c r="I1804" s="52" t="str">
        <f>IF(J1804="","",INDEX(COA!$A$4:$A$123,MATCH(JU!$J1804,COA!$B$4:$B$123,0)))</f>
        <v/>
      </c>
      <c r="K1804" s="34" t="str">
        <f t="shared" si="286"/>
        <v/>
      </c>
    </row>
    <row r="1805" spans="6:11" hidden="1">
      <c r="F1805" s="52" t="str">
        <f>IF(G1805="","",INDEX(COA!$A$4:$A$123,MATCH(JU!$G1805,COA!$B$4:$B$123,0)))</f>
        <v/>
      </c>
      <c r="I1805" s="52" t="str">
        <f>IF(J1805="","",INDEX(COA!$A$4:$A$123,MATCH(JU!$J1805,COA!$B$4:$B$123,0)))</f>
        <v/>
      </c>
      <c r="K1805" s="34" t="str">
        <f t="shared" si="286"/>
        <v/>
      </c>
    </row>
    <row r="1806" spans="6:11" hidden="1">
      <c r="F1806" s="52" t="str">
        <f>IF(G1806="","",INDEX(COA!$A$4:$A$123,MATCH(JU!$G1806,COA!$B$4:$B$123,0)))</f>
        <v/>
      </c>
      <c r="I1806" s="52" t="str">
        <f>IF(J1806="","",INDEX(COA!$A$4:$A$123,MATCH(JU!$J1806,COA!$B$4:$B$123,0)))</f>
        <v/>
      </c>
      <c r="K1806" s="34" t="str">
        <f t="shared" si="286"/>
        <v/>
      </c>
    </row>
    <row r="1807" spans="6:11" hidden="1">
      <c r="F1807" s="52" t="str">
        <f>IF(G1807="","",INDEX(COA!$A$4:$A$123,MATCH(JU!$G1807,COA!$B$4:$B$123,0)))</f>
        <v/>
      </c>
      <c r="I1807" s="52" t="str">
        <f>IF(J1807="","",INDEX(COA!$A$4:$A$123,MATCH(JU!$J1807,COA!$B$4:$B$123,0)))</f>
        <v/>
      </c>
      <c r="K1807" s="34" t="str">
        <f t="shared" si="286"/>
        <v/>
      </c>
    </row>
    <row r="1808" spans="6:11" hidden="1">
      <c r="F1808" s="52" t="str">
        <f>IF(G1808="","",INDEX(COA!$A$4:$A$123,MATCH(JU!$G1808,COA!$B$4:$B$123,0)))</f>
        <v/>
      </c>
      <c r="I1808" s="52" t="str">
        <f>IF(J1808="","",INDEX(COA!$A$4:$A$123,MATCH(JU!$J1808,COA!$B$4:$B$123,0)))</f>
        <v/>
      </c>
      <c r="K1808" s="34" t="str">
        <f t="shared" si="286"/>
        <v/>
      </c>
    </row>
    <row r="1809" spans="6:11" hidden="1">
      <c r="F1809" s="52" t="str">
        <f>IF(G1809="","",INDEX(COA!$A$4:$A$123,MATCH(JU!$G1809,COA!$B$4:$B$123,0)))</f>
        <v/>
      </c>
      <c r="I1809" s="52" t="str">
        <f>IF(J1809="","",INDEX(COA!$A$4:$A$123,MATCH(JU!$J1809,COA!$B$4:$B$123,0)))</f>
        <v/>
      </c>
      <c r="K1809" s="34" t="str">
        <f t="shared" si="286"/>
        <v/>
      </c>
    </row>
    <row r="1810" spans="6:11" hidden="1">
      <c r="F1810" s="52" t="str">
        <f>IF(G1810="","",INDEX(COA!$A$4:$A$123,MATCH(JU!$G1810,COA!$B$4:$B$123,0)))</f>
        <v/>
      </c>
      <c r="I1810" s="52" t="str">
        <f>IF(J1810="","",INDEX(COA!$A$4:$A$123,MATCH(JU!$J1810,COA!$B$4:$B$123,0)))</f>
        <v/>
      </c>
      <c r="K1810" s="34" t="str">
        <f t="shared" si="286"/>
        <v/>
      </c>
    </row>
    <row r="1811" spans="6:11" hidden="1">
      <c r="F1811" s="52" t="str">
        <f>IF(G1811="","",INDEX(COA!$A$4:$A$123,MATCH(JU!$G1811,COA!$B$4:$B$123,0)))</f>
        <v/>
      </c>
      <c r="I1811" s="52" t="str">
        <f>IF(J1811="","",INDEX(COA!$A$4:$A$123,MATCH(JU!$J1811,COA!$B$4:$B$123,0)))</f>
        <v/>
      </c>
      <c r="K1811" s="34" t="str">
        <f t="shared" si="286"/>
        <v/>
      </c>
    </row>
    <row r="1812" spans="6:11" hidden="1">
      <c r="F1812" s="52" t="str">
        <f>IF(G1812="","",INDEX(COA!$A$4:$A$123,MATCH(JU!$G1812,COA!$B$4:$B$123,0)))</f>
        <v/>
      </c>
      <c r="I1812" s="52" t="str">
        <f>IF(J1812="","",INDEX(COA!$A$4:$A$123,MATCH(JU!$J1812,COA!$B$4:$B$123,0)))</f>
        <v/>
      </c>
      <c r="K1812" s="34" t="str">
        <f t="shared" si="286"/>
        <v/>
      </c>
    </row>
    <row r="1813" spans="6:11" hidden="1">
      <c r="F1813" s="52" t="str">
        <f>IF(G1813="","",INDEX(COA!$A$4:$A$123,MATCH(JU!$G1813,COA!$B$4:$B$123,0)))</f>
        <v/>
      </c>
      <c r="I1813" s="52" t="str">
        <f>IF(J1813="","",INDEX(COA!$A$4:$A$123,MATCH(JU!$J1813,COA!$B$4:$B$123,0)))</f>
        <v/>
      </c>
      <c r="K1813" s="34" t="str">
        <f t="shared" si="286"/>
        <v/>
      </c>
    </row>
    <row r="1814" spans="6:11" hidden="1">
      <c r="F1814" s="52" t="str">
        <f>IF(G1814="","",INDEX(COA!$A$4:$A$123,MATCH(JU!$G1814,COA!$B$4:$B$123,0)))</f>
        <v/>
      </c>
      <c r="I1814" s="52" t="str">
        <f>IF(J1814="","",INDEX(COA!$A$4:$A$123,MATCH(JU!$J1814,COA!$B$4:$B$123,0)))</f>
        <v/>
      </c>
      <c r="K1814" s="34" t="str">
        <f t="shared" si="286"/>
        <v/>
      </c>
    </row>
    <row r="1815" spans="6:11" hidden="1">
      <c r="F1815" s="52" t="str">
        <f>IF(G1815="","",INDEX(COA!$A$4:$A$123,MATCH(JU!$G1815,COA!$B$4:$B$123,0)))</f>
        <v/>
      </c>
      <c r="I1815" s="52" t="str">
        <f>IF(J1815="","",INDEX(COA!$A$4:$A$123,MATCH(JU!$J1815,COA!$B$4:$B$123,0)))</f>
        <v/>
      </c>
      <c r="K1815" s="34" t="str">
        <f t="shared" si="286"/>
        <v/>
      </c>
    </row>
    <row r="1816" spans="6:11" hidden="1">
      <c r="F1816" s="52" t="str">
        <f>IF(G1816="","",INDEX(COA!$A$4:$A$123,MATCH(JU!$G1816,COA!$B$4:$B$123,0)))</f>
        <v/>
      </c>
      <c r="I1816" s="52" t="str">
        <f>IF(J1816="","",INDEX(COA!$A$4:$A$123,MATCH(JU!$J1816,COA!$B$4:$B$123,0)))</f>
        <v/>
      </c>
      <c r="K1816" s="34" t="str">
        <f t="shared" si="286"/>
        <v/>
      </c>
    </row>
    <row r="1817" spans="6:11" hidden="1">
      <c r="F1817" s="52" t="str">
        <f>IF(G1817="","",INDEX(COA!$A$4:$A$123,MATCH(JU!$G1817,COA!$B$4:$B$123,0)))</f>
        <v/>
      </c>
      <c r="I1817" s="52" t="str">
        <f>IF(J1817="","",INDEX(COA!$A$4:$A$123,MATCH(JU!$J1817,COA!$B$4:$B$123,0)))</f>
        <v/>
      </c>
      <c r="K1817" s="34" t="str">
        <f t="shared" si="286"/>
        <v/>
      </c>
    </row>
    <row r="1818" spans="6:11" hidden="1">
      <c r="F1818" s="52" t="str">
        <f>IF(G1818="","",INDEX(COA!$A$4:$A$123,MATCH(JU!$G1818,COA!$B$4:$B$123,0)))</f>
        <v/>
      </c>
      <c r="I1818" s="52" t="str">
        <f>IF(J1818="","",INDEX(COA!$A$4:$A$123,MATCH(JU!$J1818,COA!$B$4:$B$123,0)))</f>
        <v/>
      </c>
      <c r="K1818" s="34" t="str">
        <f t="shared" si="286"/>
        <v/>
      </c>
    </row>
    <row r="1819" spans="6:11" hidden="1">
      <c r="F1819" s="52" t="str">
        <f>IF(G1819="","",INDEX(COA!$A$4:$A$123,MATCH(JU!$G1819,COA!$B$4:$B$123,0)))</f>
        <v/>
      </c>
      <c r="I1819" s="52" t="str">
        <f>IF(J1819="","",INDEX(COA!$A$4:$A$123,MATCH(JU!$J1819,COA!$B$4:$B$123,0)))</f>
        <v/>
      </c>
      <c r="K1819" s="34" t="str">
        <f t="shared" si="286"/>
        <v/>
      </c>
    </row>
    <row r="1820" spans="6:11" hidden="1">
      <c r="F1820" s="52" t="str">
        <f>IF(G1820="","",INDEX(COA!$A$4:$A$123,MATCH(JU!$G1820,COA!$B$4:$B$123,0)))</f>
        <v/>
      </c>
      <c r="I1820" s="52" t="str">
        <f>IF(J1820="","",INDEX(COA!$A$4:$A$123,MATCH(JU!$J1820,COA!$B$4:$B$123,0)))</f>
        <v/>
      </c>
      <c r="K1820" s="34" t="str">
        <f t="shared" si="286"/>
        <v/>
      </c>
    </row>
    <row r="1821" spans="6:11" hidden="1">
      <c r="F1821" s="52" t="str">
        <f>IF(G1821="","",INDEX(COA!$A$4:$A$123,MATCH(JU!$G1821,COA!$B$4:$B$123,0)))</f>
        <v/>
      </c>
      <c r="I1821" s="52" t="str">
        <f>IF(J1821="","",INDEX(COA!$A$4:$A$123,MATCH(JU!$J1821,COA!$B$4:$B$123,0)))</f>
        <v/>
      </c>
      <c r="K1821" s="34" t="str">
        <f t="shared" si="286"/>
        <v/>
      </c>
    </row>
    <row r="1822" spans="6:11" hidden="1">
      <c r="F1822" s="52" t="str">
        <f>IF(G1822="","",INDEX(COA!$A$4:$A$123,MATCH(JU!$G1822,COA!$B$4:$B$123,0)))</f>
        <v/>
      </c>
      <c r="I1822" s="52" t="str">
        <f>IF(J1822="","",INDEX(COA!$A$4:$A$123,MATCH(JU!$J1822,COA!$B$4:$B$123,0)))</f>
        <v/>
      </c>
      <c r="K1822" s="34" t="str">
        <f t="shared" si="286"/>
        <v/>
      </c>
    </row>
    <row r="1823" spans="6:11" hidden="1">
      <c r="F1823" s="52" t="str">
        <f>IF(G1823="","",INDEX(COA!$A$4:$A$123,MATCH(JU!$G1823,COA!$B$4:$B$123,0)))</f>
        <v/>
      </c>
      <c r="I1823" s="52" t="str">
        <f>IF(J1823="","",INDEX(COA!$A$4:$A$123,MATCH(JU!$J1823,COA!$B$4:$B$123,0)))</f>
        <v/>
      </c>
      <c r="K1823" s="34" t="str">
        <f t="shared" si="286"/>
        <v/>
      </c>
    </row>
    <row r="1824" spans="6:11" hidden="1">
      <c r="F1824" s="52" t="str">
        <f>IF(G1824="","",INDEX(COA!$A$4:$A$123,MATCH(JU!$G1824,COA!$B$4:$B$123,0)))</f>
        <v/>
      </c>
      <c r="I1824" s="52" t="str">
        <f>IF(J1824="","",INDEX(COA!$A$4:$A$123,MATCH(JU!$J1824,COA!$B$4:$B$123,0)))</f>
        <v/>
      </c>
      <c r="K1824" s="34" t="str">
        <f t="shared" si="286"/>
        <v/>
      </c>
    </row>
    <row r="1825" spans="6:11" hidden="1">
      <c r="F1825" s="52" t="str">
        <f>IF(G1825="","",INDEX(COA!$A$4:$A$123,MATCH(JU!$G1825,COA!$B$4:$B$123,0)))</f>
        <v/>
      </c>
      <c r="I1825" s="52" t="str">
        <f>IF(J1825="","",INDEX(COA!$A$4:$A$123,MATCH(JU!$J1825,COA!$B$4:$B$123,0)))</f>
        <v/>
      </c>
      <c r="K1825" s="34" t="str">
        <f t="shared" si="286"/>
        <v/>
      </c>
    </row>
    <row r="1826" spans="6:11" hidden="1">
      <c r="F1826" s="52" t="str">
        <f>IF(G1826="","",INDEX(COA!$A$4:$A$123,MATCH(JU!$G1826,COA!$B$4:$B$123,0)))</f>
        <v/>
      </c>
      <c r="I1826" s="52" t="str">
        <f>IF(J1826="","",INDEX(COA!$A$4:$A$123,MATCH(JU!$J1826,COA!$B$4:$B$123,0)))</f>
        <v/>
      </c>
      <c r="K1826" s="34" t="str">
        <f t="shared" si="286"/>
        <v/>
      </c>
    </row>
    <row r="1827" spans="6:11" hidden="1">
      <c r="F1827" s="52" t="str">
        <f>IF(G1827="","",INDEX(COA!$A$4:$A$123,MATCH(JU!$G1827,COA!$B$4:$B$123,0)))</f>
        <v/>
      </c>
      <c r="I1827" s="52" t="str">
        <f>IF(J1827="","",INDEX(COA!$A$4:$A$123,MATCH(JU!$J1827,COA!$B$4:$B$123,0)))</f>
        <v/>
      </c>
      <c r="K1827" s="34" t="str">
        <f t="shared" si="286"/>
        <v/>
      </c>
    </row>
    <row r="1828" spans="6:11" hidden="1">
      <c r="F1828" s="52" t="str">
        <f>IF(G1828="","",INDEX(COA!$A$4:$A$123,MATCH(JU!$G1828,COA!$B$4:$B$123,0)))</f>
        <v/>
      </c>
      <c r="I1828" s="52" t="str">
        <f>IF(J1828="","",INDEX(COA!$A$4:$A$123,MATCH(JU!$J1828,COA!$B$4:$B$123,0)))</f>
        <v/>
      </c>
      <c r="K1828" s="34" t="str">
        <f t="shared" si="286"/>
        <v/>
      </c>
    </row>
    <row r="1829" spans="6:11" hidden="1">
      <c r="F1829" s="52" t="str">
        <f>IF(G1829="","",INDEX(COA!$A$4:$A$123,MATCH(JU!$G1829,COA!$B$4:$B$123,0)))</f>
        <v/>
      </c>
      <c r="I1829" s="52" t="str">
        <f>IF(J1829="","",INDEX(COA!$A$4:$A$123,MATCH(JU!$J1829,COA!$B$4:$B$123,0)))</f>
        <v/>
      </c>
      <c r="K1829" s="34" t="str">
        <f t="shared" si="286"/>
        <v/>
      </c>
    </row>
    <row r="1830" spans="6:11" hidden="1">
      <c r="F1830" s="52" t="str">
        <f>IF(G1830="","",INDEX(COA!$A$4:$A$123,MATCH(JU!$G1830,COA!$B$4:$B$123,0)))</f>
        <v/>
      </c>
      <c r="I1830" s="52" t="str">
        <f>IF(J1830="","",INDEX(COA!$A$4:$A$123,MATCH(JU!$J1830,COA!$B$4:$B$123,0)))</f>
        <v/>
      </c>
      <c r="K1830" s="34" t="str">
        <f t="shared" si="286"/>
        <v/>
      </c>
    </row>
    <row r="1831" spans="6:11" hidden="1">
      <c r="F1831" s="52" t="str">
        <f>IF(G1831="","",INDEX(COA!$A$4:$A$123,MATCH(JU!$G1831,COA!$B$4:$B$123,0)))</f>
        <v/>
      </c>
      <c r="I1831" s="52" t="str">
        <f>IF(J1831="","",INDEX(COA!$A$4:$A$123,MATCH(JU!$J1831,COA!$B$4:$B$123,0)))</f>
        <v/>
      </c>
      <c r="K1831" s="34" t="str">
        <f t="shared" si="286"/>
        <v/>
      </c>
    </row>
    <row r="1832" spans="6:11" hidden="1">
      <c r="F1832" s="52" t="str">
        <f>IF(G1832="","",INDEX(COA!$A$4:$A$123,MATCH(JU!$G1832,COA!$B$4:$B$123,0)))</f>
        <v/>
      </c>
      <c r="I1832" s="52" t="str">
        <f>IF(J1832="","",INDEX(COA!$A$4:$A$123,MATCH(JU!$J1832,COA!$B$4:$B$123,0)))</f>
        <v/>
      </c>
      <c r="K1832" s="34" t="str">
        <f t="shared" si="286"/>
        <v/>
      </c>
    </row>
    <row r="1833" spans="6:11" hidden="1">
      <c r="F1833" s="52" t="str">
        <f>IF(G1833="","",INDEX(COA!$A$4:$A$123,MATCH(JU!$G1833,COA!$B$4:$B$123,0)))</f>
        <v/>
      </c>
      <c r="I1833" s="52" t="str">
        <f>IF(J1833="","",INDEX(COA!$A$4:$A$123,MATCH(JU!$J1833,COA!$B$4:$B$123,0)))</f>
        <v/>
      </c>
      <c r="K1833" s="34" t="str">
        <f t="shared" si="286"/>
        <v/>
      </c>
    </row>
    <row r="1834" spans="6:11" hidden="1">
      <c r="F1834" s="52" t="str">
        <f>IF(G1834="","",INDEX(COA!$A$4:$A$123,MATCH(JU!$G1834,COA!$B$4:$B$123,0)))</f>
        <v/>
      </c>
      <c r="I1834" s="52" t="str">
        <f>IF(J1834="","",INDEX(COA!$A$4:$A$123,MATCH(JU!$J1834,COA!$B$4:$B$123,0)))</f>
        <v/>
      </c>
      <c r="K1834" s="34" t="str">
        <f t="shared" si="286"/>
        <v/>
      </c>
    </row>
    <row r="1835" spans="6:11" hidden="1">
      <c r="F1835" s="52" t="str">
        <f>IF(G1835="","",INDEX(COA!$A$4:$A$123,MATCH(JU!$G1835,COA!$B$4:$B$123,0)))</f>
        <v/>
      </c>
      <c r="I1835" s="52" t="str">
        <f>IF(J1835="","",INDEX(COA!$A$4:$A$123,MATCH(JU!$J1835,COA!$B$4:$B$123,0)))</f>
        <v/>
      </c>
      <c r="K1835" s="34" t="str">
        <f t="shared" si="286"/>
        <v/>
      </c>
    </row>
    <row r="1836" spans="6:11" hidden="1">
      <c r="F1836" s="52" t="str">
        <f>IF(G1836="","",INDEX(COA!$A$4:$A$123,MATCH(JU!$G1836,COA!$B$4:$B$123,0)))</f>
        <v/>
      </c>
      <c r="I1836" s="52" t="str">
        <f>IF(J1836="","",INDEX(COA!$A$4:$A$123,MATCH(JU!$J1836,COA!$B$4:$B$123,0)))</f>
        <v/>
      </c>
      <c r="K1836" s="34" t="str">
        <f t="shared" si="286"/>
        <v/>
      </c>
    </row>
    <row r="1837" spans="6:11" hidden="1">
      <c r="F1837" s="52" t="str">
        <f>IF(G1837="","",INDEX(COA!$A$4:$A$123,MATCH(JU!$G1837,COA!$B$4:$B$123,0)))</f>
        <v/>
      </c>
      <c r="I1837" s="52" t="str">
        <f>IF(J1837="","",INDEX(COA!$A$4:$A$123,MATCH(JU!$J1837,COA!$B$4:$B$123,0)))</f>
        <v/>
      </c>
      <c r="K1837" s="34" t="str">
        <f t="shared" si="286"/>
        <v/>
      </c>
    </row>
    <row r="1838" spans="6:11" hidden="1">
      <c r="F1838" s="52" t="str">
        <f>IF(G1838="","",INDEX(COA!$A$4:$A$123,MATCH(JU!$G1838,COA!$B$4:$B$123,0)))</f>
        <v/>
      </c>
      <c r="I1838" s="52" t="str">
        <f>IF(J1838="","",INDEX(COA!$A$4:$A$123,MATCH(JU!$J1838,COA!$B$4:$B$123,0)))</f>
        <v/>
      </c>
      <c r="K1838" s="34" t="str">
        <f t="shared" si="286"/>
        <v/>
      </c>
    </row>
    <row r="1839" spans="6:11" hidden="1">
      <c r="F1839" s="52" t="str">
        <f>IF(G1839="","",INDEX(COA!$A$4:$A$123,MATCH(JU!$G1839,COA!$B$4:$B$123,0)))</f>
        <v/>
      </c>
      <c r="I1839" s="52" t="str">
        <f>IF(J1839="","",INDEX(COA!$A$4:$A$123,MATCH(JU!$J1839,COA!$B$4:$B$123,0)))</f>
        <v/>
      </c>
      <c r="K1839" s="34" t="str">
        <f t="shared" si="286"/>
        <v/>
      </c>
    </row>
    <row r="1840" spans="6:11" hidden="1">
      <c r="F1840" s="52" t="str">
        <f>IF(G1840="","",INDEX(COA!$A$4:$A$123,MATCH(JU!$G1840,COA!$B$4:$B$123,0)))</f>
        <v/>
      </c>
      <c r="I1840" s="52" t="str">
        <f>IF(J1840="","",INDEX(COA!$A$4:$A$123,MATCH(JU!$J1840,COA!$B$4:$B$123,0)))</f>
        <v/>
      </c>
      <c r="K1840" s="34" t="str">
        <f t="shared" si="286"/>
        <v/>
      </c>
    </row>
    <row r="1841" spans="6:11" hidden="1">
      <c r="F1841" s="52" t="str">
        <f>IF(G1841="","",INDEX(COA!$A$4:$A$123,MATCH(JU!$G1841,COA!$B$4:$B$123,0)))</f>
        <v/>
      </c>
      <c r="I1841" s="52" t="str">
        <f>IF(J1841="","",INDEX(COA!$A$4:$A$123,MATCH(JU!$J1841,COA!$B$4:$B$123,0)))</f>
        <v/>
      </c>
      <c r="K1841" s="34" t="str">
        <f t="shared" si="286"/>
        <v/>
      </c>
    </row>
    <row r="1842" spans="6:11" hidden="1">
      <c r="F1842" s="52" t="str">
        <f>IF(G1842="","",INDEX(COA!$A$4:$A$123,MATCH(JU!$G1842,COA!$B$4:$B$123,0)))</f>
        <v/>
      </c>
      <c r="I1842" s="52" t="str">
        <f>IF(J1842="","",INDEX(COA!$A$4:$A$123,MATCH(JU!$J1842,COA!$B$4:$B$123,0)))</f>
        <v/>
      </c>
      <c r="K1842" s="34" t="str">
        <f t="shared" si="286"/>
        <v/>
      </c>
    </row>
    <row r="1843" spans="6:11" hidden="1">
      <c r="F1843" s="52" t="str">
        <f>IF(G1843="","",INDEX(COA!$A$4:$A$123,MATCH(JU!$G1843,COA!$B$4:$B$123,0)))</f>
        <v/>
      </c>
      <c r="I1843" s="52" t="str">
        <f>IF(J1843="","",INDEX(COA!$A$4:$A$123,MATCH(JU!$J1843,COA!$B$4:$B$123,0)))</f>
        <v/>
      </c>
      <c r="K1843" s="34" t="str">
        <f t="shared" si="286"/>
        <v/>
      </c>
    </row>
    <row r="1844" spans="6:11" hidden="1">
      <c r="F1844" s="52" t="str">
        <f>IF(G1844="","",INDEX(COA!$A$4:$A$123,MATCH(JU!$G1844,COA!$B$4:$B$123,0)))</f>
        <v/>
      </c>
      <c r="I1844" s="52" t="str">
        <f>IF(J1844="","",INDEX(COA!$A$4:$A$123,MATCH(JU!$J1844,COA!$B$4:$B$123,0)))</f>
        <v/>
      </c>
      <c r="K1844" s="34" t="str">
        <f t="shared" si="286"/>
        <v/>
      </c>
    </row>
    <row r="1845" spans="6:11" hidden="1">
      <c r="F1845" s="52" t="str">
        <f>IF(G1845="","",INDEX(COA!$A$4:$A$123,MATCH(JU!$G1845,COA!$B$4:$B$123,0)))</f>
        <v/>
      </c>
      <c r="I1845" s="52" t="str">
        <f>IF(J1845="","",INDEX(COA!$A$4:$A$123,MATCH(JU!$J1845,COA!$B$4:$B$123,0)))</f>
        <v/>
      </c>
      <c r="K1845" s="34" t="str">
        <f t="shared" si="286"/>
        <v/>
      </c>
    </row>
    <row r="1846" spans="6:11" hidden="1">
      <c r="F1846" s="52" t="str">
        <f>IF(G1846="","",INDEX(COA!$A$4:$A$123,MATCH(JU!$G1846,COA!$B$4:$B$123,0)))</f>
        <v/>
      </c>
      <c r="I1846" s="52" t="str">
        <f>IF(J1846="","",INDEX(COA!$A$4:$A$123,MATCH(JU!$J1846,COA!$B$4:$B$123,0)))</f>
        <v/>
      </c>
      <c r="K1846" s="34" t="str">
        <f t="shared" si="286"/>
        <v/>
      </c>
    </row>
    <row r="1847" spans="6:11" hidden="1">
      <c r="F1847" s="52" t="str">
        <f>IF(G1847="","",INDEX(COA!$A$4:$A$123,MATCH(JU!$G1847,COA!$B$4:$B$123,0)))</f>
        <v/>
      </c>
      <c r="I1847" s="52" t="str">
        <f>IF(J1847="","",INDEX(COA!$A$4:$A$123,MATCH(JU!$J1847,COA!$B$4:$B$123,0)))</f>
        <v/>
      </c>
      <c r="K1847" s="34" t="str">
        <f t="shared" si="286"/>
        <v/>
      </c>
    </row>
    <row r="1848" spans="6:11" hidden="1">
      <c r="F1848" s="52" t="str">
        <f>IF(G1848="","",INDEX(COA!$A$4:$A$123,MATCH(JU!$G1848,COA!$B$4:$B$123,0)))</f>
        <v/>
      </c>
      <c r="I1848" s="52" t="str">
        <f>IF(J1848="","",INDEX(COA!$A$4:$A$123,MATCH(JU!$J1848,COA!$B$4:$B$123,0)))</f>
        <v/>
      </c>
      <c r="K1848" s="34" t="str">
        <f t="shared" si="286"/>
        <v/>
      </c>
    </row>
    <row r="1849" spans="6:11" hidden="1">
      <c r="F1849" s="52" t="str">
        <f>IF(G1849="","",INDEX(COA!$A$4:$A$123,MATCH(JU!$G1849,COA!$B$4:$B$123,0)))</f>
        <v/>
      </c>
      <c r="I1849" s="52" t="str">
        <f>IF(J1849="","",INDEX(COA!$A$4:$A$123,MATCH(JU!$J1849,COA!$B$4:$B$123,0)))</f>
        <v/>
      </c>
      <c r="K1849" s="34" t="str">
        <f t="shared" si="286"/>
        <v/>
      </c>
    </row>
    <row r="1850" spans="6:11" hidden="1">
      <c r="F1850" s="52" t="str">
        <f>IF(G1850="","",INDEX(COA!$A$4:$A$123,MATCH(JU!$G1850,COA!$B$4:$B$123,0)))</f>
        <v/>
      </c>
      <c r="I1850" s="52" t="str">
        <f>IF(J1850="","",INDEX(COA!$A$4:$A$123,MATCH(JU!$J1850,COA!$B$4:$B$123,0)))</f>
        <v/>
      </c>
      <c r="K1850" s="34" t="str">
        <f t="shared" si="286"/>
        <v/>
      </c>
    </row>
    <row r="1851" spans="6:11" hidden="1">
      <c r="F1851" s="52" t="str">
        <f>IF(G1851="","",INDEX(COA!$A$4:$A$123,MATCH(JU!$G1851,COA!$B$4:$B$123,0)))</f>
        <v/>
      </c>
      <c r="I1851" s="52" t="str">
        <f>IF(J1851="","",INDEX(COA!$A$4:$A$123,MATCH(JU!$J1851,COA!$B$4:$B$123,0)))</f>
        <v/>
      </c>
      <c r="K1851" s="34" t="str">
        <f t="shared" si="286"/>
        <v/>
      </c>
    </row>
    <row r="1852" spans="6:11" hidden="1">
      <c r="F1852" s="52" t="str">
        <f>IF(G1852="","",INDEX(COA!$A$4:$A$123,MATCH(JU!$G1852,COA!$B$4:$B$123,0)))</f>
        <v/>
      </c>
      <c r="I1852" s="52" t="str">
        <f>IF(J1852="","",INDEX(COA!$A$4:$A$123,MATCH(JU!$J1852,COA!$B$4:$B$123,0)))</f>
        <v/>
      </c>
      <c r="K1852" s="34" t="str">
        <f t="shared" si="286"/>
        <v/>
      </c>
    </row>
    <row r="1853" spans="6:11" hidden="1">
      <c r="F1853" s="52" t="str">
        <f>IF(G1853="","",INDEX(COA!$A$4:$A$123,MATCH(JU!$G1853,COA!$B$4:$B$123,0)))</f>
        <v/>
      </c>
      <c r="I1853" s="52" t="str">
        <f>IF(J1853="","",INDEX(COA!$A$4:$A$123,MATCH(JU!$J1853,COA!$B$4:$B$123,0)))</f>
        <v/>
      </c>
      <c r="K1853" s="34" t="str">
        <f t="shared" si="286"/>
        <v/>
      </c>
    </row>
    <row r="1854" spans="6:11" hidden="1">
      <c r="F1854" s="52" t="str">
        <f>IF(G1854="","",INDEX(COA!$A$4:$A$123,MATCH(JU!$G1854,COA!$B$4:$B$123,0)))</f>
        <v/>
      </c>
      <c r="I1854" s="52" t="str">
        <f>IF(J1854="","",INDEX(COA!$A$4:$A$123,MATCH(JU!$J1854,COA!$B$4:$B$123,0)))</f>
        <v/>
      </c>
      <c r="K1854" s="34" t="str">
        <f t="shared" si="286"/>
        <v/>
      </c>
    </row>
    <row r="1855" spans="6:11" hidden="1">
      <c r="F1855" s="52" t="str">
        <f>IF(G1855="","",INDEX(COA!$A$4:$A$123,MATCH(JU!$G1855,COA!$B$4:$B$123,0)))</f>
        <v/>
      </c>
      <c r="I1855" s="52" t="str">
        <f>IF(J1855="","",INDEX(COA!$A$4:$A$123,MATCH(JU!$J1855,COA!$B$4:$B$123,0)))</f>
        <v/>
      </c>
      <c r="K1855" s="34" t="str">
        <f t="shared" si="286"/>
        <v/>
      </c>
    </row>
    <row r="1856" spans="6:11" hidden="1">
      <c r="F1856" s="52" t="str">
        <f>IF(G1856="","",INDEX(COA!$A$4:$A$123,MATCH(JU!$G1856,COA!$B$4:$B$123,0)))</f>
        <v/>
      </c>
      <c r="I1856" s="52" t="str">
        <f>IF(J1856="","",INDEX(COA!$A$4:$A$123,MATCH(JU!$J1856,COA!$B$4:$B$123,0)))</f>
        <v/>
      </c>
      <c r="K1856" s="34" t="str">
        <f t="shared" si="286"/>
        <v/>
      </c>
    </row>
    <row r="1857" spans="6:11" hidden="1">
      <c r="F1857" s="52" t="str">
        <f>IF(G1857="","",INDEX(COA!$A$4:$A$123,MATCH(JU!$G1857,COA!$B$4:$B$123,0)))</f>
        <v/>
      </c>
      <c r="I1857" s="52" t="str">
        <f>IF(J1857="","",INDEX(COA!$A$4:$A$123,MATCH(JU!$J1857,COA!$B$4:$B$123,0)))</f>
        <v/>
      </c>
      <c r="K1857" s="34" t="str">
        <f t="shared" si="286"/>
        <v/>
      </c>
    </row>
    <row r="1858" spans="6:11" hidden="1">
      <c r="F1858" s="52" t="str">
        <f>IF(G1858="","",INDEX(COA!$A$4:$A$123,MATCH(JU!$G1858,COA!$B$4:$B$123,0)))</f>
        <v/>
      </c>
      <c r="I1858" s="52" t="str">
        <f>IF(J1858="","",INDEX(COA!$A$4:$A$123,MATCH(JU!$J1858,COA!$B$4:$B$123,0)))</f>
        <v/>
      </c>
      <c r="K1858" s="34" t="str">
        <f t="shared" si="286"/>
        <v/>
      </c>
    </row>
    <row r="1859" spans="6:11" hidden="1">
      <c r="F1859" s="52" t="str">
        <f>IF(G1859="","",INDEX(COA!$A$4:$A$123,MATCH(JU!$G1859,COA!$B$4:$B$123,0)))</f>
        <v/>
      </c>
      <c r="I1859" s="52" t="str">
        <f>IF(J1859="","",INDEX(COA!$A$4:$A$123,MATCH(JU!$J1859,COA!$B$4:$B$123,0)))</f>
        <v/>
      </c>
      <c r="K1859" s="34" t="str">
        <f t="shared" si="286"/>
        <v/>
      </c>
    </row>
    <row r="1860" spans="6:11" hidden="1">
      <c r="F1860" s="52" t="str">
        <f>IF(G1860="","",INDEX(COA!$A$4:$A$123,MATCH(JU!$G1860,COA!$B$4:$B$123,0)))</f>
        <v/>
      </c>
      <c r="I1860" s="52" t="str">
        <f>IF(J1860="","",INDEX(COA!$A$4:$A$123,MATCH(JU!$J1860,COA!$B$4:$B$123,0)))</f>
        <v/>
      </c>
      <c r="K1860" s="34" t="str">
        <f t="shared" si="286"/>
        <v/>
      </c>
    </row>
    <row r="1861" spans="6:11" hidden="1">
      <c r="F1861" s="52" t="str">
        <f>IF(G1861="","",INDEX(COA!$A$4:$A$123,MATCH(JU!$G1861,COA!$B$4:$B$123,0)))</f>
        <v/>
      </c>
      <c r="I1861" s="52" t="str">
        <f>IF(J1861="","",INDEX(COA!$A$4:$A$123,MATCH(JU!$J1861,COA!$B$4:$B$123,0)))</f>
        <v/>
      </c>
      <c r="K1861" s="34" t="str">
        <f t="shared" si="286"/>
        <v/>
      </c>
    </row>
    <row r="1862" spans="6:11" hidden="1">
      <c r="F1862" s="52" t="str">
        <f>IF(G1862="","",INDEX(COA!$A$4:$A$123,MATCH(JU!$G1862,COA!$B$4:$B$123,0)))</f>
        <v/>
      </c>
      <c r="I1862" s="52" t="str">
        <f>IF(J1862="","",INDEX(COA!$A$4:$A$123,MATCH(JU!$J1862,COA!$B$4:$B$123,0)))</f>
        <v/>
      </c>
      <c r="K1862" s="34" t="str">
        <f t="shared" si="286"/>
        <v/>
      </c>
    </row>
    <row r="1863" spans="6:11" hidden="1">
      <c r="F1863" s="52" t="str">
        <f>IF(G1863="","",INDEX(COA!$A$4:$A$123,MATCH(JU!$G1863,COA!$B$4:$B$123,0)))</f>
        <v/>
      </c>
      <c r="I1863" s="52" t="str">
        <f>IF(J1863="","",INDEX(COA!$A$4:$A$123,MATCH(JU!$J1863,COA!$B$4:$B$123,0)))</f>
        <v/>
      </c>
      <c r="K1863" s="34" t="str">
        <f t="shared" si="286"/>
        <v/>
      </c>
    </row>
    <row r="1864" spans="6:11" hidden="1">
      <c r="F1864" s="52" t="str">
        <f>IF(G1864="","",INDEX(COA!$A$4:$A$123,MATCH(JU!$G1864,COA!$B$4:$B$123,0)))</f>
        <v/>
      </c>
      <c r="I1864" s="52" t="str">
        <f>IF(J1864="","",INDEX(COA!$A$4:$A$123,MATCH(JU!$J1864,COA!$B$4:$B$123,0)))</f>
        <v/>
      </c>
      <c r="K1864" s="34" t="str">
        <f t="shared" si="286"/>
        <v/>
      </c>
    </row>
    <row r="1865" spans="6:11" hidden="1">
      <c r="F1865" s="52" t="str">
        <f>IF(G1865="","",INDEX(COA!$A$4:$A$123,MATCH(JU!$G1865,COA!$B$4:$B$123,0)))</f>
        <v/>
      </c>
      <c r="I1865" s="52" t="str">
        <f>IF(J1865="","",INDEX(COA!$A$4:$A$123,MATCH(JU!$J1865,COA!$B$4:$B$123,0)))</f>
        <v/>
      </c>
      <c r="K1865" s="34" t="str">
        <f t="shared" si="286"/>
        <v/>
      </c>
    </row>
    <row r="1866" spans="6:11" hidden="1">
      <c r="F1866" s="52" t="str">
        <f>IF(G1866="","",INDEX(COA!$A$4:$A$123,MATCH(JU!$G1866,COA!$B$4:$B$123,0)))</f>
        <v/>
      </c>
      <c r="I1866" s="52" t="str">
        <f>IF(J1866="","",INDEX(COA!$A$4:$A$123,MATCH(JU!$J1866,COA!$B$4:$B$123,0)))</f>
        <v/>
      </c>
      <c r="K1866" s="34" t="str">
        <f t="shared" ref="K1866:K1929" si="287">IF(H1866="","",H1866)</f>
        <v/>
      </c>
    </row>
    <row r="1867" spans="6:11" hidden="1">
      <c r="F1867" s="52" t="str">
        <f>IF(G1867="","",INDEX(COA!$A$4:$A$123,MATCH(JU!$G1867,COA!$B$4:$B$123,0)))</f>
        <v/>
      </c>
      <c r="I1867" s="52" t="str">
        <f>IF(J1867="","",INDEX(COA!$A$4:$A$123,MATCH(JU!$J1867,COA!$B$4:$B$123,0)))</f>
        <v/>
      </c>
      <c r="K1867" s="34" t="str">
        <f t="shared" si="287"/>
        <v/>
      </c>
    </row>
    <row r="1868" spans="6:11" hidden="1">
      <c r="F1868" s="52" t="str">
        <f>IF(G1868="","",INDEX(COA!$A$4:$A$123,MATCH(JU!$G1868,COA!$B$4:$B$123,0)))</f>
        <v/>
      </c>
      <c r="I1868" s="52" t="str">
        <f>IF(J1868="","",INDEX(COA!$A$4:$A$123,MATCH(JU!$J1868,COA!$B$4:$B$123,0)))</f>
        <v/>
      </c>
      <c r="K1868" s="34" t="str">
        <f t="shared" si="287"/>
        <v/>
      </c>
    </row>
    <row r="1869" spans="6:11" hidden="1">
      <c r="F1869" s="52" t="str">
        <f>IF(G1869="","",INDEX(COA!$A$4:$A$123,MATCH(JU!$G1869,COA!$B$4:$B$123,0)))</f>
        <v/>
      </c>
      <c r="I1869" s="52" t="str">
        <f>IF(J1869="","",INDEX(COA!$A$4:$A$123,MATCH(JU!$J1869,COA!$B$4:$B$123,0)))</f>
        <v/>
      </c>
      <c r="K1869" s="34" t="str">
        <f t="shared" si="287"/>
        <v/>
      </c>
    </row>
    <row r="1870" spans="6:11" hidden="1">
      <c r="F1870" s="52" t="str">
        <f>IF(G1870="","",INDEX(COA!$A$4:$A$123,MATCH(JU!$G1870,COA!$B$4:$B$123,0)))</f>
        <v/>
      </c>
      <c r="I1870" s="52" t="str">
        <f>IF(J1870="","",INDEX(COA!$A$4:$A$123,MATCH(JU!$J1870,COA!$B$4:$B$123,0)))</f>
        <v/>
      </c>
      <c r="K1870" s="34" t="str">
        <f t="shared" si="287"/>
        <v/>
      </c>
    </row>
    <row r="1871" spans="6:11" hidden="1">
      <c r="F1871" s="52" t="str">
        <f>IF(G1871="","",INDEX(COA!$A$4:$A$123,MATCH(JU!$G1871,COA!$B$4:$B$123,0)))</f>
        <v/>
      </c>
      <c r="I1871" s="52" t="str">
        <f>IF(J1871="","",INDEX(COA!$A$4:$A$123,MATCH(JU!$J1871,COA!$B$4:$B$123,0)))</f>
        <v/>
      </c>
      <c r="K1871" s="34" t="str">
        <f t="shared" si="287"/>
        <v/>
      </c>
    </row>
    <row r="1872" spans="6:11" hidden="1">
      <c r="F1872" s="52" t="str">
        <f>IF(G1872="","",INDEX(COA!$A$4:$A$123,MATCH(JU!$G1872,COA!$B$4:$B$123,0)))</f>
        <v/>
      </c>
      <c r="I1872" s="52" t="str">
        <f>IF(J1872="","",INDEX(COA!$A$4:$A$123,MATCH(JU!$J1872,COA!$B$4:$B$123,0)))</f>
        <v/>
      </c>
      <c r="K1872" s="34" t="str">
        <f t="shared" si="287"/>
        <v/>
      </c>
    </row>
    <row r="1873" spans="6:11" hidden="1">
      <c r="F1873" s="52" t="str">
        <f>IF(G1873="","",INDEX(COA!$A$4:$A$123,MATCH(JU!$G1873,COA!$B$4:$B$123,0)))</f>
        <v/>
      </c>
      <c r="I1873" s="52" t="str">
        <f>IF(J1873="","",INDEX(COA!$A$4:$A$123,MATCH(JU!$J1873,COA!$B$4:$B$123,0)))</f>
        <v/>
      </c>
      <c r="K1873" s="34" t="str">
        <f t="shared" si="287"/>
        <v/>
      </c>
    </row>
    <row r="1874" spans="6:11" hidden="1">
      <c r="F1874" s="52" t="str">
        <f>IF(G1874="","",INDEX(COA!$A$4:$A$123,MATCH(JU!$G1874,COA!$B$4:$B$123,0)))</f>
        <v/>
      </c>
      <c r="I1874" s="52" t="str">
        <f>IF(J1874="","",INDEX(COA!$A$4:$A$123,MATCH(JU!$J1874,COA!$B$4:$B$123,0)))</f>
        <v/>
      </c>
      <c r="K1874" s="34" t="str">
        <f t="shared" si="287"/>
        <v/>
      </c>
    </row>
    <row r="1875" spans="6:11" hidden="1">
      <c r="F1875" s="52" t="str">
        <f>IF(G1875="","",INDEX(COA!$A$4:$A$123,MATCH(JU!$G1875,COA!$B$4:$B$123,0)))</f>
        <v/>
      </c>
      <c r="I1875" s="52" t="str">
        <f>IF(J1875="","",INDEX(COA!$A$4:$A$123,MATCH(JU!$J1875,COA!$B$4:$B$123,0)))</f>
        <v/>
      </c>
      <c r="K1875" s="34" t="str">
        <f t="shared" si="287"/>
        <v/>
      </c>
    </row>
    <row r="1876" spans="6:11" hidden="1">
      <c r="F1876" s="52" t="str">
        <f>IF(G1876="","",INDEX(COA!$A$4:$A$123,MATCH(JU!$G1876,COA!$B$4:$B$123,0)))</f>
        <v/>
      </c>
      <c r="I1876" s="52" t="str">
        <f>IF(J1876="","",INDEX(COA!$A$4:$A$123,MATCH(JU!$J1876,COA!$B$4:$B$123,0)))</f>
        <v/>
      </c>
      <c r="K1876" s="34" t="str">
        <f t="shared" si="287"/>
        <v/>
      </c>
    </row>
    <row r="1877" spans="6:11" hidden="1">
      <c r="F1877" s="52" t="str">
        <f>IF(G1877="","",INDEX(COA!$A$4:$A$123,MATCH(JU!$G1877,COA!$B$4:$B$123,0)))</f>
        <v/>
      </c>
      <c r="I1877" s="52" t="str">
        <f>IF(J1877="","",INDEX(COA!$A$4:$A$123,MATCH(JU!$J1877,COA!$B$4:$B$123,0)))</f>
        <v/>
      </c>
      <c r="K1877" s="34" t="str">
        <f t="shared" si="287"/>
        <v/>
      </c>
    </row>
    <row r="1878" spans="6:11" hidden="1">
      <c r="F1878" s="52" t="str">
        <f>IF(G1878="","",INDEX(COA!$A$4:$A$123,MATCH(JU!$G1878,COA!$B$4:$B$123,0)))</f>
        <v/>
      </c>
      <c r="I1878" s="52" t="str">
        <f>IF(J1878="","",INDEX(COA!$A$4:$A$123,MATCH(JU!$J1878,COA!$B$4:$B$123,0)))</f>
        <v/>
      </c>
      <c r="K1878" s="34" t="str">
        <f t="shared" si="287"/>
        <v/>
      </c>
    </row>
    <row r="1879" spans="6:11" hidden="1">
      <c r="F1879" s="52" t="str">
        <f>IF(G1879="","",INDEX(COA!$A$4:$A$123,MATCH(JU!$G1879,COA!$B$4:$B$123,0)))</f>
        <v/>
      </c>
      <c r="I1879" s="52" t="str">
        <f>IF(J1879="","",INDEX(COA!$A$4:$A$123,MATCH(JU!$J1879,COA!$B$4:$B$123,0)))</f>
        <v/>
      </c>
      <c r="K1879" s="34" t="str">
        <f t="shared" si="287"/>
        <v/>
      </c>
    </row>
    <row r="1880" spans="6:11" hidden="1">
      <c r="F1880" s="52" t="str">
        <f>IF(G1880="","",INDEX(COA!$A$4:$A$123,MATCH(JU!$G1880,COA!$B$4:$B$123,0)))</f>
        <v/>
      </c>
      <c r="I1880" s="52" t="str">
        <f>IF(J1880="","",INDEX(COA!$A$4:$A$123,MATCH(JU!$J1880,COA!$B$4:$B$123,0)))</f>
        <v/>
      </c>
      <c r="K1880" s="34" t="str">
        <f t="shared" si="287"/>
        <v/>
      </c>
    </row>
    <row r="1881" spans="6:11" hidden="1">
      <c r="F1881" s="52" t="str">
        <f>IF(G1881="","",INDEX(COA!$A$4:$A$123,MATCH(JU!$G1881,COA!$B$4:$B$123,0)))</f>
        <v/>
      </c>
      <c r="I1881" s="52" t="str">
        <f>IF(J1881="","",INDEX(COA!$A$4:$A$123,MATCH(JU!$J1881,COA!$B$4:$B$123,0)))</f>
        <v/>
      </c>
      <c r="K1881" s="34" t="str">
        <f t="shared" si="287"/>
        <v/>
      </c>
    </row>
    <row r="1882" spans="6:11" hidden="1">
      <c r="F1882" s="52" t="str">
        <f>IF(G1882="","",INDEX(COA!$A$4:$A$123,MATCH(JU!$G1882,COA!$B$4:$B$123,0)))</f>
        <v/>
      </c>
      <c r="I1882" s="52" t="str">
        <f>IF(J1882="","",INDEX(COA!$A$4:$A$123,MATCH(JU!$J1882,COA!$B$4:$B$123,0)))</f>
        <v/>
      </c>
      <c r="K1882" s="34" t="str">
        <f t="shared" si="287"/>
        <v/>
      </c>
    </row>
    <row r="1883" spans="6:11" hidden="1">
      <c r="F1883" s="52" t="str">
        <f>IF(G1883="","",INDEX(COA!$A$4:$A$123,MATCH(JU!$G1883,COA!$B$4:$B$123,0)))</f>
        <v/>
      </c>
      <c r="I1883" s="52" t="str">
        <f>IF(J1883="","",INDEX(COA!$A$4:$A$123,MATCH(JU!$J1883,COA!$B$4:$B$123,0)))</f>
        <v/>
      </c>
      <c r="K1883" s="34" t="str">
        <f t="shared" si="287"/>
        <v/>
      </c>
    </row>
    <row r="1884" spans="6:11" hidden="1">
      <c r="F1884" s="52" t="str">
        <f>IF(G1884="","",INDEX(COA!$A$4:$A$123,MATCH(JU!$G1884,COA!$B$4:$B$123,0)))</f>
        <v/>
      </c>
      <c r="I1884" s="52" t="str">
        <f>IF(J1884="","",INDEX(COA!$A$4:$A$123,MATCH(JU!$J1884,COA!$B$4:$B$123,0)))</f>
        <v/>
      </c>
      <c r="K1884" s="34" t="str">
        <f t="shared" si="287"/>
        <v/>
      </c>
    </row>
    <row r="1885" spans="6:11" hidden="1">
      <c r="F1885" s="52" t="str">
        <f>IF(G1885="","",INDEX(COA!$A$4:$A$123,MATCH(JU!$G1885,COA!$B$4:$B$123,0)))</f>
        <v/>
      </c>
      <c r="I1885" s="52" t="str">
        <f>IF(J1885="","",INDEX(COA!$A$4:$A$123,MATCH(JU!$J1885,COA!$B$4:$B$123,0)))</f>
        <v/>
      </c>
      <c r="K1885" s="34" t="str">
        <f t="shared" si="287"/>
        <v/>
      </c>
    </row>
    <row r="1886" spans="6:11" hidden="1">
      <c r="F1886" s="52" t="str">
        <f>IF(G1886="","",INDEX(COA!$A$4:$A$123,MATCH(JU!$G1886,COA!$B$4:$B$123,0)))</f>
        <v/>
      </c>
      <c r="I1886" s="52" t="str">
        <f>IF(J1886="","",INDEX(COA!$A$4:$A$123,MATCH(JU!$J1886,COA!$B$4:$B$123,0)))</f>
        <v/>
      </c>
      <c r="K1886" s="34" t="str">
        <f t="shared" si="287"/>
        <v/>
      </c>
    </row>
    <row r="1887" spans="6:11" hidden="1">
      <c r="F1887" s="52" t="str">
        <f>IF(G1887="","",INDEX(COA!$A$4:$A$123,MATCH(JU!$G1887,COA!$B$4:$B$123,0)))</f>
        <v/>
      </c>
      <c r="I1887" s="52" t="str">
        <f>IF(J1887="","",INDEX(COA!$A$4:$A$123,MATCH(JU!$J1887,COA!$B$4:$B$123,0)))</f>
        <v/>
      </c>
      <c r="K1887" s="34" t="str">
        <f t="shared" si="287"/>
        <v/>
      </c>
    </row>
    <row r="1888" spans="6:11" hidden="1">
      <c r="F1888" s="52" t="str">
        <f>IF(G1888="","",INDEX(COA!$A$4:$A$123,MATCH(JU!$G1888,COA!$B$4:$B$123,0)))</f>
        <v/>
      </c>
      <c r="I1888" s="52" t="str">
        <f>IF(J1888="","",INDEX(COA!$A$4:$A$123,MATCH(JU!$J1888,COA!$B$4:$B$123,0)))</f>
        <v/>
      </c>
      <c r="K1888" s="34" t="str">
        <f t="shared" si="287"/>
        <v/>
      </c>
    </row>
    <row r="1889" spans="6:11" hidden="1">
      <c r="F1889" s="52" t="str">
        <f>IF(G1889="","",INDEX(COA!$A$4:$A$123,MATCH(JU!$G1889,COA!$B$4:$B$123,0)))</f>
        <v/>
      </c>
      <c r="I1889" s="52" t="str">
        <f>IF(J1889="","",INDEX(COA!$A$4:$A$123,MATCH(JU!$J1889,COA!$B$4:$B$123,0)))</f>
        <v/>
      </c>
      <c r="K1889" s="34" t="str">
        <f t="shared" si="287"/>
        <v/>
      </c>
    </row>
    <row r="1890" spans="6:11" hidden="1">
      <c r="F1890" s="52" t="str">
        <f>IF(G1890="","",INDEX(COA!$A$4:$A$123,MATCH(JU!$G1890,COA!$B$4:$B$123,0)))</f>
        <v/>
      </c>
      <c r="I1890" s="52" t="str">
        <f>IF(J1890="","",INDEX(COA!$A$4:$A$123,MATCH(JU!$J1890,COA!$B$4:$B$123,0)))</f>
        <v/>
      </c>
      <c r="K1890" s="34" t="str">
        <f t="shared" si="287"/>
        <v/>
      </c>
    </row>
    <row r="1891" spans="6:11" hidden="1">
      <c r="F1891" s="52" t="str">
        <f>IF(G1891="","",INDEX(COA!$A$4:$A$123,MATCH(JU!$G1891,COA!$B$4:$B$123,0)))</f>
        <v/>
      </c>
      <c r="I1891" s="52" t="str">
        <f>IF(J1891="","",INDEX(COA!$A$4:$A$123,MATCH(JU!$J1891,COA!$B$4:$B$123,0)))</f>
        <v/>
      </c>
      <c r="K1891" s="34" t="str">
        <f t="shared" si="287"/>
        <v/>
      </c>
    </row>
    <row r="1892" spans="6:11" hidden="1">
      <c r="F1892" s="52" t="str">
        <f>IF(G1892="","",INDEX(COA!$A$4:$A$123,MATCH(JU!$G1892,COA!$B$4:$B$123,0)))</f>
        <v/>
      </c>
      <c r="I1892" s="52" t="str">
        <f>IF(J1892="","",INDEX(COA!$A$4:$A$123,MATCH(JU!$J1892,COA!$B$4:$B$123,0)))</f>
        <v/>
      </c>
      <c r="K1892" s="34" t="str">
        <f t="shared" si="287"/>
        <v/>
      </c>
    </row>
    <row r="1893" spans="6:11" hidden="1">
      <c r="F1893" s="52" t="str">
        <f>IF(G1893="","",INDEX(COA!$A$4:$A$123,MATCH(JU!$G1893,COA!$B$4:$B$123,0)))</f>
        <v/>
      </c>
      <c r="I1893" s="52" t="str">
        <f>IF(J1893="","",INDEX(COA!$A$4:$A$123,MATCH(JU!$J1893,COA!$B$4:$B$123,0)))</f>
        <v/>
      </c>
      <c r="K1893" s="34" t="str">
        <f t="shared" si="287"/>
        <v/>
      </c>
    </row>
    <row r="1894" spans="6:11" hidden="1">
      <c r="F1894" s="52" t="str">
        <f>IF(G1894="","",INDEX(COA!$A$4:$A$123,MATCH(JU!$G1894,COA!$B$4:$B$123,0)))</f>
        <v/>
      </c>
      <c r="I1894" s="52" t="str">
        <f>IF(J1894="","",INDEX(COA!$A$4:$A$123,MATCH(JU!$J1894,COA!$B$4:$B$123,0)))</f>
        <v/>
      </c>
      <c r="K1894" s="34" t="str">
        <f t="shared" si="287"/>
        <v/>
      </c>
    </row>
    <row r="1895" spans="6:11" hidden="1">
      <c r="F1895" s="52" t="str">
        <f>IF(G1895="","",INDEX(COA!$A$4:$A$123,MATCH(JU!$G1895,COA!$B$4:$B$123,0)))</f>
        <v/>
      </c>
      <c r="I1895" s="52" t="str">
        <f>IF(J1895="","",INDEX(COA!$A$4:$A$123,MATCH(JU!$J1895,COA!$B$4:$B$123,0)))</f>
        <v/>
      </c>
      <c r="K1895" s="34" t="str">
        <f t="shared" si="287"/>
        <v/>
      </c>
    </row>
    <row r="1896" spans="6:11" hidden="1">
      <c r="F1896" s="52" t="str">
        <f>IF(G1896="","",INDEX(COA!$A$4:$A$123,MATCH(JU!$G1896,COA!$B$4:$B$123,0)))</f>
        <v/>
      </c>
      <c r="I1896" s="52" t="str">
        <f>IF(J1896="","",INDEX(COA!$A$4:$A$123,MATCH(JU!$J1896,COA!$B$4:$B$123,0)))</f>
        <v/>
      </c>
      <c r="K1896" s="34" t="str">
        <f t="shared" si="287"/>
        <v/>
      </c>
    </row>
    <row r="1897" spans="6:11" hidden="1">
      <c r="F1897" s="52" t="str">
        <f>IF(G1897="","",INDEX(COA!$A$4:$A$123,MATCH(JU!$G1897,COA!$B$4:$B$123,0)))</f>
        <v/>
      </c>
      <c r="I1897" s="52" t="str">
        <f>IF(J1897="","",INDEX(COA!$A$4:$A$123,MATCH(JU!$J1897,COA!$B$4:$B$123,0)))</f>
        <v/>
      </c>
      <c r="K1897" s="34" t="str">
        <f t="shared" si="287"/>
        <v/>
      </c>
    </row>
    <row r="1898" spans="6:11" hidden="1">
      <c r="F1898" s="52" t="str">
        <f>IF(G1898="","",INDEX(COA!$A$4:$A$123,MATCH(JU!$G1898,COA!$B$4:$B$123,0)))</f>
        <v/>
      </c>
      <c r="I1898" s="52" t="str">
        <f>IF(J1898="","",INDEX(COA!$A$4:$A$123,MATCH(JU!$J1898,COA!$B$4:$B$123,0)))</f>
        <v/>
      </c>
      <c r="K1898" s="34" t="str">
        <f t="shared" si="287"/>
        <v/>
      </c>
    </row>
    <row r="1899" spans="6:11" hidden="1">
      <c r="F1899" s="52" t="str">
        <f>IF(G1899="","",INDEX(COA!$A$4:$A$123,MATCH(JU!$G1899,COA!$B$4:$B$123,0)))</f>
        <v/>
      </c>
      <c r="I1899" s="52" t="str">
        <f>IF(J1899="","",INDEX(COA!$A$4:$A$123,MATCH(JU!$J1899,COA!$B$4:$B$123,0)))</f>
        <v/>
      </c>
      <c r="K1899" s="34" t="str">
        <f t="shared" si="287"/>
        <v/>
      </c>
    </row>
    <row r="1900" spans="6:11" hidden="1">
      <c r="F1900" s="52" t="str">
        <f>IF(G1900="","",INDEX(COA!$A$4:$A$123,MATCH(JU!$G1900,COA!$B$4:$B$123,0)))</f>
        <v/>
      </c>
      <c r="I1900" s="52" t="str">
        <f>IF(J1900="","",INDEX(COA!$A$4:$A$123,MATCH(JU!$J1900,COA!$B$4:$B$123,0)))</f>
        <v/>
      </c>
      <c r="K1900" s="34" t="str">
        <f t="shared" si="287"/>
        <v/>
      </c>
    </row>
    <row r="1901" spans="6:11" hidden="1">
      <c r="F1901" s="52" t="str">
        <f>IF(G1901="","",INDEX(COA!$A$4:$A$123,MATCH(JU!$G1901,COA!$B$4:$B$123,0)))</f>
        <v/>
      </c>
      <c r="I1901" s="52" t="str">
        <f>IF(J1901="","",INDEX(COA!$A$4:$A$123,MATCH(JU!$J1901,COA!$B$4:$B$123,0)))</f>
        <v/>
      </c>
      <c r="K1901" s="34" t="str">
        <f t="shared" si="287"/>
        <v/>
      </c>
    </row>
    <row r="1902" spans="6:11" hidden="1">
      <c r="F1902" s="52" t="str">
        <f>IF(G1902="","",INDEX(COA!$A$4:$A$123,MATCH(JU!$G1902,COA!$B$4:$B$123,0)))</f>
        <v/>
      </c>
      <c r="I1902" s="52" t="str">
        <f>IF(J1902="","",INDEX(COA!$A$4:$A$123,MATCH(JU!$J1902,COA!$B$4:$B$123,0)))</f>
        <v/>
      </c>
      <c r="K1902" s="34" t="str">
        <f t="shared" si="287"/>
        <v/>
      </c>
    </row>
    <row r="1903" spans="6:11" hidden="1">
      <c r="F1903" s="52" t="str">
        <f>IF(G1903="","",INDEX(COA!$A$4:$A$123,MATCH(JU!$G1903,COA!$B$4:$B$123,0)))</f>
        <v/>
      </c>
      <c r="I1903" s="52" t="str">
        <f>IF(J1903="","",INDEX(COA!$A$4:$A$123,MATCH(JU!$J1903,COA!$B$4:$B$123,0)))</f>
        <v/>
      </c>
      <c r="K1903" s="34" t="str">
        <f t="shared" si="287"/>
        <v/>
      </c>
    </row>
    <row r="1904" spans="6:11" hidden="1">
      <c r="F1904" s="52" t="str">
        <f>IF(G1904="","",INDEX(COA!$A$4:$A$123,MATCH(JU!$G1904,COA!$B$4:$B$123,0)))</f>
        <v/>
      </c>
      <c r="I1904" s="52" t="str">
        <f>IF(J1904="","",INDEX(COA!$A$4:$A$123,MATCH(JU!$J1904,COA!$B$4:$B$123,0)))</f>
        <v/>
      </c>
      <c r="K1904" s="34" t="str">
        <f t="shared" si="287"/>
        <v/>
      </c>
    </row>
    <row r="1905" spans="6:11" hidden="1">
      <c r="F1905" s="52" t="str">
        <f>IF(G1905="","",INDEX(COA!$A$4:$A$123,MATCH(JU!$G1905,COA!$B$4:$B$123,0)))</f>
        <v/>
      </c>
      <c r="I1905" s="52" t="str">
        <f>IF(J1905="","",INDEX(COA!$A$4:$A$123,MATCH(JU!$J1905,COA!$B$4:$B$123,0)))</f>
        <v/>
      </c>
      <c r="K1905" s="34" t="str">
        <f t="shared" si="287"/>
        <v/>
      </c>
    </row>
    <row r="1906" spans="6:11" hidden="1">
      <c r="F1906" s="52" t="str">
        <f>IF(G1906="","",INDEX(COA!$A$4:$A$123,MATCH(JU!$G1906,COA!$B$4:$B$123,0)))</f>
        <v/>
      </c>
      <c r="I1906" s="52" t="str">
        <f>IF(J1906="","",INDEX(COA!$A$4:$A$123,MATCH(JU!$J1906,COA!$B$4:$B$123,0)))</f>
        <v/>
      </c>
      <c r="K1906" s="34" t="str">
        <f t="shared" si="287"/>
        <v/>
      </c>
    </row>
    <row r="1907" spans="6:11" hidden="1">
      <c r="F1907" s="52" t="str">
        <f>IF(G1907="","",INDEX(COA!$A$4:$A$123,MATCH(JU!$G1907,COA!$B$4:$B$123,0)))</f>
        <v/>
      </c>
      <c r="I1907" s="52" t="str">
        <f>IF(J1907="","",INDEX(COA!$A$4:$A$123,MATCH(JU!$J1907,COA!$B$4:$B$123,0)))</f>
        <v/>
      </c>
      <c r="K1907" s="34" t="str">
        <f t="shared" si="287"/>
        <v/>
      </c>
    </row>
    <row r="1908" spans="6:11" hidden="1">
      <c r="F1908" s="52" t="str">
        <f>IF(G1908="","",INDEX(COA!$A$4:$A$123,MATCH(JU!$G1908,COA!$B$4:$B$123,0)))</f>
        <v/>
      </c>
      <c r="I1908" s="52" t="str">
        <f>IF(J1908="","",INDEX(COA!$A$4:$A$123,MATCH(JU!$J1908,COA!$B$4:$B$123,0)))</f>
        <v/>
      </c>
      <c r="K1908" s="34" t="str">
        <f t="shared" si="287"/>
        <v/>
      </c>
    </row>
    <row r="1909" spans="6:11" hidden="1">
      <c r="F1909" s="52" t="str">
        <f>IF(G1909="","",INDEX(COA!$A$4:$A$123,MATCH(JU!$G1909,COA!$B$4:$B$123,0)))</f>
        <v/>
      </c>
      <c r="I1909" s="52" t="str">
        <f>IF(J1909="","",INDEX(COA!$A$4:$A$123,MATCH(JU!$J1909,COA!$B$4:$B$123,0)))</f>
        <v/>
      </c>
      <c r="K1909" s="34" t="str">
        <f t="shared" si="287"/>
        <v/>
      </c>
    </row>
    <row r="1910" spans="6:11" hidden="1">
      <c r="F1910" s="52" t="str">
        <f>IF(G1910="","",INDEX(COA!$A$4:$A$123,MATCH(JU!$G1910,COA!$B$4:$B$123,0)))</f>
        <v/>
      </c>
      <c r="I1910" s="52" t="str">
        <f>IF(J1910="","",INDEX(COA!$A$4:$A$123,MATCH(JU!$J1910,COA!$B$4:$B$123,0)))</f>
        <v/>
      </c>
      <c r="K1910" s="34" t="str">
        <f t="shared" si="287"/>
        <v/>
      </c>
    </row>
    <row r="1911" spans="6:11" hidden="1">
      <c r="F1911" s="52" t="str">
        <f>IF(G1911="","",INDEX(COA!$A$4:$A$123,MATCH(JU!$G1911,COA!$B$4:$B$123,0)))</f>
        <v/>
      </c>
      <c r="I1911" s="52" t="str">
        <f>IF(J1911="","",INDEX(COA!$A$4:$A$123,MATCH(JU!$J1911,COA!$B$4:$B$123,0)))</f>
        <v/>
      </c>
      <c r="K1911" s="34" t="str">
        <f t="shared" si="287"/>
        <v/>
      </c>
    </row>
    <row r="1912" spans="6:11" hidden="1">
      <c r="F1912" s="52" t="str">
        <f>IF(G1912="","",INDEX(COA!$A$4:$A$123,MATCH(JU!$G1912,COA!$B$4:$B$123,0)))</f>
        <v/>
      </c>
      <c r="I1912" s="52" t="str">
        <f>IF(J1912="","",INDEX(COA!$A$4:$A$123,MATCH(JU!$J1912,COA!$B$4:$B$123,0)))</f>
        <v/>
      </c>
      <c r="K1912" s="34" t="str">
        <f t="shared" si="287"/>
        <v/>
      </c>
    </row>
    <row r="1913" spans="6:11" hidden="1">
      <c r="F1913" s="52" t="str">
        <f>IF(G1913="","",INDEX(COA!$A$4:$A$123,MATCH(JU!$G1913,COA!$B$4:$B$123,0)))</f>
        <v/>
      </c>
      <c r="I1913" s="52" t="str">
        <f>IF(J1913="","",INDEX(COA!$A$4:$A$123,MATCH(JU!$J1913,COA!$B$4:$B$123,0)))</f>
        <v/>
      </c>
      <c r="K1913" s="34" t="str">
        <f t="shared" si="287"/>
        <v/>
      </c>
    </row>
    <row r="1914" spans="6:11" hidden="1">
      <c r="F1914" s="52" t="str">
        <f>IF(G1914="","",INDEX(COA!$A$4:$A$123,MATCH(JU!$G1914,COA!$B$4:$B$123,0)))</f>
        <v/>
      </c>
      <c r="I1914" s="52" t="str">
        <f>IF(J1914="","",INDEX(COA!$A$4:$A$123,MATCH(JU!$J1914,COA!$B$4:$B$123,0)))</f>
        <v/>
      </c>
      <c r="K1914" s="34" t="str">
        <f t="shared" si="287"/>
        <v/>
      </c>
    </row>
    <row r="1915" spans="6:11" hidden="1">
      <c r="F1915" s="52" t="str">
        <f>IF(G1915="","",INDEX(COA!$A$4:$A$123,MATCH(JU!$G1915,COA!$B$4:$B$123,0)))</f>
        <v/>
      </c>
      <c r="I1915" s="52" t="str">
        <f>IF(J1915="","",INDEX(COA!$A$4:$A$123,MATCH(JU!$J1915,COA!$B$4:$B$123,0)))</f>
        <v/>
      </c>
      <c r="K1915" s="34" t="str">
        <f t="shared" si="287"/>
        <v/>
      </c>
    </row>
    <row r="1916" spans="6:11" hidden="1">
      <c r="F1916" s="52" t="str">
        <f>IF(G1916="","",INDEX(COA!$A$4:$A$123,MATCH(JU!$G1916,COA!$B$4:$B$123,0)))</f>
        <v/>
      </c>
      <c r="I1916" s="52" t="str">
        <f>IF(J1916="","",INDEX(COA!$A$4:$A$123,MATCH(JU!$J1916,COA!$B$4:$B$123,0)))</f>
        <v/>
      </c>
      <c r="K1916" s="34" t="str">
        <f t="shared" si="287"/>
        <v/>
      </c>
    </row>
    <row r="1917" spans="6:11" hidden="1">
      <c r="F1917" s="52" t="str">
        <f>IF(G1917="","",INDEX(COA!$A$4:$A$123,MATCH(JU!$G1917,COA!$B$4:$B$123,0)))</f>
        <v/>
      </c>
      <c r="I1917" s="52" t="str">
        <f>IF(J1917="","",INDEX(COA!$A$4:$A$123,MATCH(JU!$J1917,COA!$B$4:$B$123,0)))</f>
        <v/>
      </c>
      <c r="K1917" s="34" t="str">
        <f t="shared" si="287"/>
        <v/>
      </c>
    </row>
    <row r="1918" spans="6:11" hidden="1">
      <c r="F1918" s="52" t="str">
        <f>IF(G1918="","",INDEX(COA!$A$4:$A$123,MATCH(JU!$G1918,COA!$B$4:$B$123,0)))</f>
        <v/>
      </c>
      <c r="I1918" s="52" t="str">
        <f>IF(J1918="","",INDEX(COA!$A$4:$A$123,MATCH(JU!$J1918,COA!$B$4:$B$123,0)))</f>
        <v/>
      </c>
      <c r="K1918" s="34" t="str">
        <f t="shared" si="287"/>
        <v/>
      </c>
    </row>
    <row r="1919" spans="6:11" hidden="1">
      <c r="F1919" s="52" t="str">
        <f>IF(G1919="","",INDEX(COA!$A$4:$A$123,MATCH(JU!$G1919,COA!$B$4:$B$123,0)))</f>
        <v/>
      </c>
      <c r="I1919" s="52" t="str">
        <f>IF(J1919="","",INDEX(COA!$A$4:$A$123,MATCH(JU!$J1919,COA!$B$4:$B$123,0)))</f>
        <v/>
      </c>
      <c r="K1919" s="34" t="str">
        <f t="shared" si="287"/>
        <v/>
      </c>
    </row>
    <row r="1920" spans="6:11" hidden="1">
      <c r="F1920" s="52" t="str">
        <f>IF(G1920="","",INDEX(COA!$A$4:$A$123,MATCH(JU!$G1920,COA!$B$4:$B$123,0)))</f>
        <v/>
      </c>
      <c r="I1920" s="52" t="str">
        <f>IF(J1920="","",INDEX(COA!$A$4:$A$123,MATCH(JU!$J1920,COA!$B$4:$B$123,0)))</f>
        <v/>
      </c>
      <c r="K1920" s="34" t="str">
        <f t="shared" si="287"/>
        <v/>
      </c>
    </row>
    <row r="1921" spans="6:11" hidden="1">
      <c r="F1921" s="52" t="str">
        <f>IF(G1921="","",INDEX(COA!$A$4:$A$123,MATCH(JU!$G1921,COA!$B$4:$B$123,0)))</f>
        <v/>
      </c>
      <c r="I1921" s="52" t="str">
        <f>IF(J1921="","",INDEX(COA!$A$4:$A$123,MATCH(JU!$J1921,COA!$B$4:$B$123,0)))</f>
        <v/>
      </c>
      <c r="K1921" s="34" t="str">
        <f t="shared" si="287"/>
        <v/>
      </c>
    </row>
    <row r="1922" spans="6:11" hidden="1">
      <c r="F1922" s="52" t="str">
        <f>IF(G1922="","",INDEX(COA!$A$4:$A$123,MATCH(JU!$G1922,COA!$B$4:$B$123,0)))</f>
        <v/>
      </c>
      <c r="I1922" s="52" t="str">
        <f>IF(J1922="","",INDEX(COA!$A$4:$A$123,MATCH(JU!$J1922,COA!$B$4:$B$123,0)))</f>
        <v/>
      </c>
      <c r="K1922" s="34" t="str">
        <f t="shared" si="287"/>
        <v/>
      </c>
    </row>
    <row r="1923" spans="6:11" hidden="1">
      <c r="F1923" s="52" t="str">
        <f>IF(G1923="","",INDEX(COA!$A$4:$A$123,MATCH(JU!$G1923,COA!$B$4:$B$123,0)))</f>
        <v/>
      </c>
      <c r="I1923" s="52" t="str">
        <f>IF(J1923="","",INDEX(COA!$A$4:$A$123,MATCH(JU!$J1923,COA!$B$4:$B$123,0)))</f>
        <v/>
      </c>
      <c r="K1923" s="34" t="str">
        <f t="shared" si="287"/>
        <v/>
      </c>
    </row>
    <row r="1924" spans="6:11" hidden="1">
      <c r="F1924" s="52" t="str">
        <f>IF(G1924="","",INDEX(COA!$A$4:$A$123,MATCH(JU!$G1924,COA!$B$4:$B$123,0)))</f>
        <v/>
      </c>
      <c r="I1924" s="52" t="str">
        <f>IF(J1924="","",INDEX(COA!$A$4:$A$123,MATCH(JU!$J1924,COA!$B$4:$B$123,0)))</f>
        <v/>
      </c>
      <c r="K1924" s="34" t="str">
        <f t="shared" si="287"/>
        <v/>
      </c>
    </row>
    <row r="1925" spans="6:11" hidden="1">
      <c r="F1925" s="52" t="str">
        <f>IF(G1925="","",INDEX(COA!$A$4:$A$123,MATCH(JU!$G1925,COA!$B$4:$B$123,0)))</f>
        <v/>
      </c>
      <c r="I1925" s="52" t="str">
        <f>IF(J1925="","",INDEX(COA!$A$4:$A$123,MATCH(JU!$J1925,COA!$B$4:$B$123,0)))</f>
        <v/>
      </c>
      <c r="K1925" s="34" t="str">
        <f t="shared" si="287"/>
        <v/>
      </c>
    </row>
    <row r="1926" spans="6:11" hidden="1">
      <c r="F1926" s="52" t="str">
        <f>IF(G1926="","",INDEX(COA!$A$4:$A$123,MATCH(JU!$G1926,COA!$B$4:$B$123,0)))</f>
        <v/>
      </c>
      <c r="I1926" s="52" t="str">
        <f>IF(J1926="","",INDEX(COA!$A$4:$A$123,MATCH(JU!$J1926,COA!$B$4:$B$123,0)))</f>
        <v/>
      </c>
      <c r="K1926" s="34" t="str">
        <f t="shared" si="287"/>
        <v/>
      </c>
    </row>
    <row r="1927" spans="6:11" hidden="1">
      <c r="F1927" s="52" t="str">
        <f>IF(G1927="","",INDEX(COA!$A$4:$A$123,MATCH(JU!$G1927,COA!$B$4:$B$123,0)))</f>
        <v/>
      </c>
      <c r="I1927" s="52" t="str">
        <f>IF(J1927="","",INDEX(COA!$A$4:$A$123,MATCH(JU!$J1927,COA!$B$4:$B$123,0)))</f>
        <v/>
      </c>
      <c r="K1927" s="34" t="str">
        <f t="shared" si="287"/>
        <v/>
      </c>
    </row>
    <row r="1928" spans="6:11" hidden="1">
      <c r="F1928" s="52" t="str">
        <f>IF(G1928="","",INDEX(COA!$A$4:$A$123,MATCH(JU!$G1928,COA!$B$4:$B$123,0)))</f>
        <v/>
      </c>
      <c r="I1928" s="52" t="str">
        <f>IF(J1928="","",INDEX(COA!$A$4:$A$123,MATCH(JU!$J1928,COA!$B$4:$B$123,0)))</f>
        <v/>
      </c>
      <c r="K1928" s="34" t="str">
        <f t="shared" si="287"/>
        <v/>
      </c>
    </row>
    <row r="1929" spans="6:11" hidden="1">
      <c r="F1929" s="52" t="str">
        <f>IF(G1929="","",INDEX(COA!$A$4:$A$123,MATCH(JU!$G1929,COA!$B$4:$B$123,0)))</f>
        <v/>
      </c>
      <c r="I1929" s="52" t="str">
        <f>IF(J1929="","",INDEX(COA!$A$4:$A$123,MATCH(JU!$J1929,COA!$B$4:$B$123,0)))</f>
        <v/>
      </c>
      <c r="K1929" s="34" t="str">
        <f t="shared" si="287"/>
        <v/>
      </c>
    </row>
    <row r="1930" spans="6:11" hidden="1">
      <c r="F1930" s="52" t="str">
        <f>IF(G1930="","",INDEX(COA!$A$4:$A$123,MATCH(JU!$G1930,COA!$B$4:$B$123,0)))</f>
        <v/>
      </c>
      <c r="I1930" s="52" t="str">
        <f>IF(J1930="","",INDEX(COA!$A$4:$A$123,MATCH(JU!$J1930,COA!$B$4:$B$123,0)))</f>
        <v/>
      </c>
      <c r="K1930" s="34" t="str">
        <f t="shared" ref="K1930:K1993" si="288">IF(H1930="","",H1930)</f>
        <v/>
      </c>
    </row>
    <row r="1931" spans="6:11" hidden="1">
      <c r="F1931" s="52" t="str">
        <f>IF(G1931="","",INDEX(COA!$A$4:$A$123,MATCH(JU!$G1931,COA!$B$4:$B$123,0)))</f>
        <v/>
      </c>
      <c r="I1931" s="52" t="str">
        <f>IF(J1931="","",INDEX(COA!$A$4:$A$123,MATCH(JU!$J1931,COA!$B$4:$B$123,0)))</f>
        <v/>
      </c>
      <c r="K1931" s="34" t="str">
        <f t="shared" si="288"/>
        <v/>
      </c>
    </row>
    <row r="1932" spans="6:11" hidden="1">
      <c r="F1932" s="52" t="str">
        <f>IF(G1932="","",INDEX(COA!$A$4:$A$123,MATCH(JU!$G1932,COA!$B$4:$B$123,0)))</f>
        <v/>
      </c>
      <c r="I1932" s="52" t="str">
        <f>IF(J1932="","",INDEX(COA!$A$4:$A$123,MATCH(JU!$J1932,COA!$B$4:$B$123,0)))</f>
        <v/>
      </c>
      <c r="K1932" s="34" t="str">
        <f t="shared" si="288"/>
        <v/>
      </c>
    </row>
    <row r="1933" spans="6:11" hidden="1">
      <c r="F1933" s="52" t="str">
        <f>IF(G1933="","",INDEX(COA!$A$4:$A$123,MATCH(JU!$G1933,COA!$B$4:$B$123,0)))</f>
        <v/>
      </c>
      <c r="I1933" s="52" t="str">
        <f>IF(J1933="","",INDEX(COA!$A$4:$A$123,MATCH(JU!$J1933,COA!$B$4:$B$123,0)))</f>
        <v/>
      </c>
      <c r="K1933" s="34" t="str">
        <f t="shared" si="288"/>
        <v/>
      </c>
    </row>
    <row r="1934" spans="6:11" hidden="1">
      <c r="F1934" s="52" t="str">
        <f>IF(G1934="","",INDEX(COA!$A$4:$A$123,MATCH(JU!$G1934,COA!$B$4:$B$123,0)))</f>
        <v/>
      </c>
      <c r="I1934" s="52" t="str">
        <f>IF(J1934="","",INDEX(COA!$A$4:$A$123,MATCH(JU!$J1934,COA!$B$4:$B$123,0)))</f>
        <v/>
      </c>
      <c r="K1934" s="34" t="str">
        <f t="shared" si="288"/>
        <v/>
      </c>
    </row>
    <row r="1935" spans="6:11" hidden="1">
      <c r="F1935" s="52" t="str">
        <f>IF(G1935="","",INDEX(COA!$A$4:$A$123,MATCH(JU!$G1935,COA!$B$4:$B$123,0)))</f>
        <v/>
      </c>
      <c r="I1935" s="52" t="str">
        <f>IF(J1935="","",INDEX(COA!$A$4:$A$123,MATCH(JU!$J1935,COA!$B$4:$B$123,0)))</f>
        <v/>
      </c>
      <c r="K1935" s="34" t="str">
        <f t="shared" si="288"/>
        <v/>
      </c>
    </row>
    <row r="1936" spans="6:11" hidden="1">
      <c r="F1936" s="52" t="str">
        <f>IF(G1936="","",INDEX(COA!$A$4:$A$123,MATCH(JU!$G1936,COA!$B$4:$B$123,0)))</f>
        <v/>
      </c>
      <c r="I1936" s="52" t="str">
        <f>IF(J1936="","",INDEX(COA!$A$4:$A$123,MATCH(JU!$J1936,COA!$B$4:$B$123,0)))</f>
        <v/>
      </c>
      <c r="K1936" s="34" t="str">
        <f t="shared" si="288"/>
        <v/>
      </c>
    </row>
    <row r="1937" spans="6:11" hidden="1">
      <c r="F1937" s="52" t="str">
        <f>IF(G1937="","",INDEX(COA!$A$4:$A$123,MATCH(JU!$G1937,COA!$B$4:$B$123,0)))</f>
        <v/>
      </c>
      <c r="I1937" s="52" t="str">
        <f>IF(J1937="","",INDEX(COA!$A$4:$A$123,MATCH(JU!$J1937,COA!$B$4:$B$123,0)))</f>
        <v/>
      </c>
      <c r="K1937" s="34" t="str">
        <f t="shared" si="288"/>
        <v/>
      </c>
    </row>
    <row r="1938" spans="6:11" hidden="1">
      <c r="F1938" s="52" t="str">
        <f>IF(G1938="","",INDEX(COA!$A$4:$A$123,MATCH(JU!$G1938,COA!$B$4:$B$123,0)))</f>
        <v/>
      </c>
      <c r="I1938" s="52" t="str">
        <f>IF(J1938="","",INDEX(COA!$A$4:$A$123,MATCH(JU!$J1938,COA!$B$4:$B$123,0)))</f>
        <v/>
      </c>
      <c r="K1938" s="34" t="str">
        <f t="shared" si="288"/>
        <v/>
      </c>
    </row>
    <row r="1939" spans="6:11" hidden="1">
      <c r="F1939" s="52" t="str">
        <f>IF(G1939="","",INDEX(COA!$A$4:$A$123,MATCH(JU!$G1939,COA!$B$4:$B$123,0)))</f>
        <v/>
      </c>
      <c r="I1939" s="52" t="str">
        <f>IF(J1939="","",INDEX(COA!$A$4:$A$123,MATCH(JU!$J1939,COA!$B$4:$B$123,0)))</f>
        <v/>
      </c>
      <c r="K1939" s="34" t="str">
        <f t="shared" si="288"/>
        <v/>
      </c>
    </row>
    <row r="1940" spans="6:11" hidden="1">
      <c r="F1940" s="52" t="str">
        <f>IF(G1940="","",INDEX(COA!$A$4:$A$123,MATCH(JU!$G1940,COA!$B$4:$B$123,0)))</f>
        <v/>
      </c>
      <c r="I1940" s="52" t="str">
        <f>IF(J1940="","",INDEX(COA!$A$4:$A$123,MATCH(JU!$J1940,COA!$B$4:$B$123,0)))</f>
        <v/>
      </c>
      <c r="K1940" s="34" t="str">
        <f t="shared" si="288"/>
        <v/>
      </c>
    </row>
    <row r="1941" spans="6:11" hidden="1">
      <c r="F1941" s="52" t="str">
        <f>IF(G1941="","",INDEX(COA!$A$4:$A$123,MATCH(JU!$G1941,COA!$B$4:$B$123,0)))</f>
        <v/>
      </c>
      <c r="I1941" s="52" t="str">
        <f>IF(J1941="","",INDEX(COA!$A$4:$A$123,MATCH(JU!$J1941,COA!$B$4:$B$123,0)))</f>
        <v/>
      </c>
      <c r="K1941" s="34" t="str">
        <f t="shared" si="288"/>
        <v/>
      </c>
    </row>
    <row r="1942" spans="6:11" hidden="1">
      <c r="F1942" s="52" t="str">
        <f>IF(G1942="","",INDEX(COA!$A$4:$A$123,MATCH(JU!$G1942,COA!$B$4:$B$123,0)))</f>
        <v/>
      </c>
      <c r="I1942" s="52" t="str">
        <f>IF(J1942="","",INDEX(COA!$A$4:$A$123,MATCH(JU!$J1942,COA!$B$4:$B$123,0)))</f>
        <v/>
      </c>
      <c r="K1942" s="34" t="str">
        <f t="shared" si="288"/>
        <v/>
      </c>
    </row>
    <row r="1943" spans="6:11" hidden="1">
      <c r="F1943" s="52" t="str">
        <f>IF(G1943="","",INDEX(COA!$A$4:$A$123,MATCH(JU!$G1943,COA!$B$4:$B$123,0)))</f>
        <v/>
      </c>
      <c r="I1943" s="52" t="str">
        <f>IF(J1943="","",INDEX(COA!$A$4:$A$123,MATCH(JU!$J1943,COA!$B$4:$B$123,0)))</f>
        <v/>
      </c>
      <c r="K1943" s="34" t="str">
        <f t="shared" si="288"/>
        <v/>
      </c>
    </row>
    <row r="1944" spans="6:11" hidden="1">
      <c r="F1944" s="52" t="str">
        <f>IF(G1944="","",INDEX(COA!$A$4:$A$123,MATCH(JU!$G1944,COA!$B$4:$B$123,0)))</f>
        <v/>
      </c>
      <c r="I1944" s="52" t="str">
        <f>IF(J1944="","",INDEX(COA!$A$4:$A$123,MATCH(JU!$J1944,COA!$B$4:$B$123,0)))</f>
        <v/>
      </c>
      <c r="K1944" s="34" t="str">
        <f t="shared" si="288"/>
        <v/>
      </c>
    </row>
    <row r="1945" spans="6:11" hidden="1">
      <c r="F1945" s="52" t="str">
        <f>IF(G1945="","",INDEX(COA!$A$4:$A$123,MATCH(JU!$G1945,COA!$B$4:$B$123,0)))</f>
        <v/>
      </c>
      <c r="I1945" s="52" t="str">
        <f>IF(J1945="","",INDEX(COA!$A$4:$A$123,MATCH(JU!$J1945,COA!$B$4:$B$123,0)))</f>
        <v/>
      </c>
      <c r="K1945" s="34" t="str">
        <f t="shared" si="288"/>
        <v/>
      </c>
    </row>
    <row r="1946" spans="6:11" hidden="1">
      <c r="F1946" s="52" t="str">
        <f>IF(G1946="","",INDEX(COA!$A$4:$A$123,MATCH(JU!$G1946,COA!$B$4:$B$123,0)))</f>
        <v/>
      </c>
      <c r="I1946" s="52" t="str">
        <f>IF(J1946="","",INDEX(COA!$A$4:$A$123,MATCH(JU!$J1946,COA!$B$4:$B$123,0)))</f>
        <v/>
      </c>
      <c r="K1946" s="34" t="str">
        <f t="shared" si="288"/>
        <v/>
      </c>
    </row>
    <row r="1947" spans="6:11" hidden="1">
      <c r="F1947" s="52" t="str">
        <f>IF(G1947="","",INDEX(COA!$A$4:$A$123,MATCH(JU!$G1947,COA!$B$4:$B$123,0)))</f>
        <v/>
      </c>
      <c r="I1947" s="52" t="str">
        <f>IF(J1947="","",INDEX(COA!$A$4:$A$123,MATCH(JU!$J1947,COA!$B$4:$B$123,0)))</f>
        <v/>
      </c>
      <c r="K1947" s="34" t="str">
        <f t="shared" si="288"/>
        <v/>
      </c>
    </row>
    <row r="1948" spans="6:11" hidden="1">
      <c r="F1948" s="52" t="str">
        <f>IF(G1948="","",INDEX(COA!$A$4:$A$123,MATCH(JU!$G1948,COA!$B$4:$B$123,0)))</f>
        <v/>
      </c>
      <c r="I1948" s="52" t="str">
        <f>IF(J1948="","",INDEX(COA!$A$4:$A$123,MATCH(JU!$J1948,COA!$B$4:$B$123,0)))</f>
        <v/>
      </c>
      <c r="K1948" s="34" t="str">
        <f t="shared" si="288"/>
        <v/>
      </c>
    </row>
    <row r="1949" spans="6:11" hidden="1">
      <c r="F1949" s="52" t="str">
        <f>IF(G1949="","",INDEX(COA!$A$4:$A$123,MATCH(JU!$G1949,COA!$B$4:$B$123,0)))</f>
        <v/>
      </c>
      <c r="I1949" s="52" t="str">
        <f>IF(J1949="","",INDEX(COA!$A$4:$A$123,MATCH(JU!$J1949,COA!$B$4:$B$123,0)))</f>
        <v/>
      </c>
      <c r="K1949" s="34" t="str">
        <f t="shared" si="288"/>
        <v/>
      </c>
    </row>
    <row r="1950" spans="6:11" hidden="1">
      <c r="F1950" s="52" t="str">
        <f>IF(G1950="","",INDEX(COA!$A$4:$A$123,MATCH(JU!$G1950,COA!$B$4:$B$123,0)))</f>
        <v/>
      </c>
      <c r="I1950" s="52" t="str">
        <f>IF(J1950="","",INDEX(COA!$A$4:$A$123,MATCH(JU!$J1950,COA!$B$4:$B$123,0)))</f>
        <v/>
      </c>
      <c r="K1950" s="34" t="str">
        <f t="shared" si="288"/>
        <v/>
      </c>
    </row>
    <row r="1951" spans="6:11" hidden="1">
      <c r="F1951" s="52" t="str">
        <f>IF(G1951="","",INDEX(COA!$A$4:$A$123,MATCH(JU!$G1951,COA!$B$4:$B$123,0)))</f>
        <v/>
      </c>
      <c r="I1951" s="52" t="str">
        <f>IF(J1951="","",INDEX(COA!$A$4:$A$123,MATCH(JU!$J1951,COA!$B$4:$B$123,0)))</f>
        <v/>
      </c>
      <c r="K1951" s="34" t="str">
        <f t="shared" si="288"/>
        <v/>
      </c>
    </row>
    <row r="1952" spans="6:11" hidden="1">
      <c r="F1952" s="52" t="str">
        <f>IF(G1952="","",INDEX(COA!$A$4:$A$123,MATCH(JU!$G1952,COA!$B$4:$B$123,0)))</f>
        <v/>
      </c>
      <c r="I1952" s="52" t="str">
        <f>IF(J1952="","",INDEX(COA!$A$4:$A$123,MATCH(JU!$J1952,COA!$B$4:$B$123,0)))</f>
        <v/>
      </c>
      <c r="K1952" s="34" t="str">
        <f t="shared" si="288"/>
        <v/>
      </c>
    </row>
    <row r="1953" spans="6:11" hidden="1">
      <c r="F1953" s="52" t="str">
        <f>IF(G1953="","",INDEX(COA!$A$4:$A$123,MATCH(JU!$G1953,COA!$B$4:$B$123,0)))</f>
        <v/>
      </c>
      <c r="I1953" s="52" t="str">
        <f>IF(J1953="","",INDEX(COA!$A$4:$A$123,MATCH(JU!$J1953,COA!$B$4:$B$123,0)))</f>
        <v/>
      </c>
      <c r="K1953" s="34" t="str">
        <f t="shared" si="288"/>
        <v/>
      </c>
    </row>
    <row r="1954" spans="6:11" hidden="1">
      <c r="F1954" s="52" t="str">
        <f>IF(G1954="","",INDEX(COA!$A$4:$A$123,MATCH(JU!$G1954,COA!$B$4:$B$123,0)))</f>
        <v/>
      </c>
      <c r="I1954" s="52" t="str">
        <f>IF(J1954="","",INDEX(COA!$A$4:$A$123,MATCH(JU!$J1954,COA!$B$4:$B$123,0)))</f>
        <v/>
      </c>
      <c r="K1954" s="34" t="str">
        <f t="shared" si="288"/>
        <v/>
      </c>
    </row>
    <row r="1955" spans="6:11" hidden="1">
      <c r="F1955" s="52" t="str">
        <f>IF(G1955="","",INDEX(COA!$A$4:$A$123,MATCH(JU!$G1955,COA!$B$4:$B$123,0)))</f>
        <v/>
      </c>
      <c r="I1955" s="52" t="str">
        <f>IF(J1955="","",INDEX(COA!$A$4:$A$123,MATCH(JU!$J1955,COA!$B$4:$B$123,0)))</f>
        <v/>
      </c>
      <c r="K1955" s="34" t="str">
        <f t="shared" si="288"/>
        <v/>
      </c>
    </row>
    <row r="1956" spans="6:11" hidden="1">
      <c r="F1956" s="52" t="str">
        <f>IF(G1956="","",INDEX(COA!$A$4:$A$123,MATCH(JU!$G1956,COA!$B$4:$B$123,0)))</f>
        <v/>
      </c>
      <c r="I1956" s="52" t="str">
        <f>IF(J1956="","",INDEX(COA!$A$4:$A$123,MATCH(JU!$J1956,COA!$B$4:$B$123,0)))</f>
        <v/>
      </c>
      <c r="K1956" s="34" t="str">
        <f t="shared" si="288"/>
        <v/>
      </c>
    </row>
    <row r="1957" spans="6:11" hidden="1">
      <c r="F1957" s="52" t="str">
        <f>IF(G1957="","",INDEX(COA!$A$4:$A$123,MATCH(JU!$G1957,COA!$B$4:$B$123,0)))</f>
        <v/>
      </c>
      <c r="I1957" s="52" t="str">
        <f>IF(J1957="","",INDEX(COA!$A$4:$A$123,MATCH(JU!$J1957,COA!$B$4:$B$123,0)))</f>
        <v/>
      </c>
      <c r="K1957" s="34" t="str">
        <f t="shared" si="288"/>
        <v/>
      </c>
    </row>
    <row r="1958" spans="6:11" hidden="1">
      <c r="F1958" s="52" t="str">
        <f>IF(G1958="","",INDEX(COA!$A$4:$A$123,MATCH(JU!$G1958,COA!$B$4:$B$123,0)))</f>
        <v/>
      </c>
      <c r="I1958" s="52" t="str">
        <f>IF(J1958="","",INDEX(COA!$A$4:$A$123,MATCH(JU!$J1958,COA!$B$4:$B$123,0)))</f>
        <v/>
      </c>
      <c r="K1958" s="34" t="str">
        <f t="shared" si="288"/>
        <v/>
      </c>
    </row>
    <row r="1959" spans="6:11" hidden="1">
      <c r="F1959" s="52" t="str">
        <f>IF(G1959="","",INDEX(COA!$A$4:$A$123,MATCH(JU!$G1959,COA!$B$4:$B$123,0)))</f>
        <v/>
      </c>
      <c r="I1959" s="52" t="str">
        <f>IF(J1959="","",INDEX(COA!$A$4:$A$123,MATCH(JU!$J1959,COA!$B$4:$B$123,0)))</f>
        <v/>
      </c>
      <c r="K1959" s="34" t="str">
        <f t="shared" si="288"/>
        <v/>
      </c>
    </row>
    <row r="1960" spans="6:11" hidden="1">
      <c r="F1960" s="52" t="str">
        <f>IF(G1960="","",INDEX(COA!$A$4:$A$123,MATCH(JU!$G1960,COA!$B$4:$B$123,0)))</f>
        <v/>
      </c>
      <c r="I1960" s="52" t="str">
        <f>IF(J1960="","",INDEX(COA!$A$4:$A$123,MATCH(JU!$J1960,COA!$B$4:$B$123,0)))</f>
        <v/>
      </c>
      <c r="K1960" s="34" t="str">
        <f t="shared" si="288"/>
        <v/>
      </c>
    </row>
    <row r="1961" spans="6:11" hidden="1">
      <c r="F1961" s="52" t="str">
        <f>IF(G1961="","",INDEX(COA!$A$4:$A$123,MATCH(JU!$G1961,COA!$B$4:$B$123,0)))</f>
        <v/>
      </c>
      <c r="I1961" s="52" t="str">
        <f>IF(J1961="","",INDEX(COA!$A$4:$A$123,MATCH(JU!$J1961,COA!$B$4:$B$123,0)))</f>
        <v/>
      </c>
      <c r="K1961" s="34" t="str">
        <f t="shared" si="288"/>
        <v/>
      </c>
    </row>
    <row r="1962" spans="6:11" hidden="1">
      <c r="F1962" s="52" t="str">
        <f>IF(G1962="","",INDEX(COA!$A$4:$A$123,MATCH(JU!$G1962,COA!$B$4:$B$123,0)))</f>
        <v/>
      </c>
      <c r="I1962" s="52" t="str">
        <f>IF(J1962="","",INDEX(COA!$A$4:$A$123,MATCH(JU!$J1962,COA!$B$4:$B$123,0)))</f>
        <v/>
      </c>
      <c r="K1962" s="34" t="str">
        <f t="shared" si="288"/>
        <v/>
      </c>
    </row>
    <row r="1963" spans="6:11" hidden="1">
      <c r="F1963" s="52" t="str">
        <f>IF(G1963="","",INDEX(COA!$A$4:$A$123,MATCH(JU!$G1963,COA!$B$4:$B$123,0)))</f>
        <v/>
      </c>
      <c r="I1963" s="52" t="str">
        <f>IF(J1963="","",INDEX(COA!$A$4:$A$123,MATCH(JU!$J1963,COA!$B$4:$B$123,0)))</f>
        <v/>
      </c>
      <c r="K1963" s="34" t="str">
        <f t="shared" si="288"/>
        <v/>
      </c>
    </row>
    <row r="1964" spans="6:11" hidden="1">
      <c r="F1964" s="52" t="str">
        <f>IF(G1964="","",INDEX(COA!$A$4:$A$123,MATCH(JU!$G1964,COA!$B$4:$B$123,0)))</f>
        <v/>
      </c>
      <c r="I1964" s="52" t="str">
        <f>IF(J1964="","",INDEX(COA!$A$4:$A$123,MATCH(JU!$J1964,COA!$B$4:$B$123,0)))</f>
        <v/>
      </c>
      <c r="K1964" s="34" t="str">
        <f t="shared" si="288"/>
        <v/>
      </c>
    </row>
    <row r="1965" spans="6:11" hidden="1">
      <c r="F1965" s="52" t="str">
        <f>IF(G1965="","",INDEX(COA!$A$4:$A$123,MATCH(JU!$G1965,COA!$B$4:$B$123,0)))</f>
        <v/>
      </c>
      <c r="I1965" s="52" t="str">
        <f>IF(J1965="","",INDEX(COA!$A$4:$A$123,MATCH(JU!$J1965,COA!$B$4:$B$123,0)))</f>
        <v/>
      </c>
      <c r="K1965" s="34" t="str">
        <f t="shared" si="288"/>
        <v/>
      </c>
    </row>
    <row r="1966" spans="6:11" hidden="1">
      <c r="F1966" s="52" t="str">
        <f>IF(G1966="","",INDEX(COA!$A$4:$A$123,MATCH(JU!$G1966,COA!$B$4:$B$123,0)))</f>
        <v/>
      </c>
      <c r="I1966" s="52" t="str">
        <f>IF(J1966="","",INDEX(COA!$A$4:$A$123,MATCH(JU!$J1966,COA!$B$4:$B$123,0)))</f>
        <v/>
      </c>
      <c r="K1966" s="34" t="str">
        <f t="shared" si="288"/>
        <v/>
      </c>
    </row>
    <row r="1967" spans="6:11" hidden="1">
      <c r="F1967" s="52" t="str">
        <f>IF(G1967="","",INDEX(COA!$A$4:$A$123,MATCH(JU!$G1967,COA!$B$4:$B$123,0)))</f>
        <v/>
      </c>
      <c r="I1967" s="52" t="str">
        <f>IF(J1967="","",INDEX(COA!$A$4:$A$123,MATCH(JU!$J1967,COA!$B$4:$B$123,0)))</f>
        <v/>
      </c>
      <c r="K1967" s="34" t="str">
        <f t="shared" si="288"/>
        <v/>
      </c>
    </row>
    <row r="1968" spans="6:11" hidden="1">
      <c r="F1968" s="52" t="str">
        <f>IF(G1968="","",INDEX(COA!$A$4:$A$123,MATCH(JU!$G1968,COA!$B$4:$B$123,0)))</f>
        <v/>
      </c>
      <c r="I1968" s="52" t="str">
        <f>IF(J1968="","",INDEX(COA!$A$4:$A$123,MATCH(JU!$J1968,COA!$B$4:$B$123,0)))</f>
        <v/>
      </c>
      <c r="K1968" s="34" t="str">
        <f t="shared" si="288"/>
        <v/>
      </c>
    </row>
    <row r="1969" spans="6:11" hidden="1">
      <c r="F1969" s="52" t="str">
        <f>IF(G1969="","",INDEX(COA!$A$4:$A$123,MATCH(JU!$G1969,COA!$B$4:$B$123,0)))</f>
        <v/>
      </c>
      <c r="I1969" s="52" t="str">
        <f>IF(J1969="","",INDEX(COA!$A$4:$A$123,MATCH(JU!$J1969,COA!$B$4:$B$123,0)))</f>
        <v/>
      </c>
      <c r="K1969" s="34" t="str">
        <f t="shared" si="288"/>
        <v/>
      </c>
    </row>
    <row r="1970" spans="6:11" hidden="1">
      <c r="F1970" s="52" t="str">
        <f>IF(G1970="","",INDEX(COA!$A$4:$A$123,MATCH(JU!$G1970,COA!$B$4:$B$123,0)))</f>
        <v/>
      </c>
      <c r="I1970" s="52" t="str">
        <f>IF(J1970="","",INDEX(COA!$A$4:$A$123,MATCH(JU!$J1970,COA!$B$4:$B$123,0)))</f>
        <v/>
      </c>
      <c r="K1970" s="34" t="str">
        <f t="shared" si="288"/>
        <v/>
      </c>
    </row>
    <row r="1971" spans="6:11" hidden="1">
      <c r="F1971" s="52" t="str">
        <f>IF(G1971="","",INDEX(COA!$A$4:$A$123,MATCH(JU!$G1971,COA!$B$4:$B$123,0)))</f>
        <v/>
      </c>
      <c r="I1971" s="52" t="str">
        <f>IF(J1971="","",INDEX(COA!$A$4:$A$123,MATCH(JU!$J1971,COA!$B$4:$B$123,0)))</f>
        <v/>
      </c>
      <c r="K1971" s="34" t="str">
        <f t="shared" si="288"/>
        <v/>
      </c>
    </row>
    <row r="1972" spans="6:11" hidden="1">
      <c r="F1972" s="52" t="str">
        <f>IF(G1972="","",INDEX(COA!$A$4:$A$123,MATCH(JU!$G1972,COA!$B$4:$B$123,0)))</f>
        <v/>
      </c>
      <c r="I1972" s="52" t="str">
        <f>IF(J1972="","",INDEX(COA!$A$4:$A$123,MATCH(JU!$J1972,COA!$B$4:$B$123,0)))</f>
        <v/>
      </c>
      <c r="K1972" s="34" t="str">
        <f t="shared" si="288"/>
        <v/>
      </c>
    </row>
    <row r="1973" spans="6:11" hidden="1">
      <c r="F1973" s="52" t="str">
        <f>IF(G1973="","",INDEX(COA!$A$4:$A$123,MATCH(JU!$G1973,COA!$B$4:$B$123,0)))</f>
        <v/>
      </c>
      <c r="I1973" s="52" t="str">
        <f>IF(J1973="","",INDEX(COA!$A$4:$A$123,MATCH(JU!$J1973,COA!$B$4:$B$123,0)))</f>
        <v/>
      </c>
      <c r="K1973" s="34" t="str">
        <f t="shared" si="288"/>
        <v/>
      </c>
    </row>
    <row r="1974" spans="6:11" hidden="1">
      <c r="F1974" s="52" t="str">
        <f>IF(G1974="","",INDEX(COA!$A$4:$A$123,MATCH(JU!$G1974,COA!$B$4:$B$123,0)))</f>
        <v/>
      </c>
      <c r="I1974" s="52" t="str">
        <f>IF(J1974="","",INDEX(COA!$A$4:$A$123,MATCH(JU!$J1974,COA!$B$4:$B$123,0)))</f>
        <v/>
      </c>
      <c r="K1974" s="34" t="str">
        <f t="shared" si="288"/>
        <v/>
      </c>
    </row>
    <row r="1975" spans="6:11" hidden="1">
      <c r="F1975" s="52" t="str">
        <f>IF(G1975="","",INDEX(COA!$A$4:$A$123,MATCH(JU!$G1975,COA!$B$4:$B$123,0)))</f>
        <v/>
      </c>
      <c r="I1975" s="52" t="str">
        <f>IF(J1975="","",INDEX(COA!$A$4:$A$123,MATCH(JU!$J1975,COA!$B$4:$B$123,0)))</f>
        <v/>
      </c>
      <c r="K1975" s="34" t="str">
        <f t="shared" si="288"/>
        <v/>
      </c>
    </row>
    <row r="1976" spans="6:11" hidden="1">
      <c r="F1976" s="52" t="str">
        <f>IF(G1976="","",INDEX(COA!$A$4:$A$123,MATCH(JU!$G1976,COA!$B$4:$B$123,0)))</f>
        <v/>
      </c>
      <c r="I1976" s="52" t="str">
        <f>IF(J1976="","",INDEX(COA!$A$4:$A$123,MATCH(JU!$J1976,COA!$B$4:$B$123,0)))</f>
        <v/>
      </c>
      <c r="K1976" s="34" t="str">
        <f t="shared" si="288"/>
        <v/>
      </c>
    </row>
    <row r="1977" spans="6:11" hidden="1">
      <c r="F1977" s="52" t="str">
        <f>IF(G1977="","",INDEX(COA!$A$4:$A$123,MATCH(JU!$G1977,COA!$B$4:$B$123,0)))</f>
        <v/>
      </c>
      <c r="I1977" s="52" t="str">
        <f>IF(J1977="","",INDEX(COA!$A$4:$A$123,MATCH(JU!$J1977,COA!$B$4:$B$123,0)))</f>
        <v/>
      </c>
      <c r="K1977" s="34" t="str">
        <f t="shared" si="288"/>
        <v/>
      </c>
    </row>
    <row r="1978" spans="6:11" hidden="1">
      <c r="F1978" s="52" t="str">
        <f>IF(G1978="","",INDEX(COA!$A$4:$A$123,MATCH(JU!$G1978,COA!$B$4:$B$123,0)))</f>
        <v/>
      </c>
      <c r="I1978" s="52" t="str">
        <f>IF(J1978="","",INDEX(COA!$A$4:$A$123,MATCH(JU!$J1978,COA!$B$4:$B$123,0)))</f>
        <v/>
      </c>
      <c r="K1978" s="34" t="str">
        <f t="shared" si="288"/>
        <v/>
      </c>
    </row>
    <row r="1979" spans="6:11" hidden="1">
      <c r="F1979" s="52" t="str">
        <f>IF(G1979="","",INDEX(COA!$A$4:$A$123,MATCH(JU!$G1979,COA!$B$4:$B$123,0)))</f>
        <v/>
      </c>
      <c r="I1979" s="52" t="str">
        <f>IF(J1979="","",INDEX(COA!$A$4:$A$123,MATCH(JU!$J1979,COA!$B$4:$B$123,0)))</f>
        <v/>
      </c>
      <c r="K1979" s="34" t="str">
        <f t="shared" si="288"/>
        <v/>
      </c>
    </row>
    <row r="1980" spans="6:11" hidden="1">
      <c r="F1980" s="52" t="str">
        <f>IF(G1980="","",INDEX(COA!$A$4:$A$123,MATCH(JU!$G1980,COA!$B$4:$B$123,0)))</f>
        <v/>
      </c>
      <c r="I1980" s="52" t="str">
        <f>IF(J1980="","",INDEX(COA!$A$4:$A$123,MATCH(JU!$J1980,COA!$B$4:$B$123,0)))</f>
        <v/>
      </c>
      <c r="K1980" s="34" t="str">
        <f t="shared" si="288"/>
        <v/>
      </c>
    </row>
    <row r="1981" spans="6:11" hidden="1">
      <c r="F1981" s="52" t="str">
        <f>IF(G1981="","",INDEX(COA!$A$4:$A$123,MATCH(JU!$G1981,COA!$B$4:$B$123,0)))</f>
        <v/>
      </c>
      <c r="I1981" s="52" t="str">
        <f>IF(J1981="","",INDEX(COA!$A$4:$A$123,MATCH(JU!$J1981,COA!$B$4:$B$123,0)))</f>
        <v/>
      </c>
      <c r="K1981" s="34" t="str">
        <f t="shared" si="288"/>
        <v/>
      </c>
    </row>
    <row r="1982" spans="6:11" hidden="1">
      <c r="F1982" s="52" t="str">
        <f>IF(G1982="","",INDEX(COA!$A$4:$A$123,MATCH(JU!$G1982,COA!$B$4:$B$123,0)))</f>
        <v/>
      </c>
      <c r="I1982" s="52" t="str">
        <f>IF(J1982="","",INDEX(COA!$A$4:$A$123,MATCH(JU!$J1982,COA!$B$4:$B$123,0)))</f>
        <v/>
      </c>
      <c r="K1982" s="34" t="str">
        <f t="shared" si="288"/>
        <v/>
      </c>
    </row>
    <row r="1983" spans="6:11" hidden="1">
      <c r="F1983" s="52" t="str">
        <f>IF(G1983="","",INDEX(COA!$A$4:$A$123,MATCH(JU!$G1983,COA!$B$4:$B$123,0)))</f>
        <v/>
      </c>
      <c r="I1983" s="52" t="str">
        <f>IF(J1983="","",INDEX(COA!$A$4:$A$123,MATCH(JU!$J1983,COA!$B$4:$B$123,0)))</f>
        <v/>
      </c>
      <c r="K1983" s="34" t="str">
        <f t="shared" si="288"/>
        <v/>
      </c>
    </row>
    <row r="1984" spans="6:11" hidden="1">
      <c r="F1984" s="52" t="str">
        <f>IF(G1984="","",INDEX(COA!$A$4:$A$123,MATCH(JU!$G1984,COA!$B$4:$B$123,0)))</f>
        <v/>
      </c>
      <c r="I1984" s="52" t="str">
        <f>IF(J1984="","",INDEX(COA!$A$4:$A$123,MATCH(JU!$J1984,COA!$B$4:$B$123,0)))</f>
        <v/>
      </c>
      <c r="K1984" s="34" t="str">
        <f t="shared" si="288"/>
        <v/>
      </c>
    </row>
    <row r="1985" spans="6:11" hidden="1">
      <c r="F1985" s="52" t="str">
        <f>IF(G1985="","",INDEX(COA!$A$4:$A$123,MATCH(JU!$G1985,COA!$B$4:$B$123,0)))</f>
        <v/>
      </c>
      <c r="I1985" s="52" t="str">
        <f>IF(J1985="","",INDEX(COA!$A$4:$A$123,MATCH(JU!$J1985,COA!$B$4:$B$123,0)))</f>
        <v/>
      </c>
      <c r="K1985" s="34" t="str">
        <f t="shared" si="288"/>
        <v/>
      </c>
    </row>
    <row r="1986" spans="6:11" hidden="1">
      <c r="F1986" s="52" t="str">
        <f>IF(G1986="","",INDEX(COA!$A$4:$A$123,MATCH(JU!$G1986,COA!$B$4:$B$123,0)))</f>
        <v/>
      </c>
      <c r="I1986" s="52" t="str">
        <f>IF(J1986="","",INDEX(COA!$A$4:$A$123,MATCH(JU!$J1986,COA!$B$4:$B$123,0)))</f>
        <v/>
      </c>
      <c r="K1986" s="34" t="str">
        <f t="shared" si="288"/>
        <v/>
      </c>
    </row>
    <row r="1987" spans="6:11" hidden="1">
      <c r="F1987" s="52" t="str">
        <f>IF(G1987="","",INDEX(COA!$A$4:$A$123,MATCH(JU!$G1987,COA!$B$4:$B$123,0)))</f>
        <v/>
      </c>
      <c r="I1987" s="52" t="str">
        <f>IF(J1987="","",INDEX(COA!$A$4:$A$123,MATCH(JU!$J1987,COA!$B$4:$B$123,0)))</f>
        <v/>
      </c>
      <c r="K1987" s="34" t="str">
        <f t="shared" si="288"/>
        <v/>
      </c>
    </row>
    <row r="1988" spans="6:11" hidden="1">
      <c r="F1988" s="52" t="str">
        <f>IF(G1988="","",INDEX(COA!$A$4:$A$123,MATCH(JU!$G1988,COA!$B$4:$B$123,0)))</f>
        <v/>
      </c>
      <c r="I1988" s="52" t="str">
        <f>IF(J1988="","",INDEX(COA!$A$4:$A$123,MATCH(JU!$J1988,COA!$B$4:$B$123,0)))</f>
        <v/>
      </c>
      <c r="K1988" s="34" t="str">
        <f t="shared" si="288"/>
        <v/>
      </c>
    </row>
    <row r="1989" spans="6:11" hidden="1">
      <c r="F1989" s="52" t="str">
        <f>IF(G1989="","",INDEX(COA!$A$4:$A$123,MATCH(JU!$G1989,COA!$B$4:$B$123,0)))</f>
        <v/>
      </c>
      <c r="I1989" s="52" t="str">
        <f>IF(J1989="","",INDEX(COA!$A$4:$A$123,MATCH(JU!$J1989,COA!$B$4:$B$123,0)))</f>
        <v/>
      </c>
      <c r="K1989" s="34" t="str">
        <f t="shared" si="288"/>
        <v/>
      </c>
    </row>
    <row r="1990" spans="6:11" hidden="1">
      <c r="F1990" s="52" t="str">
        <f>IF(G1990="","",INDEX(COA!$A$4:$A$123,MATCH(JU!$G1990,COA!$B$4:$B$123,0)))</f>
        <v/>
      </c>
      <c r="I1990" s="52" t="str">
        <f>IF(J1990="","",INDEX(COA!$A$4:$A$123,MATCH(JU!$J1990,COA!$B$4:$B$123,0)))</f>
        <v/>
      </c>
      <c r="K1990" s="34" t="str">
        <f t="shared" si="288"/>
        <v/>
      </c>
    </row>
    <row r="1991" spans="6:11" hidden="1">
      <c r="F1991" s="52" t="str">
        <f>IF(G1991="","",INDEX(COA!$A$4:$A$123,MATCH(JU!$G1991,COA!$B$4:$B$123,0)))</f>
        <v/>
      </c>
      <c r="I1991" s="52" t="str">
        <f>IF(J1991="","",INDEX(COA!$A$4:$A$123,MATCH(JU!$J1991,COA!$B$4:$B$123,0)))</f>
        <v/>
      </c>
      <c r="K1991" s="34" t="str">
        <f t="shared" si="288"/>
        <v/>
      </c>
    </row>
    <row r="1992" spans="6:11" hidden="1">
      <c r="F1992" s="52" t="str">
        <f>IF(G1992="","",INDEX(COA!$A$4:$A$123,MATCH(JU!$G1992,COA!$B$4:$B$123,0)))</f>
        <v/>
      </c>
      <c r="I1992" s="52" t="str">
        <f>IF(J1992="","",INDEX(COA!$A$4:$A$123,MATCH(JU!$J1992,COA!$B$4:$B$123,0)))</f>
        <v/>
      </c>
      <c r="K1992" s="34" t="str">
        <f t="shared" si="288"/>
        <v/>
      </c>
    </row>
    <row r="1993" spans="6:11" hidden="1">
      <c r="F1993" s="52" t="str">
        <f>IF(G1993="","",INDEX(COA!$A$4:$A$123,MATCH(JU!$G1993,COA!$B$4:$B$123,0)))</f>
        <v/>
      </c>
      <c r="I1993" s="52" t="str">
        <f>IF(J1993="","",INDEX(COA!$A$4:$A$123,MATCH(JU!$J1993,COA!$B$4:$B$123,0)))</f>
        <v/>
      </c>
      <c r="K1993" s="34" t="str">
        <f t="shared" si="288"/>
        <v/>
      </c>
    </row>
    <row r="1994" spans="6:11" hidden="1">
      <c r="F1994" s="52" t="str">
        <f>IF(G1994="","",INDEX(COA!$A$4:$A$123,MATCH(JU!$G1994,COA!$B$4:$B$123,0)))</f>
        <v/>
      </c>
      <c r="I1994" s="52" t="str">
        <f>IF(J1994="","",INDEX(COA!$A$4:$A$123,MATCH(JU!$J1994,COA!$B$4:$B$123,0)))</f>
        <v/>
      </c>
      <c r="K1994" s="34" t="str">
        <f t="shared" ref="K1994:K2057" si="289">IF(H1994="","",H1994)</f>
        <v/>
      </c>
    </row>
    <row r="1995" spans="6:11" hidden="1">
      <c r="F1995" s="52" t="str">
        <f>IF(G1995="","",INDEX(COA!$A$4:$A$123,MATCH(JU!$G1995,COA!$B$4:$B$123,0)))</f>
        <v/>
      </c>
      <c r="I1995" s="52" t="str">
        <f>IF(J1995="","",INDEX(COA!$A$4:$A$123,MATCH(JU!$J1995,COA!$B$4:$B$123,0)))</f>
        <v/>
      </c>
      <c r="K1995" s="34" t="str">
        <f t="shared" si="289"/>
        <v/>
      </c>
    </row>
    <row r="1996" spans="6:11" hidden="1">
      <c r="F1996" s="52" t="str">
        <f>IF(G1996="","",INDEX(COA!$A$4:$A$123,MATCH(JU!$G1996,COA!$B$4:$B$123,0)))</f>
        <v/>
      </c>
      <c r="I1996" s="52" t="str">
        <f>IF(J1996="","",INDEX(COA!$A$4:$A$123,MATCH(JU!$J1996,COA!$B$4:$B$123,0)))</f>
        <v/>
      </c>
      <c r="K1996" s="34" t="str">
        <f t="shared" si="289"/>
        <v/>
      </c>
    </row>
    <row r="1997" spans="6:11" hidden="1">
      <c r="F1997" s="52" t="str">
        <f>IF(G1997="","",INDEX(COA!$A$4:$A$123,MATCH(JU!$G1997,COA!$B$4:$B$123,0)))</f>
        <v/>
      </c>
      <c r="I1997" s="52" t="str">
        <f>IF(J1997="","",INDEX(COA!$A$4:$A$123,MATCH(JU!$J1997,COA!$B$4:$B$123,0)))</f>
        <v/>
      </c>
      <c r="K1997" s="34" t="str">
        <f t="shared" si="289"/>
        <v/>
      </c>
    </row>
    <row r="1998" spans="6:11" hidden="1">
      <c r="F1998" s="52" t="str">
        <f>IF(G1998="","",INDEX(COA!$A$4:$A$123,MATCH(JU!$G1998,COA!$B$4:$B$123,0)))</f>
        <v/>
      </c>
      <c r="I1998" s="52" t="str">
        <f>IF(J1998="","",INDEX(COA!$A$4:$A$123,MATCH(JU!$J1998,COA!$B$4:$B$123,0)))</f>
        <v/>
      </c>
      <c r="K1998" s="34" t="str">
        <f t="shared" si="289"/>
        <v/>
      </c>
    </row>
    <row r="1999" spans="6:11" hidden="1">
      <c r="F1999" s="52" t="str">
        <f>IF(G1999="","",INDEX(COA!$A$4:$A$123,MATCH(JU!$G1999,COA!$B$4:$B$123,0)))</f>
        <v/>
      </c>
      <c r="I1999" s="52" t="str">
        <f>IF(J1999="","",INDEX(COA!$A$4:$A$123,MATCH(JU!$J1999,COA!$B$4:$B$123,0)))</f>
        <v/>
      </c>
      <c r="K1999" s="34" t="str">
        <f t="shared" si="289"/>
        <v/>
      </c>
    </row>
    <row r="2000" spans="6:11" hidden="1">
      <c r="F2000" s="52" t="str">
        <f>IF(G2000="","",INDEX(COA!$A$4:$A$123,MATCH(JU!$G2000,COA!$B$4:$B$123,0)))</f>
        <v/>
      </c>
      <c r="I2000" s="52" t="str">
        <f>IF(J2000="","",INDEX(COA!$A$4:$A$123,MATCH(JU!$J2000,COA!$B$4:$B$123,0)))</f>
        <v/>
      </c>
      <c r="K2000" s="34" t="str">
        <f t="shared" si="289"/>
        <v/>
      </c>
    </row>
    <row r="2001" spans="6:11" hidden="1">
      <c r="F2001" s="52" t="str">
        <f>IF(G2001="","",INDEX(COA!$A$4:$A$123,MATCH(JU!$G2001,COA!$B$4:$B$123,0)))</f>
        <v/>
      </c>
      <c r="I2001" s="52" t="str">
        <f>IF(J2001="","",INDEX(COA!$A$4:$A$123,MATCH(JU!$J2001,COA!$B$4:$B$123,0)))</f>
        <v/>
      </c>
      <c r="K2001" s="34" t="str">
        <f t="shared" si="289"/>
        <v/>
      </c>
    </row>
    <row r="2002" spans="6:11" hidden="1">
      <c r="F2002" s="52" t="str">
        <f>IF(G2002="","",INDEX(COA!$A$4:$A$123,MATCH(JU!$G2002,COA!$B$4:$B$123,0)))</f>
        <v/>
      </c>
      <c r="I2002" s="52" t="str">
        <f>IF(J2002="","",INDEX(COA!$A$4:$A$123,MATCH(JU!$J2002,COA!$B$4:$B$123,0)))</f>
        <v/>
      </c>
      <c r="K2002" s="34" t="str">
        <f t="shared" si="289"/>
        <v/>
      </c>
    </row>
    <row r="2003" spans="6:11" hidden="1">
      <c r="F2003" s="52" t="str">
        <f>IF(G2003="","",INDEX(COA!$A$4:$A$123,MATCH(JU!$G2003,COA!$B$4:$B$123,0)))</f>
        <v/>
      </c>
      <c r="I2003" s="52" t="str">
        <f>IF(J2003="","",INDEX(COA!$A$4:$A$123,MATCH(JU!$J2003,COA!$B$4:$B$123,0)))</f>
        <v/>
      </c>
      <c r="K2003" s="34" t="str">
        <f t="shared" si="289"/>
        <v/>
      </c>
    </row>
    <row r="2004" spans="6:11" hidden="1">
      <c r="F2004" s="52" t="str">
        <f>IF(G2004="","",INDEX(COA!$A$4:$A$123,MATCH(JU!$G2004,COA!$B$4:$B$123,0)))</f>
        <v/>
      </c>
      <c r="I2004" s="52" t="str">
        <f>IF(J2004="","",INDEX(COA!$A$4:$A$123,MATCH(JU!$J2004,COA!$B$4:$B$123,0)))</f>
        <v/>
      </c>
      <c r="K2004" s="34" t="str">
        <f t="shared" si="289"/>
        <v/>
      </c>
    </row>
    <row r="2005" spans="6:11" hidden="1">
      <c r="F2005" s="52" t="str">
        <f>IF(G2005="","",INDEX(COA!$A$4:$A$123,MATCH(JU!$G2005,COA!$B$4:$B$123,0)))</f>
        <v/>
      </c>
      <c r="I2005" s="52" t="str">
        <f>IF(J2005="","",INDEX(COA!$A$4:$A$123,MATCH(JU!$J2005,COA!$B$4:$B$123,0)))</f>
        <v/>
      </c>
      <c r="K2005" s="34" t="str">
        <f t="shared" si="289"/>
        <v/>
      </c>
    </row>
    <row r="2006" spans="6:11" hidden="1">
      <c r="F2006" s="52" t="str">
        <f>IF(G2006="","",INDEX(COA!$A$4:$A$123,MATCH(JU!$G2006,COA!$B$4:$B$123,0)))</f>
        <v/>
      </c>
      <c r="I2006" s="52" t="str">
        <f>IF(J2006="","",INDEX(COA!$A$4:$A$123,MATCH(JU!$J2006,COA!$B$4:$B$123,0)))</f>
        <v/>
      </c>
      <c r="K2006" s="34" t="str">
        <f t="shared" si="289"/>
        <v/>
      </c>
    </row>
    <row r="2007" spans="6:11" hidden="1">
      <c r="F2007" s="52" t="str">
        <f>IF(G2007="","",INDEX(COA!$A$4:$A$123,MATCH(JU!$G2007,COA!$B$4:$B$123,0)))</f>
        <v/>
      </c>
      <c r="I2007" s="52" t="str">
        <f>IF(J2007="","",INDEX(COA!$A$4:$A$123,MATCH(JU!$J2007,COA!$B$4:$B$123,0)))</f>
        <v/>
      </c>
      <c r="K2007" s="34" t="str">
        <f t="shared" si="289"/>
        <v/>
      </c>
    </row>
    <row r="2008" spans="6:11" hidden="1">
      <c r="F2008" s="52" t="str">
        <f>IF(G2008="","",INDEX(COA!$A$4:$A$123,MATCH(JU!$G2008,COA!$B$4:$B$123,0)))</f>
        <v/>
      </c>
      <c r="I2008" s="52" t="str">
        <f>IF(J2008="","",INDEX(COA!$A$4:$A$123,MATCH(JU!$J2008,COA!$B$4:$B$123,0)))</f>
        <v/>
      </c>
      <c r="K2008" s="34" t="str">
        <f t="shared" si="289"/>
        <v/>
      </c>
    </row>
    <row r="2009" spans="6:11" hidden="1">
      <c r="F2009" s="52" t="str">
        <f>IF(G2009="","",INDEX(COA!$A$4:$A$123,MATCH(JU!$G2009,COA!$B$4:$B$123,0)))</f>
        <v/>
      </c>
      <c r="I2009" s="52" t="str">
        <f>IF(J2009="","",INDEX(COA!$A$4:$A$123,MATCH(JU!$J2009,COA!$B$4:$B$123,0)))</f>
        <v/>
      </c>
      <c r="K2009" s="34" t="str">
        <f t="shared" si="289"/>
        <v/>
      </c>
    </row>
    <row r="2010" spans="6:11" hidden="1">
      <c r="F2010" s="52" t="str">
        <f>IF(G2010="","",INDEX(COA!$A$4:$A$123,MATCH(JU!$G2010,COA!$B$4:$B$123,0)))</f>
        <v/>
      </c>
      <c r="I2010" s="52" t="str">
        <f>IF(J2010="","",INDEX(COA!$A$4:$A$123,MATCH(JU!$J2010,COA!$B$4:$B$123,0)))</f>
        <v/>
      </c>
      <c r="K2010" s="34" t="str">
        <f t="shared" si="289"/>
        <v/>
      </c>
    </row>
    <row r="2011" spans="6:11" hidden="1">
      <c r="F2011" s="52" t="str">
        <f>IF(G2011="","",INDEX(COA!$A$4:$A$123,MATCH(JU!$G2011,COA!$B$4:$B$123,0)))</f>
        <v/>
      </c>
      <c r="I2011" s="52" t="str">
        <f>IF(J2011="","",INDEX(COA!$A$4:$A$123,MATCH(JU!$J2011,COA!$B$4:$B$123,0)))</f>
        <v/>
      </c>
      <c r="K2011" s="34" t="str">
        <f t="shared" si="289"/>
        <v/>
      </c>
    </row>
    <row r="2012" spans="6:11" hidden="1">
      <c r="F2012" s="52" t="str">
        <f>IF(G2012="","",INDEX(COA!$A$4:$A$123,MATCH(JU!$G2012,COA!$B$4:$B$123,0)))</f>
        <v/>
      </c>
      <c r="I2012" s="52" t="str">
        <f>IF(J2012="","",INDEX(COA!$A$4:$A$123,MATCH(JU!$J2012,COA!$B$4:$B$123,0)))</f>
        <v/>
      </c>
      <c r="K2012" s="34" t="str">
        <f t="shared" si="289"/>
        <v/>
      </c>
    </row>
    <row r="2013" spans="6:11" hidden="1">
      <c r="F2013" s="52" t="str">
        <f>IF(G2013="","",INDEX(COA!$A$4:$A$123,MATCH(JU!$G2013,COA!$B$4:$B$123,0)))</f>
        <v/>
      </c>
      <c r="I2013" s="52" t="str">
        <f>IF(J2013="","",INDEX(COA!$A$4:$A$123,MATCH(JU!$J2013,COA!$B$4:$B$123,0)))</f>
        <v/>
      </c>
      <c r="K2013" s="34" t="str">
        <f t="shared" si="289"/>
        <v/>
      </c>
    </row>
    <row r="2014" spans="6:11" hidden="1">
      <c r="F2014" s="52" t="str">
        <f>IF(G2014="","",INDEX(COA!$A$4:$A$123,MATCH(JU!$G2014,COA!$B$4:$B$123,0)))</f>
        <v/>
      </c>
      <c r="I2014" s="52" t="str">
        <f>IF(J2014="","",INDEX(COA!$A$4:$A$123,MATCH(JU!$J2014,COA!$B$4:$B$123,0)))</f>
        <v/>
      </c>
      <c r="K2014" s="34" t="str">
        <f t="shared" si="289"/>
        <v/>
      </c>
    </row>
    <row r="2015" spans="6:11" hidden="1">
      <c r="F2015" s="52" t="str">
        <f>IF(G2015="","",INDEX(COA!$A$4:$A$123,MATCH(JU!$G2015,COA!$B$4:$B$123,0)))</f>
        <v/>
      </c>
      <c r="I2015" s="52" t="str">
        <f>IF(J2015="","",INDEX(COA!$A$4:$A$123,MATCH(JU!$J2015,COA!$B$4:$B$123,0)))</f>
        <v/>
      </c>
      <c r="K2015" s="34" t="str">
        <f t="shared" si="289"/>
        <v/>
      </c>
    </row>
    <row r="2016" spans="6:11" hidden="1">
      <c r="F2016" s="52" t="str">
        <f>IF(G2016="","",INDEX(COA!$A$4:$A$123,MATCH(JU!$G2016,COA!$B$4:$B$123,0)))</f>
        <v/>
      </c>
      <c r="I2016" s="52" t="str">
        <f>IF(J2016="","",INDEX(COA!$A$4:$A$123,MATCH(JU!$J2016,COA!$B$4:$B$123,0)))</f>
        <v/>
      </c>
      <c r="K2016" s="34" t="str">
        <f t="shared" si="289"/>
        <v/>
      </c>
    </row>
    <row r="2017" spans="6:11" hidden="1">
      <c r="F2017" s="52" t="str">
        <f>IF(G2017="","",INDEX(COA!$A$4:$A$123,MATCH(JU!$G2017,COA!$B$4:$B$123,0)))</f>
        <v/>
      </c>
      <c r="I2017" s="52" t="str">
        <f>IF(J2017="","",INDEX(COA!$A$4:$A$123,MATCH(JU!$J2017,COA!$B$4:$B$123,0)))</f>
        <v/>
      </c>
      <c r="K2017" s="34" t="str">
        <f t="shared" si="289"/>
        <v/>
      </c>
    </row>
    <row r="2018" spans="6:11" hidden="1">
      <c r="F2018" s="52" t="str">
        <f>IF(G2018="","",INDEX(COA!$A$4:$A$123,MATCH(JU!$G2018,COA!$B$4:$B$123,0)))</f>
        <v/>
      </c>
      <c r="I2018" s="52" t="str">
        <f>IF(J2018="","",INDEX(COA!$A$4:$A$123,MATCH(JU!$J2018,COA!$B$4:$B$123,0)))</f>
        <v/>
      </c>
      <c r="K2018" s="34" t="str">
        <f t="shared" si="289"/>
        <v/>
      </c>
    </row>
    <row r="2019" spans="6:11" hidden="1">
      <c r="F2019" s="52" t="str">
        <f>IF(G2019="","",INDEX(COA!$A$4:$A$123,MATCH(JU!$G2019,COA!$B$4:$B$123,0)))</f>
        <v/>
      </c>
      <c r="I2019" s="52" t="str">
        <f>IF(J2019="","",INDEX(COA!$A$4:$A$123,MATCH(JU!$J2019,COA!$B$4:$B$123,0)))</f>
        <v/>
      </c>
      <c r="K2019" s="34" t="str">
        <f t="shared" si="289"/>
        <v/>
      </c>
    </row>
    <row r="2020" spans="6:11" hidden="1">
      <c r="F2020" s="52" t="str">
        <f>IF(G2020="","",INDEX(COA!$A$4:$A$123,MATCH(JU!$G2020,COA!$B$4:$B$123,0)))</f>
        <v/>
      </c>
      <c r="I2020" s="52" t="str">
        <f>IF(J2020="","",INDEX(COA!$A$4:$A$123,MATCH(JU!$J2020,COA!$B$4:$B$123,0)))</f>
        <v/>
      </c>
      <c r="K2020" s="34" t="str">
        <f t="shared" si="289"/>
        <v/>
      </c>
    </row>
    <row r="2021" spans="6:11" hidden="1">
      <c r="F2021" s="52" t="str">
        <f>IF(G2021="","",INDEX(COA!$A$4:$A$123,MATCH(JU!$G2021,COA!$B$4:$B$123,0)))</f>
        <v/>
      </c>
      <c r="I2021" s="52" t="str">
        <f>IF(J2021="","",INDEX(COA!$A$4:$A$123,MATCH(JU!$J2021,COA!$B$4:$B$123,0)))</f>
        <v/>
      </c>
      <c r="K2021" s="34" t="str">
        <f t="shared" si="289"/>
        <v/>
      </c>
    </row>
    <row r="2022" spans="6:11" hidden="1">
      <c r="F2022" s="52" t="str">
        <f>IF(G2022="","",INDEX(COA!$A$4:$A$123,MATCH(JU!$G2022,COA!$B$4:$B$123,0)))</f>
        <v/>
      </c>
      <c r="I2022" s="52" t="str">
        <f>IF(J2022="","",INDEX(COA!$A$4:$A$123,MATCH(JU!$J2022,COA!$B$4:$B$123,0)))</f>
        <v/>
      </c>
      <c r="K2022" s="34" t="str">
        <f t="shared" si="289"/>
        <v/>
      </c>
    </row>
    <row r="2023" spans="6:11" hidden="1">
      <c r="F2023" s="52" t="str">
        <f>IF(G2023="","",INDEX(COA!$A$4:$A$123,MATCH(JU!$G2023,COA!$B$4:$B$123,0)))</f>
        <v/>
      </c>
      <c r="I2023" s="52" t="str">
        <f>IF(J2023="","",INDEX(COA!$A$4:$A$123,MATCH(JU!$J2023,COA!$B$4:$B$123,0)))</f>
        <v/>
      </c>
      <c r="K2023" s="34" t="str">
        <f t="shared" si="289"/>
        <v/>
      </c>
    </row>
    <row r="2024" spans="6:11" hidden="1">
      <c r="F2024" s="52" t="str">
        <f>IF(G2024="","",INDEX(COA!$A$4:$A$123,MATCH(JU!$G2024,COA!$B$4:$B$123,0)))</f>
        <v/>
      </c>
      <c r="I2024" s="52" t="str">
        <f>IF(J2024="","",INDEX(COA!$A$4:$A$123,MATCH(JU!$J2024,COA!$B$4:$B$123,0)))</f>
        <v/>
      </c>
      <c r="K2024" s="34" t="str">
        <f t="shared" si="289"/>
        <v/>
      </c>
    </row>
    <row r="2025" spans="6:11" hidden="1">
      <c r="F2025" s="52" t="str">
        <f>IF(G2025="","",INDEX(COA!$A$4:$A$123,MATCH(JU!$G2025,COA!$B$4:$B$123,0)))</f>
        <v/>
      </c>
      <c r="I2025" s="52" t="str">
        <f>IF(J2025="","",INDEX(COA!$A$4:$A$123,MATCH(JU!$J2025,COA!$B$4:$B$123,0)))</f>
        <v/>
      </c>
      <c r="K2025" s="34" t="str">
        <f t="shared" si="289"/>
        <v/>
      </c>
    </row>
    <row r="2026" spans="6:11" hidden="1">
      <c r="F2026" s="52" t="str">
        <f>IF(G2026="","",INDEX(COA!$A$4:$A$123,MATCH(JU!$G2026,COA!$B$4:$B$123,0)))</f>
        <v/>
      </c>
      <c r="I2026" s="52" t="str">
        <f>IF(J2026="","",INDEX(COA!$A$4:$A$123,MATCH(JU!$J2026,COA!$B$4:$B$123,0)))</f>
        <v/>
      </c>
      <c r="K2026" s="34" t="str">
        <f t="shared" si="289"/>
        <v/>
      </c>
    </row>
    <row r="2027" spans="6:11" hidden="1">
      <c r="F2027" s="52" t="str">
        <f>IF(G2027="","",INDEX(COA!$A$4:$A$123,MATCH(JU!$G2027,COA!$B$4:$B$123,0)))</f>
        <v/>
      </c>
      <c r="I2027" s="52" t="str">
        <f>IF(J2027="","",INDEX(COA!$A$4:$A$123,MATCH(JU!$J2027,COA!$B$4:$B$123,0)))</f>
        <v/>
      </c>
      <c r="K2027" s="34" t="str">
        <f t="shared" si="289"/>
        <v/>
      </c>
    </row>
    <row r="2028" spans="6:11" hidden="1">
      <c r="F2028" s="52" t="str">
        <f>IF(G2028="","",INDEX(COA!$A$4:$A$123,MATCH(JU!$G2028,COA!$B$4:$B$123,0)))</f>
        <v/>
      </c>
      <c r="I2028" s="52" t="str">
        <f>IF(J2028="","",INDEX(COA!$A$4:$A$123,MATCH(JU!$J2028,COA!$B$4:$B$123,0)))</f>
        <v/>
      </c>
      <c r="K2028" s="34" t="str">
        <f t="shared" si="289"/>
        <v/>
      </c>
    </row>
    <row r="2029" spans="6:11" hidden="1">
      <c r="F2029" s="52" t="str">
        <f>IF(G2029="","",INDEX(COA!$A$4:$A$123,MATCH(JU!$G2029,COA!$B$4:$B$123,0)))</f>
        <v/>
      </c>
      <c r="I2029" s="52" t="str">
        <f>IF(J2029="","",INDEX(COA!$A$4:$A$123,MATCH(JU!$J2029,COA!$B$4:$B$123,0)))</f>
        <v/>
      </c>
      <c r="K2029" s="34" t="str">
        <f t="shared" si="289"/>
        <v/>
      </c>
    </row>
    <row r="2030" spans="6:11" hidden="1">
      <c r="F2030" s="52" t="str">
        <f>IF(G2030="","",INDEX(COA!$A$4:$A$123,MATCH(JU!$G2030,COA!$B$4:$B$123,0)))</f>
        <v/>
      </c>
      <c r="I2030" s="52" t="str">
        <f>IF(J2030="","",INDEX(COA!$A$4:$A$123,MATCH(JU!$J2030,COA!$B$4:$B$123,0)))</f>
        <v/>
      </c>
      <c r="K2030" s="34" t="str">
        <f t="shared" si="289"/>
        <v/>
      </c>
    </row>
    <row r="2031" spans="6:11" hidden="1">
      <c r="F2031" s="52" t="str">
        <f>IF(G2031="","",INDEX(COA!$A$4:$A$123,MATCH(JU!$G2031,COA!$B$4:$B$123,0)))</f>
        <v/>
      </c>
      <c r="I2031" s="52" t="str">
        <f>IF(J2031="","",INDEX(COA!$A$4:$A$123,MATCH(JU!$J2031,COA!$B$4:$B$123,0)))</f>
        <v/>
      </c>
      <c r="K2031" s="34" t="str">
        <f t="shared" si="289"/>
        <v/>
      </c>
    </row>
    <row r="2032" spans="6:11" hidden="1">
      <c r="F2032" s="52" t="str">
        <f>IF(G2032="","",INDEX(COA!$A$4:$A$123,MATCH(JU!$G2032,COA!$B$4:$B$123,0)))</f>
        <v/>
      </c>
      <c r="I2032" s="52" t="str">
        <f>IF(J2032="","",INDEX(COA!$A$4:$A$123,MATCH(JU!$J2032,COA!$B$4:$B$123,0)))</f>
        <v/>
      </c>
      <c r="K2032" s="34" t="str">
        <f t="shared" si="289"/>
        <v/>
      </c>
    </row>
    <row r="2033" spans="6:11" hidden="1">
      <c r="F2033" s="52" t="str">
        <f>IF(G2033="","",INDEX(COA!$A$4:$A$123,MATCH(JU!$G2033,COA!$B$4:$B$123,0)))</f>
        <v/>
      </c>
      <c r="I2033" s="52" t="str">
        <f>IF(J2033="","",INDEX(COA!$A$4:$A$123,MATCH(JU!$J2033,COA!$B$4:$B$123,0)))</f>
        <v/>
      </c>
      <c r="K2033" s="34" t="str">
        <f t="shared" si="289"/>
        <v/>
      </c>
    </row>
    <row r="2034" spans="6:11" hidden="1">
      <c r="F2034" s="52" t="str">
        <f>IF(G2034="","",INDEX(COA!$A$4:$A$123,MATCH(JU!$G2034,COA!$B$4:$B$123,0)))</f>
        <v/>
      </c>
      <c r="I2034" s="52" t="str">
        <f>IF(J2034="","",INDEX(COA!$A$4:$A$123,MATCH(JU!$J2034,COA!$B$4:$B$123,0)))</f>
        <v/>
      </c>
      <c r="K2034" s="34" t="str">
        <f t="shared" si="289"/>
        <v/>
      </c>
    </row>
    <row r="2035" spans="6:11" hidden="1">
      <c r="F2035" s="52" t="str">
        <f>IF(G2035="","",INDEX(COA!$A$4:$A$123,MATCH(JU!$G2035,COA!$B$4:$B$123,0)))</f>
        <v/>
      </c>
      <c r="I2035" s="52" t="str">
        <f>IF(J2035="","",INDEX(COA!$A$4:$A$123,MATCH(JU!$J2035,COA!$B$4:$B$123,0)))</f>
        <v/>
      </c>
      <c r="K2035" s="34" t="str">
        <f t="shared" si="289"/>
        <v/>
      </c>
    </row>
    <row r="2036" spans="6:11" hidden="1">
      <c r="F2036" s="52" t="str">
        <f>IF(G2036="","",INDEX(COA!$A$4:$A$123,MATCH(JU!$G2036,COA!$B$4:$B$123,0)))</f>
        <v/>
      </c>
      <c r="I2036" s="52" t="str">
        <f>IF(J2036="","",INDEX(COA!$A$4:$A$123,MATCH(JU!$J2036,COA!$B$4:$B$123,0)))</f>
        <v/>
      </c>
      <c r="K2036" s="34" t="str">
        <f t="shared" si="289"/>
        <v/>
      </c>
    </row>
    <row r="2037" spans="6:11" hidden="1">
      <c r="F2037" s="52" t="str">
        <f>IF(G2037="","",INDEX(COA!$A$4:$A$123,MATCH(JU!$G2037,COA!$B$4:$B$123,0)))</f>
        <v/>
      </c>
      <c r="I2037" s="52" t="str">
        <f>IF(J2037="","",INDEX(COA!$A$4:$A$123,MATCH(JU!$J2037,COA!$B$4:$B$123,0)))</f>
        <v/>
      </c>
      <c r="K2037" s="34" t="str">
        <f t="shared" si="289"/>
        <v/>
      </c>
    </row>
    <row r="2038" spans="6:11" hidden="1">
      <c r="F2038" s="52" t="str">
        <f>IF(G2038="","",INDEX(COA!$A$4:$A$123,MATCH(JU!$G2038,COA!$B$4:$B$123,0)))</f>
        <v/>
      </c>
      <c r="I2038" s="52" t="str">
        <f>IF(J2038="","",INDEX(COA!$A$4:$A$123,MATCH(JU!$J2038,COA!$B$4:$B$123,0)))</f>
        <v/>
      </c>
      <c r="K2038" s="34" t="str">
        <f t="shared" si="289"/>
        <v/>
      </c>
    </row>
    <row r="2039" spans="6:11" hidden="1">
      <c r="F2039" s="52" t="str">
        <f>IF(G2039="","",INDEX(COA!$A$4:$A$123,MATCH(JU!$G2039,COA!$B$4:$B$123,0)))</f>
        <v/>
      </c>
      <c r="I2039" s="52" t="str">
        <f>IF(J2039="","",INDEX(COA!$A$4:$A$123,MATCH(JU!$J2039,COA!$B$4:$B$123,0)))</f>
        <v/>
      </c>
      <c r="K2039" s="34" t="str">
        <f t="shared" si="289"/>
        <v/>
      </c>
    </row>
    <row r="2040" spans="6:11" hidden="1">
      <c r="F2040" s="52" t="str">
        <f>IF(G2040="","",INDEX(COA!$A$4:$A$123,MATCH(JU!$G2040,COA!$B$4:$B$123,0)))</f>
        <v/>
      </c>
      <c r="I2040" s="52" t="str">
        <f>IF(J2040="","",INDEX(COA!$A$4:$A$123,MATCH(JU!$J2040,COA!$B$4:$B$123,0)))</f>
        <v/>
      </c>
      <c r="K2040" s="34" t="str">
        <f t="shared" si="289"/>
        <v/>
      </c>
    </row>
    <row r="2041" spans="6:11" hidden="1">
      <c r="F2041" s="52" t="str">
        <f>IF(G2041="","",INDEX(COA!$A$4:$A$123,MATCH(JU!$G2041,COA!$B$4:$B$123,0)))</f>
        <v/>
      </c>
      <c r="I2041" s="52" t="str">
        <f>IF(J2041="","",INDEX(COA!$A$4:$A$123,MATCH(JU!$J2041,COA!$B$4:$B$123,0)))</f>
        <v/>
      </c>
      <c r="K2041" s="34" t="str">
        <f t="shared" si="289"/>
        <v/>
      </c>
    </row>
    <row r="2042" spans="6:11" hidden="1">
      <c r="F2042" s="52" t="str">
        <f>IF(G2042="","",INDEX(COA!$A$4:$A$123,MATCH(JU!$G2042,COA!$B$4:$B$123,0)))</f>
        <v/>
      </c>
      <c r="I2042" s="52" t="str">
        <f>IF(J2042="","",INDEX(COA!$A$4:$A$123,MATCH(JU!$J2042,COA!$B$4:$B$123,0)))</f>
        <v/>
      </c>
      <c r="K2042" s="34" t="str">
        <f t="shared" si="289"/>
        <v/>
      </c>
    </row>
    <row r="2043" spans="6:11" hidden="1">
      <c r="F2043" s="52" t="str">
        <f>IF(G2043="","",INDEX(COA!$A$4:$A$123,MATCH(JU!$G2043,COA!$B$4:$B$123,0)))</f>
        <v/>
      </c>
      <c r="I2043" s="52" t="str">
        <f>IF(J2043="","",INDEX(COA!$A$4:$A$123,MATCH(JU!$J2043,COA!$B$4:$B$123,0)))</f>
        <v/>
      </c>
      <c r="K2043" s="34" t="str">
        <f t="shared" si="289"/>
        <v/>
      </c>
    </row>
    <row r="2044" spans="6:11" hidden="1">
      <c r="F2044" s="52" t="str">
        <f>IF(G2044="","",INDEX(COA!$A$4:$A$123,MATCH(JU!$G2044,COA!$B$4:$B$123,0)))</f>
        <v/>
      </c>
      <c r="I2044" s="52" t="str">
        <f>IF(J2044="","",INDEX(COA!$A$4:$A$123,MATCH(JU!$J2044,COA!$B$4:$B$123,0)))</f>
        <v/>
      </c>
      <c r="K2044" s="34" t="str">
        <f t="shared" si="289"/>
        <v/>
      </c>
    </row>
    <row r="2045" spans="6:11" hidden="1">
      <c r="F2045" s="52" t="str">
        <f>IF(G2045="","",INDEX(COA!$A$4:$A$123,MATCH(JU!$G2045,COA!$B$4:$B$123,0)))</f>
        <v/>
      </c>
      <c r="I2045" s="52" t="str">
        <f>IF(J2045="","",INDEX(COA!$A$4:$A$123,MATCH(JU!$J2045,COA!$B$4:$B$123,0)))</f>
        <v/>
      </c>
      <c r="K2045" s="34" t="str">
        <f t="shared" si="289"/>
        <v/>
      </c>
    </row>
    <row r="2046" spans="6:11" hidden="1">
      <c r="F2046" s="52" t="str">
        <f>IF(G2046="","",INDEX(COA!$A$4:$A$123,MATCH(JU!$G2046,COA!$B$4:$B$123,0)))</f>
        <v/>
      </c>
      <c r="I2046" s="52" t="str">
        <f>IF(J2046="","",INDEX(COA!$A$4:$A$123,MATCH(JU!$J2046,COA!$B$4:$B$123,0)))</f>
        <v/>
      </c>
      <c r="K2046" s="34" t="str">
        <f t="shared" si="289"/>
        <v/>
      </c>
    </row>
    <row r="2047" spans="6:11" hidden="1">
      <c r="F2047" s="52" t="str">
        <f>IF(G2047="","",INDEX(COA!$A$4:$A$123,MATCH(JU!$G2047,COA!$B$4:$B$123,0)))</f>
        <v/>
      </c>
      <c r="I2047" s="52" t="str">
        <f>IF(J2047="","",INDEX(COA!$A$4:$A$123,MATCH(JU!$J2047,COA!$B$4:$B$123,0)))</f>
        <v/>
      </c>
      <c r="K2047" s="34" t="str">
        <f t="shared" si="289"/>
        <v/>
      </c>
    </row>
    <row r="2048" spans="6:11" hidden="1">
      <c r="F2048" s="52" t="str">
        <f>IF(G2048="","",INDEX(COA!$A$4:$A$123,MATCH(JU!$G2048,COA!$B$4:$B$123,0)))</f>
        <v/>
      </c>
      <c r="I2048" s="52" t="str">
        <f>IF(J2048="","",INDEX(COA!$A$4:$A$123,MATCH(JU!$J2048,COA!$B$4:$B$123,0)))</f>
        <v/>
      </c>
      <c r="K2048" s="34" t="str">
        <f t="shared" si="289"/>
        <v/>
      </c>
    </row>
    <row r="2049" spans="6:11" hidden="1">
      <c r="F2049" s="52" t="str">
        <f>IF(G2049="","",INDEX(COA!$A$4:$A$123,MATCH(JU!$G2049,COA!$B$4:$B$123,0)))</f>
        <v/>
      </c>
      <c r="I2049" s="52" t="str">
        <f>IF(J2049="","",INDEX(COA!$A$4:$A$123,MATCH(JU!$J2049,COA!$B$4:$B$123,0)))</f>
        <v/>
      </c>
      <c r="K2049" s="34" t="str">
        <f t="shared" si="289"/>
        <v/>
      </c>
    </row>
    <row r="2050" spans="6:11" hidden="1">
      <c r="F2050" s="52" t="str">
        <f>IF(G2050="","",INDEX(COA!$A$4:$A$123,MATCH(JU!$G2050,COA!$B$4:$B$123,0)))</f>
        <v/>
      </c>
      <c r="I2050" s="52" t="str">
        <f>IF(J2050="","",INDEX(COA!$A$4:$A$123,MATCH(JU!$J2050,COA!$B$4:$B$123,0)))</f>
        <v/>
      </c>
      <c r="K2050" s="34" t="str">
        <f t="shared" si="289"/>
        <v/>
      </c>
    </row>
    <row r="2051" spans="6:11" hidden="1">
      <c r="F2051" s="52" t="str">
        <f>IF(G2051="","",INDEX(COA!$A$4:$A$123,MATCH(JU!$G2051,COA!$B$4:$B$123,0)))</f>
        <v/>
      </c>
      <c r="I2051" s="52" t="str">
        <f>IF(J2051="","",INDEX(COA!$A$4:$A$123,MATCH(JU!$J2051,COA!$B$4:$B$123,0)))</f>
        <v/>
      </c>
      <c r="K2051" s="34" t="str">
        <f t="shared" si="289"/>
        <v/>
      </c>
    </row>
    <row r="2052" spans="6:11" hidden="1">
      <c r="F2052" s="52" t="str">
        <f>IF(G2052="","",INDEX(COA!$A$4:$A$123,MATCH(JU!$G2052,COA!$B$4:$B$123,0)))</f>
        <v/>
      </c>
      <c r="I2052" s="52" t="str">
        <f>IF(J2052="","",INDEX(COA!$A$4:$A$123,MATCH(JU!$J2052,COA!$B$4:$B$123,0)))</f>
        <v/>
      </c>
      <c r="K2052" s="34" t="str">
        <f t="shared" si="289"/>
        <v/>
      </c>
    </row>
    <row r="2053" spans="6:11" hidden="1">
      <c r="F2053" s="52" t="str">
        <f>IF(G2053="","",INDEX(COA!$A$4:$A$123,MATCH(JU!$G2053,COA!$B$4:$B$123,0)))</f>
        <v/>
      </c>
      <c r="I2053" s="52" t="str">
        <f>IF(J2053="","",INDEX(COA!$A$4:$A$123,MATCH(JU!$J2053,COA!$B$4:$B$123,0)))</f>
        <v/>
      </c>
      <c r="K2053" s="34" t="str">
        <f t="shared" si="289"/>
        <v/>
      </c>
    </row>
    <row r="2054" spans="6:11" hidden="1">
      <c r="F2054" s="52" t="str">
        <f>IF(G2054="","",INDEX(COA!$A$4:$A$123,MATCH(JU!$G2054,COA!$B$4:$B$123,0)))</f>
        <v/>
      </c>
      <c r="I2054" s="52" t="str">
        <f>IF(J2054="","",INDEX(COA!$A$4:$A$123,MATCH(JU!$J2054,COA!$B$4:$B$123,0)))</f>
        <v/>
      </c>
      <c r="K2054" s="34" t="str">
        <f t="shared" si="289"/>
        <v/>
      </c>
    </row>
    <row r="2055" spans="6:11" hidden="1">
      <c r="F2055" s="52" t="str">
        <f>IF(G2055="","",INDEX(COA!$A$4:$A$123,MATCH(JU!$G2055,COA!$B$4:$B$123,0)))</f>
        <v/>
      </c>
      <c r="I2055" s="52" t="str">
        <f>IF(J2055="","",INDEX(COA!$A$4:$A$123,MATCH(JU!$J2055,COA!$B$4:$B$123,0)))</f>
        <v/>
      </c>
      <c r="K2055" s="34" t="str">
        <f t="shared" si="289"/>
        <v/>
      </c>
    </row>
    <row r="2056" spans="6:11" hidden="1">
      <c r="F2056" s="52" t="str">
        <f>IF(G2056="","",INDEX(COA!$A$4:$A$123,MATCH(JU!$G2056,COA!$B$4:$B$123,0)))</f>
        <v/>
      </c>
      <c r="I2056" s="52" t="str">
        <f>IF(J2056="","",INDEX(COA!$A$4:$A$123,MATCH(JU!$J2056,COA!$B$4:$B$123,0)))</f>
        <v/>
      </c>
      <c r="K2056" s="34" t="str">
        <f t="shared" si="289"/>
        <v/>
      </c>
    </row>
    <row r="2057" spans="6:11" hidden="1">
      <c r="F2057" s="52" t="str">
        <f>IF(G2057="","",INDEX(COA!$A$4:$A$123,MATCH(JU!$G2057,COA!$B$4:$B$123,0)))</f>
        <v/>
      </c>
      <c r="I2057" s="52" t="str">
        <f>IF(J2057="","",INDEX(COA!$A$4:$A$123,MATCH(JU!$J2057,COA!$B$4:$B$123,0)))</f>
        <v/>
      </c>
      <c r="K2057" s="34" t="str">
        <f t="shared" si="289"/>
        <v/>
      </c>
    </row>
    <row r="2058" spans="6:11" hidden="1">
      <c r="F2058" s="52" t="str">
        <f>IF(G2058="","",INDEX(COA!$A$4:$A$123,MATCH(JU!$G2058,COA!$B$4:$B$123,0)))</f>
        <v/>
      </c>
      <c r="I2058" s="52" t="str">
        <f>IF(J2058="","",INDEX(COA!$A$4:$A$123,MATCH(JU!$J2058,COA!$B$4:$B$123,0)))</f>
        <v/>
      </c>
      <c r="K2058" s="34" t="str">
        <f t="shared" ref="K2058:K2121" si="290">IF(H2058="","",H2058)</f>
        <v/>
      </c>
    </row>
    <row r="2059" spans="6:11" hidden="1">
      <c r="F2059" s="52" t="str">
        <f>IF(G2059="","",INDEX(COA!$A$4:$A$123,MATCH(JU!$G2059,COA!$B$4:$B$123,0)))</f>
        <v/>
      </c>
      <c r="I2059" s="52" t="str">
        <f>IF(J2059="","",INDEX(COA!$A$4:$A$123,MATCH(JU!$J2059,COA!$B$4:$B$123,0)))</f>
        <v/>
      </c>
      <c r="K2059" s="34" t="str">
        <f t="shared" si="290"/>
        <v/>
      </c>
    </row>
    <row r="2060" spans="6:11" hidden="1">
      <c r="F2060" s="52" t="str">
        <f>IF(G2060="","",INDEX(COA!$A$4:$A$123,MATCH(JU!$G2060,COA!$B$4:$B$123,0)))</f>
        <v/>
      </c>
      <c r="I2060" s="52" t="str">
        <f>IF(J2060="","",INDEX(COA!$A$4:$A$123,MATCH(JU!$J2060,COA!$B$4:$B$123,0)))</f>
        <v/>
      </c>
      <c r="K2060" s="34" t="str">
        <f t="shared" si="290"/>
        <v/>
      </c>
    </row>
    <row r="2061" spans="6:11" hidden="1">
      <c r="F2061" s="52" t="str">
        <f>IF(G2061="","",INDEX(COA!$A$4:$A$123,MATCH(JU!$G2061,COA!$B$4:$B$123,0)))</f>
        <v/>
      </c>
      <c r="I2061" s="52" t="str">
        <f>IF(J2061="","",INDEX(COA!$A$4:$A$123,MATCH(JU!$J2061,COA!$B$4:$B$123,0)))</f>
        <v/>
      </c>
      <c r="K2061" s="34" t="str">
        <f t="shared" si="290"/>
        <v/>
      </c>
    </row>
    <row r="2062" spans="6:11" hidden="1">
      <c r="F2062" s="52" t="str">
        <f>IF(G2062="","",INDEX(COA!$A$4:$A$123,MATCH(JU!$G2062,COA!$B$4:$B$123,0)))</f>
        <v/>
      </c>
      <c r="I2062" s="52" t="str">
        <f>IF(J2062="","",INDEX(COA!$A$4:$A$123,MATCH(JU!$J2062,COA!$B$4:$B$123,0)))</f>
        <v/>
      </c>
      <c r="K2062" s="34" t="str">
        <f t="shared" si="290"/>
        <v/>
      </c>
    </row>
    <row r="2063" spans="6:11" hidden="1">
      <c r="F2063" s="52" t="str">
        <f>IF(G2063="","",INDEX(COA!$A$4:$A$123,MATCH(JU!$G2063,COA!$B$4:$B$123,0)))</f>
        <v/>
      </c>
      <c r="I2063" s="52" t="str">
        <f>IF(J2063="","",INDEX(COA!$A$4:$A$123,MATCH(JU!$J2063,COA!$B$4:$B$123,0)))</f>
        <v/>
      </c>
      <c r="K2063" s="34" t="str">
        <f t="shared" si="290"/>
        <v/>
      </c>
    </row>
    <row r="2064" spans="6:11" hidden="1">
      <c r="F2064" s="52" t="str">
        <f>IF(G2064="","",INDEX(COA!$A$4:$A$123,MATCH(JU!$G2064,COA!$B$4:$B$123,0)))</f>
        <v/>
      </c>
      <c r="I2064" s="52" t="str">
        <f>IF(J2064="","",INDEX(COA!$A$4:$A$123,MATCH(JU!$J2064,COA!$B$4:$B$123,0)))</f>
        <v/>
      </c>
      <c r="K2064" s="34" t="str">
        <f t="shared" si="290"/>
        <v/>
      </c>
    </row>
    <row r="2065" spans="6:11" hidden="1">
      <c r="F2065" s="52" t="str">
        <f>IF(G2065="","",INDEX(COA!$A$4:$A$123,MATCH(JU!$G2065,COA!$B$4:$B$123,0)))</f>
        <v/>
      </c>
      <c r="I2065" s="52" t="str">
        <f>IF(J2065="","",INDEX(COA!$A$4:$A$123,MATCH(JU!$J2065,COA!$B$4:$B$123,0)))</f>
        <v/>
      </c>
      <c r="K2065" s="34" t="str">
        <f t="shared" si="290"/>
        <v/>
      </c>
    </row>
    <row r="2066" spans="6:11" hidden="1">
      <c r="F2066" s="52" t="str">
        <f>IF(G2066="","",INDEX(COA!$A$4:$A$123,MATCH(JU!$G2066,COA!$B$4:$B$123,0)))</f>
        <v/>
      </c>
      <c r="I2066" s="52" t="str">
        <f>IF(J2066="","",INDEX(COA!$A$4:$A$123,MATCH(JU!$J2066,COA!$B$4:$B$123,0)))</f>
        <v/>
      </c>
      <c r="K2066" s="34" t="str">
        <f t="shared" si="290"/>
        <v/>
      </c>
    </row>
    <row r="2067" spans="6:11" hidden="1">
      <c r="F2067" s="52" t="str">
        <f>IF(G2067="","",INDEX(COA!$A$4:$A$123,MATCH(JU!$G2067,COA!$B$4:$B$123,0)))</f>
        <v/>
      </c>
      <c r="I2067" s="52" t="str">
        <f>IF(J2067="","",INDEX(COA!$A$4:$A$123,MATCH(JU!$J2067,COA!$B$4:$B$123,0)))</f>
        <v/>
      </c>
      <c r="K2067" s="34" t="str">
        <f t="shared" si="290"/>
        <v/>
      </c>
    </row>
    <row r="2068" spans="6:11" hidden="1">
      <c r="F2068" s="52" t="str">
        <f>IF(G2068="","",INDEX(COA!$A$4:$A$123,MATCH(JU!$G2068,COA!$B$4:$B$123,0)))</f>
        <v/>
      </c>
      <c r="I2068" s="52" t="str">
        <f>IF(J2068="","",INDEX(COA!$A$4:$A$123,MATCH(JU!$J2068,COA!$B$4:$B$123,0)))</f>
        <v/>
      </c>
      <c r="K2068" s="34" t="str">
        <f t="shared" si="290"/>
        <v/>
      </c>
    </row>
    <row r="2069" spans="6:11" hidden="1">
      <c r="F2069" s="52" t="str">
        <f>IF(G2069="","",INDEX(COA!$A$4:$A$123,MATCH(JU!$G2069,COA!$B$4:$B$123,0)))</f>
        <v/>
      </c>
      <c r="I2069" s="52" t="str">
        <f>IF(J2069="","",INDEX(COA!$A$4:$A$123,MATCH(JU!$J2069,COA!$B$4:$B$123,0)))</f>
        <v/>
      </c>
      <c r="K2069" s="34" t="str">
        <f t="shared" si="290"/>
        <v/>
      </c>
    </row>
    <row r="2070" spans="6:11" hidden="1">
      <c r="F2070" s="52" t="str">
        <f>IF(G2070="","",INDEX(COA!$A$4:$A$123,MATCH(JU!$G2070,COA!$B$4:$B$123,0)))</f>
        <v/>
      </c>
      <c r="I2070" s="52" t="str">
        <f>IF(J2070="","",INDEX(COA!$A$4:$A$123,MATCH(JU!$J2070,COA!$B$4:$B$123,0)))</f>
        <v/>
      </c>
      <c r="K2070" s="34" t="str">
        <f t="shared" si="290"/>
        <v/>
      </c>
    </row>
    <row r="2071" spans="6:11" hidden="1">
      <c r="F2071" s="52" t="str">
        <f>IF(G2071="","",INDEX(COA!$A$4:$A$123,MATCH(JU!$G2071,COA!$B$4:$B$123,0)))</f>
        <v/>
      </c>
      <c r="I2071" s="52" t="str">
        <f>IF(J2071="","",INDEX(COA!$A$4:$A$123,MATCH(JU!$J2071,COA!$B$4:$B$123,0)))</f>
        <v/>
      </c>
      <c r="K2071" s="34" t="str">
        <f t="shared" si="290"/>
        <v/>
      </c>
    </row>
    <row r="2072" spans="6:11" hidden="1">
      <c r="F2072" s="52" t="str">
        <f>IF(G2072="","",INDEX(COA!$A$4:$A$123,MATCH(JU!$G2072,COA!$B$4:$B$123,0)))</f>
        <v/>
      </c>
      <c r="I2072" s="52" t="str">
        <f>IF(J2072="","",INDEX(COA!$A$4:$A$123,MATCH(JU!$J2072,COA!$B$4:$B$123,0)))</f>
        <v/>
      </c>
      <c r="K2072" s="34" t="str">
        <f t="shared" si="290"/>
        <v/>
      </c>
    </row>
    <row r="2073" spans="6:11" hidden="1">
      <c r="F2073" s="52" t="str">
        <f>IF(G2073="","",INDEX(COA!$A$4:$A$123,MATCH(JU!$G2073,COA!$B$4:$B$123,0)))</f>
        <v/>
      </c>
      <c r="I2073" s="52" t="str">
        <f>IF(J2073="","",INDEX(COA!$A$4:$A$123,MATCH(JU!$J2073,COA!$B$4:$B$123,0)))</f>
        <v/>
      </c>
      <c r="K2073" s="34" t="str">
        <f t="shared" si="290"/>
        <v/>
      </c>
    </row>
    <row r="2074" spans="6:11" hidden="1">
      <c r="F2074" s="52" t="str">
        <f>IF(G2074="","",INDEX(COA!$A$4:$A$123,MATCH(JU!$G2074,COA!$B$4:$B$123,0)))</f>
        <v/>
      </c>
      <c r="I2074" s="52" t="str">
        <f>IF(J2074="","",INDEX(COA!$A$4:$A$123,MATCH(JU!$J2074,COA!$B$4:$B$123,0)))</f>
        <v/>
      </c>
      <c r="K2074" s="34" t="str">
        <f t="shared" si="290"/>
        <v/>
      </c>
    </row>
    <row r="2075" spans="6:11" hidden="1">
      <c r="F2075" s="52" t="str">
        <f>IF(G2075="","",INDEX(COA!$A$4:$A$123,MATCH(JU!$G2075,COA!$B$4:$B$123,0)))</f>
        <v/>
      </c>
      <c r="I2075" s="52" t="str">
        <f>IF(J2075="","",INDEX(COA!$A$4:$A$123,MATCH(JU!$J2075,COA!$B$4:$B$123,0)))</f>
        <v/>
      </c>
      <c r="K2075" s="34" t="str">
        <f t="shared" si="290"/>
        <v/>
      </c>
    </row>
    <row r="2076" spans="6:11" hidden="1">
      <c r="F2076" s="52" t="str">
        <f>IF(G2076="","",INDEX(COA!$A$4:$A$123,MATCH(JU!$G2076,COA!$B$4:$B$123,0)))</f>
        <v/>
      </c>
      <c r="I2076" s="52" t="str">
        <f>IF(J2076="","",INDEX(COA!$A$4:$A$123,MATCH(JU!$J2076,COA!$B$4:$B$123,0)))</f>
        <v/>
      </c>
      <c r="K2076" s="34" t="str">
        <f t="shared" si="290"/>
        <v/>
      </c>
    </row>
    <row r="2077" spans="6:11" hidden="1">
      <c r="F2077" s="52" t="str">
        <f>IF(G2077="","",INDEX(COA!$A$4:$A$123,MATCH(JU!$G2077,COA!$B$4:$B$123,0)))</f>
        <v/>
      </c>
      <c r="I2077" s="52" t="str">
        <f>IF(J2077="","",INDEX(COA!$A$4:$A$123,MATCH(JU!$J2077,COA!$B$4:$B$123,0)))</f>
        <v/>
      </c>
      <c r="K2077" s="34" t="str">
        <f t="shared" si="290"/>
        <v/>
      </c>
    </row>
    <row r="2078" spans="6:11" hidden="1">
      <c r="F2078" s="52" t="str">
        <f>IF(G2078="","",INDEX(COA!$A$4:$A$123,MATCH(JU!$G2078,COA!$B$4:$B$123,0)))</f>
        <v/>
      </c>
      <c r="I2078" s="52" t="str">
        <f>IF(J2078="","",INDEX(COA!$A$4:$A$123,MATCH(JU!$J2078,COA!$B$4:$B$123,0)))</f>
        <v/>
      </c>
      <c r="K2078" s="34" t="str">
        <f t="shared" si="290"/>
        <v/>
      </c>
    </row>
    <row r="2079" spans="6:11" hidden="1">
      <c r="F2079" s="52" t="str">
        <f>IF(G2079="","",INDEX(COA!$A$4:$A$123,MATCH(JU!$G2079,COA!$B$4:$B$123,0)))</f>
        <v/>
      </c>
      <c r="I2079" s="52" t="str">
        <f>IF(J2079="","",INDEX(COA!$A$4:$A$123,MATCH(JU!$J2079,COA!$B$4:$B$123,0)))</f>
        <v/>
      </c>
      <c r="K2079" s="34" t="str">
        <f t="shared" si="290"/>
        <v/>
      </c>
    </row>
    <row r="2080" spans="6:11" hidden="1">
      <c r="F2080" s="52" t="str">
        <f>IF(G2080="","",INDEX(COA!$A$4:$A$123,MATCH(JU!$G2080,COA!$B$4:$B$123,0)))</f>
        <v/>
      </c>
      <c r="I2080" s="52" t="str">
        <f>IF(J2080="","",INDEX(COA!$A$4:$A$123,MATCH(JU!$J2080,COA!$B$4:$B$123,0)))</f>
        <v/>
      </c>
      <c r="K2080" s="34" t="str">
        <f t="shared" si="290"/>
        <v/>
      </c>
    </row>
    <row r="2081" spans="6:11" hidden="1">
      <c r="F2081" s="52" t="str">
        <f>IF(G2081="","",INDEX(COA!$A$4:$A$123,MATCH(JU!$G2081,COA!$B$4:$B$123,0)))</f>
        <v/>
      </c>
      <c r="I2081" s="52" t="str">
        <f>IF(J2081="","",INDEX(COA!$A$4:$A$123,MATCH(JU!$J2081,COA!$B$4:$B$123,0)))</f>
        <v/>
      </c>
      <c r="K2081" s="34" t="str">
        <f t="shared" si="290"/>
        <v/>
      </c>
    </row>
    <row r="2082" spans="6:11" hidden="1">
      <c r="F2082" s="52" t="str">
        <f>IF(G2082="","",INDEX(COA!$A$4:$A$123,MATCH(JU!$G2082,COA!$B$4:$B$123,0)))</f>
        <v/>
      </c>
      <c r="I2082" s="52" t="str">
        <f>IF(J2082="","",INDEX(COA!$A$4:$A$123,MATCH(JU!$J2082,COA!$B$4:$B$123,0)))</f>
        <v/>
      </c>
      <c r="K2082" s="34" t="str">
        <f t="shared" si="290"/>
        <v/>
      </c>
    </row>
    <row r="2083" spans="6:11" hidden="1">
      <c r="F2083" s="52" t="str">
        <f>IF(G2083="","",INDEX(COA!$A$4:$A$123,MATCH(JU!$G2083,COA!$B$4:$B$123,0)))</f>
        <v/>
      </c>
      <c r="I2083" s="52" t="str">
        <f>IF(J2083="","",INDEX(COA!$A$4:$A$123,MATCH(JU!$J2083,COA!$B$4:$B$123,0)))</f>
        <v/>
      </c>
      <c r="K2083" s="34" t="str">
        <f t="shared" si="290"/>
        <v/>
      </c>
    </row>
    <row r="2084" spans="6:11" hidden="1">
      <c r="F2084" s="52" t="str">
        <f>IF(G2084="","",INDEX(COA!$A$4:$A$123,MATCH(JU!$G2084,COA!$B$4:$B$123,0)))</f>
        <v/>
      </c>
      <c r="I2084" s="52" t="str">
        <f>IF(J2084="","",INDEX(COA!$A$4:$A$123,MATCH(JU!$J2084,COA!$B$4:$B$123,0)))</f>
        <v/>
      </c>
      <c r="K2084" s="34" t="str">
        <f t="shared" si="290"/>
        <v/>
      </c>
    </row>
    <row r="2085" spans="6:11" hidden="1">
      <c r="F2085" s="52" t="str">
        <f>IF(G2085="","",INDEX(COA!$A$4:$A$123,MATCH(JU!$G2085,COA!$B$4:$B$123,0)))</f>
        <v/>
      </c>
      <c r="I2085" s="52" t="str">
        <f>IF(J2085="","",INDEX(COA!$A$4:$A$123,MATCH(JU!$J2085,COA!$B$4:$B$123,0)))</f>
        <v/>
      </c>
      <c r="K2085" s="34" t="str">
        <f t="shared" si="290"/>
        <v/>
      </c>
    </row>
    <row r="2086" spans="6:11" hidden="1">
      <c r="F2086" s="52" t="str">
        <f>IF(G2086="","",INDEX(COA!$A$4:$A$123,MATCH(JU!$G2086,COA!$B$4:$B$123,0)))</f>
        <v/>
      </c>
      <c r="I2086" s="52" t="str">
        <f>IF(J2086="","",INDEX(COA!$A$4:$A$123,MATCH(JU!$J2086,COA!$B$4:$B$123,0)))</f>
        <v/>
      </c>
      <c r="K2086" s="34" t="str">
        <f t="shared" si="290"/>
        <v/>
      </c>
    </row>
    <row r="2087" spans="6:11" hidden="1">
      <c r="F2087" s="52" t="str">
        <f>IF(G2087="","",INDEX(COA!$A$4:$A$123,MATCH(JU!$G2087,COA!$B$4:$B$123,0)))</f>
        <v/>
      </c>
      <c r="I2087" s="52" t="str">
        <f>IF(J2087="","",INDEX(COA!$A$4:$A$123,MATCH(JU!$J2087,COA!$B$4:$B$123,0)))</f>
        <v/>
      </c>
      <c r="K2087" s="34" t="str">
        <f t="shared" si="290"/>
        <v/>
      </c>
    </row>
    <row r="2088" spans="6:11" hidden="1">
      <c r="F2088" s="52" t="str">
        <f>IF(G2088="","",INDEX(COA!$A$4:$A$123,MATCH(JU!$G2088,COA!$B$4:$B$123,0)))</f>
        <v/>
      </c>
      <c r="I2088" s="52" t="str">
        <f>IF(J2088="","",INDEX(COA!$A$4:$A$123,MATCH(JU!$J2088,COA!$B$4:$B$123,0)))</f>
        <v/>
      </c>
      <c r="K2088" s="34" t="str">
        <f t="shared" si="290"/>
        <v/>
      </c>
    </row>
    <row r="2089" spans="6:11" hidden="1">
      <c r="F2089" s="52" t="str">
        <f>IF(G2089="","",INDEX(COA!$A$4:$A$123,MATCH(JU!$G2089,COA!$B$4:$B$123,0)))</f>
        <v/>
      </c>
      <c r="I2089" s="52" t="str">
        <f>IF(J2089="","",INDEX(COA!$A$4:$A$123,MATCH(JU!$J2089,COA!$B$4:$B$123,0)))</f>
        <v/>
      </c>
      <c r="K2089" s="34" t="str">
        <f t="shared" si="290"/>
        <v/>
      </c>
    </row>
    <row r="2090" spans="6:11" hidden="1">
      <c r="F2090" s="52" t="str">
        <f>IF(G2090="","",INDEX(COA!$A$4:$A$123,MATCH(JU!$G2090,COA!$B$4:$B$123,0)))</f>
        <v/>
      </c>
      <c r="I2090" s="52" t="str">
        <f>IF(J2090="","",INDEX(COA!$A$4:$A$123,MATCH(JU!$J2090,COA!$B$4:$B$123,0)))</f>
        <v/>
      </c>
      <c r="K2090" s="34" t="str">
        <f t="shared" si="290"/>
        <v/>
      </c>
    </row>
    <row r="2091" spans="6:11" hidden="1">
      <c r="F2091" s="52" t="str">
        <f>IF(G2091="","",INDEX(COA!$A$4:$A$123,MATCH(JU!$G2091,COA!$B$4:$B$123,0)))</f>
        <v/>
      </c>
      <c r="I2091" s="52" t="str">
        <f>IF(J2091="","",INDEX(COA!$A$4:$A$123,MATCH(JU!$J2091,COA!$B$4:$B$123,0)))</f>
        <v/>
      </c>
      <c r="K2091" s="34" t="str">
        <f t="shared" si="290"/>
        <v/>
      </c>
    </row>
    <row r="2092" spans="6:11" hidden="1">
      <c r="F2092" s="52" t="str">
        <f>IF(G2092="","",INDEX(COA!$A$4:$A$123,MATCH(JU!$G2092,COA!$B$4:$B$123,0)))</f>
        <v/>
      </c>
      <c r="I2092" s="52" t="str">
        <f>IF(J2092="","",INDEX(COA!$A$4:$A$123,MATCH(JU!$J2092,COA!$B$4:$B$123,0)))</f>
        <v/>
      </c>
      <c r="K2092" s="34" t="str">
        <f t="shared" si="290"/>
        <v/>
      </c>
    </row>
    <row r="2093" spans="6:11" hidden="1">
      <c r="F2093" s="52" t="str">
        <f>IF(G2093="","",INDEX(COA!$A$4:$A$123,MATCH(JU!$G2093,COA!$B$4:$B$123,0)))</f>
        <v/>
      </c>
      <c r="I2093" s="52" t="str">
        <f>IF(J2093="","",INDEX(COA!$A$4:$A$123,MATCH(JU!$J2093,COA!$B$4:$B$123,0)))</f>
        <v/>
      </c>
      <c r="K2093" s="34" t="str">
        <f t="shared" si="290"/>
        <v/>
      </c>
    </row>
    <row r="2094" spans="6:11" hidden="1">
      <c r="F2094" s="52" t="str">
        <f>IF(G2094="","",INDEX(COA!$A$4:$A$123,MATCH(JU!$G2094,COA!$B$4:$B$123,0)))</f>
        <v/>
      </c>
      <c r="I2094" s="52" t="str">
        <f>IF(J2094="","",INDEX(COA!$A$4:$A$123,MATCH(JU!$J2094,COA!$B$4:$B$123,0)))</f>
        <v/>
      </c>
      <c r="K2094" s="34" t="str">
        <f t="shared" si="290"/>
        <v/>
      </c>
    </row>
    <row r="2095" spans="6:11" hidden="1">
      <c r="F2095" s="52" t="str">
        <f>IF(G2095="","",INDEX(COA!$A$4:$A$123,MATCH(JU!$G2095,COA!$B$4:$B$123,0)))</f>
        <v/>
      </c>
      <c r="I2095" s="52" t="str">
        <f>IF(J2095="","",INDEX(COA!$A$4:$A$123,MATCH(JU!$J2095,COA!$B$4:$B$123,0)))</f>
        <v/>
      </c>
      <c r="K2095" s="34" t="str">
        <f t="shared" si="290"/>
        <v/>
      </c>
    </row>
    <row r="2096" spans="6:11" hidden="1">
      <c r="F2096" s="52" t="str">
        <f>IF(G2096="","",INDEX(COA!$A$4:$A$123,MATCH(JU!$G2096,COA!$B$4:$B$123,0)))</f>
        <v/>
      </c>
      <c r="I2096" s="52" t="str">
        <f>IF(J2096="","",INDEX(COA!$A$4:$A$123,MATCH(JU!$J2096,COA!$B$4:$B$123,0)))</f>
        <v/>
      </c>
      <c r="K2096" s="34" t="str">
        <f t="shared" si="290"/>
        <v/>
      </c>
    </row>
    <row r="2097" spans="6:11" hidden="1">
      <c r="F2097" s="52" t="str">
        <f>IF(G2097="","",INDEX(COA!$A$4:$A$123,MATCH(JU!$G2097,COA!$B$4:$B$123,0)))</f>
        <v/>
      </c>
      <c r="I2097" s="52" t="str">
        <f>IF(J2097="","",INDEX(COA!$A$4:$A$123,MATCH(JU!$J2097,COA!$B$4:$B$123,0)))</f>
        <v/>
      </c>
      <c r="K2097" s="34" t="str">
        <f t="shared" si="290"/>
        <v/>
      </c>
    </row>
    <row r="2098" spans="6:11" hidden="1">
      <c r="F2098" s="52" t="str">
        <f>IF(G2098="","",INDEX(COA!$A$4:$A$123,MATCH(JU!$G2098,COA!$B$4:$B$123,0)))</f>
        <v/>
      </c>
      <c r="I2098" s="52" t="str">
        <f>IF(J2098="","",INDEX(COA!$A$4:$A$123,MATCH(JU!$J2098,COA!$B$4:$B$123,0)))</f>
        <v/>
      </c>
      <c r="K2098" s="34" t="str">
        <f t="shared" si="290"/>
        <v/>
      </c>
    </row>
    <row r="2099" spans="6:11" hidden="1">
      <c r="F2099" s="52" t="str">
        <f>IF(G2099="","",INDEX(COA!$A$4:$A$123,MATCH(JU!$G2099,COA!$B$4:$B$123,0)))</f>
        <v/>
      </c>
      <c r="I2099" s="52" t="str">
        <f>IF(J2099="","",INDEX(COA!$A$4:$A$123,MATCH(JU!$J2099,COA!$B$4:$B$123,0)))</f>
        <v/>
      </c>
      <c r="K2099" s="34" t="str">
        <f t="shared" si="290"/>
        <v/>
      </c>
    </row>
    <row r="2100" spans="6:11" hidden="1">
      <c r="F2100" s="52" t="str">
        <f>IF(G2100="","",INDEX(COA!$A$4:$A$123,MATCH(JU!$G2100,COA!$B$4:$B$123,0)))</f>
        <v/>
      </c>
      <c r="I2100" s="52" t="str">
        <f>IF(J2100="","",INDEX(COA!$A$4:$A$123,MATCH(JU!$J2100,COA!$B$4:$B$123,0)))</f>
        <v/>
      </c>
      <c r="K2100" s="34" t="str">
        <f t="shared" si="290"/>
        <v/>
      </c>
    </row>
    <row r="2101" spans="6:11" hidden="1">
      <c r="F2101" s="52" t="str">
        <f>IF(G2101="","",INDEX(COA!$A$4:$A$123,MATCH(JU!$G2101,COA!$B$4:$B$123,0)))</f>
        <v/>
      </c>
      <c r="I2101" s="52" t="str">
        <f>IF(J2101="","",INDEX(COA!$A$4:$A$123,MATCH(JU!$J2101,COA!$B$4:$B$123,0)))</f>
        <v/>
      </c>
      <c r="K2101" s="34" t="str">
        <f t="shared" si="290"/>
        <v/>
      </c>
    </row>
    <row r="2102" spans="6:11" hidden="1">
      <c r="F2102" s="52" t="str">
        <f>IF(G2102="","",INDEX(COA!$A$4:$A$123,MATCH(JU!$G2102,COA!$B$4:$B$123,0)))</f>
        <v/>
      </c>
      <c r="I2102" s="52" t="str">
        <f>IF(J2102="","",INDEX(COA!$A$4:$A$123,MATCH(JU!$J2102,COA!$B$4:$B$123,0)))</f>
        <v/>
      </c>
      <c r="K2102" s="34" t="str">
        <f t="shared" si="290"/>
        <v/>
      </c>
    </row>
    <row r="2103" spans="6:11" hidden="1">
      <c r="F2103" s="52" t="str">
        <f>IF(G2103="","",INDEX(COA!$A$4:$A$123,MATCH(JU!$G2103,COA!$B$4:$B$123,0)))</f>
        <v/>
      </c>
      <c r="I2103" s="52" t="str">
        <f>IF(J2103="","",INDEX(COA!$A$4:$A$123,MATCH(JU!$J2103,COA!$B$4:$B$123,0)))</f>
        <v/>
      </c>
      <c r="K2103" s="34" t="str">
        <f t="shared" si="290"/>
        <v/>
      </c>
    </row>
    <row r="2104" spans="6:11" hidden="1">
      <c r="F2104" s="52" t="str">
        <f>IF(G2104="","",INDEX(COA!$A$4:$A$123,MATCH(JU!$G2104,COA!$B$4:$B$123,0)))</f>
        <v/>
      </c>
      <c r="I2104" s="52" t="str">
        <f>IF(J2104="","",INDEX(COA!$A$4:$A$123,MATCH(JU!$J2104,COA!$B$4:$B$123,0)))</f>
        <v/>
      </c>
      <c r="K2104" s="34" t="str">
        <f t="shared" si="290"/>
        <v/>
      </c>
    </row>
    <row r="2105" spans="6:11" hidden="1">
      <c r="F2105" s="52" t="str">
        <f>IF(G2105="","",INDEX(COA!$A$4:$A$123,MATCH(JU!$G2105,COA!$B$4:$B$123,0)))</f>
        <v/>
      </c>
      <c r="I2105" s="52" t="str">
        <f>IF(J2105="","",INDEX(COA!$A$4:$A$123,MATCH(JU!$J2105,COA!$B$4:$B$123,0)))</f>
        <v/>
      </c>
      <c r="K2105" s="34" t="str">
        <f t="shared" si="290"/>
        <v/>
      </c>
    </row>
    <row r="2106" spans="6:11" hidden="1">
      <c r="F2106" s="52" t="str">
        <f>IF(G2106="","",INDEX(COA!$A$4:$A$123,MATCH(JU!$G2106,COA!$B$4:$B$123,0)))</f>
        <v/>
      </c>
      <c r="I2106" s="52" t="str">
        <f>IF(J2106="","",INDEX(COA!$A$4:$A$123,MATCH(JU!$J2106,COA!$B$4:$B$123,0)))</f>
        <v/>
      </c>
      <c r="K2106" s="34" t="str">
        <f t="shared" si="290"/>
        <v/>
      </c>
    </row>
    <row r="2107" spans="6:11" hidden="1">
      <c r="F2107" s="52" t="str">
        <f>IF(G2107="","",INDEX(COA!$A$4:$A$123,MATCH(JU!$G2107,COA!$B$4:$B$123,0)))</f>
        <v/>
      </c>
      <c r="I2107" s="52" t="str">
        <f>IF(J2107="","",INDEX(COA!$A$4:$A$123,MATCH(JU!$J2107,COA!$B$4:$B$123,0)))</f>
        <v/>
      </c>
      <c r="K2107" s="34" t="str">
        <f t="shared" si="290"/>
        <v/>
      </c>
    </row>
    <row r="2108" spans="6:11" hidden="1">
      <c r="F2108" s="52" t="str">
        <f>IF(G2108="","",INDEX(COA!$A$4:$A$123,MATCH(JU!$G2108,COA!$B$4:$B$123,0)))</f>
        <v/>
      </c>
      <c r="I2108" s="52" t="str">
        <f>IF(J2108="","",INDEX(COA!$A$4:$A$123,MATCH(JU!$J2108,COA!$B$4:$B$123,0)))</f>
        <v/>
      </c>
      <c r="K2108" s="34" t="str">
        <f t="shared" si="290"/>
        <v/>
      </c>
    </row>
    <row r="2109" spans="6:11" hidden="1">
      <c r="F2109" s="52" t="str">
        <f>IF(G2109="","",INDEX(COA!$A$4:$A$123,MATCH(JU!$G2109,COA!$B$4:$B$123,0)))</f>
        <v/>
      </c>
      <c r="I2109" s="52" t="str">
        <f>IF(J2109="","",INDEX(COA!$A$4:$A$123,MATCH(JU!$J2109,COA!$B$4:$B$123,0)))</f>
        <v/>
      </c>
      <c r="K2109" s="34" t="str">
        <f t="shared" si="290"/>
        <v/>
      </c>
    </row>
    <row r="2110" spans="6:11" hidden="1">
      <c r="F2110" s="52" t="str">
        <f>IF(G2110="","",INDEX(COA!$A$4:$A$123,MATCH(JU!$G2110,COA!$B$4:$B$123,0)))</f>
        <v/>
      </c>
      <c r="I2110" s="52" t="str">
        <f>IF(J2110="","",INDEX(COA!$A$4:$A$123,MATCH(JU!$J2110,COA!$B$4:$B$123,0)))</f>
        <v/>
      </c>
      <c r="K2110" s="34" t="str">
        <f t="shared" si="290"/>
        <v/>
      </c>
    </row>
    <row r="2111" spans="6:11" hidden="1">
      <c r="F2111" s="52" t="str">
        <f>IF(G2111="","",INDEX(COA!$A$4:$A$123,MATCH(JU!$G2111,COA!$B$4:$B$123,0)))</f>
        <v/>
      </c>
      <c r="I2111" s="52" t="str">
        <f>IF(J2111="","",INDEX(COA!$A$4:$A$123,MATCH(JU!$J2111,COA!$B$4:$B$123,0)))</f>
        <v/>
      </c>
      <c r="K2111" s="34" t="str">
        <f t="shared" si="290"/>
        <v/>
      </c>
    </row>
    <row r="2112" spans="6:11" hidden="1">
      <c r="F2112" s="52" t="str">
        <f>IF(G2112="","",INDEX(COA!$A$4:$A$123,MATCH(JU!$G2112,COA!$B$4:$B$123,0)))</f>
        <v/>
      </c>
      <c r="I2112" s="52" t="str">
        <f>IF(J2112="","",INDEX(COA!$A$4:$A$123,MATCH(JU!$J2112,COA!$B$4:$B$123,0)))</f>
        <v/>
      </c>
      <c r="K2112" s="34" t="str">
        <f t="shared" si="290"/>
        <v/>
      </c>
    </row>
    <row r="2113" spans="6:11" hidden="1">
      <c r="F2113" s="52" t="str">
        <f>IF(G2113="","",INDEX(COA!$A$4:$A$123,MATCH(JU!$G2113,COA!$B$4:$B$123,0)))</f>
        <v/>
      </c>
      <c r="I2113" s="52" t="str">
        <f>IF(J2113="","",INDEX(COA!$A$4:$A$123,MATCH(JU!$J2113,COA!$B$4:$B$123,0)))</f>
        <v/>
      </c>
      <c r="K2113" s="34" t="str">
        <f t="shared" si="290"/>
        <v/>
      </c>
    </row>
    <row r="2114" spans="6:11" hidden="1">
      <c r="F2114" s="52" t="str">
        <f>IF(G2114="","",INDEX(COA!$A$4:$A$123,MATCH(JU!$G2114,COA!$B$4:$B$123,0)))</f>
        <v/>
      </c>
      <c r="I2114" s="52" t="str">
        <f>IF(J2114="","",INDEX(COA!$A$4:$A$123,MATCH(JU!$J2114,COA!$B$4:$B$123,0)))</f>
        <v/>
      </c>
      <c r="K2114" s="34" t="str">
        <f t="shared" si="290"/>
        <v/>
      </c>
    </row>
    <row r="2115" spans="6:11" hidden="1">
      <c r="F2115" s="52" t="str">
        <f>IF(G2115="","",INDEX(COA!$A$4:$A$123,MATCH(JU!$G2115,COA!$B$4:$B$123,0)))</f>
        <v/>
      </c>
      <c r="I2115" s="52" t="str">
        <f>IF(J2115="","",INDEX(COA!$A$4:$A$123,MATCH(JU!$J2115,COA!$B$4:$B$123,0)))</f>
        <v/>
      </c>
      <c r="K2115" s="34" t="str">
        <f t="shared" si="290"/>
        <v/>
      </c>
    </row>
    <row r="2116" spans="6:11" hidden="1">
      <c r="F2116" s="52" t="str">
        <f>IF(G2116="","",INDEX(COA!$A$4:$A$123,MATCH(JU!$G2116,COA!$B$4:$B$123,0)))</f>
        <v/>
      </c>
      <c r="I2116" s="52" t="str">
        <f>IF(J2116="","",INDEX(COA!$A$4:$A$123,MATCH(JU!$J2116,COA!$B$4:$B$123,0)))</f>
        <v/>
      </c>
      <c r="K2116" s="34" t="str">
        <f t="shared" si="290"/>
        <v/>
      </c>
    </row>
    <row r="2117" spans="6:11" hidden="1">
      <c r="F2117" s="52" t="str">
        <f>IF(G2117="","",INDEX(COA!$A$4:$A$123,MATCH(JU!$G2117,COA!$B$4:$B$123,0)))</f>
        <v/>
      </c>
      <c r="I2117" s="52" t="str">
        <f>IF(J2117="","",INDEX(COA!$A$4:$A$123,MATCH(JU!$J2117,COA!$B$4:$B$123,0)))</f>
        <v/>
      </c>
      <c r="K2117" s="34" t="str">
        <f t="shared" si="290"/>
        <v/>
      </c>
    </row>
    <row r="2118" spans="6:11" hidden="1">
      <c r="F2118" s="52" t="str">
        <f>IF(G2118="","",INDEX(COA!$A$4:$A$123,MATCH(JU!$G2118,COA!$B$4:$B$123,0)))</f>
        <v/>
      </c>
      <c r="I2118" s="52" t="str">
        <f>IF(J2118="","",INDEX(COA!$A$4:$A$123,MATCH(JU!$J2118,COA!$B$4:$B$123,0)))</f>
        <v/>
      </c>
      <c r="K2118" s="34" t="str">
        <f t="shared" si="290"/>
        <v/>
      </c>
    </row>
    <row r="2119" spans="6:11" hidden="1">
      <c r="F2119" s="52" t="str">
        <f>IF(G2119="","",INDEX(COA!$A$4:$A$123,MATCH(JU!$G2119,COA!$B$4:$B$123,0)))</f>
        <v/>
      </c>
      <c r="I2119" s="52" t="str">
        <f>IF(J2119="","",INDEX(COA!$A$4:$A$123,MATCH(JU!$J2119,COA!$B$4:$B$123,0)))</f>
        <v/>
      </c>
      <c r="K2119" s="34" t="str">
        <f t="shared" si="290"/>
        <v/>
      </c>
    </row>
    <row r="2120" spans="6:11" hidden="1">
      <c r="F2120" s="52" t="str">
        <f>IF(G2120="","",INDEX(COA!$A$4:$A$123,MATCH(JU!$G2120,COA!$B$4:$B$123,0)))</f>
        <v/>
      </c>
      <c r="I2120" s="52" t="str">
        <f>IF(J2120="","",INDEX(COA!$A$4:$A$123,MATCH(JU!$J2120,COA!$B$4:$B$123,0)))</f>
        <v/>
      </c>
      <c r="K2120" s="34" t="str">
        <f t="shared" si="290"/>
        <v/>
      </c>
    </row>
    <row r="2121" spans="6:11" hidden="1">
      <c r="F2121" s="52" t="str">
        <f>IF(G2121="","",INDEX(COA!$A$4:$A$123,MATCH(JU!$G2121,COA!$B$4:$B$123,0)))</f>
        <v/>
      </c>
      <c r="I2121" s="52" t="str">
        <f>IF(J2121="","",INDEX(COA!$A$4:$A$123,MATCH(JU!$J2121,COA!$B$4:$B$123,0)))</f>
        <v/>
      </c>
      <c r="K2121" s="34" t="str">
        <f t="shared" si="290"/>
        <v/>
      </c>
    </row>
    <row r="2122" spans="6:11" hidden="1">
      <c r="F2122" s="52" t="str">
        <f>IF(G2122="","",INDEX(COA!$A$4:$A$123,MATCH(JU!$G2122,COA!$B$4:$B$123,0)))</f>
        <v/>
      </c>
      <c r="I2122" s="52" t="str">
        <f>IF(J2122="","",INDEX(COA!$A$4:$A$123,MATCH(JU!$J2122,COA!$B$4:$B$123,0)))</f>
        <v/>
      </c>
      <c r="K2122" s="34" t="str">
        <f t="shared" ref="K2122:K2185" si="291">IF(H2122="","",H2122)</f>
        <v/>
      </c>
    </row>
    <row r="2123" spans="6:11" hidden="1">
      <c r="F2123" s="52" t="str">
        <f>IF(G2123="","",INDEX(COA!$A$4:$A$123,MATCH(JU!$G2123,COA!$B$4:$B$123,0)))</f>
        <v/>
      </c>
      <c r="I2123" s="52" t="str">
        <f>IF(J2123="","",INDEX(COA!$A$4:$A$123,MATCH(JU!$J2123,COA!$B$4:$B$123,0)))</f>
        <v/>
      </c>
      <c r="K2123" s="34" t="str">
        <f t="shared" si="291"/>
        <v/>
      </c>
    </row>
    <row r="2124" spans="6:11" hidden="1">
      <c r="F2124" s="52" t="str">
        <f>IF(G2124="","",INDEX(COA!$A$4:$A$123,MATCH(JU!$G2124,COA!$B$4:$B$123,0)))</f>
        <v/>
      </c>
      <c r="I2124" s="52" t="str">
        <f>IF(J2124="","",INDEX(COA!$A$4:$A$123,MATCH(JU!$J2124,COA!$B$4:$B$123,0)))</f>
        <v/>
      </c>
      <c r="K2124" s="34" t="str">
        <f t="shared" si="291"/>
        <v/>
      </c>
    </row>
    <row r="2125" spans="6:11" hidden="1">
      <c r="F2125" s="52" t="str">
        <f>IF(G2125="","",INDEX(COA!$A$4:$A$123,MATCH(JU!$G2125,COA!$B$4:$B$123,0)))</f>
        <v/>
      </c>
      <c r="I2125" s="52" t="str">
        <f>IF(J2125="","",INDEX(COA!$A$4:$A$123,MATCH(JU!$J2125,COA!$B$4:$B$123,0)))</f>
        <v/>
      </c>
      <c r="K2125" s="34" t="str">
        <f t="shared" si="291"/>
        <v/>
      </c>
    </row>
    <row r="2126" spans="6:11" hidden="1">
      <c r="F2126" s="52" t="str">
        <f>IF(G2126="","",INDEX(COA!$A$4:$A$123,MATCH(JU!$G2126,COA!$B$4:$B$123,0)))</f>
        <v/>
      </c>
      <c r="I2126" s="52" t="str">
        <f>IF(J2126="","",INDEX(COA!$A$4:$A$123,MATCH(JU!$J2126,COA!$B$4:$B$123,0)))</f>
        <v/>
      </c>
      <c r="K2126" s="34" t="str">
        <f t="shared" si="291"/>
        <v/>
      </c>
    </row>
    <row r="2127" spans="6:11" hidden="1">
      <c r="F2127" s="52" t="str">
        <f>IF(G2127="","",INDEX(COA!$A$4:$A$123,MATCH(JU!$G2127,COA!$B$4:$B$123,0)))</f>
        <v/>
      </c>
      <c r="I2127" s="52" t="str">
        <f>IF(J2127="","",INDEX(COA!$A$4:$A$123,MATCH(JU!$J2127,COA!$B$4:$B$123,0)))</f>
        <v/>
      </c>
      <c r="K2127" s="34" t="str">
        <f t="shared" si="291"/>
        <v/>
      </c>
    </row>
    <row r="2128" spans="6:11" hidden="1">
      <c r="F2128" s="52" t="str">
        <f>IF(G2128="","",INDEX(COA!$A$4:$A$123,MATCH(JU!$G2128,COA!$B$4:$B$123,0)))</f>
        <v/>
      </c>
      <c r="I2128" s="52" t="str">
        <f>IF(J2128="","",INDEX(COA!$A$4:$A$123,MATCH(JU!$J2128,COA!$B$4:$B$123,0)))</f>
        <v/>
      </c>
      <c r="K2128" s="34" t="str">
        <f t="shared" si="291"/>
        <v/>
      </c>
    </row>
    <row r="2129" spans="6:11" hidden="1">
      <c r="F2129" s="52" t="str">
        <f>IF(G2129="","",INDEX(COA!$A$4:$A$123,MATCH(JU!$G2129,COA!$B$4:$B$123,0)))</f>
        <v/>
      </c>
      <c r="I2129" s="52" t="str">
        <f>IF(J2129="","",INDEX(COA!$A$4:$A$123,MATCH(JU!$J2129,COA!$B$4:$B$123,0)))</f>
        <v/>
      </c>
      <c r="K2129" s="34" t="str">
        <f t="shared" si="291"/>
        <v/>
      </c>
    </row>
    <row r="2130" spans="6:11" hidden="1">
      <c r="F2130" s="52" t="str">
        <f>IF(G2130="","",INDEX(COA!$A$4:$A$123,MATCH(JU!$G2130,COA!$B$4:$B$123,0)))</f>
        <v/>
      </c>
      <c r="I2130" s="52" t="str">
        <f>IF(J2130="","",INDEX(COA!$A$4:$A$123,MATCH(JU!$J2130,COA!$B$4:$B$123,0)))</f>
        <v/>
      </c>
      <c r="K2130" s="34" t="str">
        <f t="shared" si="291"/>
        <v/>
      </c>
    </row>
    <row r="2131" spans="6:11" hidden="1">
      <c r="F2131" s="52" t="str">
        <f>IF(G2131="","",INDEX(COA!$A$4:$A$123,MATCH(JU!$G2131,COA!$B$4:$B$123,0)))</f>
        <v/>
      </c>
      <c r="I2131" s="52" t="str">
        <f>IF(J2131="","",INDEX(COA!$A$4:$A$123,MATCH(JU!$J2131,COA!$B$4:$B$123,0)))</f>
        <v/>
      </c>
      <c r="K2131" s="34" t="str">
        <f t="shared" si="291"/>
        <v/>
      </c>
    </row>
    <row r="2132" spans="6:11" hidden="1">
      <c r="F2132" s="52" t="str">
        <f>IF(G2132="","",INDEX(COA!$A$4:$A$123,MATCH(JU!$G2132,COA!$B$4:$B$123,0)))</f>
        <v/>
      </c>
      <c r="I2132" s="52" t="str">
        <f>IF(J2132="","",INDEX(COA!$A$4:$A$123,MATCH(JU!$J2132,COA!$B$4:$B$123,0)))</f>
        <v/>
      </c>
      <c r="K2132" s="34" t="str">
        <f t="shared" si="291"/>
        <v/>
      </c>
    </row>
    <row r="2133" spans="6:11" hidden="1">
      <c r="F2133" s="52" t="str">
        <f>IF(G2133="","",INDEX(COA!$A$4:$A$123,MATCH(JU!$G2133,COA!$B$4:$B$123,0)))</f>
        <v/>
      </c>
      <c r="I2133" s="52" t="str">
        <f>IF(J2133="","",INDEX(COA!$A$4:$A$123,MATCH(JU!$J2133,COA!$B$4:$B$123,0)))</f>
        <v/>
      </c>
      <c r="K2133" s="34" t="str">
        <f t="shared" si="291"/>
        <v/>
      </c>
    </row>
    <row r="2134" spans="6:11" hidden="1">
      <c r="F2134" s="52" t="str">
        <f>IF(G2134="","",INDEX(COA!$A$4:$A$123,MATCH(JU!$G2134,COA!$B$4:$B$123,0)))</f>
        <v/>
      </c>
      <c r="I2134" s="52" t="str">
        <f>IF(J2134="","",INDEX(COA!$A$4:$A$123,MATCH(JU!$J2134,COA!$B$4:$B$123,0)))</f>
        <v/>
      </c>
      <c r="K2134" s="34" t="str">
        <f t="shared" si="291"/>
        <v/>
      </c>
    </row>
    <row r="2135" spans="6:11" hidden="1">
      <c r="F2135" s="52" t="str">
        <f>IF(G2135="","",INDEX(COA!$A$4:$A$123,MATCH(JU!$G2135,COA!$B$4:$B$123,0)))</f>
        <v/>
      </c>
      <c r="I2135" s="52" t="str">
        <f>IF(J2135="","",INDEX(COA!$A$4:$A$123,MATCH(JU!$J2135,COA!$B$4:$B$123,0)))</f>
        <v/>
      </c>
      <c r="K2135" s="34" t="str">
        <f t="shared" si="291"/>
        <v/>
      </c>
    </row>
    <row r="2136" spans="6:11" hidden="1">
      <c r="F2136" s="52" t="str">
        <f>IF(G2136="","",INDEX(COA!$A$4:$A$123,MATCH(JU!$G2136,COA!$B$4:$B$123,0)))</f>
        <v/>
      </c>
      <c r="I2136" s="52" t="str">
        <f>IF(J2136="","",INDEX(COA!$A$4:$A$123,MATCH(JU!$J2136,COA!$B$4:$B$123,0)))</f>
        <v/>
      </c>
      <c r="K2136" s="34" t="str">
        <f t="shared" si="291"/>
        <v/>
      </c>
    </row>
    <row r="2137" spans="6:11" hidden="1">
      <c r="F2137" s="52" t="str">
        <f>IF(G2137="","",INDEX(COA!$A$4:$A$123,MATCH(JU!$G2137,COA!$B$4:$B$123,0)))</f>
        <v/>
      </c>
      <c r="I2137" s="52" t="str">
        <f>IF(J2137="","",INDEX(COA!$A$4:$A$123,MATCH(JU!$J2137,COA!$B$4:$B$123,0)))</f>
        <v/>
      </c>
      <c r="K2137" s="34" t="str">
        <f t="shared" si="291"/>
        <v/>
      </c>
    </row>
    <row r="2138" spans="6:11" hidden="1">
      <c r="F2138" s="52" t="str">
        <f>IF(G2138="","",INDEX(COA!$A$4:$A$123,MATCH(JU!$G2138,COA!$B$4:$B$123,0)))</f>
        <v/>
      </c>
      <c r="I2138" s="52" t="str">
        <f>IF(J2138="","",INDEX(COA!$A$4:$A$123,MATCH(JU!$J2138,COA!$B$4:$B$123,0)))</f>
        <v/>
      </c>
      <c r="K2138" s="34" t="str">
        <f t="shared" si="291"/>
        <v/>
      </c>
    </row>
    <row r="2139" spans="6:11" hidden="1">
      <c r="F2139" s="52" t="str">
        <f>IF(G2139="","",INDEX(COA!$A$4:$A$123,MATCH(JU!$G2139,COA!$B$4:$B$123,0)))</f>
        <v/>
      </c>
      <c r="I2139" s="52" t="str">
        <f>IF(J2139="","",INDEX(COA!$A$4:$A$123,MATCH(JU!$J2139,COA!$B$4:$B$123,0)))</f>
        <v/>
      </c>
      <c r="K2139" s="34" t="str">
        <f t="shared" si="291"/>
        <v/>
      </c>
    </row>
    <row r="2140" spans="6:11" hidden="1">
      <c r="F2140" s="52" t="str">
        <f>IF(G2140="","",INDEX(COA!$A$4:$A$123,MATCH(JU!$G2140,COA!$B$4:$B$123,0)))</f>
        <v/>
      </c>
      <c r="I2140" s="52" t="str">
        <f>IF(J2140="","",INDEX(COA!$A$4:$A$123,MATCH(JU!$J2140,COA!$B$4:$B$123,0)))</f>
        <v/>
      </c>
      <c r="K2140" s="34" t="str">
        <f t="shared" si="291"/>
        <v/>
      </c>
    </row>
    <row r="2141" spans="6:11" hidden="1">
      <c r="F2141" s="52" t="str">
        <f>IF(G2141="","",INDEX(COA!$A$4:$A$123,MATCH(JU!$G2141,COA!$B$4:$B$123,0)))</f>
        <v/>
      </c>
      <c r="I2141" s="52" t="str">
        <f>IF(J2141="","",INDEX(COA!$A$4:$A$123,MATCH(JU!$J2141,COA!$B$4:$B$123,0)))</f>
        <v/>
      </c>
      <c r="K2141" s="34" t="str">
        <f t="shared" si="291"/>
        <v/>
      </c>
    </row>
    <row r="2142" spans="6:11" hidden="1">
      <c r="F2142" s="52" t="str">
        <f>IF(G2142="","",INDEX(COA!$A$4:$A$123,MATCH(JU!$G2142,COA!$B$4:$B$123,0)))</f>
        <v/>
      </c>
      <c r="I2142" s="52" t="str">
        <f>IF(J2142="","",INDEX(COA!$A$4:$A$123,MATCH(JU!$J2142,COA!$B$4:$B$123,0)))</f>
        <v/>
      </c>
      <c r="K2142" s="34" t="str">
        <f t="shared" si="291"/>
        <v/>
      </c>
    </row>
    <row r="2143" spans="6:11" hidden="1">
      <c r="F2143" s="52" t="str">
        <f>IF(G2143="","",INDEX(COA!$A$4:$A$123,MATCH(JU!$G2143,COA!$B$4:$B$123,0)))</f>
        <v/>
      </c>
      <c r="I2143" s="52" t="str">
        <f>IF(J2143="","",INDEX(COA!$A$4:$A$123,MATCH(JU!$J2143,COA!$B$4:$B$123,0)))</f>
        <v/>
      </c>
      <c r="K2143" s="34" t="str">
        <f t="shared" si="291"/>
        <v/>
      </c>
    </row>
    <row r="2144" spans="6:11" hidden="1">
      <c r="F2144" s="52" t="str">
        <f>IF(G2144="","",INDEX(COA!$A$4:$A$123,MATCH(JU!$G2144,COA!$B$4:$B$123,0)))</f>
        <v/>
      </c>
      <c r="I2144" s="52" t="str">
        <f>IF(J2144="","",INDEX(COA!$A$4:$A$123,MATCH(JU!$J2144,COA!$B$4:$B$123,0)))</f>
        <v/>
      </c>
      <c r="K2144" s="34" t="str">
        <f t="shared" si="291"/>
        <v/>
      </c>
    </row>
    <row r="2145" spans="6:11" hidden="1">
      <c r="F2145" s="52" t="str">
        <f>IF(G2145="","",INDEX(COA!$A$4:$A$123,MATCH(JU!$G2145,COA!$B$4:$B$123,0)))</f>
        <v/>
      </c>
      <c r="I2145" s="52" t="str">
        <f>IF(J2145="","",INDEX(COA!$A$4:$A$123,MATCH(JU!$J2145,COA!$B$4:$B$123,0)))</f>
        <v/>
      </c>
      <c r="K2145" s="34" t="str">
        <f t="shared" si="291"/>
        <v/>
      </c>
    </row>
    <row r="2146" spans="6:11" hidden="1">
      <c r="F2146" s="52" t="str">
        <f>IF(G2146="","",INDEX(COA!$A$4:$A$123,MATCH(JU!$G2146,COA!$B$4:$B$123,0)))</f>
        <v/>
      </c>
      <c r="I2146" s="52" t="str">
        <f>IF(J2146="","",INDEX(COA!$A$4:$A$123,MATCH(JU!$J2146,COA!$B$4:$B$123,0)))</f>
        <v/>
      </c>
      <c r="K2146" s="34" t="str">
        <f t="shared" si="291"/>
        <v/>
      </c>
    </row>
    <row r="2147" spans="6:11" hidden="1">
      <c r="F2147" s="52" t="str">
        <f>IF(G2147="","",INDEX(COA!$A$4:$A$123,MATCH(JU!$G2147,COA!$B$4:$B$123,0)))</f>
        <v/>
      </c>
      <c r="I2147" s="52" t="str">
        <f>IF(J2147="","",INDEX(COA!$A$4:$A$123,MATCH(JU!$J2147,COA!$B$4:$B$123,0)))</f>
        <v/>
      </c>
      <c r="K2147" s="34" t="str">
        <f t="shared" si="291"/>
        <v/>
      </c>
    </row>
    <row r="2148" spans="6:11" hidden="1">
      <c r="F2148" s="52" t="str">
        <f>IF(G2148="","",INDEX(COA!$A$4:$A$123,MATCH(JU!$G2148,COA!$B$4:$B$123,0)))</f>
        <v/>
      </c>
      <c r="I2148" s="52" t="str">
        <f>IF(J2148="","",INDEX(COA!$A$4:$A$123,MATCH(JU!$J2148,COA!$B$4:$B$123,0)))</f>
        <v/>
      </c>
      <c r="K2148" s="34" t="str">
        <f t="shared" si="291"/>
        <v/>
      </c>
    </row>
    <row r="2149" spans="6:11" hidden="1">
      <c r="F2149" s="52" t="str">
        <f>IF(G2149="","",INDEX(COA!$A$4:$A$123,MATCH(JU!$G2149,COA!$B$4:$B$123,0)))</f>
        <v/>
      </c>
      <c r="I2149" s="52" t="str">
        <f>IF(J2149="","",INDEX(COA!$A$4:$A$123,MATCH(JU!$J2149,COA!$B$4:$B$123,0)))</f>
        <v/>
      </c>
      <c r="K2149" s="34" t="str">
        <f t="shared" si="291"/>
        <v/>
      </c>
    </row>
    <row r="2150" spans="6:11" hidden="1">
      <c r="F2150" s="52" t="str">
        <f>IF(G2150="","",INDEX(COA!$A$4:$A$123,MATCH(JU!$G2150,COA!$B$4:$B$123,0)))</f>
        <v/>
      </c>
      <c r="I2150" s="52" t="str">
        <f>IF(J2150="","",INDEX(COA!$A$4:$A$123,MATCH(JU!$J2150,COA!$B$4:$B$123,0)))</f>
        <v/>
      </c>
      <c r="K2150" s="34" t="str">
        <f t="shared" si="291"/>
        <v/>
      </c>
    </row>
    <row r="2151" spans="6:11" hidden="1">
      <c r="F2151" s="52" t="str">
        <f>IF(G2151="","",INDEX(COA!$A$4:$A$123,MATCH(JU!$G2151,COA!$B$4:$B$123,0)))</f>
        <v/>
      </c>
      <c r="I2151" s="52" t="str">
        <f>IF(J2151="","",INDEX(COA!$A$4:$A$123,MATCH(JU!$J2151,COA!$B$4:$B$123,0)))</f>
        <v/>
      </c>
      <c r="K2151" s="34" t="str">
        <f t="shared" si="291"/>
        <v/>
      </c>
    </row>
    <row r="2152" spans="6:11" hidden="1">
      <c r="F2152" s="52" t="str">
        <f>IF(G2152="","",INDEX(COA!$A$4:$A$123,MATCH(JU!$G2152,COA!$B$4:$B$123,0)))</f>
        <v/>
      </c>
      <c r="I2152" s="52" t="str">
        <f>IF(J2152="","",INDEX(COA!$A$4:$A$123,MATCH(JU!$J2152,COA!$B$4:$B$123,0)))</f>
        <v/>
      </c>
      <c r="K2152" s="34" t="str">
        <f t="shared" si="291"/>
        <v/>
      </c>
    </row>
    <row r="2153" spans="6:11" hidden="1">
      <c r="F2153" s="52" t="str">
        <f>IF(G2153="","",INDEX(COA!$A$4:$A$123,MATCH(JU!$G2153,COA!$B$4:$B$123,0)))</f>
        <v/>
      </c>
      <c r="I2153" s="52" t="str">
        <f>IF(J2153="","",INDEX(COA!$A$4:$A$123,MATCH(JU!$J2153,COA!$B$4:$B$123,0)))</f>
        <v/>
      </c>
      <c r="K2153" s="34" t="str">
        <f t="shared" si="291"/>
        <v/>
      </c>
    </row>
    <row r="2154" spans="6:11" hidden="1">
      <c r="F2154" s="52" t="str">
        <f>IF(G2154="","",INDEX(COA!$A$4:$A$123,MATCH(JU!$G2154,COA!$B$4:$B$123,0)))</f>
        <v/>
      </c>
      <c r="I2154" s="52" t="str">
        <f>IF(J2154="","",INDEX(COA!$A$4:$A$123,MATCH(JU!$J2154,COA!$B$4:$B$123,0)))</f>
        <v/>
      </c>
      <c r="K2154" s="34" t="str">
        <f t="shared" si="291"/>
        <v/>
      </c>
    </row>
    <row r="2155" spans="6:11" hidden="1">
      <c r="F2155" s="52" t="str">
        <f>IF(G2155="","",INDEX(COA!$A$4:$A$123,MATCH(JU!$G2155,COA!$B$4:$B$123,0)))</f>
        <v/>
      </c>
      <c r="I2155" s="52" t="str">
        <f>IF(J2155="","",INDEX(COA!$A$4:$A$123,MATCH(JU!$J2155,COA!$B$4:$B$123,0)))</f>
        <v/>
      </c>
      <c r="K2155" s="34" t="str">
        <f t="shared" si="291"/>
        <v/>
      </c>
    </row>
    <row r="2156" spans="6:11" hidden="1">
      <c r="F2156" s="52" t="str">
        <f>IF(G2156="","",INDEX(COA!$A$4:$A$123,MATCH(JU!$G2156,COA!$B$4:$B$123,0)))</f>
        <v/>
      </c>
      <c r="I2156" s="52" t="str">
        <f>IF(J2156="","",INDEX(COA!$A$4:$A$123,MATCH(JU!$J2156,COA!$B$4:$B$123,0)))</f>
        <v/>
      </c>
      <c r="K2156" s="34" t="str">
        <f t="shared" si="291"/>
        <v/>
      </c>
    </row>
    <row r="2157" spans="6:11" hidden="1">
      <c r="F2157" s="52" t="str">
        <f>IF(G2157="","",INDEX(COA!$A$4:$A$123,MATCH(JU!$G2157,COA!$B$4:$B$123,0)))</f>
        <v/>
      </c>
      <c r="I2157" s="52" t="str">
        <f>IF(J2157="","",INDEX(COA!$A$4:$A$123,MATCH(JU!$J2157,COA!$B$4:$B$123,0)))</f>
        <v/>
      </c>
      <c r="K2157" s="34" t="str">
        <f t="shared" si="291"/>
        <v/>
      </c>
    </row>
    <row r="2158" spans="6:11" hidden="1">
      <c r="F2158" s="52" t="str">
        <f>IF(G2158="","",INDEX(COA!$A$4:$A$123,MATCH(JU!$G2158,COA!$B$4:$B$123,0)))</f>
        <v/>
      </c>
      <c r="I2158" s="52" t="str">
        <f>IF(J2158="","",INDEX(COA!$A$4:$A$123,MATCH(JU!$J2158,COA!$B$4:$B$123,0)))</f>
        <v/>
      </c>
      <c r="K2158" s="34" t="str">
        <f t="shared" si="291"/>
        <v/>
      </c>
    </row>
    <row r="2159" spans="6:11" hidden="1">
      <c r="F2159" s="52" t="str">
        <f>IF(G2159="","",INDEX(COA!$A$4:$A$123,MATCH(JU!$G2159,COA!$B$4:$B$123,0)))</f>
        <v/>
      </c>
      <c r="I2159" s="52" t="str">
        <f>IF(J2159="","",INDEX(COA!$A$4:$A$123,MATCH(JU!$J2159,COA!$B$4:$B$123,0)))</f>
        <v/>
      </c>
      <c r="K2159" s="34" t="str">
        <f t="shared" si="291"/>
        <v/>
      </c>
    </row>
    <row r="2160" spans="6:11" hidden="1">
      <c r="F2160" s="52" t="str">
        <f>IF(G2160="","",INDEX(COA!$A$4:$A$123,MATCH(JU!$G2160,COA!$B$4:$B$123,0)))</f>
        <v/>
      </c>
      <c r="I2160" s="52" t="str">
        <f>IF(J2160="","",INDEX(COA!$A$4:$A$123,MATCH(JU!$J2160,COA!$B$4:$B$123,0)))</f>
        <v/>
      </c>
      <c r="K2160" s="34" t="str">
        <f t="shared" si="291"/>
        <v/>
      </c>
    </row>
    <row r="2161" spans="6:11" hidden="1">
      <c r="F2161" s="52" t="str">
        <f>IF(G2161="","",INDEX(COA!$A$4:$A$123,MATCH(JU!$G2161,COA!$B$4:$B$123,0)))</f>
        <v/>
      </c>
      <c r="I2161" s="52" t="str">
        <f>IF(J2161="","",INDEX(COA!$A$4:$A$123,MATCH(JU!$J2161,COA!$B$4:$B$123,0)))</f>
        <v/>
      </c>
      <c r="K2161" s="34" t="str">
        <f t="shared" si="291"/>
        <v/>
      </c>
    </row>
    <row r="2162" spans="6:11" hidden="1">
      <c r="F2162" s="52" t="str">
        <f>IF(G2162="","",INDEX(COA!$A$4:$A$123,MATCH(JU!$G2162,COA!$B$4:$B$123,0)))</f>
        <v/>
      </c>
      <c r="I2162" s="52" t="str">
        <f>IF(J2162="","",INDEX(COA!$A$4:$A$123,MATCH(JU!$J2162,COA!$B$4:$B$123,0)))</f>
        <v/>
      </c>
      <c r="K2162" s="34" t="str">
        <f t="shared" si="291"/>
        <v/>
      </c>
    </row>
    <row r="2163" spans="6:11" hidden="1">
      <c r="F2163" s="52" t="str">
        <f>IF(G2163="","",INDEX(COA!$A$4:$A$123,MATCH(JU!$G2163,COA!$B$4:$B$123,0)))</f>
        <v/>
      </c>
      <c r="I2163" s="52" t="str">
        <f>IF(J2163="","",INDEX(COA!$A$4:$A$123,MATCH(JU!$J2163,COA!$B$4:$B$123,0)))</f>
        <v/>
      </c>
      <c r="K2163" s="34" t="str">
        <f t="shared" si="291"/>
        <v/>
      </c>
    </row>
    <row r="2164" spans="6:11" hidden="1">
      <c r="F2164" s="52" t="str">
        <f>IF(G2164="","",INDEX(COA!$A$4:$A$123,MATCH(JU!$G2164,COA!$B$4:$B$123,0)))</f>
        <v/>
      </c>
      <c r="I2164" s="52" t="str">
        <f>IF(J2164="","",INDEX(COA!$A$4:$A$123,MATCH(JU!$J2164,COA!$B$4:$B$123,0)))</f>
        <v/>
      </c>
      <c r="K2164" s="34" t="str">
        <f t="shared" si="291"/>
        <v/>
      </c>
    </row>
    <row r="2165" spans="6:11" hidden="1">
      <c r="F2165" s="52" t="str">
        <f>IF(G2165="","",INDEX(COA!$A$4:$A$123,MATCH(JU!$G2165,COA!$B$4:$B$123,0)))</f>
        <v/>
      </c>
      <c r="I2165" s="52" t="str">
        <f>IF(J2165="","",INDEX(COA!$A$4:$A$123,MATCH(JU!$J2165,COA!$B$4:$B$123,0)))</f>
        <v/>
      </c>
      <c r="K2165" s="34" t="str">
        <f t="shared" si="291"/>
        <v/>
      </c>
    </row>
    <row r="2166" spans="6:11" hidden="1">
      <c r="F2166" s="52" t="str">
        <f>IF(G2166="","",INDEX(COA!$A$4:$A$123,MATCH(JU!$G2166,COA!$B$4:$B$123,0)))</f>
        <v/>
      </c>
      <c r="I2166" s="52" t="str">
        <f>IF(J2166="","",INDEX(COA!$A$4:$A$123,MATCH(JU!$J2166,COA!$B$4:$B$123,0)))</f>
        <v/>
      </c>
      <c r="K2166" s="34" t="str">
        <f t="shared" si="291"/>
        <v/>
      </c>
    </row>
    <row r="2167" spans="6:11" hidden="1">
      <c r="F2167" s="52" t="str">
        <f>IF(G2167="","",INDEX(COA!$A$4:$A$123,MATCH(JU!$G2167,COA!$B$4:$B$123,0)))</f>
        <v/>
      </c>
      <c r="I2167" s="52" t="str">
        <f>IF(J2167="","",INDEX(COA!$A$4:$A$123,MATCH(JU!$J2167,COA!$B$4:$B$123,0)))</f>
        <v/>
      </c>
      <c r="K2167" s="34" t="str">
        <f t="shared" si="291"/>
        <v/>
      </c>
    </row>
    <row r="2168" spans="6:11" hidden="1">
      <c r="F2168" s="52" t="str">
        <f>IF(G2168="","",INDEX(COA!$A$4:$A$123,MATCH(JU!$G2168,COA!$B$4:$B$123,0)))</f>
        <v/>
      </c>
      <c r="I2168" s="52" t="str">
        <f>IF(J2168="","",INDEX(COA!$A$4:$A$123,MATCH(JU!$J2168,COA!$B$4:$B$123,0)))</f>
        <v/>
      </c>
      <c r="K2168" s="34" t="str">
        <f t="shared" si="291"/>
        <v/>
      </c>
    </row>
    <row r="2169" spans="6:11" hidden="1">
      <c r="F2169" s="52" t="str">
        <f>IF(G2169="","",INDEX(COA!$A$4:$A$123,MATCH(JU!$G2169,COA!$B$4:$B$123,0)))</f>
        <v/>
      </c>
      <c r="I2169" s="52" t="str">
        <f>IF(J2169="","",INDEX(COA!$A$4:$A$123,MATCH(JU!$J2169,COA!$B$4:$B$123,0)))</f>
        <v/>
      </c>
      <c r="K2169" s="34" t="str">
        <f t="shared" si="291"/>
        <v/>
      </c>
    </row>
    <row r="2170" spans="6:11" hidden="1">
      <c r="F2170" s="52" t="str">
        <f>IF(G2170="","",INDEX(COA!$A$4:$A$123,MATCH(JU!$G2170,COA!$B$4:$B$123,0)))</f>
        <v/>
      </c>
      <c r="I2170" s="52" t="str">
        <f>IF(J2170="","",INDEX(COA!$A$4:$A$123,MATCH(JU!$J2170,COA!$B$4:$B$123,0)))</f>
        <v/>
      </c>
      <c r="K2170" s="34" t="str">
        <f t="shared" si="291"/>
        <v/>
      </c>
    </row>
    <row r="2171" spans="6:11" hidden="1">
      <c r="F2171" s="52" t="str">
        <f>IF(G2171="","",INDEX(COA!$A$4:$A$123,MATCH(JU!$G2171,COA!$B$4:$B$123,0)))</f>
        <v/>
      </c>
      <c r="I2171" s="52" t="str">
        <f>IF(J2171="","",INDEX(COA!$A$4:$A$123,MATCH(JU!$J2171,COA!$B$4:$B$123,0)))</f>
        <v/>
      </c>
      <c r="K2171" s="34" t="str">
        <f t="shared" si="291"/>
        <v/>
      </c>
    </row>
    <row r="2172" spans="6:11" hidden="1">
      <c r="F2172" s="52" t="str">
        <f>IF(G2172="","",INDEX(COA!$A$4:$A$123,MATCH(JU!$G2172,COA!$B$4:$B$123,0)))</f>
        <v/>
      </c>
      <c r="I2172" s="52" t="str">
        <f>IF(J2172="","",INDEX(COA!$A$4:$A$123,MATCH(JU!$J2172,COA!$B$4:$B$123,0)))</f>
        <v/>
      </c>
      <c r="K2172" s="34" t="str">
        <f t="shared" si="291"/>
        <v/>
      </c>
    </row>
    <row r="2173" spans="6:11" hidden="1">
      <c r="F2173" s="52" t="str">
        <f>IF(G2173="","",INDEX(COA!$A$4:$A$123,MATCH(JU!$G2173,COA!$B$4:$B$123,0)))</f>
        <v/>
      </c>
      <c r="I2173" s="52" t="str">
        <f>IF(J2173="","",INDEX(COA!$A$4:$A$123,MATCH(JU!$J2173,COA!$B$4:$B$123,0)))</f>
        <v/>
      </c>
      <c r="K2173" s="34" t="str">
        <f t="shared" si="291"/>
        <v/>
      </c>
    </row>
    <row r="2174" spans="6:11" hidden="1">
      <c r="F2174" s="52" t="str">
        <f>IF(G2174="","",INDEX(COA!$A$4:$A$123,MATCH(JU!$G2174,COA!$B$4:$B$123,0)))</f>
        <v/>
      </c>
      <c r="I2174" s="52" t="str">
        <f>IF(J2174="","",INDEX(COA!$A$4:$A$123,MATCH(JU!$J2174,COA!$B$4:$B$123,0)))</f>
        <v/>
      </c>
      <c r="K2174" s="34" t="str">
        <f t="shared" si="291"/>
        <v/>
      </c>
    </row>
    <row r="2175" spans="6:11" hidden="1">
      <c r="F2175" s="52" t="str">
        <f>IF(G2175="","",INDEX(COA!$A$4:$A$123,MATCH(JU!$G2175,COA!$B$4:$B$123,0)))</f>
        <v/>
      </c>
      <c r="I2175" s="52" t="str">
        <f>IF(J2175="","",INDEX(COA!$A$4:$A$123,MATCH(JU!$J2175,COA!$B$4:$B$123,0)))</f>
        <v/>
      </c>
      <c r="K2175" s="34" t="str">
        <f t="shared" si="291"/>
        <v/>
      </c>
    </row>
    <row r="2176" spans="6:11" hidden="1">
      <c r="F2176" s="52" t="str">
        <f>IF(G2176="","",INDEX(COA!$A$4:$A$123,MATCH(JU!$G2176,COA!$B$4:$B$123,0)))</f>
        <v/>
      </c>
      <c r="I2176" s="52" t="str">
        <f>IF(J2176="","",INDEX(COA!$A$4:$A$123,MATCH(JU!$J2176,COA!$B$4:$B$123,0)))</f>
        <v/>
      </c>
      <c r="K2176" s="34" t="str">
        <f t="shared" si="291"/>
        <v/>
      </c>
    </row>
    <row r="2177" spans="6:11" hidden="1">
      <c r="F2177" s="52" t="str">
        <f>IF(G2177="","",INDEX(COA!$A$4:$A$123,MATCH(JU!$G2177,COA!$B$4:$B$123,0)))</f>
        <v/>
      </c>
      <c r="I2177" s="52" t="str">
        <f>IF(J2177="","",INDEX(COA!$A$4:$A$123,MATCH(JU!$J2177,COA!$B$4:$B$123,0)))</f>
        <v/>
      </c>
      <c r="K2177" s="34" t="str">
        <f t="shared" si="291"/>
        <v/>
      </c>
    </row>
    <row r="2178" spans="6:11" hidden="1">
      <c r="F2178" s="52" t="str">
        <f>IF(G2178="","",INDEX(COA!$A$4:$A$123,MATCH(JU!$G2178,COA!$B$4:$B$123,0)))</f>
        <v/>
      </c>
      <c r="I2178" s="52" t="str">
        <f>IF(J2178="","",INDEX(COA!$A$4:$A$123,MATCH(JU!$J2178,COA!$B$4:$B$123,0)))</f>
        <v/>
      </c>
      <c r="K2178" s="34" t="str">
        <f t="shared" si="291"/>
        <v/>
      </c>
    </row>
    <row r="2179" spans="6:11" hidden="1">
      <c r="F2179" s="52" t="str">
        <f>IF(G2179="","",INDEX(COA!$A$4:$A$123,MATCH(JU!$G2179,COA!$B$4:$B$123,0)))</f>
        <v/>
      </c>
      <c r="I2179" s="52" t="str">
        <f>IF(J2179="","",INDEX(COA!$A$4:$A$123,MATCH(JU!$J2179,COA!$B$4:$B$123,0)))</f>
        <v/>
      </c>
      <c r="K2179" s="34" t="str">
        <f t="shared" si="291"/>
        <v/>
      </c>
    </row>
    <row r="2180" spans="6:11" hidden="1">
      <c r="F2180" s="52" t="str">
        <f>IF(G2180="","",INDEX(COA!$A$4:$A$123,MATCH(JU!$G2180,COA!$B$4:$B$123,0)))</f>
        <v/>
      </c>
      <c r="I2180" s="52" t="str">
        <f>IF(J2180="","",INDEX(COA!$A$4:$A$123,MATCH(JU!$J2180,COA!$B$4:$B$123,0)))</f>
        <v/>
      </c>
      <c r="K2180" s="34" t="str">
        <f t="shared" si="291"/>
        <v/>
      </c>
    </row>
    <row r="2181" spans="6:11" hidden="1">
      <c r="F2181" s="52" t="str">
        <f>IF(G2181="","",INDEX(COA!$A$4:$A$123,MATCH(JU!$G2181,COA!$B$4:$B$123,0)))</f>
        <v/>
      </c>
      <c r="I2181" s="52" t="str">
        <f>IF(J2181="","",INDEX(COA!$A$4:$A$123,MATCH(JU!$J2181,COA!$B$4:$B$123,0)))</f>
        <v/>
      </c>
      <c r="K2181" s="34" t="str">
        <f t="shared" si="291"/>
        <v/>
      </c>
    </row>
    <row r="2182" spans="6:11" hidden="1">
      <c r="F2182" s="52" t="str">
        <f>IF(G2182="","",INDEX(COA!$A$4:$A$123,MATCH(JU!$G2182,COA!$B$4:$B$123,0)))</f>
        <v/>
      </c>
      <c r="I2182" s="52" t="str">
        <f>IF(J2182="","",INDEX(COA!$A$4:$A$123,MATCH(JU!$J2182,COA!$B$4:$B$123,0)))</f>
        <v/>
      </c>
      <c r="K2182" s="34" t="str">
        <f t="shared" si="291"/>
        <v/>
      </c>
    </row>
    <row r="2183" spans="6:11" hidden="1">
      <c r="F2183" s="52" t="str">
        <f>IF(G2183="","",INDEX(COA!$A$4:$A$123,MATCH(JU!$G2183,COA!$B$4:$B$123,0)))</f>
        <v/>
      </c>
      <c r="I2183" s="52" t="str">
        <f>IF(J2183="","",INDEX(COA!$A$4:$A$123,MATCH(JU!$J2183,COA!$B$4:$B$123,0)))</f>
        <v/>
      </c>
      <c r="K2183" s="34" t="str">
        <f t="shared" si="291"/>
        <v/>
      </c>
    </row>
    <row r="2184" spans="6:11" hidden="1">
      <c r="F2184" s="52" t="str">
        <f>IF(G2184="","",INDEX(COA!$A$4:$A$123,MATCH(JU!$G2184,COA!$B$4:$B$123,0)))</f>
        <v/>
      </c>
      <c r="I2184" s="52" t="str">
        <f>IF(J2184="","",INDEX(COA!$A$4:$A$123,MATCH(JU!$J2184,COA!$B$4:$B$123,0)))</f>
        <v/>
      </c>
      <c r="K2184" s="34" t="str">
        <f t="shared" si="291"/>
        <v/>
      </c>
    </row>
    <row r="2185" spans="6:11" hidden="1">
      <c r="F2185" s="52" t="str">
        <f>IF(G2185="","",INDEX(COA!$A$4:$A$123,MATCH(JU!$G2185,COA!$B$4:$B$123,0)))</f>
        <v/>
      </c>
      <c r="I2185" s="52" t="str">
        <f>IF(J2185="","",INDEX(COA!$A$4:$A$123,MATCH(JU!$J2185,COA!$B$4:$B$123,0)))</f>
        <v/>
      </c>
      <c r="K2185" s="34" t="str">
        <f t="shared" si="291"/>
        <v/>
      </c>
    </row>
    <row r="2186" spans="6:11" hidden="1">
      <c r="F2186" s="52" t="str">
        <f>IF(G2186="","",INDEX(COA!$A$4:$A$123,MATCH(JU!$G2186,COA!$B$4:$B$123,0)))</f>
        <v/>
      </c>
      <c r="I2186" s="52" t="str">
        <f>IF(J2186="","",INDEX(COA!$A$4:$A$123,MATCH(JU!$J2186,COA!$B$4:$B$123,0)))</f>
        <v/>
      </c>
      <c r="K2186" s="34" t="str">
        <f t="shared" ref="K2186:K2202" si="292">IF(H2186="","",H2186)</f>
        <v/>
      </c>
    </row>
    <row r="2187" spans="6:11" hidden="1">
      <c r="F2187" s="52" t="str">
        <f>IF(G2187="","",INDEX(COA!$A$4:$A$123,MATCH(JU!$G2187,COA!$B$4:$B$123,0)))</f>
        <v/>
      </c>
      <c r="I2187" s="52" t="str">
        <f>IF(J2187="","",INDEX(COA!$A$4:$A$123,MATCH(JU!$J2187,COA!$B$4:$B$123,0)))</f>
        <v/>
      </c>
      <c r="K2187" s="34" t="str">
        <f t="shared" si="292"/>
        <v/>
      </c>
    </row>
    <row r="2188" spans="6:11" hidden="1">
      <c r="F2188" s="52" t="str">
        <f>IF(G2188="","",INDEX(COA!$A$4:$A$123,MATCH(JU!$G2188,COA!$B$4:$B$123,0)))</f>
        <v/>
      </c>
      <c r="I2188" s="52" t="str">
        <f>IF(J2188="","",INDEX(COA!$A$4:$A$123,MATCH(JU!$J2188,COA!$B$4:$B$123,0)))</f>
        <v/>
      </c>
      <c r="K2188" s="34" t="str">
        <f t="shared" si="292"/>
        <v/>
      </c>
    </row>
    <row r="2189" spans="6:11" hidden="1">
      <c r="F2189" s="52" t="str">
        <f>IF(G2189="","",INDEX(COA!$A$4:$A$123,MATCH(JU!$G2189,COA!$B$4:$B$123,0)))</f>
        <v/>
      </c>
      <c r="I2189" s="52" t="str">
        <f>IF(J2189="","",INDEX(COA!$A$4:$A$123,MATCH(JU!$J2189,COA!$B$4:$B$123,0)))</f>
        <v/>
      </c>
      <c r="K2189" s="34" t="str">
        <f t="shared" si="292"/>
        <v/>
      </c>
    </row>
    <row r="2190" spans="6:11" hidden="1">
      <c r="F2190" s="52" t="str">
        <f>IF(G2190="","",INDEX(COA!$A$4:$A$123,MATCH(JU!$G2190,COA!$B$4:$B$123,0)))</f>
        <v/>
      </c>
      <c r="I2190" s="52" t="str">
        <f>IF(J2190="","",INDEX(COA!$A$4:$A$123,MATCH(JU!$J2190,COA!$B$4:$B$123,0)))</f>
        <v/>
      </c>
      <c r="K2190" s="34" t="str">
        <f t="shared" si="292"/>
        <v/>
      </c>
    </row>
    <row r="2191" spans="6:11" hidden="1">
      <c r="F2191" s="52" t="str">
        <f>IF(G2191="","",INDEX(COA!$A$4:$A$123,MATCH(JU!$G2191,COA!$B$4:$B$123,0)))</f>
        <v/>
      </c>
      <c r="I2191" s="52" t="str">
        <f>IF(J2191="","",INDEX(COA!$A$4:$A$123,MATCH(JU!$J2191,COA!$B$4:$B$123,0)))</f>
        <v/>
      </c>
      <c r="K2191" s="34" t="str">
        <f t="shared" si="292"/>
        <v/>
      </c>
    </row>
    <row r="2192" spans="6:11" hidden="1">
      <c r="F2192" s="52" t="str">
        <f>IF(G2192="","",INDEX(COA!$A$4:$A$123,MATCH(JU!$G2192,COA!$B$4:$B$123,0)))</f>
        <v/>
      </c>
      <c r="I2192" s="52" t="str">
        <f>IF(J2192="","",INDEX(COA!$A$4:$A$123,MATCH(JU!$J2192,COA!$B$4:$B$123,0)))</f>
        <v/>
      </c>
      <c r="K2192" s="34" t="str">
        <f t="shared" si="292"/>
        <v/>
      </c>
    </row>
    <row r="2193" spans="6:11" hidden="1">
      <c r="F2193" s="52" t="str">
        <f>IF(G2193="","",INDEX(COA!$A$4:$A$123,MATCH(JU!$G2193,COA!$B$4:$B$123,0)))</f>
        <v/>
      </c>
      <c r="I2193" s="52" t="str">
        <f>IF(J2193="","",INDEX(COA!$A$4:$A$123,MATCH(JU!$J2193,COA!$B$4:$B$123,0)))</f>
        <v/>
      </c>
      <c r="K2193" s="34" t="str">
        <f t="shared" si="292"/>
        <v/>
      </c>
    </row>
    <row r="2194" spans="6:11" hidden="1">
      <c r="F2194" s="52" t="str">
        <f>IF(G2194="","",INDEX(COA!$A$4:$A$123,MATCH(JU!$G2194,COA!$B$4:$B$123,0)))</f>
        <v/>
      </c>
      <c r="I2194" s="52" t="str">
        <f>IF(J2194="","",INDEX(COA!$A$4:$A$123,MATCH(JU!$J2194,COA!$B$4:$B$123,0)))</f>
        <v/>
      </c>
      <c r="K2194" s="34" t="str">
        <f t="shared" si="292"/>
        <v/>
      </c>
    </row>
    <row r="2195" spans="6:11" hidden="1">
      <c r="F2195" s="52" t="str">
        <f>IF(G2195="","",INDEX(COA!$A$4:$A$123,MATCH(JU!$G2195,COA!$B$4:$B$123,0)))</f>
        <v/>
      </c>
      <c r="I2195" s="52" t="str">
        <f>IF(J2195="","",INDEX(COA!$A$4:$A$123,MATCH(JU!$J2195,COA!$B$4:$B$123,0)))</f>
        <v/>
      </c>
      <c r="K2195" s="34" t="str">
        <f t="shared" si="292"/>
        <v/>
      </c>
    </row>
    <row r="2196" spans="6:11" hidden="1">
      <c r="F2196" s="52" t="str">
        <f>IF(G2196="","",INDEX(COA!$A$4:$A$123,MATCH(JU!$G2196,COA!$B$4:$B$123,0)))</f>
        <v/>
      </c>
      <c r="I2196" s="52" t="str">
        <f>IF(J2196="","",INDEX(COA!$A$4:$A$123,MATCH(JU!$J2196,COA!$B$4:$B$123,0)))</f>
        <v/>
      </c>
      <c r="K2196" s="34" t="str">
        <f t="shared" si="292"/>
        <v/>
      </c>
    </row>
    <row r="2197" spans="6:11" hidden="1">
      <c r="F2197" s="52" t="str">
        <f>IF(G2197="","",INDEX(COA!$A$4:$A$123,MATCH(JU!$G2197,COA!$B$4:$B$123,0)))</f>
        <v/>
      </c>
      <c r="I2197" s="52" t="str">
        <f>IF(J2197="","",INDEX(COA!$A$4:$A$123,MATCH(JU!$J2197,COA!$B$4:$B$123,0)))</f>
        <v/>
      </c>
      <c r="K2197" s="34" t="str">
        <f t="shared" si="292"/>
        <v/>
      </c>
    </row>
    <row r="2198" spans="6:11" hidden="1">
      <c r="F2198" s="52" t="str">
        <f>IF(G2198="","",INDEX(COA!$A$4:$A$123,MATCH(JU!$G2198,COA!$B$4:$B$123,0)))</f>
        <v/>
      </c>
      <c r="I2198" s="52" t="str">
        <f>IF(J2198="","",INDEX(COA!$A$4:$A$123,MATCH(JU!$J2198,COA!$B$4:$B$123,0)))</f>
        <v/>
      </c>
      <c r="K2198" s="34" t="str">
        <f t="shared" si="292"/>
        <v/>
      </c>
    </row>
    <row r="2199" spans="6:11" hidden="1">
      <c r="F2199" s="52" t="str">
        <f>IF(G2199="","",INDEX(COA!$A$4:$A$123,MATCH(JU!$G2199,COA!$B$4:$B$123,0)))</f>
        <v/>
      </c>
      <c r="I2199" s="52" t="str">
        <f>IF(J2199="","",INDEX(COA!$A$4:$A$123,MATCH(JU!$J2199,COA!$B$4:$B$123,0)))</f>
        <v/>
      </c>
      <c r="K2199" s="34" t="str">
        <f t="shared" si="292"/>
        <v/>
      </c>
    </row>
    <row r="2200" spans="6:11" hidden="1">
      <c r="F2200" s="52" t="str">
        <f>IF(G2200="","",INDEX(COA!$A$4:$A$123,MATCH(JU!$G2200,COA!$B$4:$B$123,0)))</f>
        <v/>
      </c>
      <c r="I2200" s="52" t="str">
        <f>IF(J2200="","",INDEX(COA!$A$4:$A$123,MATCH(JU!$J2200,COA!$B$4:$B$123,0)))</f>
        <v/>
      </c>
      <c r="K2200" s="34" t="str">
        <f t="shared" si="292"/>
        <v/>
      </c>
    </row>
    <row r="2201" spans="6:11" hidden="1">
      <c r="F2201" s="52" t="str">
        <f>IF(G2201="","",INDEX(COA!$A$4:$A$123,MATCH(JU!$G2201,COA!$B$4:$B$123,0)))</f>
        <v/>
      </c>
      <c r="I2201" s="52" t="str">
        <f>IF(J2201="","",INDEX(COA!$A$4:$A$123,MATCH(JU!$J2201,COA!$B$4:$B$123,0)))</f>
        <v/>
      </c>
      <c r="K2201" s="34" t="str">
        <f t="shared" si="292"/>
        <v/>
      </c>
    </row>
    <row r="2202" spans="6:11" hidden="1">
      <c r="F2202" s="52" t="str">
        <f>IF(G2202="","",INDEX(COA!$A$4:$A$123,MATCH(JU!$G2202,COA!$B$4:$B$123,0)))</f>
        <v/>
      </c>
      <c r="I2202" s="52" t="str">
        <f>IF(J2202="","",INDEX(COA!$A$4:$A$123,MATCH(JU!$J2202,COA!$B$4:$B$123,0)))</f>
        <v/>
      </c>
      <c r="K2202" s="34" t="str">
        <f t="shared" si="292"/>
        <v/>
      </c>
    </row>
    <row r="2203" spans="6:11" hidden="1">
      <c r="I2203" s="52" t="str">
        <f>IF(J2203="","",INDEX(COA!$A$4:$A$123,MATCH(JU!$J2203,COA!$B$4:$B$123,0)))</f>
        <v/>
      </c>
    </row>
    <row r="2204" spans="6:11" hidden="1">
      <c r="F2204" s="52" t="str">
        <f>IF(G2204="","",INDEX(COA!$A$4:$A$123,MATCH(JU!$G2204,COA!$B$4:$B$123,0)))</f>
        <v/>
      </c>
      <c r="I2204" s="52" t="str">
        <f>IF(J2204="","",INDEX(COA!$A$4:$A$123,MATCH(JU!$J2204,COA!$B$4:$B$123,0)))</f>
        <v/>
      </c>
      <c r="K2204" s="34" t="str">
        <f>IF(H2204="","",H2204)</f>
        <v/>
      </c>
    </row>
    <row r="2205" spans="6:11" hidden="1">
      <c r="F2205" s="52" t="str">
        <f>IF(G2205="","",INDEX(COA!$A$4:$A$123,MATCH(JU!$G2205,COA!$B$4:$B$123,0)))</f>
        <v/>
      </c>
      <c r="I2205" s="52" t="str">
        <f>IF(J2205="","",INDEX(COA!$A$4:$A$123,MATCH(JU!$J2205,COA!$B$4:$B$123,0)))</f>
        <v/>
      </c>
    </row>
    <row r="2206" spans="6:11" hidden="1">
      <c r="F2206" s="52" t="str">
        <f>IF(G2206="","",INDEX(COA!$A$4:$A$123,MATCH(JU!$G2206,COA!$B$4:$B$123,0)))</f>
        <v/>
      </c>
      <c r="I2206" s="52" t="str">
        <f>IF(J2206="","",INDEX(COA!$A$4:$A$123,MATCH(JU!$J2206,COA!$B$4:$B$123,0)))</f>
        <v/>
      </c>
      <c r="K2206" s="34" t="str">
        <f t="shared" ref="K2206:K2269" si="293">IF(H2206="","",H2206)</f>
        <v/>
      </c>
    </row>
    <row r="2207" spans="6:11" hidden="1">
      <c r="F2207" s="52" t="str">
        <f>IF(G2207="","",INDEX(COA!$A$4:$A$123,MATCH(JU!$G2207,COA!$B$4:$B$123,0)))</f>
        <v/>
      </c>
      <c r="I2207" s="52" t="str">
        <f>IF(J2207="","",INDEX(COA!$A$4:$A$123,MATCH(JU!$J2207,COA!$B$4:$B$123,0)))</f>
        <v/>
      </c>
      <c r="K2207" s="34" t="str">
        <f t="shared" si="293"/>
        <v/>
      </c>
    </row>
    <row r="2208" spans="6:11" hidden="1">
      <c r="F2208" s="52" t="str">
        <f>IF(G2208="","",INDEX(COA!$A$4:$A$123,MATCH(JU!$G2208,COA!$B$4:$B$123,0)))</f>
        <v/>
      </c>
      <c r="I2208" s="52" t="str">
        <f>IF(J2208="","",INDEX(COA!$A$4:$A$123,MATCH(JU!$J2208,COA!$B$4:$B$123,0)))</f>
        <v/>
      </c>
      <c r="K2208" s="34" t="str">
        <f t="shared" si="293"/>
        <v/>
      </c>
    </row>
    <row r="2209" spans="6:11" hidden="1">
      <c r="F2209" s="52" t="str">
        <f>IF(G2209="","",INDEX(COA!$A$4:$A$123,MATCH(JU!$G2209,COA!$B$4:$B$123,0)))</f>
        <v/>
      </c>
      <c r="I2209" s="52" t="str">
        <f>IF(J2209="","",INDEX(COA!$A$4:$A$123,MATCH(JU!$J2209,COA!$B$4:$B$123,0)))</f>
        <v/>
      </c>
      <c r="K2209" s="34" t="str">
        <f t="shared" si="293"/>
        <v/>
      </c>
    </row>
    <row r="2210" spans="6:11" hidden="1">
      <c r="F2210" s="52" t="str">
        <f>IF(G2210="","",INDEX(COA!$A$4:$A$123,MATCH(JU!$G2210,COA!$B$4:$B$123,0)))</f>
        <v/>
      </c>
      <c r="I2210" s="52" t="str">
        <f>IF(J2210="","",INDEX(COA!$A$4:$A$123,MATCH(JU!$J2210,COA!$B$4:$B$123,0)))</f>
        <v/>
      </c>
      <c r="K2210" s="34" t="str">
        <f t="shared" si="293"/>
        <v/>
      </c>
    </row>
    <row r="2211" spans="6:11" hidden="1">
      <c r="F2211" s="52" t="str">
        <f>IF(G2211="","",INDEX(COA!$A$4:$A$123,MATCH(JU!$G2211,COA!$B$4:$B$123,0)))</f>
        <v/>
      </c>
      <c r="I2211" s="52" t="str">
        <f>IF(J2211="","",INDEX(COA!$A$4:$A$123,MATCH(JU!$J2211,COA!$B$4:$B$123,0)))</f>
        <v/>
      </c>
      <c r="K2211" s="34" t="str">
        <f t="shared" si="293"/>
        <v/>
      </c>
    </row>
    <row r="2212" spans="6:11" hidden="1">
      <c r="F2212" s="52" t="str">
        <f>IF(G2212="","",INDEX(COA!$A$4:$A$123,MATCH(JU!$G2212,COA!$B$4:$B$123,0)))</f>
        <v/>
      </c>
      <c r="I2212" s="52" t="str">
        <f>IF(J2212="","",INDEX(COA!$A$4:$A$123,MATCH(JU!$J2212,COA!$B$4:$B$123,0)))</f>
        <v/>
      </c>
      <c r="K2212" s="34" t="str">
        <f t="shared" si="293"/>
        <v/>
      </c>
    </row>
    <row r="2213" spans="6:11" hidden="1">
      <c r="F2213" s="52" t="str">
        <f>IF(G2213="","",INDEX(COA!$A$4:$A$123,MATCH(JU!$G2213,COA!$B$4:$B$123,0)))</f>
        <v/>
      </c>
      <c r="I2213" s="52" t="str">
        <f>IF(J2213="","",INDEX(COA!$A$4:$A$123,MATCH(JU!$J2213,COA!$B$4:$B$123,0)))</f>
        <v/>
      </c>
      <c r="K2213" s="34" t="str">
        <f t="shared" si="293"/>
        <v/>
      </c>
    </row>
    <row r="2214" spans="6:11" hidden="1">
      <c r="F2214" s="52" t="str">
        <f>IF(G2214="","",INDEX(COA!$A$4:$A$123,MATCH(JU!$G2214,COA!$B$4:$B$123,0)))</f>
        <v/>
      </c>
      <c r="I2214" s="52" t="str">
        <f>IF(J2214="","",INDEX(COA!$A$4:$A$123,MATCH(JU!$J2214,COA!$B$4:$B$123,0)))</f>
        <v/>
      </c>
      <c r="K2214" s="34" t="str">
        <f t="shared" si="293"/>
        <v/>
      </c>
    </row>
    <row r="2215" spans="6:11" hidden="1">
      <c r="F2215" s="52" t="str">
        <f>IF(G2215="","",INDEX(COA!$A$4:$A$123,MATCH(JU!$G2215,COA!$B$4:$B$123,0)))</f>
        <v/>
      </c>
      <c r="I2215" s="52" t="str">
        <f>IF(J2215="","",INDEX(COA!$A$4:$A$123,MATCH(JU!$J2215,COA!$B$4:$B$123,0)))</f>
        <v/>
      </c>
      <c r="K2215" s="34" t="str">
        <f t="shared" si="293"/>
        <v/>
      </c>
    </row>
    <row r="2216" spans="6:11" hidden="1">
      <c r="F2216" s="52" t="str">
        <f>IF(G2216="","",INDEX(COA!$A$4:$A$123,MATCH(JU!$G2216,COA!$B$4:$B$123,0)))</f>
        <v/>
      </c>
      <c r="I2216" s="52" t="str">
        <f>IF(J2216="","",INDEX(COA!$A$4:$A$123,MATCH(JU!$J2216,COA!$B$4:$B$123,0)))</f>
        <v/>
      </c>
      <c r="K2216" s="34" t="str">
        <f t="shared" si="293"/>
        <v/>
      </c>
    </row>
    <row r="2217" spans="6:11" hidden="1">
      <c r="F2217" s="52" t="str">
        <f>IF(G2217="","",INDEX(COA!$A$4:$A$123,MATCH(JU!$G2217,COA!$B$4:$B$123,0)))</f>
        <v/>
      </c>
      <c r="I2217" s="52" t="str">
        <f>IF(J2217="","",INDEX(COA!$A$4:$A$123,MATCH(JU!$J2217,COA!$B$4:$B$123,0)))</f>
        <v/>
      </c>
      <c r="K2217" s="34" t="str">
        <f t="shared" si="293"/>
        <v/>
      </c>
    </row>
    <row r="2218" spans="6:11" hidden="1">
      <c r="F2218" s="52" t="str">
        <f>IF(G2218="","",INDEX(COA!$A$4:$A$123,MATCH(JU!$G2218,COA!$B$4:$B$123,0)))</f>
        <v/>
      </c>
      <c r="I2218" s="52" t="str">
        <f>IF(J2218="","",INDEX(COA!$A$4:$A$123,MATCH(JU!$J2218,COA!$B$4:$B$123,0)))</f>
        <v/>
      </c>
      <c r="K2218" s="34" t="str">
        <f t="shared" si="293"/>
        <v/>
      </c>
    </row>
    <row r="2219" spans="6:11" hidden="1">
      <c r="F2219" s="52" t="str">
        <f>IF(G2219="","",INDEX(COA!$A$4:$A$123,MATCH(JU!$G2219,COA!$B$4:$B$123,0)))</f>
        <v/>
      </c>
      <c r="I2219" s="52" t="str">
        <f>IF(J2219="","",INDEX(COA!$A$4:$A$123,MATCH(JU!$J2219,COA!$B$4:$B$123,0)))</f>
        <v/>
      </c>
      <c r="K2219" s="34" t="str">
        <f t="shared" si="293"/>
        <v/>
      </c>
    </row>
    <row r="2220" spans="6:11" hidden="1">
      <c r="F2220" s="52" t="str">
        <f>IF(G2220="","",INDEX(COA!$A$4:$A$123,MATCH(JU!$G2220,COA!$B$4:$B$123,0)))</f>
        <v/>
      </c>
      <c r="I2220" s="52" t="str">
        <f>IF(J2220="","",INDEX(COA!$A$4:$A$123,MATCH(JU!$J2220,COA!$B$4:$B$123,0)))</f>
        <v/>
      </c>
      <c r="K2220" s="34" t="str">
        <f t="shared" si="293"/>
        <v/>
      </c>
    </row>
    <row r="2221" spans="6:11" hidden="1">
      <c r="F2221" s="52" t="str">
        <f>IF(G2221="","",INDEX(COA!$A$4:$A$123,MATCH(JU!$G2221,COA!$B$4:$B$123,0)))</f>
        <v/>
      </c>
      <c r="I2221" s="52" t="str">
        <f>IF(J2221="","",INDEX(COA!$A$4:$A$123,MATCH(JU!$J2221,COA!$B$4:$B$123,0)))</f>
        <v/>
      </c>
      <c r="K2221" s="34" t="str">
        <f t="shared" si="293"/>
        <v/>
      </c>
    </row>
    <row r="2222" spans="6:11" hidden="1">
      <c r="F2222" s="52" t="str">
        <f>IF(G2222="","",INDEX(COA!$A$4:$A$123,MATCH(JU!$G2222,COA!$B$4:$B$123,0)))</f>
        <v/>
      </c>
      <c r="I2222" s="52" t="str">
        <f>IF(J2222="","",INDEX(COA!$A$4:$A$123,MATCH(JU!$J2222,COA!$B$4:$B$123,0)))</f>
        <v/>
      </c>
      <c r="K2222" s="34" t="str">
        <f t="shared" si="293"/>
        <v/>
      </c>
    </row>
    <row r="2223" spans="6:11" hidden="1">
      <c r="F2223" s="52" t="str">
        <f>IF(G2223="","",INDEX(COA!$A$4:$A$123,MATCH(JU!$G2223,COA!$B$4:$B$123,0)))</f>
        <v/>
      </c>
      <c r="I2223" s="52" t="str">
        <f>IF(J2223="","",INDEX(COA!$A$4:$A$123,MATCH(JU!$J2223,COA!$B$4:$B$123,0)))</f>
        <v/>
      </c>
      <c r="K2223" s="34" t="str">
        <f t="shared" si="293"/>
        <v/>
      </c>
    </row>
    <row r="2224" spans="6:11" hidden="1">
      <c r="F2224" s="52" t="str">
        <f>IF(G2224="","",INDEX(COA!$A$4:$A$123,MATCH(JU!$G2224,COA!$B$4:$B$123,0)))</f>
        <v/>
      </c>
      <c r="I2224" s="52" t="str">
        <f>IF(J2224="","",INDEX(COA!$A$4:$A$123,MATCH(JU!$J2224,COA!$B$4:$B$123,0)))</f>
        <v/>
      </c>
      <c r="K2224" s="34" t="str">
        <f t="shared" si="293"/>
        <v/>
      </c>
    </row>
    <row r="2225" spans="6:11" hidden="1">
      <c r="F2225" s="52" t="str">
        <f>IF(G2225="","",INDEX(COA!$A$4:$A$123,MATCH(JU!$G2225,COA!$B$4:$B$123,0)))</f>
        <v/>
      </c>
      <c r="I2225" s="52" t="str">
        <f>IF(J2225="","",INDEX(COA!$A$4:$A$123,MATCH(JU!$J2225,COA!$B$4:$B$123,0)))</f>
        <v/>
      </c>
      <c r="K2225" s="34" t="str">
        <f t="shared" si="293"/>
        <v/>
      </c>
    </row>
    <row r="2226" spans="6:11" hidden="1">
      <c r="F2226" s="52" t="str">
        <f>IF(G2226="","",INDEX(COA!$A$4:$A$123,MATCH(JU!$G2226,COA!$B$4:$B$123,0)))</f>
        <v/>
      </c>
      <c r="I2226" s="52" t="str">
        <f>IF(J2226="","",INDEX(COA!$A$4:$A$123,MATCH(JU!$J2226,COA!$B$4:$B$123,0)))</f>
        <v/>
      </c>
      <c r="K2226" s="34" t="str">
        <f t="shared" si="293"/>
        <v/>
      </c>
    </row>
    <row r="2227" spans="6:11" hidden="1">
      <c r="F2227" s="52" t="str">
        <f>IF(G2227="","",INDEX(COA!$A$4:$A$123,MATCH(JU!$G2227,COA!$B$4:$B$123,0)))</f>
        <v/>
      </c>
      <c r="I2227" s="52" t="str">
        <f>IF(J2227="","",INDEX(COA!$A$4:$A$123,MATCH(JU!$J2227,COA!$B$4:$B$123,0)))</f>
        <v/>
      </c>
      <c r="K2227" s="34" t="str">
        <f t="shared" si="293"/>
        <v/>
      </c>
    </row>
    <row r="2228" spans="6:11" hidden="1">
      <c r="F2228" s="52" t="str">
        <f>IF(G2228="","",INDEX(COA!$A$4:$A$123,MATCH(JU!$G2228,COA!$B$4:$B$123,0)))</f>
        <v/>
      </c>
      <c r="I2228" s="52" t="str">
        <f>IF(J2228="","",INDEX(COA!$A$4:$A$123,MATCH(JU!$J2228,COA!$B$4:$B$123,0)))</f>
        <v/>
      </c>
      <c r="K2228" s="34" t="str">
        <f t="shared" si="293"/>
        <v/>
      </c>
    </row>
    <row r="2229" spans="6:11" hidden="1">
      <c r="F2229" s="52" t="str">
        <f>IF(G2229="","",INDEX(COA!$A$4:$A$123,MATCH(JU!$G2229,COA!$B$4:$B$123,0)))</f>
        <v/>
      </c>
      <c r="I2229" s="52" t="str">
        <f>IF(J2229="","",INDEX(COA!$A$4:$A$123,MATCH(JU!$J2229,COA!$B$4:$B$123,0)))</f>
        <v/>
      </c>
      <c r="K2229" s="34" t="str">
        <f t="shared" si="293"/>
        <v/>
      </c>
    </row>
    <row r="2230" spans="6:11" hidden="1">
      <c r="F2230" s="52" t="str">
        <f>IF(G2230="","",INDEX(COA!$A$4:$A$123,MATCH(JU!$G2230,COA!$B$4:$B$123,0)))</f>
        <v/>
      </c>
      <c r="I2230" s="52" t="str">
        <f>IF(J2230="","",INDEX(COA!$A$4:$A$123,MATCH(JU!$J2230,COA!$B$4:$B$123,0)))</f>
        <v/>
      </c>
      <c r="K2230" s="34" t="str">
        <f t="shared" si="293"/>
        <v/>
      </c>
    </row>
    <row r="2231" spans="6:11" hidden="1">
      <c r="F2231" s="52" t="str">
        <f>IF(G2231="","",INDEX(COA!$A$4:$A$123,MATCH(JU!$G2231,COA!$B$4:$B$123,0)))</f>
        <v/>
      </c>
      <c r="I2231" s="52" t="str">
        <f>IF(J2231="","",INDEX(COA!$A$4:$A$123,MATCH(JU!$J2231,COA!$B$4:$B$123,0)))</f>
        <v/>
      </c>
      <c r="K2231" s="34" t="str">
        <f t="shared" si="293"/>
        <v/>
      </c>
    </row>
    <row r="2232" spans="6:11" hidden="1">
      <c r="F2232" s="52" t="str">
        <f>IF(G2232="","",INDEX(COA!$A$4:$A$123,MATCH(JU!$G2232,COA!$B$4:$B$123,0)))</f>
        <v/>
      </c>
      <c r="I2232" s="52" t="str">
        <f>IF(J2232="","",INDEX(COA!$A$4:$A$123,MATCH(JU!$J2232,COA!$B$4:$B$123,0)))</f>
        <v/>
      </c>
      <c r="K2232" s="34" t="str">
        <f t="shared" si="293"/>
        <v/>
      </c>
    </row>
    <row r="2233" spans="6:11" hidden="1">
      <c r="F2233" s="52" t="str">
        <f>IF(G2233="","",INDEX(COA!$A$4:$A$123,MATCH(JU!$G2233,COA!$B$4:$B$123,0)))</f>
        <v/>
      </c>
      <c r="I2233" s="52" t="str">
        <f>IF(J2233="","",INDEX(COA!$A$4:$A$123,MATCH(JU!$J2233,COA!$B$4:$B$123,0)))</f>
        <v/>
      </c>
      <c r="K2233" s="34" t="str">
        <f t="shared" si="293"/>
        <v/>
      </c>
    </row>
    <row r="2234" spans="6:11" hidden="1">
      <c r="F2234" s="52" t="str">
        <f>IF(G2234="","",INDEX(COA!$A$4:$A$123,MATCH(JU!$G2234,COA!$B$4:$B$123,0)))</f>
        <v/>
      </c>
      <c r="I2234" s="52" t="str">
        <f>IF(J2234="","",INDEX(COA!$A$4:$A$123,MATCH(JU!$J2234,COA!$B$4:$B$123,0)))</f>
        <v/>
      </c>
      <c r="K2234" s="34" t="str">
        <f t="shared" si="293"/>
        <v/>
      </c>
    </row>
    <row r="2235" spans="6:11" hidden="1">
      <c r="F2235" s="52" t="str">
        <f>IF(G2235="","",INDEX(COA!$A$4:$A$123,MATCH(JU!$G2235,COA!$B$4:$B$123,0)))</f>
        <v/>
      </c>
      <c r="I2235" s="52" t="str">
        <f>IF(J2235="","",INDEX(COA!$A$4:$A$123,MATCH(JU!$J2235,COA!$B$4:$B$123,0)))</f>
        <v/>
      </c>
      <c r="K2235" s="34" t="str">
        <f t="shared" si="293"/>
        <v/>
      </c>
    </row>
    <row r="2236" spans="6:11" hidden="1">
      <c r="F2236" s="52" t="str">
        <f>IF(G2236="","",INDEX(COA!$A$4:$A$123,MATCH(JU!$G2236,COA!$B$4:$B$123,0)))</f>
        <v/>
      </c>
      <c r="I2236" s="52" t="str">
        <f>IF(J2236="","",INDEX(COA!$A$4:$A$123,MATCH(JU!$J2236,COA!$B$4:$B$123,0)))</f>
        <v/>
      </c>
      <c r="K2236" s="34" t="str">
        <f t="shared" si="293"/>
        <v/>
      </c>
    </row>
    <row r="2237" spans="6:11" hidden="1">
      <c r="F2237" s="52" t="str">
        <f>IF(G2237="","",INDEX(COA!$A$4:$A$123,MATCH(JU!$G2237,COA!$B$4:$B$123,0)))</f>
        <v/>
      </c>
      <c r="I2237" s="52" t="str">
        <f>IF(J2237="","",INDEX(COA!$A$4:$A$123,MATCH(JU!$J2237,COA!$B$4:$B$123,0)))</f>
        <v/>
      </c>
      <c r="K2237" s="34" t="str">
        <f t="shared" si="293"/>
        <v/>
      </c>
    </row>
    <row r="2238" spans="6:11" hidden="1">
      <c r="F2238" s="52" t="str">
        <f>IF(G2238="","",INDEX(COA!$A$4:$A$123,MATCH(JU!$G2238,COA!$B$4:$B$123,0)))</f>
        <v/>
      </c>
      <c r="I2238" s="52" t="str">
        <f>IF(J2238="","",INDEX(COA!$A$4:$A$123,MATCH(JU!$J2238,COA!$B$4:$B$123,0)))</f>
        <v/>
      </c>
      <c r="K2238" s="34" t="str">
        <f t="shared" si="293"/>
        <v/>
      </c>
    </row>
    <row r="2239" spans="6:11" hidden="1">
      <c r="F2239" s="52" t="str">
        <f>IF(G2239="","",INDEX(COA!$A$4:$A$123,MATCH(JU!$G2239,COA!$B$4:$B$123,0)))</f>
        <v/>
      </c>
      <c r="I2239" s="52" t="str">
        <f>IF(J2239="","",INDEX(COA!$A$4:$A$123,MATCH(JU!$J2239,COA!$B$4:$B$123,0)))</f>
        <v/>
      </c>
      <c r="K2239" s="34" t="str">
        <f t="shared" si="293"/>
        <v/>
      </c>
    </row>
    <row r="2240" spans="6:11" hidden="1">
      <c r="F2240" s="52" t="str">
        <f>IF(G2240="","",INDEX(COA!$A$4:$A$123,MATCH(JU!$G2240,COA!$B$4:$B$123,0)))</f>
        <v/>
      </c>
      <c r="I2240" s="52" t="str">
        <f>IF(J2240="","",INDEX(COA!$A$4:$A$123,MATCH(JU!$J2240,COA!$B$4:$B$123,0)))</f>
        <v/>
      </c>
      <c r="K2240" s="34" t="str">
        <f t="shared" si="293"/>
        <v/>
      </c>
    </row>
    <row r="2241" spans="6:11" hidden="1">
      <c r="F2241" s="52" t="str">
        <f>IF(G2241="","",INDEX(COA!$A$4:$A$123,MATCH(JU!$G2241,COA!$B$4:$B$123,0)))</f>
        <v/>
      </c>
      <c r="I2241" s="52" t="str">
        <f>IF(J2241="","",INDEX(COA!$A$4:$A$123,MATCH(JU!$J2241,COA!$B$4:$B$123,0)))</f>
        <v/>
      </c>
      <c r="K2241" s="34" t="str">
        <f t="shared" si="293"/>
        <v/>
      </c>
    </row>
    <row r="2242" spans="6:11" hidden="1">
      <c r="F2242" s="52" t="str">
        <f>IF(G2242="","",INDEX(COA!$A$4:$A$123,MATCH(JU!$G2242,COA!$B$4:$B$123,0)))</f>
        <v/>
      </c>
      <c r="I2242" s="52" t="str">
        <f>IF(J2242="","",INDEX(COA!$A$4:$A$123,MATCH(JU!$J2242,COA!$B$4:$B$123,0)))</f>
        <v/>
      </c>
      <c r="K2242" s="34" t="str">
        <f t="shared" si="293"/>
        <v/>
      </c>
    </row>
    <row r="2243" spans="6:11" hidden="1">
      <c r="F2243" s="52" t="str">
        <f>IF(G2243="","",INDEX(COA!$A$4:$A$123,MATCH(JU!$G2243,COA!$B$4:$B$123,0)))</f>
        <v/>
      </c>
      <c r="I2243" s="52" t="str">
        <f>IF(J2243="","",INDEX(COA!$A$4:$A$123,MATCH(JU!$J2243,COA!$B$4:$B$123,0)))</f>
        <v/>
      </c>
      <c r="K2243" s="34" t="str">
        <f t="shared" si="293"/>
        <v/>
      </c>
    </row>
    <row r="2244" spans="6:11" hidden="1">
      <c r="F2244" s="52" t="str">
        <f>IF(G2244="","",INDEX(COA!$A$4:$A$123,MATCH(JU!$G2244,COA!$B$4:$B$123,0)))</f>
        <v/>
      </c>
      <c r="I2244" s="52" t="str">
        <f>IF(J2244="","",INDEX(COA!$A$4:$A$123,MATCH(JU!$J2244,COA!$B$4:$B$123,0)))</f>
        <v/>
      </c>
      <c r="K2244" s="34" t="str">
        <f t="shared" si="293"/>
        <v/>
      </c>
    </row>
    <row r="2245" spans="6:11" hidden="1">
      <c r="F2245" s="52" t="str">
        <f>IF(G2245="","",INDEX(COA!$A$4:$A$123,MATCH(JU!$G2245,COA!$B$4:$B$123,0)))</f>
        <v/>
      </c>
      <c r="I2245" s="52" t="str">
        <f>IF(J2245="","",INDEX(COA!$A$4:$A$123,MATCH(JU!$J2245,COA!$B$4:$B$123,0)))</f>
        <v/>
      </c>
      <c r="K2245" s="34" t="str">
        <f t="shared" si="293"/>
        <v/>
      </c>
    </row>
    <row r="2246" spans="6:11" hidden="1">
      <c r="F2246" s="52" t="str">
        <f>IF(G2246="","",INDEX(COA!$A$4:$A$123,MATCH(JU!$G2246,COA!$B$4:$B$123,0)))</f>
        <v/>
      </c>
      <c r="I2246" s="52" t="str">
        <f>IF(J2246="","",INDEX(COA!$A$4:$A$123,MATCH(JU!$J2246,COA!$B$4:$B$123,0)))</f>
        <v/>
      </c>
      <c r="K2246" s="34" t="str">
        <f t="shared" si="293"/>
        <v/>
      </c>
    </row>
    <row r="2247" spans="6:11" hidden="1">
      <c r="F2247" s="52" t="str">
        <f>IF(G2247="","",INDEX(COA!$A$4:$A$123,MATCH(JU!$G2247,COA!$B$4:$B$123,0)))</f>
        <v/>
      </c>
      <c r="I2247" s="52" t="str">
        <f>IF(J2247="","",INDEX(COA!$A$4:$A$123,MATCH(JU!$J2247,COA!$B$4:$B$123,0)))</f>
        <v/>
      </c>
      <c r="K2247" s="34" t="str">
        <f t="shared" si="293"/>
        <v/>
      </c>
    </row>
    <row r="2248" spans="6:11" hidden="1">
      <c r="F2248" s="52" t="str">
        <f>IF(G2248="","",INDEX(COA!$A$4:$A$123,MATCH(JU!$G2248,COA!$B$4:$B$123,0)))</f>
        <v/>
      </c>
      <c r="I2248" s="52" t="str">
        <f>IF(J2248="","",INDEX(COA!$A$4:$A$123,MATCH(JU!$J2248,COA!$B$4:$B$123,0)))</f>
        <v/>
      </c>
      <c r="K2248" s="34" t="str">
        <f t="shared" si="293"/>
        <v/>
      </c>
    </row>
    <row r="2249" spans="6:11" hidden="1">
      <c r="F2249" s="52" t="str">
        <f>IF(G2249="","",INDEX(COA!$A$4:$A$123,MATCH(JU!$G2249,COA!$B$4:$B$123,0)))</f>
        <v/>
      </c>
      <c r="I2249" s="52" t="str">
        <f>IF(J2249="","",INDEX(COA!$A$4:$A$123,MATCH(JU!$J2249,COA!$B$4:$B$123,0)))</f>
        <v/>
      </c>
      <c r="K2249" s="34" t="str">
        <f t="shared" si="293"/>
        <v/>
      </c>
    </row>
    <row r="2250" spans="6:11" hidden="1">
      <c r="F2250" s="52" t="str">
        <f>IF(G2250="","",INDEX(COA!$A$4:$A$123,MATCH(JU!$G2250,COA!$B$4:$B$123,0)))</f>
        <v/>
      </c>
      <c r="I2250" s="52" t="str">
        <f>IF(J2250="","",INDEX(COA!$A$4:$A$123,MATCH(JU!$J2250,COA!$B$4:$B$123,0)))</f>
        <v/>
      </c>
      <c r="K2250" s="34" t="str">
        <f t="shared" si="293"/>
        <v/>
      </c>
    </row>
    <row r="2251" spans="6:11" hidden="1">
      <c r="F2251" s="52" t="str">
        <f>IF(G2251="","",INDEX(COA!$A$4:$A$123,MATCH(JU!$G2251,COA!$B$4:$B$123,0)))</f>
        <v/>
      </c>
      <c r="I2251" s="52" t="str">
        <f>IF(J2251="","",INDEX(COA!$A$4:$A$123,MATCH(JU!$J2251,COA!$B$4:$B$123,0)))</f>
        <v/>
      </c>
      <c r="K2251" s="34" t="str">
        <f t="shared" si="293"/>
        <v/>
      </c>
    </row>
    <row r="2252" spans="6:11" hidden="1">
      <c r="F2252" s="52" t="str">
        <f>IF(G2252="","",INDEX(COA!$A$4:$A$123,MATCH(JU!$G2252,COA!$B$4:$B$123,0)))</f>
        <v/>
      </c>
      <c r="I2252" s="52" t="str">
        <f>IF(J2252="","",INDEX(COA!$A$4:$A$123,MATCH(JU!$J2252,COA!$B$4:$B$123,0)))</f>
        <v/>
      </c>
      <c r="K2252" s="34" t="str">
        <f t="shared" si="293"/>
        <v/>
      </c>
    </row>
    <row r="2253" spans="6:11" hidden="1">
      <c r="F2253" s="52" t="str">
        <f>IF(G2253="","",INDEX(COA!$A$4:$A$123,MATCH(JU!$G2253,COA!$B$4:$B$123,0)))</f>
        <v/>
      </c>
      <c r="I2253" s="52" t="str">
        <f>IF(J2253="","",INDEX(COA!$A$4:$A$123,MATCH(JU!$J2253,COA!$B$4:$B$123,0)))</f>
        <v/>
      </c>
      <c r="K2253" s="34" t="str">
        <f t="shared" si="293"/>
        <v/>
      </c>
    </row>
    <row r="2254" spans="6:11" hidden="1">
      <c r="F2254" s="52" t="str">
        <f>IF(G2254="","",INDEX(COA!$A$4:$A$123,MATCH(JU!$G2254,COA!$B$4:$B$123,0)))</f>
        <v/>
      </c>
      <c r="I2254" s="52" t="str">
        <f>IF(J2254="","",INDEX(COA!$A$4:$A$123,MATCH(JU!$J2254,COA!$B$4:$B$123,0)))</f>
        <v/>
      </c>
      <c r="K2254" s="34" t="str">
        <f t="shared" si="293"/>
        <v/>
      </c>
    </row>
    <row r="2255" spans="6:11" hidden="1">
      <c r="F2255" s="52" t="str">
        <f>IF(G2255="","",INDEX(COA!$A$4:$A$123,MATCH(JU!$G2255,COA!$B$4:$B$123,0)))</f>
        <v/>
      </c>
      <c r="I2255" s="52" t="str">
        <f>IF(J2255="","",INDEX(COA!$A$4:$A$123,MATCH(JU!$J2255,COA!$B$4:$B$123,0)))</f>
        <v/>
      </c>
      <c r="K2255" s="34" t="str">
        <f t="shared" si="293"/>
        <v/>
      </c>
    </row>
    <row r="2256" spans="6:11" hidden="1">
      <c r="F2256" s="52" t="str">
        <f>IF(G2256="","",INDEX(COA!$A$4:$A$123,MATCH(JU!$G2256,COA!$B$4:$B$123,0)))</f>
        <v/>
      </c>
      <c r="I2256" s="52" t="str">
        <f>IF(J2256="","",INDEX(COA!$A$4:$A$123,MATCH(JU!$J2256,COA!$B$4:$B$123,0)))</f>
        <v/>
      </c>
      <c r="K2256" s="34" t="str">
        <f t="shared" si="293"/>
        <v/>
      </c>
    </row>
    <row r="2257" spans="6:11" hidden="1">
      <c r="F2257" s="52" t="str">
        <f>IF(G2257="","",INDEX(COA!$A$4:$A$123,MATCH(JU!$G2257,COA!$B$4:$B$123,0)))</f>
        <v/>
      </c>
      <c r="I2257" s="52" t="str">
        <f>IF(J2257="","",INDEX(COA!$A$4:$A$123,MATCH(JU!$J2257,COA!$B$4:$B$123,0)))</f>
        <v/>
      </c>
      <c r="K2257" s="34" t="str">
        <f t="shared" si="293"/>
        <v/>
      </c>
    </row>
    <row r="2258" spans="6:11" hidden="1">
      <c r="F2258" s="52" t="str">
        <f>IF(G2258="","",INDEX(COA!$A$4:$A$123,MATCH(JU!$G2258,COA!$B$4:$B$123,0)))</f>
        <v/>
      </c>
      <c r="I2258" s="52" t="str">
        <f>IF(J2258="","",INDEX(COA!$A$4:$A$123,MATCH(JU!$J2258,COA!$B$4:$B$123,0)))</f>
        <v/>
      </c>
      <c r="K2258" s="34" t="str">
        <f t="shared" si="293"/>
        <v/>
      </c>
    </row>
    <row r="2259" spans="6:11" hidden="1">
      <c r="F2259" s="52" t="str">
        <f>IF(G2259="","",INDEX(COA!$A$4:$A$123,MATCH(JU!$G2259,COA!$B$4:$B$123,0)))</f>
        <v/>
      </c>
      <c r="I2259" s="52" t="str">
        <f>IF(J2259="","",INDEX(COA!$A$4:$A$123,MATCH(JU!$J2259,COA!$B$4:$B$123,0)))</f>
        <v/>
      </c>
      <c r="K2259" s="34" t="str">
        <f t="shared" si="293"/>
        <v/>
      </c>
    </row>
    <row r="2260" spans="6:11" hidden="1">
      <c r="F2260" s="52" t="str">
        <f>IF(G2260="","",INDEX(COA!$A$4:$A$123,MATCH(JU!$G2260,COA!$B$4:$B$123,0)))</f>
        <v/>
      </c>
      <c r="I2260" s="52" t="str">
        <f>IF(J2260="","",INDEX(COA!$A$4:$A$123,MATCH(JU!$J2260,COA!$B$4:$B$123,0)))</f>
        <v/>
      </c>
      <c r="K2260" s="34" t="str">
        <f t="shared" si="293"/>
        <v/>
      </c>
    </row>
    <row r="2261" spans="6:11" hidden="1">
      <c r="F2261" s="52" t="str">
        <f>IF(G2261="","",INDEX(COA!$A$4:$A$123,MATCH(JU!$G2261,COA!$B$4:$B$123,0)))</f>
        <v/>
      </c>
      <c r="I2261" s="52" t="str">
        <f>IF(J2261="","",INDEX(COA!$A$4:$A$123,MATCH(JU!$J2261,COA!$B$4:$B$123,0)))</f>
        <v/>
      </c>
      <c r="K2261" s="34" t="str">
        <f t="shared" si="293"/>
        <v/>
      </c>
    </row>
    <row r="2262" spans="6:11" hidden="1">
      <c r="F2262" s="52" t="str">
        <f>IF(G2262="","",INDEX(COA!$A$4:$A$123,MATCH(JU!$G2262,COA!$B$4:$B$123,0)))</f>
        <v/>
      </c>
      <c r="I2262" s="52" t="str">
        <f>IF(J2262="","",INDEX(COA!$A$4:$A$123,MATCH(JU!$J2262,COA!$B$4:$B$123,0)))</f>
        <v/>
      </c>
      <c r="K2262" s="34" t="str">
        <f t="shared" si="293"/>
        <v/>
      </c>
    </row>
    <row r="2263" spans="6:11" hidden="1">
      <c r="F2263" s="52" t="str">
        <f>IF(G2263="","",INDEX(COA!$A$4:$A$123,MATCH(JU!$G2263,COA!$B$4:$B$123,0)))</f>
        <v/>
      </c>
      <c r="I2263" s="52" t="str">
        <f>IF(J2263="","",INDEX(COA!$A$4:$A$123,MATCH(JU!$J2263,COA!$B$4:$B$123,0)))</f>
        <v/>
      </c>
      <c r="K2263" s="34" t="str">
        <f t="shared" si="293"/>
        <v/>
      </c>
    </row>
    <row r="2264" spans="6:11" hidden="1">
      <c r="F2264" s="52" t="str">
        <f>IF(G2264="","",INDEX(COA!$A$4:$A$123,MATCH(JU!$G2264,COA!$B$4:$B$123,0)))</f>
        <v/>
      </c>
      <c r="I2264" s="52" t="str">
        <f>IF(J2264="","",INDEX(COA!$A$4:$A$123,MATCH(JU!$J2264,COA!$B$4:$B$123,0)))</f>
        <v/>
      </c>
      <c r="K2264" s="34" t="str">
        <f t="shared" si="293"/>
        <v/>
      </c>
    </row>
    <row r="2265" spans="6:11" hidden="1">
      <c r="F2265" s="52" t="str">
        <f>IF(G2265="","",INDEX(COA!$A$4:$A$123,MATCH(JU!$G2265,COA!$B$4:$B$123,0)))</f>
        <v/>
      </c>
      <c r="I2265" s="52" t="str">
        <f>IF(J2265="","",INDEX(COA!$A$4:$A$123,MATCH(JU!$J2265,COA!$B$4:$B$123,0)))</f>
        <v/>
      </c>
      <c r="K2265" s="34" t="str">
        <f t="shared" si="293"/>
        <v/>
      </c>
    </row>
    <row r="2266" spans="6:11" hidden="1">
      <c r="F2266" s="52" t="str">
        <f>IF(G2266="","",INDEX(COA!$A$4:$A$123,MATCH(JU!$G2266,COA!$B$4:$B$123,0)))</f>
        <v/>
      </c>
      <c r="I2266" s="52" t="str">
        <f>IF(J2266="","",INDEX(COA!$A$4:$A$123,MATCH(JU!$J2266,COA!$B$4:$B$123,0)))</f>
        <v/>
      </c>
      <c r="K2266" s="34" t="str">
        <f t="shared" si="293"/>
        <v/>
      </c>
    </row>
    <row r="2267" spans="6:11" hidden="1">
      <c r="F2267" s="52" t="str">
        <f>IF(G2267="","",INDEX(COA!$A$4:$A$123,MATCH(JU!$G2267,COA!$B$4:$B$123,0)))</f>
        <v/>
      </c>
      <c r="I2267" s="52" t="str">
        <f>IF(J2267="","",INDEX(COA!$A$4:$A$123,MATCH(JU!$J2267,COA!$B$4:$B$123,0)))</f>
        <v/>
      </c>
      <c r="K2267" s="34" t="str">
        <f t="shared" si="293"/>
        <v/>
      </c>
    </row>
    <row r="2268" spans="6:11" hidden="1">
      <c r="F2268" s="52" t="str">
        <f>IF(G2268="","",INDEX(COA!$A$4:$A$123,MATCH(JU!$G2268,COA!$B$4:$B$123,0)))</f>
        <v/>
      </c>
      <c r="I2268" s="52" t="str">
        <f>IF(J2268="","",INDEX(COA!$A$4:$A$123,MATCH(JU!$J2268,COA!$B$4:$B$123,0)))</f>
        <v/>
      </c>
      <c r="K2268" s="34" t="str">
        <f t="shared" si="293"/>
        <v/>
      </c>
    </row>
    <row r="2269" spans="6:11" hidden="1">
      <c r="F2269" s="52" t="str">
        <f>IF(G2269="","",INDEX(COA!$A$4:$A$123,MATCH(JU!$G2269,COA!$B$4:$B$123,0)))</f>
        <v/>
      </c>
      <c r="I2269" s="52" t="str">
        <f>IF(J2269="","",INDEX(COA!$A$4:$A$123,MATCH(JU!$J2269,COA!$B$4:$B$123,0)))</f>
        <v/>
      </c>
      <c r="K2269" s="34" t="str">
        <f t="shared" si="293"/>
        <v/>
      </c>
    </row>
    <row r="2270" spans="6:11" hidden="1">
      <c r="F2270" s="52" t="str">
        <f>IF(G2270="","",INDEX(COA!$A$4:$A$123,MATCH(JU!$G2270,COA!$B$4:$B$123,0)))</f>
        <v/>
      </c>
      <c r="I2270" s="52" t="str">
        <f>IF(J2270="","",INDEX(COA!$A$4:$A$123,MATCH(JU!$J2270,COA!$B$4:$B$123,0)))</f>
        <v/>
      </c>
      <c r="K2270" s="34" t="str">
        <f t="shared" ref="K2270:K2333" si="294">IF(H2270="","",H2270)</f>
        <v/>
      </c>
    </row>
    <row r="2271" spans="6:11" hidden="1">
      <c r="F2271" s="52" t="str">
        <f>IF(G2271="","",INDEX(COA!$A$4:$A$123,MATCH(JU!$G2271,COA!$B$4:$B$123,0)))</f>
        <v/>
      </c>
      <c r="I2271" s="52" t="str">
        <f>IF(J2271="","",INDEX(COA!$A$4:$A$123,MATCH(JU!$J2271,COA!$B$4:$B$123,0)))</f>
        <v/>
      </c>
      <c r="K2271" s="34" t="str">
        <f t="shared" si="294"/>
        <v/>
      </c>
    </row>
    <row r="2272" spans="6:11" hidden="1">
      <c r="F2272" s="52" t="str">
        <f>IF(G2272="","",INDEX(COA!$A$4:$A$123,MATCH(JU!$G2272,COA!$B$4:$B$123,0)))</f>
        <v/>
      </c>
      <c r="I2272" s="52" t="str">
        <f>IF(J2272="","",INDEX(COA!$A$4:$A$123,MATCH(JU!$J2272,COA!$B$4:$B$123,0)))</f>
        <v/>
      </c>
      <c r="K2272" s="34" t="str">
        <f t="shared" si="294"/>
        <v/>
      </c>
    </row>
    <row r="2273" spans="6:11" hidden="1">
      <c r="F2273" s="52" t="str">
        <f>IF(G2273="","",INDEX(COA!$A$4:$A$123,MATCH(JU!$G2273,COA!$B$4:$B$123,0)))</f>
        <v/>
      </c>
      <c r="I2273" s="52" t="str">
        <f>IF(J2273="","",INDEX(COA!$A$4:$A$123,MATCH(JU!$J2273,COA!$B$4:$B$123,0)))</f>
        <v/>
      </c>
      <c r="K2273" s="34" t="str">
        <f t="shared" si="294"/>
        <v/>
      </c>
    </row>
    <row r="2274" spans="6:11" hidden="1">
      <c r="F2274" s="52" t="str">
        <f>IF(G2274="","",INDEX(COA!$A$4:$A$123,MATCH(JU!$G2274,COA!$B$4:$B$123,0)))</f>
        <v/>
      </c>
      <c r="I2274" s="52" t="str">
        <f>IF(J2274="","",INDEX(COA!$A$4:$A$123,MATCH(JU!$J2274,COA!$B$4:$B$123,0)))</f>
        <v/>
      </c>
      <c r="K2274" s="34" t="str">
        <f t="shared" si="294"/>
        <v/>
      </c>
    </row>
    <row r="2275" spans="6:11" hidden="1">
      <c r="F2275" s="52" t="str">
        <f>IF(G2275="","",INDEX(COA!$A$4:$A$123,MATCH(JU!$G2275,COA!$B$4:$B$123,0)))</f>
        <v/>
      </c>
      <c r="I2275" s="52" t="str">
        <f>IF(J2275="","",INDEX(COA!$A$4:$A$123,MATCH(JU!$J2275,COA!$B$4:$B$123,0)))</f>
        <v/>
      </c>
      <c r="K2275" s="34" t="str">
        <f t="shared" si="294"/>
        <v/>
      </c>
    </row>
    <row r="2276" spans="6:11" hidden="1">
      <c r="F2276" s="52" t="str">
        <f>IF(G2276="","",INDEX(COA!$A$4:$A$123,MATCH(JU!$G2276,COA!$B$4:$B$123,0)))</f>
        <v/>
      </c>
      <c r="I2276" s="52" t="str">
        <f>IF(J2276="","",INDEX(COA!$A$4:$A$123,MATCH(JU!$J2276,COA!$B$4:$B$123,0)))</f>
        <v/>
      </c>
      <c r="K2276" s="34" t="str">
        <f t="shared" si="294"/>
        <v/>
      </c>
    </row>
    <row r="2277" spans="6:11" hidden="1">
      <c r="F2277" s="52" t="str">
        <f>IF(G2277="","",INDEX(COA!$A$4:$A$123,MATCH(JU!$G2277,COA!$B$4:$B$123,0)))</f>
        <v/>
      </c>
      <c r="I2277" s="52" t="str">
        <f>IF(J2277="","",INDEX(COA!$A$4:$A$123,MATCH(JU!$J2277,COA!$B$4:$B$123,0)))</f>
        <v/>
      </c>
      <c r="K2277" s="34" t="str">
        <f t="shared" si="294"/>
        <v/>
      </c>
    </row>
    <row r="2278" spans="6:11" hidden="1">
      <c r="F2278" s="52" t="str">
        <f>IF(G2278="","",INDEX(COA!$A$4:$A$123,MATCH(JU!$G2278,COA!$B$4:$B$123,0)))</f>
        <v/>
      </c>
      <c r="I2278" s="52" t="str">
        <f>IF(J2278="","",INDEX(COA!$A$4:$A$123,MATCH(JU!$J2278,COA!$B$4:$B$123,0)))</f>
        <v/>
      </c>
      <c r="K2278" s="34" t="str">
        <f t="shared" si="294"/>
        <v/>
      </c>
    </row>
    <row r="2279" spans="6:11" hidden="1">
      <c r="F2279" s="52" t="str">
        <f>IF(G2279="","",INDEX(COA!$A$4:$A$123,MATCH(JU!$G2279,COA!$B$4:$B$123,0)))</f>
        <v/>
      </c>
      <c r="I2279" s="52" t="str">
        <f>IF(J2279="","",INDEX(COA!$A$4:$A$123,MATCH(JU!$J2279,COA!$B$4:$B$123,0)))</f>
        <v/>
      </c>
      <c r="K2279" s="34" t="str">
        <f t="shared" si="294"/>
        <v/>
      </c>
    </row>
    <row r="2280" spans="6:11" hidden="1">
      <c r="F2280" s="52" t="str">
        <f>IF(G2280="","",INDEX(COA!$A$4:$A$123,MATCH(JU!$G2280,COA!$B$4:$B$123,0)))</f>
        <v/>
      </c>
      <c r="I2280" s="52" t="str">
        <f>IF(J2280="","",INDEX(COA!$A$4:$A$123,MATCH(JU!$J2280,COA!$B$4:$B$123,0)))</f>
        <v/>
      </c>
      <c r="K2280" s="34" t="str">
        <f t="shared" si="294"/>
        <v/>
      </c>
    </row>
    <row r="2281" spans="6:11" hidden="1">
      <c r="F2281" s="52" t="str">
        <f>IF(G2281="","",INDEX(COA!$A$4:$A$123,MATCH(JU!$G2281,COA!$B$4:$B$123,0)))</f>
        <v/>
      </c>
      <c r="I2281" s="52" t="str">
        <f>IF(J2281="","",INDEX(COA!$A$4:$A$123,MATCH(JU!$J2281,COA!$B$4:$B$123,0)))</f>
        <v/>
      </c>
      <c r="K2281" s="34" t="str">
        <f t="shared" si="294"/>
        <v/>
      </c>
    </row>
    <row r="2282" spans="6:11" hidden="1">
      <c r="F2282" s="52" t="str">
        <f>IF(G2282="","",INDEX(COA!$A$4:$A$123,MATCH(JU!$G2282,COA!$B$4:$B$123,0)))</f>
        <v/>
      </c>
      <c r="I2282" s="52" t="str">
        <f>IF(J2282="","",INDEX(COA!$A$4:$A$123,MATCH(JU!$J2282,COA!$B$4:$B$123,0)))</f>
        <v/>
      </c>
      <c r="K2282" s="34" t="str">
        <f t="shared" si="294"/>
        <v/>
      </c>
    </row>
    <row r="2283" spans="6:11" hidden="1">
      <c r="F2283" s="52" t="str">
        <f>IF(G2283="","",INDEX(COA!$A$4:$A$123,MATCH(JU!$G2283,COA!$B$4:$B$123,0)))</f>
        <v/>
      </c>
      <c r="I2283" s="52" t="str">
        <f>IF(J2283="","",INDEX(COA!$A$4:$A$123,MATCH(JU!$J2283,COA!$B$4:$B$123,0)))</f>
        <v/>
      </c>
      <c r="K2283" s="34" t="str">
        <f t="shared" si="294"/>
        <v/>
      </c>
    </row>
    <row r="2284" spans="6:11" hidden="1">
      <c r="F2284" s="52" t="str">
        <f>IF(G2284="","",INDEX(COA!$A$4:$A$123,MATCH(JU!$G2284,COA!$B$4:$B$123,0)))</f>
        <v/>
      </c>
      <c r="I2284" s="52" t="str">
        <f>IF(J2284="","",INDEX(COA!$A$4:$A$123,MATCH(JU!$J2284,COA!$B$4:$B$123,0)))</f>
        <v/>
      </c>
      <c r="K2284" s="34" t="str">
        <f t="shared" si="294"/>
        <v/>
      </c>
    </row>
    <row r="2285" spans="6:11" hidden="1">
      <c r="F2285" s="52" t="str">
        <f>IF(G2285="","",INDEX(COA!$A$4:$A$123,MATCH(JU!$G2285,COA!$B$4:$B$123,0)))</f>
        <v/>
      </c>
      <c r="I2285" s="52" t="str">
        <f>IF(J2285="","",INDEX(COA!$A$4:$A$123,MATCH(JU!$J2285,COA!$B$4:$B$123,0)))</f>
        <v/>
      </c>
      <c r="K2285" s="34" t="str">
        <f t="shared" si="294"/>
        <v/>
      </c>
    </row>
    <row r="2286" spans="6:11" hidden="1">
      <c r="F2286" s="52" t="str">
        <f>IF(G2286="","",INDEX(COA!$A$4:$A$123,MATCH(JU!$G2286,COA!$B$4:$B$123,0)))</f>
        <v/>
      </c>
      <c r="I2286" s="52" t="str">
        <f>IF(J2286="","",INDEX(COA!$A$4:$A$123,MATCH(JU!$J2286,COA!$B$4:$B$123,0)))</f>
        <v/>
      </c>
      <c r="K2286" s="34" t="str">
        <f t="shared" si="294"/>
        <v/>
      </c>
    </row>
    <row r="2287" spans="6:11" hidden="1">
      <c r="F2287" s="52" t="str">
        <f>IF(G2287="","",INDEX(COA!$A$4:$A$123,MATCH(JU!$G2287,COA!$B$4:$B$123,0)))</f>
        <v/>
      </c>
      <c r="I2287" s="52" t="str">
        <f>IF(J2287="","",INDEX(COA!$A$4:$A$123,MATCH(JU!$J2287,COA!$B$4:$B$123,0)))</f>
        <v/>
      </c>
      <c r="K2287" s="34" t="str">
        <f t="shared" si="294"/>
        <v/>
      </c>
    </row>
    <row r="2288" spans="6:11" hidden="1">
      <c r="F2288" s="52" t="str">
        <f>IF(G2288="","",INDEX(COA!$A$4:$A$123,MATCH(JU!$G2288,COA!$B$4:$B$123,0)))</f>
        <v/>
      </c>
      <c r="I2288" s="52" t="str">
        <f>IF(J2288="","",INDEX(COA!$A$4:$A$123,MATCH(JU!$J2288,COA!$B$4:$B$123,0)))</f>
        <v/>
      </c>
      <c r="K2288" s="34" t="str">
        <f t="shared" si="294"/>
        <v/>
      </c>
    </row>
    <row r="2289" spans="6:11" hidden="1">
      <c r="F2289" s="52" t="str">
        <f>IF(G2289="","",INDEX(COA!$A$4:$A$123,MATCH(JU!$G2289,COA!$B$4:$B$123,0)))</f>
        <v/>
      </c>
      <c r="I2289" s="52" t="str">
        <f>IF(J2289="","",INDEX(COA!$A$4:$A$123,MATCH(JU!$J2289,COA!$B$4:$B$123,0)))</f>
        <v/>
      </c>
      <c r="K2289" s="34" t="str">
        <f t="shared" si="294"/>
        <v/>
      </c>
    </row>
    <row r="2290" spans="6:11" hidden="1">
      <c r="F2290" s="52" t="str">
        <f>IF(G2290="","",INDEX(COA!$A$4:$A$123,MATCH(JU!$G2290,COA!$B$4:$B$123,0)))</f>
        <v/>
      </c>
      <c r="I2290" s="52" t="str">
        <f>IF(J2290="","",INDEX(COA!$A$4:$A$123,MATCH(JU!$J2290,COA!$B$4:$B$123,0)))</f>
        <v/>
      </c>
      <c r="K2290" s="34" t="str">
        <f t="shared" si="294"/>
        <v/>
      </c>
    </row>
    <row r="2291" spans="6:11" hidden="1">
      <c r="F2291" s="52" t="str">
        <f>IF(G2291="","",INDEX(COA!$A$4:$A$123,MATCH(JU!$G2291,COA!$B$4:$B$123,0)))</f>
        <v/>
      </c>
      <c r="I2291" s="52" t="str">
        <f>IF(J2291="","",INDEX(COA!$A$4:$A$123,MATCH(JU!$J2291,COA!$B$4:$B$123,0)))</f>
        <v/>
      </c>
      <c r="K2291" s="34" t="str">
        <f t="shared" si="294"/>
        <v/>
      </c>
    </row>
    <row r="2292" spans="6:11" hidden="1">
      <c r="F2292" s="52" t="str">
        <f>IF(G2292="","",INDEX(COA!$A$4:$A$123,MATCH(JU!$G2292,COA!$B$4:$B$123,0)))</f>
        <v/>
      </c>
      <c r="I2292" s="52" t="str">
        <f>IF(J2292="","",INDEX(COA!$A$4:$A$123,MATCH(JU!$J2292,COA!$B$4:$B$123,0)))</f>
        <v/>
      </c>
      <c r="K2292" s="34" t="str">
        <f t="shared" si="294"/>
        <v/>
      </c>
    </row>
    <row r="2293" spans="6:11" hidden="1">
      <c r="F2293" s="52" t="str">
        <f>IF(G2293="","",INDEX(COA!$A$4:$A$123,MATCH(JU!$G2293,COA!$B$4:$B$123,0)))</f>
        <v/>
      </c>
      <c r="I2293" s="52" t="str">
        <f>IF(J2293="","",INDEX(COA!$A$4:$A$123,MATCH(JU!$J2293,COA!$B$4:$B$123,0)))</f>
        <v/>
      </c>
      <c r="K2293" s="34" t="str">
        <f t="shared" si="294"/>
        <v/>
      </c>
    </row>
    <row r="2294" spans="6:11" hidden="1">
      <c r="F2294" s="52" t="str">
        <f>IF(G2294="","",INDEX(COA!$A$4:$A$123,MATCH(JU!$G2294,COA!$B$4:$B$123,0)))</f>
        <v/>
      </c>
      <c r="I2294" s="52" t="str">
        <f>IF(J2294="","",INDEX(COA!$A$4:$A$123,MATCH(JU!$J2294,COA!$B$4:$B$123,0)))</f>
        <v/>
      </c>
      <c r="K2294" s="34" t="str">
        <f t="shared" si="294"/>
        <v/>
      </c>
    </row>
    <row r="2295" spans="6:11" hidden="1">
      <c r="F2295" s="52" t="str">
        <f>IF(G2295="","",INDEX(COA!$A$4:$A$123,MATCH(JU!$G2295,COA!$B$4:$B$123,0)))</f>
        <v/>
      </c>
      <c r="I2295" s="52" t="str">
        <f>IF(J2295="","",INDEX(COA!$A$4:$A$123,MATCH(JU!$J2295,COA!$B$4:$B$123,0)))</f>
        <v/>
      </c>
      <c r="K2295" s="34" t="str">
        <f t="shared" si="294"/>
        <v/>
      </c>
    </row>
    <row r="2296" spans="6:11" hidden="1">
      <c r="F2296" s="52" t="str">
        <f>IF(G2296="","",INDEX(COA!$A$4:$A$123,MATCH(JU!$G2296,COA!$B$4:$B$123,0)))</f>
        <v/>
      </c>
      <c r="I2296" s="52" t="str">
        <f>IF(J2296="","",INDEX(COA!$A$4:$A$123,MATCH(JU!$J2296,COA!$B$4:$B$123,0)))</f>
        <v/>
      </c>
      <c r="K2296" s="34" t="str">
        <f t="shared" si="294"/>
        <v/>
      </c>
    </row>
    <row r="2297" spans="6:11" hidden="1">
      <c r="F2297" s="52" t="str">
        <f>IF(G2297="","",INDEX(COA!$A$4:$A$123,MATCH(JU!$G2297,COA!$B$4:$B$123,0)))</f>
        <v/>
      </c>
      <c r="I2297" s="52" t="str">
        <f>IF(J2297="","",INDEX(COA!$A$4:$A$123,MATCH(JU!$J2297,COA!$B$4:$B$123,0)))</f>
        <v/>
      </c>
      <c r="K2297" s="34" t="str">
        <f t="shared" si="294"/>
        <v/>
      </c>
    </row>
    <row r="2298" spans="6:11" hidden="1">
      <c r="F2298" s="52" t="str">
        <f>IF(G2298="","",INDEX(COA!$A$4:$A$123,MATCH(JU!$G2298,COA!$B$4:$B$123,0)))</f>
        <v/>
      </c>
      <c r="I2298" s="52" t="str">
        <f>IF(J2298="","",INDEX(COA!$A$4:$A$123,MATCH(JU!$J2298,COA!$B$4:$B$123,0)))</f>
        <v/>
      </c>
      <c r="K2298" s="34" t="str">
        <f t="shared" si="294"/>
        <v/>
      </c>
    </row>
    <row r="2299" spans="6:11" hidden="1">
      <c r="F2299" s="52" t="str">
        <f>IF(G2299="","",INDEX(COA!$A$4:$A$123,MATCH(JU!$G2299,COA!$B$4:$B$123,0)))</f>
        <v/>
      </c>
      <c r="I2299" s="52" t="str">
        <f>IF(J2299="","",INDEX(COA!$A$4:$A$123,MATCH(JU!$J2299,COA!$B$4:$B$123,0)))</f>
        <v/>
      </c>
      <c r="K2299" s="34" t="str">
        <f t="shared" si="294"/>
        <v/>
      </c>
    </row>
    <row r="2300" spans="6:11" hidden="1">
      <c r="F2300" s="52" t="str">
        <f>IF(G2300="","",INDEX(COA!$A$4:$A$123,MATCH(JU!$G2300,COA!$B$4:$B$123,0)))</f>
        <v/>
      </c>
      <c r="I2300" s="52" t="str">
        <f>IF(J2300="","",INDEX(COA!$A$4:$A$123,MATCH(JU!$J2300,COA!$B$4:$B$123,0)))</f>
        <v/>
      </c>
      <c r="K2300" s="34" t="str">
        <f t="shared" si="294"/>
        <v/>
      </c>
    </row>
    <row r="2301" spans="6:11" hidden="1">
      <c r="F2301" s="52" t="str">
        <f>IF(G2301="","",INDEX(COA!$A$4:$A$123,MATCH(JU!$G2301,COA!$B$4:$B$123,0)))</f>
        <v/>
      </c>
      <c r="I2301" s="52" t="str">
        <f>IF(J2301="","",INDEX(COA!$A$4:$A$123,MATCH(JU!$J2301,COA!$B$4:$B$123,0)))</f>
        <v/>
      </c>
      <c r="K2301" s="34" t="str">
        <f t="shared" si="294"/>
        <v/>
      </c>
    </row>
    <row r="2302" spans="6:11" hidden="1">
      <c r="F2302" s="52" t="str">
        <f>IF(G2302="","",INDEX(COA!$A$4:$A$123,MATCH(JU!$G2302,COA!$B$4:$B$123,0)))</f>
        <v/>
      </c>
      <c r="I2302" s="52" t="str">
        <f>IF(J2302="","",INDEX(COA!$A$4:$A$123,MATCH(JU!$J2302,COA!$B$4:$B$123,0)))</f>
        <v/>
      </c>
      <c r="K2302" s="34" t="str">
        <f t="shared" si="294"/>
        <v/>
      </c>
    </row>
    <row r="2303" spans="6:11" hidden="1">
      <c r="F2303" s="52" t="str">
        <f>IF(G2303="","",INDEX(COA!$A$4:$A$123,MATCH(JU!$G2303,COA!$B$4:$B$123,0)))</f>
        <v/>
      </c>
      <c r="I2303" s="52" t="str">
        <f>IF(J2303="","",INDEX(COA!$A$4:$A$123,MATCH(JU!$J2303,COA!$B$4:$B$123,0)))</f>
        <v/>
      </c>
      <c r="K2303" s="34" t="str">
        <f t="shared" si="294"/>
        <v/>
      </c>
    </row>
    <row r="2304" spans="6:11" hidden="1">
      <c r="F2304" s="52" t="str">
        <f>IF(G2304="","",INDEX(COA!$A$4:$A$123,MATCH(JU!$G2304,COA!$B$4:$B$123,0)))</f>
        <v/>
      </c>
      <c r="I2304" s="52" t="str">
        <f>IF(J2304="","",INDEX(COA!$A$4:$A$123,MATCH(JU!$J2304,COA!$B$4:$B$123,0)))</f>
        <v/>
      </c>
      <c r="K2304" s="34" t="str">
        <f t="shared" si="294"/>
        <v/>
      </c>
    </row>
    <row r="2305" spans="6:11" hidden="1">
      <c r="F2305" s="52" t="str">
        <f>IF(G2305="","",INDEX(COA!$A$4:$A$123,MATCH(JU!$G2305,COA!$B$4:$B$123,0)))</f>
        <v/>
      </c>
      <c r="I2305" s="52" t="str">
        <f>IF(J2305="","",INDEX(COA!$A$4:$A$123,MATCH(JU!$J2305,COA!$B$4:$B$123,0)))</f>
        <v/>
      </c>
      <c r="K2305" s="34" t="str">
        <f t="shared" si="294"/>
        <v/>
      </c>
    </row>
    <row r="2306" spans="6:11" hidden="1">
      <c r="F2306" s="52" t="str">
        <f>IF(G2306="","",INDEX(COA!$A$4:$A$123,MATCH(JU!$G2306,COA!$B$4:$B$123,0)))</f>
        <v/>
      </c>
      <c r="I2306" s="52" t="str">
        <f>IF(J2306="","",INDEX(COA!$A$4:$A$123,MATCH(JU!$J2306,COA!$B$4:$B$123,0)))</f>
        <v/>
      </c>
      <c r="K2306" s="34" t="str">
        <f t="shared" si="294"/>
        <v/>
      </c>
    </row>
    <row r="2307" spans="6:11" hidden="1">
      <c r="F2307" s="52" t="str">
        <f>IF(G2307="","",INDEX(COA!$A$4:$A$123,MATCH(JU!$G2307,COA!$B$4:$B$123,0)))</f>
        <v/>
      </c>
      <c r="I2307" s="52" t="str">
        <f>IF(J2307="","",INDEX(COA!$A$4:$A$123,MATCH(JU!$J2307,COA!$B$4:$B$123,0)))</f>
        <v/>
      </c>
      <c r="K2307" s="34" t="str">
        <f t="shared" si="294"/>
        <v/>
      </c>
    </row>
    <row r="2308" spans="6:11" hidden="1">
      <c r="F2308" s="52" t="str">
        <f>IF(G2308="","",INDEX(COA!$A$4:$A$123,MATCH(JU!$G2308,COA!$B$4:$B$123,0)))</f>
        <v/>
      </c>
      <c r="I2308" s="52" t="str">
        <f>IF(J2308="","",INDEX(COA!$A$4:$A$123,MATCH(JU!$J2308,COA!$B$4:$B$123,0)))</f>
        <v/>
      </c>
      <c r="K2308" s="34" t="str">
        <f t="shared" si="294"/>
        <v/>
      </c>
    </row>
    <row r="2309" spans="6:11" hidden="1">
      <c r="F2309" s="52" t="str">
        <f>IF(G2309="","",INDEX(COA!$A$4:$A$123,MATCH(JU!$G2309,COA!$B$4:$B$123,0)))</f>
        <v/>
      </c>
      <c r="I2309" s="52" t="str">
        <f>IF(J2309="","",INDEX(COA!$A$4:$A$123,MATCH(JU!$J2309,COA!$B$4:$B$123,0)))</f>
        <v/>
      </c>
      <c r="K2309" s="34" t="str">
        <f t="shared" si="294"/>
        <v/>
      </c>
    </row>
    <row r="2310" spans="6:11" hidden="1">
      <c r="F2310" s="52" t="str">
        <f>IF(G2310="","",INDEX(COA!$A$4:$A$123,MATCH(JU!$G2310,COA!$B$4:$B$123,0)))</f>
        <v/>
      </c>
      <c r="I2310" s="52" t="str">
        <f>IF(J2310="","",INDEX(COA!$A$4:$A$123,MATCH(JU!$J2310,COA!$B$4:$B$123,0)))</f>
        <v/>
      </c>
      <c r="K2310" s="34" t="str">
        <f t="shared" si="294"/>
        <v/>
      </c>
    </row>
    <row r="2311" spans="6:11" hidden="1">
      <c r="F2311" s="52" t="str">
        <f>IF(G2311="","",INDEX(COA!$A$4:$A$123,MATCH(JU!$G2311,COA!$B$4:$B$123,0)))</f>
        <v/>
      </c>
      <c r="I2311" s="52" t="str">
        <f>IF(J2311="","",INDEX(COA!$A$4:$A$123,MATCH(JU!$J2311,COA!$B$4:$B$123,0)))</f>
        <v/>
      </c>
      <c r="K2311" s="34" t="str">
        <f t="shared" si="294"/>
        <v/>
      </c>
    </row>
    <row r="2312" spans="6:11" hidden="1">
      <c r="F2312" s="52" t="str">
        <f>IF(G2312="","",INDEX(COA!$A$4:$A$123,MATCH(JU!$G2312,COA!$B$4:$B$123,0)))</f>
        <v/>
      </c>
      <c r="I2312" s="52" t="str">
        <f>IF(J2312="","",INDEX(COA!$A$4:$A$123,MATCH(JU!$J2312,COA!$B$4:$B$123,0)))</f>
        <v/>
      </c>
      <c r="K2312" s="34" t="str">
        <f t="shared" si="294"/>
        <v/>
      </c>
    </row>
    <row r="2313" spans="6:11" hidden="1">
      <c r="F2313" s="52" t="str">
        <f>IF(G2313="","",INDEX(COA!$A$4:$A$123,MATCH(JU!$G2313,COA!$B$4:$B$123,0)))</f>
        <v/>
      </c>
      <c r="I2313" s="52" t="str">
        <f>IF(J2313="","",INDEX(COA!$A$4:$A$123,MATCH(JU!$J2313,COA!$B$4:$B$123,0)))</f>
        <v/>
      </c>
      <c r="K2313" s="34" t="str">
        <f t="shared" si="294"/>
        <v/>
      </c>
    </row>
    <row r="2314" spans="6:11" hidden="1">
      <c r="F2314" s="52" t="str">
        <f>IF(G2314="","",INDEX(COA!$A$4:$A$123,MATCH(JU!$G2314,COA!$B$4:$B$123,0)))</f>
        <v/>
      </c>
      <c r="I2314" s="52" t="str">
        <f>IF(J2314="","",INDEX(COA!$A$4:$A$123,MATCH(JU!$J2314,COA!$B$4:$B$123,0)))</f>
        <v/>
      </c>
      <c r="K2314" s="34" t="str">
        <f t="shared" si="294"/>
        <v/>
      </c>
    </row>
    <row r="2315" spans="6:11" hidden="1">
      <c r="F2315" s="52" t="str">
        <f>IF(G2315="","",INDEX(COA!$A$4:$A$123,MATCH(JU!$G2315,COA!$B$4:$B$123,0)))</f>
        <v/>
      </c>
      <c r="I2315" s="52" t="str">
        <f>IF(J2315="","",INDEX(COA!$A$4:$A$123,MATCH(JU!$J2315,COA!$B$4:$B$123,0)))</f>
        <v/>
      </c>
      <c r="K2315" s="34" t="str">
        <f t="shared" si="294"/>
        <v/>
      </c>
    </row>
    <row r="2316" spans="6:11" hidden="1">
      <c r="F2316" s="52" t="str">
        <f>IF(G2316="","",INDEX(COA!$A$4:$A$123,MATCH(JU!$G2316,COA!$B$4:$B$123,0)))</f>
        <v/>
      </c>
      <c r="I2316" s="52" t="str">
        <f>IF(J2316="","",INDEX(COA!$A$4:$A$123,MATCH(JU!$J2316,COA!$B$4:$B$123,0)))</f>
        <v/>
      </c>
      <c r="K2316" s="34" t="str">
        <f t="shared" si="294"/>
        <v/>
      </c>
    </row>
    <row r="2317" spans="6:11" hidden="1">
      <c r="F2317" s="52" t="str">
        <f>IF(G2317="","",INDEX(COA!$A$4:$A$123,MATCH(JU!$G2317,COA!$B$4:$B$123,0)))</f>
        <v/>
      </c>
      <c r="I2317" s="52" t="str">
        <f>IF(J2317="","",INDEX(COA!$A$4:$A$123,MATCH(JU!$J2317,COA!$B$4:$B$123,0)))</f>
        <v/>
      </c>
      <c r="K2317" s="34" t="str">
        <f t="shared" si="294"/>
        <v/>
      </c>
    </row>
    <row r="2318" spans="6:11" hidden="1">
      <c r="F2318" s="52" t="str">
        <f>IF(G2318="","",INDEX(COA!$A$4:$A$123,MATCH(JU!$G2318,COA!$B$4:$B$123,0)))</f>
        <v/>
      </c>
      <c r="I2318" s="52" t="str">
        <f>IF(J2318="","",INDEX(COA!$A$4:$A$123,MATCH(JU!$J2318,COA!$B$4:$B$123,0)))</f>
        <v/>
      </c>
      <c r="K2318" s="34" t="str">
        <f t="shared" si="294"/>
        <v/>
      </c>
    </row>
    <row r="2319" spans="6:11" hidden="1">
      <c r="F2319" s="52" t="str">
        <f>IF(G2319="","",INDEX(COA!$A$4:$A$123,MATCH(JU!$G2319,COA!$B$4:$B$123,0)))</f>
        <v/>
      </c>
      <c r="I2319" s="52" t="str">
        <f>IF(J2319="","",INDEX(COA!$A$4:$A$123,MATCH(JU!$J2319,COA!$B$4:$B$123,0)))</f>
        <v/>
      </c>
      <c r="K2319" s="34" t="str">
        <f t="shared" si="294"/>
        <v/>
      </c>
    </row>
    <row r="2320" spans="6:11" hidden="1">
      <c r="F2320" s="52" t="str">
        <f>IF(G2320="","",INDEX(COA!$A$4:$A$123,MATCH(JU!$G2320,COA!$B$4:$B$123,0)))</f>
        <v/>
      </c>
      <c r="I2320" s="52" t="str">
        <f>IF(J2320="","",INDEX(COA!$A$4:$A$123,MATCH(JU!$J2320,COA!$B$4:$B$123,0)))</f>
        <v/>
      </c>
      <c r="K2320" s="34" t="str">
        <f t="shared" si="294"/>
        <v/>
      </c>
    </row>
    <row r="2321" spans="6:11" hidden="1">
      <c r="F2321" s="52" t="str">
        <f>IF(G2321="","",INDEX(COA!$A$4:$A$123,MATCH(JU!$G2321,COA!$B$4:$B$123,0)))</f>
        <v/>
      </c>
      <c r="I2321" s="52" t="str">
        <f>IF(J2321="","",INDEX(COA!$A$4:$A$123,MATCH(JU!$J2321,COA!$B$4:$B$123,0)))</f>
        <v/>
      </c>
      <c r="K2321" s="34" t="str">
        <f t="shared" si="294"/>
        <v/>
      </c>
    </row>
    <row r="2322" spans="6:11" hidden="1">
      <c r="F2322" s="52" t="str">
        <f>IF(G2322="","",INDEX(COA!$A$4:$A$123,MATCH(JU!$G2322,COA!$B$4:$B$123,0)))</f>
        <v/>
      </c>
      <c r="I2322" s="52" t="str">
        <f>IF(J2322="","",INDEX(COA!$A$4:$A$123,MATCH(JU!$J2322,COA!$B$4:$B$123,0)))</f>
        <v/>
      </c>
      <c r="K2322" s="34" t="str">
        <f t="shared" si="294"/>
        <v/>
      </c>
    </row>
    <row r="2323" spans="6:11" hidden="1">
      <c r="F2323" s="52" t="str">
        <f>IF(G2323="","",INDEX(COA!$A$4:$A$123,MATCH(JU!$G2323,COA!$B$4:$B$123,0)))</f>
        <v/>
      </c>
      <c r="I2323" s="52" t="str">
        <f>IF(J2323="","",INDEX(COA!$A$4:$A$123,MATCH(JU!$J2323,COA!$B$4:$B$123,0)))</f>
        <v/>
      </c>
      <c r="K2323" s="34" t="str">
        <f t="shared" si="294"/>
        <v/>
      </c>
    </row>
    <row r="2324" spans="6:11" hidden="1">
      <c r="F2324" s="52" t="str">
        <f>IF(G2324="","",INDEX(COA!$A$4:$A$123,MATCH(JU!$G2324,COA!$B$4:$B$123,0)))</f>
        <v/>
      </c>
      <c r="I2324" s="52" t="str">
        <f>IF(J2324="","",INDEX(COA!$A$4:$A$123,MATCH(JU!$J2324,COA!$B$4:$B$123,0)))</f>
        <v/>
      </c>
      <c r="K2324" s="34" t="str">
        <f t="shared" si="294"/>
        <v/>
      </c>
    </row>
    <row r="2325" spans="6:11" hidden="1">
      <c r="F2325" s="52" t="str">
        <f>IF(G2325="","",INDEX(COA!$A$4:$A$123,MATCH(JU!$G2325,COA!$B$4:$B$123,0)))</f>
        <v/>
      </c>
      <c r="I2325" s="52" t="str">
        <f>IF(J2325="","",INDEX(COA!$A$4:$A$123,MATCH(JU!$J2325,COA!$B$4:$B$123,0)))</f>
        <v/>
      </c>
      <c r="K2325" s="34" t="str">
        <f t="shared" si="294"/>
        <v/>
      </c>
    </row>
    <row r="2326" spans="6:11" hidden="1">
      <c r="F2326" s="52" t="str">
        <f>IF(G2326="","",INDEX(COA!$A$4:$A$123,MATCH(JU!$G2326,COA!$B$4:$B$123,0)))</f>
        <v/>
      </c>
      <c r="I2326" s="52" t="str">
        <f>IF(J2326="","",INDEX(COA!$A$4:$A$123,MATCH(JU!$J2326,COA!$B$4:$B$123,0)))</f>
        <v/>
      </c>
      <c r="K2326" s="34" t="str">
        <f t="shared" si="294"/>
        <v/>
      </c>
    </row>
    <row r="2327" spans="6:11" hidden="1">
      <c r="F2327" s="52" t="str">
        <f>IF(G2327="","",INDEX(COA!$A$4:$A$123,MATCH(JU!$G2327,COA!$B$4:$B$123,0)))</f>
        <v/>
      </c>
      <c r="I2327" s="52" t="str">
        <f>IF(J2327="","",INDEX(COA!$A$4:$A$123,MATCH(JU!$J2327,COA!$B$4:$B$123,0)))</f>
        <v/>
      </c>
      <c r="K2327" s="34" t="str">
        <f t="shared" si="294"/>
        <v/>
      </c>
    </row>
    <row r="2328" spans="6:11" hidden="1">
      <c r="F2328" s="52" t="str">
        <f>IF(G2328="","",INDEX(COA!$A$4:$A$123,MATCH(JU!$G2328,COA!$B$4:$B$123,0)))</f>
        <v/>
      </c>
      <c r="I2328" s="52" t="str">
        <f>IF(J2328="","",INDEX(COA!$A$4:$A$123,MATCH(JU!$J2328,COA!$B$4:$B$123,0)))</f>
        <v/>
      </c>
      <c r="K2328" s="34" t="str">
        <f t="shared" si="294"/>
        <v/>
      </c>
    </row>
    <row r="2329" spans="6:11" hidden="1">
      <c r="F2329" s="52" t="str">
        <f>IF(G2329="","",INDEX(COA!$A$4:$A$123,MATCH(JU!$G2329,COA!$B$4:$B$123,0)))</f>
        <v/>
      </c>
      <c r="I2329" s="52" t="str">
        <f>IF(J2329="","",INDEX(COA!$A$4:$A$123,MATCH(JU!$J2329,COA!$B$4:$B$123,0)))</f>
        <v/>
      </c>
      <c r="K2329" s="34" t="str">
        <f t="shared" si="294"/>
        <v/>
      </c>
    </row>
    <row r="2330" spans="6:11" hidden="1">
      <c r="F2330" s="52" t="str">
        <f>IF(G2330="","",INDEX(COA!$A$4:$A$123,MATCH(JU!$G2330,COA!$B$4:$B$123,0)))</f>
        <v/>
      </c>
      <c r="I2330" s="52" t="str">
        <f>IF(J2330="","",INDEX(COA!$A$4:$A$123,MATCH(JU!$J2330,COA!$B$4:$B$123,0)))</f>
        <v/>
      </c>
      <c r="K2330" s="34" t="str">
        <f t="shared" si="294"/>
        <v/>
      </c>
    </row>
    <row r="2331" spans="6:11" hidden="1">
      <c r="F2331" s="52" t="str">
        <f>IF(G2331="","",INDEX(COA!$A$4:$A$123,MATCH(JU!$G2331,COA!$B$4:$B$123,0)))</f>
        <v/>
      </c>
      <c r="I2331" s="52" t="str">
        <f>IF(J2331="","",INDEX(COA!$A$4:$A$123,MATCH(JU!$J2331,COA!$B$4:$B$123,0)))</f>
        <v/>
      </c>
      <c r="K2331" s="34" t="str">
        <f t="shared" si="294"/>
        <v/>
      </c>
    </row>
    <row r="2332" spans="6:11" hidden="1">
      <c r="F2332" s="52" t="str">
        <f>IF(G2332="","",INDEX(COA!$A$4:$A$123,MATCH(JU!$G2332,COA!$B$4:$B$123,0)))</f>
        <v/>
      </c>
      <c r="I2332" s="52" t="str">
        <f>IF(J2332="","",INDEX(COA!$A$4:$A$123,MATCH(JU!$J2332,COA!$B$4:$B$123,0)))</f>
        <v/>
      </c>
      <c r="K2332" s="34" t="str">
        <f t="shared" si="294"/>
        <v/>
      </c>
    </row>
    <row r="2333" spans="6:11" hidden="1">
      <c r="F2333" s="52" t="str">
        <f>IF(G2333="","",INDEX(COA!$A$4:$A$123,MATCH(JU!$G2333,COA!$B$4:$B$123,0)))</f>
        <v/>
      </c>
      <c r="I2333" s="52" t="str">
        <f>IF(J2333="","",INDEX(COA!$A$4:$A$123,MATCH(JU!$J2333,COA!$B$4:$B$123,0)))</f>
        <v/>
      </c>
      <c r="K2333" s="34" t="str">
        <f t="shared" si="294"/>
        <v/>
      </c>
    </row>
    <row r="2334" spans="6:11" hidden="1">
      <c r="F2334" s="52" t="str">
        <f>IF(G2334="","",INDEX(COA!$A$4:$A$123,MATCH(JU!$G2334,COA!$B$4:$B$123,0)))</f>
        <v/>
      </c>
      <c r="I2334" s="52" t="str">
        <f>IF(J2334="","",INDEX(COA!$A$4:$A$123,MATCH(JU!$J2334,COA!$B$4:$B$123,0)))</f>
        <v/>
      </c>
      <c r="K2334" s="34" t="str">
        <f t="shared" ref="K2334:K2397" si="295">IF(H2334="","",H2334)</f>
        <v/>
      </c>
    </row>
    <row r="2335" spans="6:11" hidden="1">
      <c r="F2335" s="52" t="str">
        <f>IF(G2335="","",INDEX(COA!$A$4:$A$123,MATCH(JU!$G2335,COA!$B$4:$B$123,0)))</f>
        <v/>
      </c>
      <c r="I2335" s="52" t="str">
        <f>IF(J2335="","",INDEX(COA!$A$4:$A$123,MATCH(JU!$J2335,COA!$B$4:$B$123,0)))</f>
        <v/>
      </c>
      <c r="K2335" s="34" t="str">
        <f t="shared" si="295"/>
        <v/>
      </c>
    </row>
    <row r="2336" spans="6:11" hidden="1">
      <c r="F2336" s="52" t="str">
        <f>IF(G2336="","",INDEX(COA!$A$4:$A$123,MATCH(JU!$G2336,COA!$B$4:$B$123,0)))</f>
        <v/>
      </c>
      <c r="I2336" s="52" t="str">
        <f>IF(J2336="","",INDEX(COA!$A$4:$A$123,MATCH(JU!$J2336,COA!$B$4:$B$123,0)))</f>
        <v/>
      </c>
      <c r="K2336" s="34" t="str">
        <f t="shared" si="295"/>
        <v/>
      </c>
    </row>
    <row r="2337" spans="6:11" hidden="1">
      <c r="F2337" s="52" t="str">
        <f>IF(G2337="","",INDEX(COA!$A$4:$A$123,MATCH(JU!$G2337,COA!$B$4:$B$123,0)))</f>
        <v/>
      </c>
      <c r="I2337" s="52" t="str">
        <f>IF(J2337="","",INDEX(COA!$A$4:$A$123,MATCH(JU!$J2337,COA!$B$4:$B$123,0)))</f>
        <v/>
      </c>
      <c r="K2337" s="34" t="str">
        <f t="shared" si="295"/>
        <v/>
      </c>
    </row>
    <row r="2338" spans="6:11" hidden="1">
      <c r="F2338" s="52" t="str">
        <f>IF(G2338="","",INDEX(COA!$A$4:$A$123,MATCH(JU!$G2338,COA!$B$4:$B$123,0)))</f>
        <v/>
      </c>
      <c r="I2338" s="52" t="str">
        <f>IF(J2338="","",INDEX(COA!$A$4:$A$123,MATCH(JU!$J2338,COA!$B$4:$B$123,0)))</f>
        <v/>
      </c>
      <c r="K2338" s="34" t="str">
        <f t="shared" si="295"/>
        <v/>
      </c>
    </row>
    <row r="2339" spans="6:11" hidden="1">
      <c r="F2339" s="52" t="str">
        <f>IF(G2339="","",INDEX(COA!$A$4:$A$123,MATCH(JU!$G2339,COA!$B$4:$B$123,0)))</f>
        <v/>
      </c>
      <c r="I2339" s="52" t="str">
        <f>IF(J2339="","",INDEX(COA!$A$4:$A$123,MATCH(JU!$J2339,COA!$B$4:$B$123,0)))</f>
        <v/>
      </c>
      <c r="K2339" s="34" t="str">
        <f t="shared" si="295"/>
        <v/>
      </c>
    </row>
    <row r="2340" spans="6:11" hidden="1">
      <c r="F2340" s="52" t="str">
        <f>IF(G2340="","",INDEX(COA!$A$4:$A$123,MATCH(JU!$G2340,COA!$B$4:$B$123,0)))</f>
        <v/>
      </c>
      <c r="I2340" s="52" t="str">
        <f>IF(J2340="","",INDEX(COA!$A$4:$A$123,MATCH(JU!$J2340,COA!$B$4:$B$123,0)))</f>
        <v/>
      </c>
      <c r="K2340" s="34" t="str">
        <f t="shared" si="295"/>
        <v/>
      </c>
    </row>
    <row r="2341" spans="6:11" hidden="1">
      <c r="F2341" s="52" t="str">
        <f>IF(G2341="","",INDEX(COA!$A$4:$A$123,MATCH(JU!$G2341,COA!$B$4:$B$123,0)))</f>
        <v/>
      </c>
      <c r="I2341" s="52" t="str">
        <f>IF(J2341="","",INDEX(COA!$A$4:$A$123,MATCH(JU!$J2341,COA!$B$4:$B$123,0)))</f>
        <v/>
      </c>
      <c r="K2341" s="34" t="str">
        <f t="shared" si="295"/>
        <v/>
      </c>
    </row>
    <row r="2342" spans="6:11" hidden="1">
      <c r="F2342" s="52" t="str">
        <f>IF(G2342="","",INDEX(COA!$A$4:$A$123,MATCH(JU!$G2342,COA!$B$4:$B$123,0)))</f>
        <v/>
      </c>
      <c r="I2342" s="52" t="str">
        <f>IF(J2342="","",INDEX(COA!$A$4:$A$123,MATCH(JU!$J2342,COA!$B$4:$B$123,0)))</f>
        <v/>
      </c>
      <c r="K2342" s="34" t="str">
        <f t="shared" si="295"/>
        <v/>
      </c>
    </row>
    <row r="2343" spans="6:11" hidden="1">
      <c r="F2343" s="52" t="str">
        <f>IF(G2343="","",INDEX(COA!$A$4:$A$123,MATCH(JU!$G2343,COA!$B$4:$B$123,0)))</f>
        <v/>
      </c>
      <c r="I2343" s="52" t="str">
        <f>IF(J2343="","",INDEX(COA!$A$4:$A$123,MATCH(JU!$J2343,COA!$B$4:$B$123,0)))</f>
        <v/>
      </c>
      <c r="K2343" s="34" t="str">
        <f t="shared" si="295"/>
        <v/>
      </c>
    </row>
    <row r="2344" spans="6:11" hidden="1">
      <c r="F2344" s="52" t="str">
        <f>IF(G2344="","",INDEX(COA!$A$4:$A$123,MATCH(JU!$G2344,COA!$B$4:$B$123,0)))</f>
        <v/>
      </c>
      <c r="I2344" s="52" t="str">
        <f>IF(J2344="","",INDEX(COA!$A$4:$A$123,MATCH(JU!$J2344,COA!$B$4:$B$123,0)))</f>
        <v/>
      </c>
      <c r="K2344" s="34" t="str">
        <f t="shared" si="295"/>
        <v/>
      </c>
    </row>
    <row r="2345" spans="6:11" hidden="1">
      <c r="F2345" s="52" t="str">
        <f>IF(G2345="","",INDEX(COA!$A$4:$A$123,MATCH(JU!$G2345,COA!$B$4:$B$123,0)))</f>
        <v/>
      </c>
      <c r="I2345" s="52" t="str">
        <f>IF(J2345="","",INDEX(COA!$A$4:$A$123,MATCH(JU!$J2345,COA!$B$4:$B$123,0)))</f>
        <v/>
      </c>
      <c r="K2345" s="34" t="str">
        <f t="shared" si="295"/>
        <v/>
      </c>
    </row>
    <row r="2346" spans="6:11" hidden="1">
      <c r="F2346" s="52" t="str">
        <f>IF(G2346="","",INDEX(COA!$A$4:$A$123,MATCH(JU!$G2346,COA!$B$4:$B$123,0)))</f>
        <v/>
      </c>
      <c r="I2346" s="52" t="str">
        <f>IF(J2346="","",INDEX(COA!$A$4:$A$123,MATCH(JU!$J2346,COA!$B$4:$B$123,0)))</f>
        <v/>
      </c>
      <c r="K2346" s="34" t="str">
        <f t="shared" si="295"/>
        <v/>
      </c>
    </row>
    <row r="2347" spans="6:11" hidden="1">
      <c r="F2347" s="52" t="str">
        <f>IF(G2347="","",INDEX(COA!$A$4:$A$123,MATCH(JU!$G2347,COA!$B$4:$B$123,0)))</f>
        <v/>
      </c>
      <c r="I2347" s="52" t="str">
        <f>IF(J2347="","",INDEX(COA!$A$4:$A$123,MATCH(JU!$J2347,COA!$B$4:$B$123,0)))</f>
        <v/>
      </c>
      <c r="K2347" s="34" t="str">
        <f t="shared" si="295"/>
        <v/>
      </c>
    </row>
    <row r="2348" spans="6:11" hidden="1">
      <c r="F2348" s="52" t="str">
        <f>IF(G2348="","",INDEX(COA!$A$4:$A$123,MATCH(JU!$G2348,COA!$B$4:$B$123,0)))</f>
        <v/>
      </c>
      <c r="I2348" s="52" t="str">
        <f>IF(J2348="","",INDEX(COA!$A$4:$A$123,MATCH(JU!$J2348,COA!$B$4:$B$123,0)))</f>
        <v/>
      </c>
      <c r="K2348" s="34" t="str">
        <f t="shared" si="295"/>
        <v/>
      </c>
    </row>
    <row r="2349" spans="6:11" hidden="1">
      <c r="F2349" s="52" t="str">
        <f>IF(G2349="","",INDEX(COA!$A$4:$A$123,MATCH(JU!$G2349,COA!$B$4:$B$123,0)))</f>
        <v/>
      </c>
      <c r="I2349" s="52" t="str">
        <f>IF(J2349="","",INDEX(COA!$A$4:$A$123,MATCH(JU!$J2349,COA!$B$4:$B$123,0)))</f>
        <v/>
      </c>
      <c r="K2349" s="34" t="str">
        <f t="shared" si="295"/>
        <v/>
      </c>
    </row>
    <row r="2350" spans="6:11" hidden="1">
      <c r="F2350" s="52" t="str">
        <f>IF(G2350="","",INDEX(COA!$A$4:$A$123,MATCH(JU!$G2350,COA!$B$4:$B$123,0)))</f>
        <v/>
      </c>
      <c r="I2350" s="52" t="str">
        <f>IF(J2350="","",INDEX(COA!$A$4:$A$123,MATCH(JU!$J2350,COA!$B$4:$B$123,0)))</f>
        <v/>
      </c>
      <c r="K2350" s="34" t="str">
        <f t="shared" si="295"/>
        <v/>
      </c>
    </row>
    <row r="2351" spans="6:11" hidden="1">
      <c r="F2351" s="52" t="str">
        <f>IF(G2351="","",INDEX(COA!$A$4:$A$123,MATCH(JU!$G2351,COA!$B$4:$B$123,0)))</f>
        <v/>
      </c>
      <c r="I2351" s="52" t="str">
        <f>IF(J2351="","",INDEX(COA!$A$4:$A$123,MATCH(JU!$J2351,COA!$B$4:$B$123,0)))</f>
        <v/>
      </c>
      <c r="K2351" s="34" t="str">
        <f t="shared" si="295"/>
        <v/>
      </c>
    </row>
    <row r="2352" spans="6:11" hidden="1">
      <c r="F2352" s="52" t="str">
        <f>IF(G2352="","",INDEX(COA!$A$4:$A$123,MATCH(JU!$G2352,COA!$B$4:$B$123,0)))</f>
        <v/>
      </c>
      <c r="I2352" s="52" t="str">
        <f>IF(J2352="","",INDEX(COA!$A$4:$A$123,MATCH(JU!$J2352,COA!$B$4:$B$123,0)))</f>
        <v/>
      </c>
      <c r="K2352" s="34" t="str">
        <f t="shared" si="295"/>
        <v/>
      </c>
    </row>
    <row r="2353" spans="6:11" hidden="1">
      <c r="F2353" s="52" t="str">
        <f>IF(G2353="","",INDEX(COA!$A$4:$A$123,MATCH(JU!$G2353,COA!$B$4:$B$123,0)))</f>
        <v/>
      </c>
      <c r="I2353" s="52" t="str">
        <f>IF(J2353="","",INDEX(COA!$A$4:$A$123,MATCH(JU!$J2353,COA!$B$4:$B$123,0)))</f>
        <v/>
      </c>
      <c r="K2353" s="34" t="str">
        <f t="shared" si="295"/>
        <v/>
      </c>
    </row>
    <row r="2354" spans="6:11" hidden="1">
      <c r="F2354" s="52" t="str">
        <f>IF(G2354="","",INDEX(COA!$A$4:$A$123,MATCH(JU!$G2354,COA!$B$4:$B$123,0)))</f>
        <v/>
      </c>
      <c r="I2354" s="52" t="str">
        <f>IF(J2354="","",INDEX(COA!$A$4:$A$123,MATCH(JU!$J2354,COA!$B$4:$B$123,0)))</f>
        <v/>
      </c>
      <c r="K2354" s="34" t="str">
        <f t="shared" si="295"/>
        <v/>
      </c>
    </row>
    <row r="2355" spans="6:11" hidden="1">
      <c r="F2355" s="52" t="str">
        <f>IF(G2355="","",INDEX(COA!$A$4:$A$123,MATCH(JU!$G2355,COA!$B$4:$B$123,0)))</f>
        <v/>
      </c>
      <c r="I2355" s="52" t="str">
        <f>IF(J2355="","",INDEX(COA!$A$4:$A$123,MATCH(JU!$J2355,COA!$B$4:$B$123,0)))</f>
        <v/>
      </c>
      <c r="K2355" s="34" t="str">
        <f t="shared" si="295"/>
        <v/>
      </c>
    </row>
    <row r="2356" spans="6:11" hidden="1">
      <c r="F2356" s="52" t="str">
        <f>IF(G2356="","",INDEX(COA!$A$4:$A$123,MATCH(JU!$G2356,COA!$B$4:$B$123,0)))</f>
        <v/>
      </c>
      <c r="I2356" s="52" t="str">
        <f>IF(J2356="","",INDEX(COA!$A$4:$A$123,MATCH(JU!$J2356,COA!$B$4:$B$123,0)))</f>
        <v/>
      </c>
      <c r="K2356" s="34" t="str">
        <f t="shared" si="295"/>
        <v/>
      </c>
    </row>
    <row r="2357" spans="6:11" hidden="1">
      <c r="F2357" s="52" t="str">
        <f>IF(G2357="","",INDEX(COA!$A$4:$A$123,MATCH(JU!$G2357,COA!$B$4:$B$123,0)))</f>
        <v/>
      </c>
      <c r="I2357" s="52" t="str">
        <f>IF(J2357="","",INDEX(COA!$A$4:$A$123,MATCH(JU!$J2357,COA!$B$4:$B$123,0)))</f>
        <v/>
      </c>
      <c r="K2357" s="34" t="str">
        <f t="shared" si="295"/>
        <v/>
      </c>
    </row>
    <row r="2358" spans="6:11" hidden="1">
      <c r="F2358" s="52" t="str">
        <f>IF(G2358="","",INDEX(COA!$A$4:$A$123,MATCH(JU!$G2358,COA!$B$4:$B$123,0)))</f>
        <v/>
      </c>
      <c r="I2358" s="52" t="str">
        <f>IF(J2358="","",INDEX(COA!$A$4:$A$123,MATCH(JU!$J2358,COA!$B$4:$B$123,0)))</f>
        <v/>
      </c>
      <c r="K2358" s="34" t="str">
        <f t="shared" si="295"/>
        <v/>
      </c>
    </row>
    <row r="2359" spans="6:11" hidden="1">
      <c r="F2359" s="52" t="str">
        <f>IF(G2359="","",INDEX(COA!$A$4:$A$123,MATCH(JU!$G2359,COA!$B$4:$B$123,0)))</f>
        <v/>
      </c>
      <c r="I2359" s="52" t="str">
        <f>IF(J2359="","",INDEX(COA!$A$4:$A$123,MATCH(JU!$J2359,COA!$B$4:$B$123,0)))</f>
        <v/>
      </c>
      <c r="K2359" s="34" t="str">
        <f t="shared" si="295"/>
        <v/>
      </c>
    </row>
    <row r="2360" spans="6:11" hidden="1">
      <c r="F2360" s="52" t="str">
        <f>IF(G2360="","",INDEX(COA!$A$4:$A$123,MATCH(JU!$G2360,COA!$B$4:$B$123,0)))</f>
        <v/>
      </c>
      <c r="I2360" s="52" t="str">
        <f>IF(J2360="","",INDEX(COA!$A$4:$A$123,MATCH(JU!$J2360,COA!$B$4:$B$123,0)))</f>
        <v/>
      </c>
      <c r="K2360" s="34" t="str">
        <f t="shared" si="295"/>
        <v/>
      </c>
    </row>
    <row r="2361" spans="6:11" hidden="1">
      <c r="F2361" s="52" t="str">
        <f>IF(G2361="","",INDEX(COA!$A$4:$A$123,MATCH(JU!$G2361,COA!$B$4:$B$123,0)))</f>
        <v/>
      </c>
      <c r="I2361" s="52" t="str">
        <f>IF(J2361="","",INDEX(COA!$A$4:$A$123,MATCH(JU!$J2361,COA!$B$4:$B$123,0)))</f>
        <v/>
      </c>
      <c r="K2361" s="34" t="str">
        <f t="shared" si="295"/>
        <v/>
      </c>
    </row>
    <row r="2362" spans="6:11" hidden="1">
      <c r="F2362" s="52" t="str">
        <f>IF(G2362="","",INDEX(COA!$A$4:$A$123,MATCH(JU!$G2362,COA!$B$4:$B$123,0)))</f>
        <v/>
      </c>
      <c r="I2362" s="52" t="str">
        <f>IF(J2362="","",INDEX(COA!$A$4:$A$123,MATCH(JU!$J2362,COA!$B$4:$B$123,0)))</f>
        <v/>
      </c>
      <c r="K2362" s="34" t="str">
        <f t="shared" si="295"/>
        <v/>
      </c>
    </row>
    <row r="2363" spans="6:11" hidden="1">
      <c r="F2363" s="52" t="str">
        <f>IF(G2363="","",INDEX(COA!$A$4:$A$123,MATCH(JU!$G2363,COA!$B$4:$B$123,0)))</f>
        <v/>
      </c>
      <c r="I2363" s="52" t="str">
        <f>IF(J2363="","",INDEX(COA!$A$4:$A$123,MATCH(JU!$J2363,COA!$B$4:$B$123,0)))</f>
        <v/>
      </c>
      <c r="K2363" s="34" t="str">
        <f t="shared" si="295"/>
        <v/>
      </c>
    </row>
    <row r="2364" spans="6:11" hidden="1">
      <c r="F2364" s="52" t="str">
        <f>IF(G2364="","",INDEX(COA!$A$4:$A$123,MATCH(JU!$G2364,COA!$B$4:$B$123,0)))</f>
        <v/>
      </c>
      <c r="I2364" s="52" t="str">
        <f>IF(J2364="","",INDEX(COA!$A$4:$A$123,MATCH(JU!$J2364,COA!$B$4:$B$123,0)))</f>
        <v/>
      </c>
      <c r="K2364" s="34" t="str">
        <f t="shared" si="295"/>
        <v/>
      </c>
    </row>
    <row r="2365" spans="6:11" hidden="1">
      <c r="F2365" s="52" t="str">
        <f>IF(G2365="","",INDEX(COA!$A$4:$A$123,MATCH(JU!$G2365,COA!$B$4:$B$123,0)))</f>
        <v/>
      </c>
      <c r="I2365" s="52" t="str">
        <f>IF(J2365="","",INDEX(COA!$A$4:$A$123,MATCH(JU!$J2365,COA!$B$4:$B$123,0)))</f>
        <v/>
      </c>
      <c r="K2365" s="34" t="str">
        <f t="shared" si="295"/>
        <v/>
      </c>
    </row>
    <row r="2366" spans="6:11" hidden="1">
      <c r="F2366" s="52" t="str">
        <f>IF(G2366="","",INDEX(COA!$A$4:$A$123,MATCH(JU!$G2366,COA!$B$4:$B$123,0)))</f>
        <v/>
      </c>
      <c r="I2366" s="52" t="str">
        <f>IF(J2366="","",INDEX(COA!$A$4:$A$123,MATCH(JU!$J2366,COA!$B$4:$B$123,0)))</f>
        <v/>
      </c>
      <c r="K2366" s="34" t="str">
        <f t="shared" si="295"/>
        <v/>
      </c>
    </row>
    <row r="2367" spans="6:11" hidden="1">
      <c r="F2367" s="52" t="str">
        <f>IF(G2367="","",INDEX(COA!$A$4:$A$123,MATCH(JU!$G2367,COA!$B$4:$B$123,0)))</f>
        <v/>
      </c>
      <c r="I2367" s="52" t="str">
        <f>IF(J2367="","",INDEX(COA!$A$4:$A$123,MATCH(JU!$J2367,COA!$B$4:$B$123,0)))</f>
        <v/>
      </c>
      <c r="K2367" s="34" t="str">
        <f t="shared" si="295"/>
        <v/>
      </c>
    </row>
    <row r="2368" spans="6:11" hidden="1">
      <c r="F2368" s="52" t="str">
        <f>IF(G2368="","",INDEX(COA!$A$4:$A$123,MATCH(JU!$G2368,COA!$B$4:$B$123,0)))</f>
        <v/>
      </c>
      <c r="I2368" s="52" t="str">
        <f>IF(J2368="","",INDEX(COA!$A$4:$A$123,MATCH(JU!$J2368,COA!$B$4:$B$123,0)))</f>
        <v/>
      </c>
      <c r="K2368" s="34" t="str">
        <f t="shared" si="295"/>
        <v/>
      </c>
    </row>
    <row r="2369" spans="6:11" hidden="1">
      <c r="F2369" s="52" t="str">
        <f>IF(G2369="","",INDEX(COA!$A$4:$A$123,MATCH(JU!$G2369,COA!$B$4:$B$123,0)))</f>
        <v/>
      </c>
      <c r="I2369" s="52" t="str">
        <f>IF(J2369="","",INDEX(COA!$A$4:$A$123,MATCH(JU!$J2369,COA!$B$4:$B$123,0)))</f>
        <v/>
      </c>
      <c r="K2369" s="34" t="str">
        <f t="shared" si="295"/>
        <v/>
      </c>
    </row>
    <row r="2370" spans="6:11" hidden="1">
      <c r="F2370" s="52" t="str">
        <f>IF(G2370="","",INDEX(COA!$A$4:$A$123,MATCH(JU!$G2370,COA!$B$4:$B$123,0)))</f>
        <v/>
      </c>
      <c r="I2370" s="52" t="str">
        <f>IF(J2370="","",INDEX(COA!$A$4:$A$123,MATCH(JU!$J2370,COA!$B$4:$B$123,0)))</f>
        <v/>
      </c>
      <c r="K2370" s="34" t="str">
        <f t="shared" si="295"/>
        <v/>
      </c>
    </row>
    <row r="2371" spans="6:11" hidden="1">
      <c r="F2371" s="52" t="str">
        <f>IF(G2371="","",INDEX(COA!$A$4:$A$123,MATCH(JU!$G2371,COA!$B$4:$B$123,0)))</f>
        <v/>
      </c>
      <c r="I2371" s="52" t="str">
        <f>IF(J2371="","",INDEX(COA!$A$4:$A$123,MATCH(JU!$J2371,COA!$B$4:$B$123,0)))</f>
        <v/>
      </c>
      <c r="K2371" s="34" t="str">
        <f t="shared" si="295"/>
        <v/>
      </c>
    </row>
    <row r="2372" spans="6:11" hidden="1">
      <c r="F2372" s="52" t="str">
        <f>IF(G2372="","",INDEX(COA!$A$4:$A$123,MATCH(JU!$G2372,COA!$B$4:$B$123,0)))</f>
        <v/>
      </c>
      <c r="I2372" s="52" t="str">
        <f>IF(J2372="","",INDEX(COA!$A$4:$A$123,MATCH(JU!$J2372,COA!$B$4:$B$123,0)))</f>
        <v/>
      </c>
      <c r="K2372" s="34" t="str">
        <f t="shared" si="295"/>
        <v/>
      </c>
    </row>
    <row r="2373" spans="6:11" hidden="1">
      <c r="F2373" s="52" t="str">
        <f>IF(G2373="","",INDEX(COA!$A$4:$A$123,MATCH(JU!$G2373,COA!$B$4:$B$123,0)))</f>
        <v/>
      </c>
      <c r="I2373" s="52" t="str">
        <f>IF(J2373="","",INDEX(COA!$A$4:$A$123,MATCH(JU!$J2373,COA!$B$4:$B$123,0)))</f>
        <v/>
      </c>
      <c r="K2373" s="34" t="str">
        <f t="shared" si="295"/>
        <v/>
      </c>
    </row>
    <row r="2374" spans="6:11" hidden="1">
      <c r="F2374" s="52" t="str">
        <f>IF(G2374="","",INDEX(COA!$A$4:$A$123,MATCH(JU!$G2374,COA!$B$4:$B$123,0)))</f>
        <v/>
      </c>
      <c r="I2374" s="52" t="str">
        <f>IF(J2374="","",INDEX(COA!$A$4:$A$123,MATCH(JU!$J2374,COA!$B$4:$B$123,0)))</f>
        <v/>
      </c>
      <c r="K2374" s="34" t="str">
        <f t="shared" si="295"/>
        <v/>
      </c>
    </row>
    <row r="2375" spans="6:11" hidden="1">
      <c r="F2375" s="52" t="str">
        <f>IF(G2375="","",INDEX(COA!$A$4:$A$123,MATCH(JU!$G2375,COA!$B$4:$B$123,0)))</f>
        <v/>
      </c>
      <c r="I2375" s="52" t="str">
        <f>IF(J2375="","",INDEX(COA!$A$4:$A$123,MATCH(JU!$J2375,COA!$B$4:$B$123,0)))</f>
        <v/>
      </c>
      <c r="K2375" s="34" t="str">
        <f t="shared" si="295"/>
        <v/>
      </c>
    </row>
    <row r="2376" spans="6:11" hidden="1">
      <c r="F2376" s="52" t="str">
        <f>IF(G2376="","",INDEX(COA!$A$4:$A$123,MATCH(JU!$G2376,COA!$B$4:$B$123,0)))</f>
        <v/>
      </c>
      <c r="I2376" s="52" t="str">
        <f>IF(J2376="","",INDEX(COA!$A$4:$A$123,MATCH(JU!$J2376,COA!$B$4:$B$123,0)))</f>
        <v/>
      </c>
      <c r="K2376" s="34" t="str">
        <f t="shared" si="295"/>
        <v/>
      </c>
    </row>
    <row r="2377" spans="6:11" hidden="1">
      <c r="F2377" s="52" t="str">
        <f>IF(G2377="","",INDEX(COA!$A$4:$A$123,MATCH(JU!$G2377,COA!$B$4:$B$123,0)))</f>
        <v/>
      </c>
      <c r="I2377" s="52" t="str">
        <f>IF(J2377="","",INDEX(COA!$A$4:$A$123,MATCH(JU!$J2377,COA!$B$4:$B$123,0)))</f>
        <v/>
      </c>
      <c r="K2377" s="34" t="str">
        <f t="shared" si="295"/>
        <v/>
      </c>
    </row>
    <row r="2378" spans="6:11" hidden="1">
      <c r="F2378" s="52" t="str">
        <f>IF(G2378="","",INDEX(COA!$A$4:$A$123,MATCH(JU!$G2378,COA!$B$4:$B$123,0)))</f>
        <v/>
      </c>
      <c r="I2378" s="52" t="str">
        <f>IF(J2378="","",INDEX(COA!$A$4:$A$123,MATCH(JU!$J2378,COA!$B$4:$B$123,0)))</f>
        <v/>
      </c>
      <c r="K2378" s="34" t="str">
        <f t="shared" si="295"/>
        <v/>
      </c>
    </row>
    <row r="2379" spans="6:11" hidden="1">
      <c r="F2379" s="52" t="str">
        <f>IF(G2379="","",INDEX(COA!$A$4:$A$123,MATCH(JU!$G2379,COA!$B$4:$B$123,0)))</f>
        <v/>
      </c>
      <c r="I2379" s="52" t="str">
        <f>IF(J2379="","",INDEX(COA!$A$4:$A$123,MATCH(JU!$J2379,COA!$B$4:$B$123,0)))</f>
        <v/>
      </c>
      <c r="K2379" s="34" t="str">
        <f t="shared" si="295"/>
        <v/>
      </c>
    </row>
    <row r="2380" spans="6:11" hidden="1">
      <c r="F2380" s="52" t="str">
        <f>IF(G2380="","",INDEX(COA!$A$4:$A$123,MATCH(JU!$G2380,COA!$B$4:$B$123,0)))</f>
        <v/>
      </c>
      <c r="I2380" s="52" t="str">
        <f>IF(J2380="","",INDEX(COA!$A$4:$A$123,MATCH(JU!$J2380,COA!$B$4:$B$123,0)))</f>
        <v/>
      </c>
      <c r="K2380" s="34" t="str">
        <f t="shared" si="295"/>
        <v/>
      </c>
    </row>
    <row r="2381" spans="6:11" hidden="1">
      <c r="F2381" s="52" t="str">
        <f>IF(G2381="","",INDEX(COA!$A$4:$A$123,MATCH(JU!$G2381,COA!$B$4:$B$123,0)))</f>
        <v/>
      </c>
      <c r="I2381" s="52" t="str">
        <f>IF(J2381="","",INDEX(COA!$A$4:$A$123,MATCH(JU!$J2381,COA!$B$4:$B$123,0)))</f>
        <v/>
      </c>
      <c r="K2381" s="34" t="str">
        <f t="shared" si="295"/>
        <v/>
      </c>
    </row>
    <row r="2382" spans="6:11" hidden="1">
      <c r="F2382" s="52" t="str">
        <f>IF(G2382="","",INDEX(COA!$A$4:$A$123,MATCH(JU!$G2382,COA!$B$4:$B$123,0)))</f>
        <v/>
      </c>
      <c r="I2382" s="52" t="str">
        <f>IF(J2382="","",INDEX(COA!$A$4:$A$123,MATCH(JU!$J2382,COA!$B$4:$B$123,0)))</f>
        <v/>
      </c>
      <c r="K2382" s="34" t="str">
        <f t="shared" si="295"/>
        <v/>
      </c>
    </row>
    <row r="2383" spans="6:11" hidden="1">
      <c r="F2383" s="52" t="str">
        <f>IF(G2383="","",INDEX(COA!$A$4:$A$123,MATCH(JU!$G2383,COA!$B$4:$B$123,0)))</f>
        <v/>
      </c>
      <c r="I2383" s="52" t="str">
        <f>IF(J2383="","",INDEX(COA!$A$4:$A$123,MATCH(JU!$J2383,COA!$B$4:$B$123,0)))</f>
        <v/>
      </c>
      <c r="K2383" s="34" t="str">
        <f t="shared" si="295"/>
        <v/>
      </c>
    </row>
    <row r="2384" spans="6:11" hidden="1">
      <c r="F2384" s="52" t="str">
        <f>IF(G2384="","",INDEX(COA!$A$4:$A$123,MATCH(JU!$G2384,COA!$B$4:$B$123,0)))</f>
        <v/>
      </c>
      <c r="I2384" s="52" t="str">
        <f>IF(J2384="","",INDEX(COA!$A$4:$A$123,MATCH(JU!$J2384,COA!$B$4:$B$123,0)))</f>
        <v/>
      </c>
      <c r="K2384" s="34" t="str">
        <f t="shared" si="295"/>
        <v/>
      </c>
    </row>
    <row r="2385" spans="6:11" hidden="1">
      <c r="F2385" s="52" t="str">
        <f>IF(G2385="","",INDEX(COA!$A$4:$A$123,MATCH(JU!$G2385,COA!$B$4:$B$123,0)))</f>
        <v/>
      </c>
      <c r="I2385" s="52" t="str">
        <f>IF(J2385="","",INDEX(COA!$A$4:$A$123,MATCH(JU!$J2385,COA!$B$4:$B$123,0)))</f>
        <v/>
      </c>
      <c r="K2385" s="34" t="str">
        <f t="shared" si="295"/>
        <v/>
      </c>
    </row>
    <row r="2386" spans="6:11" hidden="1">
      <c r="F2386" s="52" t="str">
        <f>IF(G2386="","",INDEX(COA!$A$4:$A$123,MATCH(JU!$G2386,COA!$B$4:$B$123,0)))</f>
        <v/>
      </c>
      <c r="I2386" s="52" t="str">
        <f>IF(J2386="","",INDEX(COA!$A$4:$A$123,MATCH(JU!$J2386,COA!$B$4:$B$123,0)))</f>
        <v/>
      </c>
      <c r="K2386" s="34" t="str">
        <f t="shared" si="295"/>
        <v/>
      </c>
    </row>
    <row r="2387" spans="6:11" hidden="1">
      <c r="F2387" s="52" t="str">
        <f>IF(G2387="","",INDEX(COA!$A$4:$A$123,MATCH(JU!$G2387,COA!$B$4:$B$123,0)))</f>
        <v/>
      </c>
      <c r="I2387" s="52" t="str">
        <f>IF(J2387="","",INDEX(COA!$A$4:$A$123,MATCH(JU!$J2387,COA!$B$4:$B$123,0)))</f>
        <v/>
      </c>
      <c r="K2387" s="34" t="str">
        <f t="shared" si="295"/>
        <v/>
      </c>
    </row>
    <row r="2388" spans="6:11" hidden="1">
      <c r="F2388" s="52" t="str">
        <f>IF(G2388="","",INDEX(COA!$A$4:$A$123,MATCH(JU!$G2388,COA!$B$4:$B$123,0)))</f>
        <v/>
      </c>
      <c r="I2388" s="52" t="str">
        <f>IF(J2388="","",INDEX(COA!$A$4:$A$123,MATCH(JU!$J2388,COA!$B$4:$B$123,0)))</f>
        <v/>
      </c>
      <c r="K2388" s="34" t="str">
        <f t="shared" si="295"/>
        <v/>
      </c>
    </row>
    <row r="2389" spans="6:11" hidden="1">
      <c r="F2389" s="52" t="str">
        <f>IF(G2389="","",INDEX(COA!$A$4:$A$123,MATCH(JU!$G2389,COA!$B$4:$B$123,0)))</f>
        <v/>
      </c>
      <c r="I2389" s="52" t="str">
        <f>IF(J2389="","",INDEX(COA!$A$4:$A$123,MATCH(JU!$J2389,COA!$B$4:$B$123,0)))</f>
        <v/>
      </c>
      <c r="K2389" s="34" t="str">
        <f t="shared" si="295"/>
        <v/>
      </c>
    </row>
    <row r="2390" spans="6:11" hidden="1">
      <c r="F2390" s="52" t="str">
        <f>IF(G2390="","",INDEX(COA!$A$4:$A$123,MATCH(JU!$G2390,COA!$B$4:$B$123,0)))</f>
        <v/>
      </c>
      <c r="I2390" s="52" t="str">
        <f>IF(J2390="","",INDEX(COA!$A$4:$A$123,MATCH(JU!$J2390,COA!$B$4:$B$123,0)))</f>
        <v/>
      </c>
      <c r="K2390" s="34" t="str">
        <f t="shared" si="295"/>
        <v/>
      </c>
    </row>
    <row r="2391" spans="6:11" hidden="1">
      <c r="F2391" s="52" t="str">
        <f>IF(G2391="","",INDEX(COA!$A$4:$A$123,MATCH(JU!$G2391,COA!$B$4:$B$123,0)))</f>
        <v/>
      </c>
      <c r="I2391" s="52" t="str">
        <f>IF(J2391="","",INDEX(COA!$A$4:$A$123,MATCH(JU!$J2391,COA!$B$4:$B$123,0)))</f>
        <v/>
      </c>
      <c r="K2391" s="34" t="str">
        <f t="shared" si="295"/>
        <v/>
      </c>
    </row>
    <row r="2392" spans="6:11" hidden="1">
      <c r="F2392" s="52" t="str">
        <f>IF(G2392="","",INDEX(COA!$A$4:$A$123,MATCH(JU!$G2392,COA!$B$4:$B$123,0)))</f>
        <v/>
      </c>
      <c r="I2392" s="52" t="str">
        <f>IF(J2392="","",INDEX(COA!$A$4:$A$123,MATCH(JU!$J2392,COA!$B$4:$B$123,0)))</f>
        <v/>
      </c>
      <c r="K2392" s="34" t="str">
        <f t="shared" si="295"/>
        <v/>
      </c>
    </row>
    <row r="2393" spans="6:11" hidden="1">
      <c r="F2393" s="52" t="str">
        <f>IF(G2393="","",INDEX(COA!$A$4:$A$123,MATCH(JU!$G2393,COA!$B$4:$B$123,0)))</f>
        <v/>
      </c>
      <c r="I2393" s="52" t="str">
        <f>IF(J2393="","",INDEX(COA!$A$4:$A$123,MATCH(JU!$J2393,COA!$B$4:$B$123,0)))</f>
        <v/>
      </c>
      <c r="K2393" s="34" t="str">
        <f t="shared" si="295"/>
        <v/>
      </c>
    </row>
    <row r="2394" spans="6:11" hidden="1">
      <c r="F2394" s="52" t="str">
        <f>IF(G2394="","",INDEX(COA!$A$4:$A$123,MATCH(JU!$G2394,COA!$B$4:$B$123,0)))</f>
        <v/>
      </c>
      <c r="I2394" s="52" t="str">
        <f>IF(J2394="","",INDEX(COA!$A$4:$A$123,MATCH(JU!$J2394,COA!$B$4:$B$123,0)))</f>
        <v/>
      </c>
      <c r="K2394" s="34" t="str">
        <f t="shared" si="295"/>
        <v/>
      </c>
    </row>
    <row r="2395" spans="6:11" hidden="1">
      <c r="F2395" s="52" t="str">
        <f>IF(G2395="","",INDEX(COA!$A$4:$A$123,MATCH(JU!$G2395,COA!$B$4:$B$123,0)))</f>
        <v/>
      </c>
      <c r="I2395" s="52" t="str">
        <f>IF(J2395="","",INDEX(COA!$A$4:$A$123,MATCH(JU!$J2395,COA!$B$4:$B$123,0)))</f>
        <v/>
      </c>
      <c r="K2395" s="34" t="str">
        <f t="shared" si="295"/>
        <v/>
      </c>
    </row>
    <row r="2396" spans="6:11" hidden="1">
      <c r="F2396" s="52" t="str">
        <f>IF(G2396="","",INDEX(COA!$A$4:$A$123,MATCH(JU!$G2396,COA!$B$4:$B$123,0)))</f>
        <v/>
      </c>
      <c r="I2396" s="52" t="str">
        <f>IF(J2396="","",INDEX(COA!$A$4:$A$123,MATCH(JU!$J2396,COA!$B$4:$B$123,0)))</f>
        <v/>
      </c>
      <c r="K2396" s="34" t="str">
        <f t="shared" si="295"/>
        <v/>
      </c>
    </row>
    <row r="2397" spans="6:11" hidden="1">
      <c r="F2397" s="52" t="str">
        <f>IF(G2397="","",INDEX(COA!$A$4:$A$123,MATCH(JU!$G2397,COA!$B$4:$B$123,0)))</f>
        <v/>
      </c>
      <c r="I2397" s="52" t="str">
        <f>IF(J2397="","",INDEX(COA!$A$4:$A$123,MATCH(JU!$J2397,COA!$B$4:$B$123,0)))</f>
        <v/>
      </c>
      <c r="K2397" s="34" t="str">
        <f t="shared" si="295"/>
        <v/>
      </c>
    </row>
    <row r="2398" spans="6:11" hidden="1">
      <c r="F2398" s="52" t="str">
        <f>IF(G2398="","",INDEX(COA!$A$4:$A$123,MATCH(JU!$G2398,COA!$B$4:$B$123,0)))</f>
        <v/>
      </c>
      <c r="I2398" s="52" t="str">
        <f>IF(J2398="","",INDEX(COA!$A$4:$A$123,MATCH(JU!$J2398,COA!$B$4:$B$123,0)))</f>
        <v/>
      </c>
      <c r="K2398" s="34" t="str">
        <f t="shared" ref="K2398:K2461" si="296">IF(H2398="","",H2398)</f>
        <v/>
      </c>
    </row>
    <row r="2399" spans="6:11" hidden="1">
      <c r="F2399" s="52" t="str">
        <f>IF(G2399="","",INDEX(COA!$A$4:$A$123,MATCH(JU!$G2399,COA!$B$4:$B$123,0)))</f>
        <v/>
      </c>
      <c r="I2399" s="52" t="str">
        <f>IF(J2399="","",INDEX(COA!$A$4:$A$123,MATCH(JU!$J2399,COA!$B$4:$B$123,0)))</f>
        <v/>
      </c>
      <c r="K2399" s="34" t="str">
        <f t="shared" si="296"/>
        <v/>
      </c>
    </row>
    <row r="2400" spans="6:11" hidden="1">
      <c r="F2400" s="52" t="str">
        <f>IF(G2400="","",INDEX(COA!$A$4:$A$123,MATCH(JU!$G2400,COA!$B$4:$B$123,0)))</f>
        <v/>
      </c>
      <c r="I2400" s="52" t="str">
        <f>IF(J2400="","",INDEX(COA!$A$4:$A$123,MATCH(JU!$J2400,COA!$B$4:$B$123,0)))</f>
        <v/>
      </c>
      <c r="K2400" s="34" t="str">
        <f t="shared" si="296"/>
        <v/>
      </c>
    </row>
    <row r="2401" spans="6:11" hidden="1">
      <c r="F2401" s="52" t="str">
        <f>IF(G2401="","",INDEX(COA!$A$4:$A$123,MATCH(JU!$G2401,COA!$B$4:$B$123,0)))</f>
        <v/>
      </c>
      <c r="I2401" s="52" t="str">
        <f>IF(J2401="","",INDEX(COA!$A$4:$A$123,MATCH(JU!$J2401,COA!$B$4:$B$123,0)))</f>
        <v/>
      </c>
      <c r="K2401" s="34" t="str">
        <f t="shared" si="296"/>
        <v/>
      </c>
    </row>
    <row r="2402" spans="6:11" hidden="1">
      <c r="F2402" s="52" t="str">
        <f>IF(G2402="","",INDEX(COA!$A$4:$A$123,MATCH(JU!$G2402,COA!$B$4:$B$123,0)))</f>
        <v/>
      </c>
      <c r="I2402" s="52" t="str">
        <f>IF(J2402="","",INDEX(COA!$A$4:$A$123,MATCH(JU!$J2402,COA!$B$4:$B$123,0)))</f>
        <v/>
      </c>
      <c r="K2402" s="34" t="str">
        <f t="shared" si="296"/>
        <v/>
      </c>
    </row>
    <row r="2403" spans="6:11" hidden="1">
      <c r="F2403" s="52" t="str">
        <f>IF(G2403="","",INDEX(COA!$A$4:$A$123,MATCH(JU!$G2403,COA!$B$4:$B$123,0)))</f>
        <v/>
      </c>
      <c r="I2403" s="52" t="str">
        <f>IF(J2403="","",INDEX(COA!$A$4:$A$123,MATCH(JU!$J2403,COA!$B$4:$B$123,0)))</f>
        <v/>
      </c>
      <c r="K2403" s="34" t="str">
        <f t="shared" si="296"/>
        <v/>
      </c>
    </row>
    <row r="2404" spans="6:11" hidden="1">
      <c r="F2404" s="52" t="str">
        <f>IF(G2404="","",INDEX(COA!$A$4:$A$123,MATCH(JU!$G2404,COA!$B$4:$B$123,0)))</f>
        <v/>
      </c>
      <c r="I2404" s="52" t="str">
        <f>IF(J2404="","",INDEX(COA!$A$4:$A$123,MATCH(JU!$J2404,COA!$B$4:$B$123,0)))</f>
        <v/>
      </c>
      <c r="K2404" s="34" t="str">
        <f t="shared" si="296"/>
        <v/>
      </c>
    </row>
    <row r="2405" spans="6:11" hidden="1">
      <c r="F2405" s="52" t="str">
        <f>IF(G2405="","",INDEX(COA!$A$4:$A$123,MATCH(JU!$G2405,COA!$B$4:$B$123,0)))</f>
        <v/>
      </c>
      <c r="I2405" s="52" t="str">
        <f>IF(J2405="","",INDEX(COA!$A$4:$A$123,MATCH(JU!$J2405,COA!$B$4:$B$123,0)))</f>
        <v/>
      </c>
      <c r="K2405" s="34" t="str">
        <f t="shared" si="296"/>
        <v/>
      </c>
    </row>
    <row r="2406" spans="6:11" hidden="1">
      <c r="F2406" s="52" t="str">
        <f>IF(G2406="","",INDEX(COA!$A$4:$A$123,MATCH(JU!$G2406,COA!$B$4:$B$123,0)))</f>
        <v/>
      </c>
      <c r="I2406" s="52" t="str">
        <f>IF(J2406="","",INDEX(COA!$A$4:$A$123,MATCH(JU!$J2406,COA!$B$4:$B$123,0)))</f>
        <v/>
      </c>
      <c r="K2406" s="34" t="str">
        <f t="shared" si="296"/>
        <v/>
      </c>
    </row>
    <row r="2407" spans="6:11" hidden="1">
      <c r="F2407" s="52" t="str">
        <f>IF(G2407="","",INDEX(COA!$A$4:$A$123,MATCH(JU!$G2407,COA!$B$4:$B$123,0)))</f>
        <v/>
      </c>
      <c r="I2407" s="52" t="str">
        <f>IF(J2407="","",INDEX(COA!$A$4:$A$123,MATCH(JU!$J2407,COA!$B$4:$B$123,0)))</f>
        <v/>
      </c>
      <c r="K2407" s="34" t="str">
        <f t="shared" si="296"/>
        <v/>
      </c>
    </row>
    <row r="2408" spans="6:11" hidden="1">
      <c r="F2408" s="52" t="str">
        <f>IF(G2408="","",INDEX(COA!$A$4:$A$123,MATCH(JU!$G2408,COA!$B$4:$B$123,0)))</f>
        <v/>
      </c>
      <c r="I2408" s="52" t="str">
        <f>IF(J2408="","",INDEX(COA!$A$4:$A$123,MATCH(JU!$J2408,COA!$B$4:$B$123,0)))</f>
        <v/>
      </c>
      <c r="K2408" s="34" t="str">
        <f t="shared" si="296"/>
        <v/>
      </c>
    </row>
    <row r="2409" spans="6:11" hidden="1">
      <c r="F2409" s="52" t="str">
        <f>IF(G2409="","",INDEX(COA!$A$4:$A$123,MATCH(JU!$G2409,COA!$B$4:$B$123,0)))</f>
        <v/>
      </c>
      <c r="I2409" s="52" t="str">
        <f>IF(J2409="","",INDEX(COA!$A$4:$A$123,MATCH(JU!$J2409,COA!$B$4:$B$123,0)))</f>
        <v/>
      </c>
      <c r="K2409" s="34" t="str">
        <f t="shared" si="296"/>
        <v/>
      </c>
    </row>
    <row r="2410" spans="6:11" hidden="1">
      <c r="F2410" s="52" t="str">
        <f>IF(G2410="","",INDEX(COA!$A$4:$A$123,MATCH(JU!$G2410,COA!$B$4:$B$123,0)))</f>
        <v/>
      </c>
      <c r="I2410" s="52" t="str">
        <f>IF(J2410="","",INDEX(COA!$A$4:$A$123,MATCH(JU!$J2410,COA!$B$4:$B$123,0)))</f>
        <v/>
      </c>
      <c r="K2410" s="34" t="str">
        <f t="shared" si="296"/>
        <v/>
      </c>
    </row>
    <row r="2411" spans="6:11" hidden="1">
      <c r="F2411" s="52" t="str">
        <f>IF(G2411="","",INDEX(COA!$A$4:$A$123,MATCH(JU!$G2411,COA!$B$4:$B$123,0)))</f>
        <v/>
      </c>
      <c r="I2411" s="52" t="str">
        <f>IF(J2411="","",INDEX(COA!$A$4:$A$123,MATCH(JU!$J2411,COA!$B$4:$B$123,0)))</f>
        <v/>
      </c>
      <c r="K2411" s="34" t="str">
        <f t="shared" si="296"/>
        <v/>
      </c>
    </row>
    <row r="2412" spans="6:11" hidden="1">
      <c r="F2412" s="52" t="str">
        <f>IF(G2412="","",INDEX(COA!$A$4:$A$123,MATCH(JU!$G2412,COA!$B$4:$B$123,0)))</f>
        <v/>
      </c>
      <c r="I2412" s="52" t="str">
        <f>IF(J2412="","",INDEX(COA!$A$4:$A$123,MATCH(JU!$J2412,COA!$B$4:$B$123,0)))</f>
        <v/>
      </c>
      <c r="K2412" s="34" t="str">
        <f t="shared" si="296"/>
        <v/>
      </c>
    </row>
    <row r="2413" spans="6:11" hidden="1">
      <c r="F2413" s="52" t="str">
        <f>IF(G2413="","",INDEX(COA!$A$4:$A$123,MATCH(JU!$G2413,COA!$B$4:$B$123,0)))</f>
        <v/>
      </c>
      <c r="I2413" s="52" t="str">
        <f>IF(J2413="","",INDEX(COA!$A$4:$A$123,MATCH(JU!$J2413,COA!$B$4:$B$123,0)))</f>
        <v/>
      </c>
      <c r="K2413" s="34" t="str">
        <f t="shared" si="296"/>
        <v/>
      </c>
    </row>
    <row r="2414" spans="6:11" hidden="1">
      <c r="F2414" s="52" t="str">
        <f>IF(G2414="","",INDEX(COA!$A$4:$A$123,MATCH(JU!$G2414,COA!$B$4:$B$123,0)))</f>
        <v/>
      </c>
      <c r="I2414" s="52" t="str">
        <f>IF(J2414="","",INDEX(COA!$A$4:$A$123,MATCH(JU!$J2414,COA!$B$4:$B$123,0)))</f>
        <v/>
      </c>
      <c r="K2414" s="34" t="str">
        <f t="shared" si="296"/>
        <v/>
      </c>
    </row>
    <row r="2415" spans="6:11" hidden="1">
      <c r="F2415" s="52" t="str">
        <f>IF(G2415="","",INDEX(COA!$A$4:$A$123,MATCH(JU!$G2415,COA!$B$4:$B$123,0)))</f>
        <v/>
      </c>
      <c r="I2415" s="52" t="str">
        <f>IF(J2415="","",INDEX(COA!$A$4:$A$123,MATCH(JU!$J2415,COA!$B$4:$B$123,0)))</f>
        <v/>
      </c>
      <c r="K2415" s="34" t="str">
        <f t="shared" si="296"/>
        <v/>
      </c>
    </row>
    <row r="2416" spans="6:11" hidden="1">
      <c r="F2416" s="52" t="str">
        <f>IF(G2416="","",INDEX(COA!$A$4:$A$123,MATCH(JU!$G2416,COA!$B$4:$B$123,0)))</f>
        <v/>
      </c>
      <c r="I2416" s="52" t="str">
        <f>IF(J2416="","",INDEX(COA!$A$4:$A$123,MATCH(JU!$J2416,COA!$B$4:$B$123,0)))</f>
        <v/>
      </c>
      <c r="K2416" s="34" t="str">
        <f t="shared" si="296"/>
        <v/>
      </c>
    </row>
    <row r="2417" spans="6:11" hidden="1">
      <c r="F2417" s="52" t="str">
        <f>IF(G2417="","",INDEX(COA!$A$4:$A$123,MATCH(JU!$G2417,COA!$B$4:$B$123,0)))</f>
        <v/>
      </c>
      <c r="I2417" s="52" t="str">
        <f>IF(J2417="","",INDEX(COA!$A$4:$A$123,MATCH(JU!$J2417,COA!$B$4:$B$123,0)))</f>
        <v/>
      </c>
      <c r="K2417" s="34" t="str">
        <f t="shared" si="296"/>
        <v/>
      </c>
    </row>
    <row r="2418" spans="6:11" hidden="1">
      <c r="F2418" s="52" t="str">
        <f>IF(G2418="","",INDEX(COA!$A$4:$A$123,MATCH(JU!$G2418,COA!$B$4:$B$123,0)))</f>
        <v/>
      </c>
      <c r="I2418" s="52" t="str">
        <f>IF(J2418="","",INDEX(COA!$A$4:$A$123,MATCH(JU!$J2418,COA!$B$4:$B$123,0)))</f>
        <v/>
      </c>
      <c r="K2418" s="34" t="str">
        <f t="shared" si="296"/>
        <v/>
      </c>
    </row>
    <row r="2419" spans="6:11" hidden="1">
      <c r="F2419" s="52" t="str">
        <f>IF(G2419="","",INDEX(COA!$A$4:$A$123,MATCH(JU!$G2419,COA!$B$4:$B$123,0)))</f>
        <v/>
      </c>
      <c r="I2419" s="52" t="str">
        <f>IF(J2419="","",INDEX(COA!$A$4:$A$123,MATCH(JU!$J2419,COA!$B$4:$B$123,0)))</f>
        <v/>
      </c>
      <c r="K2419" s="34" t="str">
        <f t="shared" si="296"/>
        <v/>
      </c>
    </row>
    <row r="2420" spans="6:11" hidden="1">
      <c r="F2420" s="52" t="str">
        <f>IF(G2420="","",INDEX(COA!$A$4:$A$123,MATCH(JU!$G2420,COA!$B$4:$B$123,0)))</f>
        <v/>
      </c>
      <c r="I2420" s="52" t="str">
        <f>IF(J2420="","",INDEX(COA!$A$4:$A$123,MATCH(JU!$J2420,COA!$B$4:$B$123,0)))</f>
        <v/>
      </c>
      <c r="K2420" s="34" t="str">
        <f t="shared" si="296"/>
        <v/>
      </c>
    </row>
    <row r="2421" spans="6:11" hidden="1">
      <c r="F2421" s="52" t="str">
        <f>IF(G2421="","",INDEX(COA!$A$4:$A$123,MATCH(JU!$G2421,COA!$B$4:$B$123,0)))</f>
        <v/>
      </c>
      <c r="I2421" s="52" t="str">
        <f>IF(J2421="","",INDEX(COA!$A$4:$A$123,MATCH(JU!$J2421,COA!$B$4:$B$123,0)))</f>
        <v/>
      </c>
      <c r="K2421" s="34" t="str">
        <f t="shared" si="296"/>
        <v/>
      </c>
    </row>
    <row r="2422" spans="6:11" hidden="1">
      <c r="F2422" s="52" t="str">
        <f>IF(G2422="","",INDEX(COA!$A$4:$A$123,MATCH(JU!$G2422,COA!$B$4:$B$123,0)))</f>
        <v/>
      </c>
      <c r="I2422" s="52" t="str">
        <f>IF(J2422="","",INDEX(COA!$A$4:$A$123,MATCH(JU!$J2422,COA!$B$4:$B$123,0)))</f>
        <v/>
      </c>
      <c r="K2422" s="34" t="str">
        <f t="shared" si="296"/>
        <v/>
      </c>
    </row>
    <row r="2423" spans="6:11" hidden="1">
      <c r="F2423" s="52" t="str">
        <f>IF(G2423="","",INDEX(COA!$A$4:$A$123,MATCH(JU!$G2423,COA!$B$4:$B$123,0)))</f>
        <v/>
      </c>
      <c r="I2423" s="52" t="str">
        <f>IF(J2423="","",INDEX(COA!$A$4:$A$123,MATCH(JU!$J2423,COA!$B$4:$B$123,0)))</f>
        <v/>
      </c>
      <c r="K2423" s="34" t="str">
        <f t="shared" si="296"/>
        <v/>
      </c>
    </row>
    <row r="2424" spans="6:11" hidden="1">
      <c r="F2424" s="52" t="str">
        <f>IF(G2424="","",INDEX(COA!$A$4:$A$123,MATCH(JU!$G2424,COA!$B$4:$B$123,0)))</f>
        <v/>
      </c>
      <c r="I2424" s="52" t="str">
        <f>IF(J2424="","",INDEX(COA!$A$4:$A$123,MATCH(JU!$J2424,COA!$B$4:$B$123,0)))</f>
        <v/>
      </c>
      <c r="K2424" s="34" t="str">
        <f t="shared" si="296"/>
        <v/>
      </c>
    </row>
    <row r="2425" spans="6:11" hidden="1">
      <c r="F2425" s="52" t="str">
        <f>IF(G2425="","",INDEX(COA!$A$4:$A$123,MATCH(JU!$G2425,COA!$B$4:$B$123,0)))</f>
        <v/>
      </c>
      <c r="I2425" s="52" t="str">
        <f>IF(J2425="","",INDEX(COA!$A$4:$A$123,MATCH(JU!$J2425,COA!$B$4:$B$123,0)))</f>
        <v/>
      </c>
      <c r="K2425" s="34" t="str">
        <f t="shared" si="296"/>
        <v/>
      </c>
    </row>
    <row r="2426" spans="6:11" hidden="1">
      <c r="F2426" s="52" t="str">
        <f>IF(G2426="","",INDEX(COA!$A$4:$A$123,MATCH(JU!$G2426,COA!$B$4:$B$123,0)))</f>
        <v/>
      </c>
      <c r="I2426" s="52" t="str">
        <f>IF(J2426="","",INDEX(COA!$A$4:$A$123,MATCH(JU!$J2426,COA!$B$4:$B$123,0)))</f>
        <v/>
      </c>
      <c r="K2426" s="34" t="str">
        <f t="shared" si="296"/>
        <v/>
      </c>
    </row>
    <row r="2427" spans="6:11" hidden="1">
      <c r="F2427" s="52" t="str">
        <f>IF(G2427="","",INDEX(COA!$A$4:$A$123,MATCH(JU!$G2427,COA!$B$4:$B$123,0)))</f>
        <v/>
      </c>
      <c r="I2427" s="52" t="str">
        <f>IF(J2427="","",INDEX(COA!$A$4:$A$123,MATCH(JU!$J2427,COA!$B$4:$B$123,0)))</f>
        <v/>
      </c>
      <c r="K2427" s="34" t="str">
        <f t="shared" si="296"/>
        <v/>
      </c>
    </row>
    <row r="2428" spans="6:11" hidden="1">
      <c r="F2428" s="52" t="str">
        <f>IF(G2428="","",INDEX(COA!$A$4:$A$123,MATCH(JU!$G2428,COA!$B$4:$B$123,0)))</f>
        <v/>
      </c>
      <c r="I2428" s="52" t="str">
        <f>IF(J2428="","",INDEX(COA!$A$4:$A$123,MATCH(JU!$J2428,COA!$B$4:$B$123,0)))</f>
        <v/>
      </c>
      <c r="K2428" s="34" t="str">
        <f t="shared" si="296"/>
        <v/>
      </c>
    </row>
    <row r="2429" spans="6:11" hidden="1">
      <c r="F2429" s="52" t="str">
        <f>IF(G2429="","",INDEX(COA!$A$4:$A$123,MATCH(JU!$G2429,COA!$B$4:$B$123,0)))</f>
        <v/>
      </c>
      <c r="I2429" s="52" t="str">
        <f>IF(J2429="","",INDEX(COA!$A$4:$A$123,MATCH(JU!$J2429,COA!$B$4:$B$123,0)))</f>
        <v/>
      </c>
      <c r="K2429" s="34" t="str">
        <f t="shared" si="296"/>
        <v/>
      </c>
    </row>
    <row r="2430" spans="6:11" hidden="1">
      <c r="F2430" s="52" t="str">
        <f>IF(G2430="","",INDEX(COA!$A$4:$A$123,MATCH(JU!$G2430,COA!$B$4:$B$123,0)))</f>
        <v/>
      </c>
      <c r="I2430" s="52" t="str">
        <f>IF(J2430="","",INDEX(COA!$A$4:$A$123,MATCH(JU!$J2430,COA!$B$4:$B$123,0)))</f>
        <v/>
      </c>
      <c r="K2430" s="34" t="str">
        <f t="shared" si="296"/>
        <v/>
      </c>
    </row>
    <row r="2431" spans="6:11" hidden="1">
      <c r="F2431" s="52" t="str">
        <f>IF(G2431="","",INDEX(COA!$A$4:$A$123,MATCH(JU!$G2431,COA!$B$4:$B$123,0)))</f>
        <v/>
      </c>
      <c r="I2431" s="52" t="str">
        <f>IF(J2431="","",INDEX(COA!$A$4:$A$123,MATCH(JU!$J2431,COA!$B$4:$B$123,0)))</f>
        <v/>
      </c>
      <c r="K2431" s="34" t="str">
        <f t="shared" si="296"/>
        <v/>
      </c>
    </row>
    <row r="2432" spans="6:11" hidden="1">
      <c r="F2432" s="52" t="str">
        <f>IF(G2432="","",INDEX(COA!$A$4:$A$123,MATCH(JU!$G2432,COA!$B$4:$B$123,0)))</f>
        <v/>
      </c>
      <c r="I2432" s="52" t="str">
        <f>IF(J2432="","",INDEX(COA!$A$4:$A$123,MATCH(JU!$J2432,COA!$B$4:$B$123,0)))</f>
        <v/>
      </c>
      <c r="K2432" s="34" t="str">
        <f t="shared" si="296"/>
        <v/>
      </c>
    </row>
    <row r="2433" spans="6:11" hidden="1">
      <c r="F2433" s="52" t="str">
        <f>IF(G2433="","",INDEX(COA!$A$4:$A$123,MATCH(JU!$G2433,COA!$B$4:$B$123,0)))</f>
        <v/>
      </c>
      <c r="I2433" s="52" t="str">
        <f>IF(J2433="","",INDEX(COA!$A$4:$A$123,MATCH(JU!$J2433,COA!$B$4:$B$123,0)))</f>
        <v/>
      </c>
      <c r="K2433" s="34" t="str">
        <f t="shared" si="296"/>
        <v/>
      </c>
    </row>
    <row r="2434" spans="6:11" hidden="1">
      <c r="F2434" s="52" t="str">
        <f>IF(G2434="","",INDEX(COA!$A$4:$A$123,MATCH(JU!$G2434,COA!$B$4:$B$123,0)))</f>
        <v/>
      </c>
      <c r="I2434" s="52" t="str">
        <f>IF(J2434="","",INDEX(COA!$A$4:$A$123,MATCH(JU!$J2434,COA!$B$4:$B$123,0)))</f>
        <v/>
      </c>
      <c r="K2434" s="34" t="str">
        <f t="shared" si="296"/>
        <v/>
      </c>
    </row>
    <row r="2435" spans="6:11" hidden="1">
      <c r="F2435" s="52" t="str">
        <f>IF(G2435="","",INDEX(COA!$A$4:$A$123,MATCH(JU!$G2435,COA!$B$4:$B$123,0)))</f>
        <v/>
      </c>
      <c r="I2435" s="52" t="str">
        <f>IF(J2435="","",INDEX(COA!$A$4:$A$123,MATCH(JU!$J2435,COA!$B$4:$B$123,0)))</f>
        <v/>
      </c>
      <c r="K2435" s="34" t="str">
        <f t="shared" si="296"/>
        <v/>
      </c>
    </row>
    <row r="2436" spans="6:11" hidden="1">
      <c r="F2436" s="52" t="str">
        <f>IF(G2436="","",INDEX(COA!$A$4:$A$123,MATCH(JU!$G2436,COA!$B$4:$B$123,0)))</f>
        <v/>
      </c>
      <c r="I2436" s="52" t="str">
        <f>IF(J2436="","",INDEX(COA!$A$4:$A$123,MATCH(JU!$J2436,COA!$B$4:$B$123,0)))</f>
        <v/>
      </c>
      <c r="K2436" s="34" t="str">
        <f t="shared" si="296"/>
        <v/>
      </c>
    </row>
    <row r="2437" spans="6:11" hidden="1">
      <c r="F2437" s="52" t="str">
        <f>IF(G2437="","",INDEX(COA!$A$4:$A$123,MATCH(JU!$G2437,COA!$B$4:$B$123,0)))</f>
        <v/>
      </c>
      <c r="I2437" s="52" t="str">
        <f>IF(J2437="","",INDEX(COA!$A$4:$A$123,MATCH(JU!$J2437,COA!$B$4:$B$123,0)))</f>
        <v/>
      </c>
      <c r="K2437" s="34" t="str">
        <f t="shared" si="296"/>
        <v/>
      </c>
    </row>
    <row r="2438" spans="6:11" hidden="1">
      <c r="F2438" s="52" t="str">
        <f>IF(G2438="","",INDEX(COA!$A$4:$A$123,MATCH(JU!$G2438,COA!$B$4:$B$123,0)))</f>
        <v/>
      </c>
      <c r="I2438" s="52" t="str">
        <f>IF(J2438="","",INDEX(COA!$A$4:$A$123,MATCH(JU!$J2438,COA!$B$4:$B$123,0)))</f>
        <v/>
      </c>
      <c r="K2438" s="34" t="str">
        <f t="shared" si="296"/>
        <v/>
      </c>
    </row>
    <row r="2439" spans="6:11" hidden="1">
      <c r="F2439" s="52" t="str">
        <f>IF(G2439="","",INDEX(COA!$A$4:$A$123,MATCH(JU!$G2439,COA!$B$4:$B$123,0)))</f>
        <v/>
      </c>
      <c r="I2439" s="52" t="str">
        <f>IF(J2439="","",INDEX(COA!$A$4:$A$123,MATCH(JU!$J2439,COA!$B$4:$B$123,0)))</f>
        <v/>
      </c>
      <c r="K2439" s="34" t="str">
        <f t="shared" si="296"/>
        <v/>
      </c>
    </row>
    <row r="2440" spans="6:11" hidden="1">
      <c r="F2440" s="52" t="str">
        <f>IF(G2440="","",INDEX(COA!$A$4:$A$123,MATCH(JU!$G2440,COA!$B$4:$B$123,0)))</f>
        <v/>
      </c>
      <c r="I2440" s="52" t="str">
        <f>IF(J2440="","",INDEX(COA!$A$4:$A$123,MATCH(JU!$J2440,COA!$B$4:$B$123,0)))</f>
        <v/>
      </c>
      <c r="K2440" s="34" t="str">
        <f t="shared" si="296"/>
        <v/>
      </c>
    </row>
    <row r="2441" spans="6:11" hidden="1">
      <c r="F2441" s="52" t="str">
        <f>IF(G2441="","",INDEX(COA!$A$4:$A$123,MATCH(JU!$G2441,COA!$B$4:$B$123,0)))</f>
        <v/>
      </c>
      <c r="I2441" s="52" t="str">
        <f>IF(J2441="","",INDEX(COA!$A$4:$A$123,MATCH(JU!$J2441,COA!$B$4:$B$123,0)))</f>
        <v/>
      </c>
      <c r="K2441" s="34" t="str">
        <f t="shared" si="296"/>
        <v/>
      </c>
    </row>
    <row r="2442" spans="6:11" hidden="1">
      <c r="F2442" s="52" t="str">
        <f>IF(G2442="","",INDEX(COA!$A$4:$A$123,MATCH(JU!$G2442,COA!$B$4:$B$123,0)))</f>
        <v/>
      </c>
      <c r="I2442" s="52" t="str">
        <f>IF(J2442="","",INDEX(COA!$A$4:$A$123,MATCH(JU!$J2442,COA!$B$4:$B$123,0)))</f>
        <v/>
      </c>
      <c r="K2442" s="34" t="str">
        <f t="shared" si="296"/>
        <v/>
      </c>
    </row>
    <row r="2443" spans="6:11" hidden="1">
      <c r="F2443" s="52" t="str">
        <f>IF(G2443="","",INDEX(COA!$A$4:$A$123,MATCH(JU!$G2443,COA!$B$4:$B$123,0)))</f>
        <v/>
      </c>
      <c r="I2443" s="52" t="str">
        <f>IF(J2443="","",INDEX(COA!$A$4:$A$123,MATCH(JU!$J2443,COA!$B$4:$B$123,0)))</f>
        <v/>
      </c>
      <c r="K2443" s="34" t="str">
        <f t="shared" si="296"/>
        <v/>
      </c>
    </row>
    <row r="2444" spans="6:11" hidden="1">
      <c r="F2444" s="52" t="str">
        <f>IF(G2444="","",INDEX(COA!$A$4:$A$123,MATCH(JU!$G2444,COA!$B$4:$B$123,0)))</f>
        <v/>
      </c>
      <c r="I2444" s="52" t="str">
        <f>IF(J2444="","",INDEX(COA!$A$4:$A$123,MATCH(JU!$J2444,COA!$B$4:$B$123,0)))</f>
        <v/>
      </c>
      <c r="K2444" s="34" t="str">
        <f t="shared" si="296"/>
        <v/>
      </c>
    </row>
    <row r="2445" spans="6:11" hidden="1">
      <c r="F2445" s="52" t="str">
        <f>IF(G2445="","",INDEX(COA!$A$4:$A$123,MATCH(JU!$G2445,COA!$B$4:$B$123,0)))</f>
        <v/>
      </c>
      <c r="I2445" s="52" t="str">
        <f>IF(J2445="","",INDEX(COA!$A$4:$A$123,MATCH(JU!$J2445,COA!$B$4:$B$123,0)))</f>
        <v/>
      </c>
      <c r="K2445" s="34" t="str">
        <f t="shared" si="296"/>
        <v/>
      </c>
    </row>
    <row r="2446" spans="6:11" hidden="1">
      <c r="F2446" s="52" t="str">
        <f>IF(G2446="","",INDEX(COA!$A$4:$A$123,MATCH(JU!$G2446,COA!$B$4:$B$123,0)))</f>
        <v/>
      </c>
      <c r="I2446" s="52" t="str">
        <f>IF(J2446="","",INDEX(COA!$A$4:$A$123,MATCH(JU!$J2446,COA!$B$4:$B$123,0)))</f>
        <v/>
      </c>
      <c r="K2446" s="34" t="str">
        <f t="shared" si="296"/>
        <v/>
      </c>
    </row>
    <row r="2447" spans="6:11" hidden="1">
      <c r="F2447" s="52" t="str">
        <f>IF(G2447="","",INDEX(COA!$A$4:$A$123,MATCH(JU!$G2447,COA!$B$4:$B$123,0)))</f>
        <v/>
      </c>
      <c r="I2447" s="52" t="str">
        <f>IF(J2447="","",INDEX(COA!$A$4:$A$123,MATCH(JU!$J2447,COA!$B$4:$B$123,0)))</f>
        <v/>
      </c>
      <c r="K2447" s="34" t="str">
        <f t="shared" si="296"/>
        <v/>
      </c>
    </row>
    <row r="2448" spans="6:11" hidden="1">
      <c r="F2448" s="52" t="str">
        <f>IF(G2448="","",INDEX(COA!$A$4:$A$123,MATCH(JU!$G2448,COA!$B$4:$B$123,0)))</f>
        <v/>
      </c>
      <c r="I2448" s="52" t="str">
        <f>IF(J2448="","",INDEX(COA!$A$4:$A$123,MATCH(JU!$J2448,COA!$B$4:$B$123,0)))</f>
        <v/>
      </c>
      <c r="K2448" s="34" t="str">
        <f t="shared" si="296"/>
        <v/>
      </c>
    </row>
    <row r="2449" spans="6:11" hidden="1">
      <c r="F2449" s="52" t="str">
        <f>IF(G2449="","",INDEX(COA!$A$4:$A$123,MATCH(JU!$G2449,COA!$B$4:$B$123,0)))</f>
        <v/>
      </c>
      <c r="I2449" s="52" t="str">
        <f>IF(J2449="","",INDEX(COA!$A$4:$A$123,MATCH(JU!$J2449,COA!$B$4:$B$123,0)))</f>
        <v/>
      </c>
      <c r="K2449" s="34" t="str">
        <f t="shared" si="296"/>
        <v/>
      </c>
    </row>
    <row r="2450" spans="6:11" hidden="1">
      <c r="F2450" s="52" t="str">
        <f>IF(G2450="","",INDEX(COA!$A$4:$A$123,MATCH(JU!$G2450,COA!$B$4:$B$123,0)))</f>
        <v/>
      </c>
      <c r="I2450" s="52" t="str">
        <f>IF(J2450="","",INDEX(COA!$A$4:$A$123,MATCH(JU!$J2450,COA!$B$4:$B$123,0)))</f>
        <v/>
      </c>
      <c r="K2450" s="34" t="str">
        <f t="shared" si="296"/>
        <v/>
      </c>
    </row>
    <row r="2451" spans="6:11" hidden="1">
      <c r="F2451" s="52" t="str">
        <f>IF(G2451="","",INDEX(COA!$A$4:$A$123,MATCH(JU!$G2451,COA!$B$4:$B$123,0)))</f>
        <v/>
      </c>
      <c r="I2451" s="52" t="str">
        <f>IF(J2451="","",INDEX(COA!$A$4:$A$123,MATCH(JU!$J2451,COA!$B$4:$B$123,0)))</f>
        <v/>
      </c>
      <c r="K2451" s="34" t="str">
        <f t="shared" si="296"/>
        <v/>
      </c>
    </row>
    <row r="2452" spans="6:11" hidden="1">
      <c r="F2452" s="52" t="str">
        <f>IF(G2452="","",INDEX(COA!$A$4:$A$123,MATCH(JU!$G2452,COA!$B$4:$B$123,0)))</f>
        <v/>
      </c>
      <c r="I2452" s="52" t="str">
        <f>IF(J2452="","",INDEX(COA!$A$4:$A$123,MATCH(JU!$J2452,COA!$B$4:$B$123,0)))</f>
        <v/>
      </c>
      <c r="K2452" s="34" t="str">
        <f t="shared" si="296"/>
        <v/>
      </c>
    </row>
    <row r="2453" spans="6:11" hidden="1">
      <c r="F2453" s="52" t="str">
        <f>IF(G2453="","",INDEX(COA!$A$4:$A$123,MATCH(JU!$G2453,COA!$B$4:$B$123,0)))</f>
        <v/>
      </c>
      <c r="I2453" s="52" t="str">
        <f>IF(J2453="","",INDEX(COA!$A$4:$A$123,MATCH(JU!$J2453,COA!$B$4:$B$123,0)))</f>
        <v/>
      </c>
      <c r="K2453" s="34" t="str">
        <f t="shared" si="296"/>
        <v/>
      </c>
    </row>
    <row r="2454" spans="6:11" hidden="1">
      <c r="F2454" s="52" t="str">
        <f>IF(G2454="","",INDEX(COA!$A$4:$A$123,MATCH(JU!$G2454,COA!$B$4:$B$123,0)))</f>
        <v/>
      </c>
      <c r="I2454" s="52" t="str">
        <f>IF(J2454="","",INDEX(COA!$A$4:$A$123,MATCH(JU!$J2454,COA!$B$4:$B$123,0)))</f>
        <v/>
      </c>
      <c r="K2454" s="34" t="str">
        <f t="shared" si="296"/>
        <v/>
      </c>
    </row>
    <row r="2455" spans="6:11" hidden="1">
      <c r="F2455" s="52" t="str">
        <f>IF(G2455="","",INDEX(COA!$A$4:$A$123,MATCH(JU!$G2455,COA!$B$4:$B$123,0)))</f>
        <v/>
      </c>
      <c r="I2455" s="52" t="str">
        <f>IF(J2455="","",INDEX(COA!$A$4:$A$123,MATCH(JU!$J2455,COA!$B$4:$B$123,0)))</f>
        <v/>
      </c>
      <c r="K2455" s="34" t="str">
        <f t="shared" si="296"/>
        <v/>
      </c>
    </row>
    <row r="2456" spans="6:11" hidden="1">
      <c r="F2456" s="52" t="str">
        <f>IF(G2456="","",INDEX(COA!$A$4:$A$123,MATCH(JU!$G2456,COA!$B$4:$B$123,0)))</f>
        <v/>
      </c>
      <c r="I2456" s="52" t="str">
        <f>IF(J2456="","",INDEX(COA!$A$4:$A$123,MATCH(JU!$J2456,COA!$B$4:$B$123,0)))</f>
        <v/>
      </c>
      <c r="K2456" s="34" t="str">
        <f t="shared" si="296"/>
        <v/>
      </c>
    </row>
    <row r="2457" spans="6:11" hidden="1">
      <c r="F2457" s="52" t="str">
        <f>IF(G2457="","",INDEX(COA!$A$4:$A$123,MATCH(JU!$G2457,COA!$B$4:$B$123,0)))</f>
        <v/>
      </c>
      <c r="I2457" s="52" t="str">
        <f>IF(J2457="","",INDEX(COA!$A$4:$A$123,MATCH(JU!$J2457,COA!$B$4:$B$123,0)))</f>
        <v/>
      </c>
      <c r="K2457" s="34" t="str">
        <f t="shared" si="296"/>
        <v/>
      </c>
    </row>
    <row r="2458" spans="6:11" hidden="1">
      <c r="F2458" s="52" t="str">
        <f>IF(G2458="","",INDEX(COA!$A$4:$A$123,MATCH(JU!$G2458,COA!$B$4:$B$123,0)))</f>
        <v/>
      </c>
      <c r="I2458" s="52" t="str">
        <f>IF(J2458="","",INDEX(COA!$A$4:$A$123,MATCH(JU!$J2458,COA!$B$4:$B$123,0)))</f>
        <v/>
      </c>
      <c r="K2458" s="34" t="str">
        <f t="shared" si="296"/>
        <v/>
      </c>
    </row>
    <row r="2459" spans="6:11" hidden="1">
      <c r="F2459" s="52" t="str">
        <f>IF(G2459="","",INDEX(COA!$A$4:$A$123,MATCH(JU!$G2459,COA!$B$4:$B$123,0)))</f>
        <v/>
      </c>
      <c r="I2459" s="52" t="str">
        <f>IF(J2459="","",INDEX(COA!$A$4:$A$123,MATCH(JU!$J2459,COA!$B$4:$B$123,0)))</f>
        <v/>
      </c>
      <c r="K2459" s="34" t="str">
        <f t="shared" si="296"/>
        <v/>
      </c>
    </row>
    <row r="2460" spans="6:11" hidden="1">
      <c r="F2460" s="52" t="str">
        <f>IF(G2460="","",INDEX(COA!$A$4:$A$123,MATCH(JU!$G2460,COA!$B$4:$B$123,0)))</f>
        <v/>
      </c>
      <c r="I2460" s="52" t="str">
        <f>IF(J2460="","",INDEX(COA!$A$4:$A$123,MATCH(JU!$J2460,COA!$B$4:$B$123,0)))</f>
        <v/>
      </c>
      <c r="K2460" s="34" t="str">
        <f t="shared" si="296"/>
        <v/>
      </c>
    </row>
    <row r="2461" spans="6:11" hidden="1">
      <c r="F2461" s="52" t="str">
        <f>IF(G2461="","",INDEX(COA!$A$4:$A$123,MATCH(JU!$G2461,COA!$B$4:$B$123,0)))</f>
        <v/>
      </c>
      <c r="I2461" s="52" t="str">
        <f>IF(J2461="","",INDEX(COA!$A$4:$A$123,MATCH(JU!$J2461,COA!$B$4:$B$123,0)))</f>
        <v/>
      </c>
      <c r="K2461" s="34" t="str">
        <f t="shared" si="296"/>
        <v/>
      </c>
    </row>
    <row r="2462" spans="6:11" hidden="1">
      <c r="F2462" s="52" t="str">
        <f>IF(G2462="","",INDEX(COA!$A$4:$A$123,MATCH(JU!$G2462,COA!$B$4:$B$123,0)))</f>
        <v/>
      </c>
      <c r="I2462" s="52" t="str">
        <f>IF(J2462="","",INDEX(COA!$A$4:$A$123,MATCH(JU!$J2462,COA!$B$4:$B$123,0)))</f>
        <v/>
      </c>
      <c r="K2462" s="34" t="str">
        <f t="shared" ref="K2462:K2525" si="297">IF(H2462="","",H2462)</f>
        <v/>
      </c>
    </row>
    <row r="2463" spans="6:11" hidden="1">
      <c r="F2463" s="52" t="str">
        <f>IF(G2463="","",INDEX(COA!$A$4:$A$123,MATCH(JU!$G2463,COA!$B$4:$B$123,0)))</f>
        <v/>
      </c>
      <c r="I2463" s="52" t="str">
        <f>IF(J2463="","",INDEX(COA!$A$4:$A$123,MATCH(JU!$J2463,COA!$B$4:$B$123,0)))</f>
        <v/>
      </c>
      <c r="K2463" s="34" t="str">
        <f t="shared" si="297"/>
        <v/>
      </c>
    </row>
    <row r="2464" spans="6:11" hidden="1">
      <c r="F2464" s="52" t="str">
        <f>IF(G2464="","",INDEX(COA!$A$4:$A$123,MATCH(JU!$G2464,COA!$B$4:$B$123,0)))</f>
        <v/>
      </c>
      <c r="I2464" s="52" t="str">
        <f>IF(J2464="","",INDEX(COA!$A$4:$A$123,MATCH(JU!$J2464,COA!$B$4:$B$123,0)))</f>
        <v/>
      </c>
      <c r="K2464" s="34" t="str">
        <f t="shared" si="297"/>
        <v/>
      </c>
    </row>
    <row r="2465" spans="6:11" hidden="1">
      <c r="F2465" s="52" t="str">
        <f>IF(G2465="","",INDEX(COA!$A$4:$A$123,MATCH(JU!$G2465,COA!$B$4:$B$123,0)))</f>
        <v/>
      </c>
      <c r="I2465" s="52" t="str">
        <f>IF(J2465="","",INDEX(COA!$A$4:$A$123,MATCH(JU!$J2465,COA!$B$4:$B$123,0)))</f>
        <v/>
      </c>
      <c r="K2465" s="34" t="str">
        <f t="shared" si="297"/>
        <v/>
      </c>
    </row>
    <row r="2466" spans="6:11" hidden="1">
      <c r="F2466" s="52" t="str">
        <f>IF(G2466="","",INDEX(COA!$A$4:$A$123,MATCH(JU!$G2466,COA!$B$4:$B$123,0)))</f>
        <v/>
      </c>
      <c r="I2466" s="52" t="str">
        <f>IF(J2466="","",INDEX(COA!$A$4:$A$123,MATCH(JU!$J2466,COA!$B$4:$B$123,0)))</f>
        <v/>
      </c>
      <c r="K2466" s="34" t="str">
        <f t="shared" si="297"/>
        <v/>
      </c>
    </row>
    <row r="2467" spans="6:11" hidden="1">
      <c r="F2467" s="52" t="str">
        <f>IF(G2467="","",INDEX(COA!$A$4:$A$123,MATCH(JU!$G2467,COA!$B$4:$B$123,0)))</f>
        <v/>
      </c>
      <c r="I2467" s="52" t="str">
        <f>IF(J2467="","",INDEX(COA!$A$4:$A$123,MATCH(JU!$J2467,COA!$B$4:$B$123,0)))</f>
        <v/>
      </c>
      <c r="K2467" s="34" t="str">
        <f t="shared" si="297"/>
        <v/>
      </c>
    </row>
    <row r="2468" spans="6:11" hidden="1">
      <c r="F2468" s="52" t="str">
        <f>IF(G2468="","",INDEX(COA!$A$4:$A$123,MATCH(JU!$G2468,COA!$B$4:$B$123,0)))</f>
        <v/>
      </c>
      <c r="I2468" s="52" t="str">
        <f>IF(J2468="","",INDEX(COA!$A$4:$A$123,MATCH(JU!$J2468,COA!$B$4:$B$123,0)))</f>
        <v/>
      </c>
      <c r="K2468" s="34" t="str">
        <f t="shared" si="297"/>
        <v/>
      </c>
    </row>
    <row r="2469" spans="6:11" hidden="1">
      <c r="F2469" s="52" t="str">
        <f>IF(G2469="","",INDEX(COA!$A$4:$A$123,MATCH(JU!$G2469,COA!$B$4:$B$123,0)))</f>
        <v/>
      </c>
      <c r="I2469" s="52" t="str">
        <f>IF(J2469="","",INDEX(COA!$A$4:$A$123,MATCH(JU!$J2469,COA!$B$4:$B$123,0)))</f>
        <v/>
      </c>
      <c r="K2469" s="34" t="str">
        <f t="shared" si="297"/>
        <v/>
      </c>
    </row>
    <row r="2470" spans="6:11" hidden="1">
      <c r="F2470" s="52" t="str">
        <f>IF(G2470="","",INDEX(COA!$A$4:$A$123,MATCH(JU!$G2470,COA!$B$4:$B$123,0)))</f>
        <v/>
      </c>
      <c r="I2470" s="52" t="str">
        <f>IF(J2470="","",INDEX(COA!$A$4:$A$123,MATCH(JU!$J2470,COA!$B$4:$B$123,0)))</f>
        <v/>
      </c>
      <c r="K2470" s="34" t="str">
        <f t="shared" si="297"/>
        <v/>
      </c>
    </row>
    <row r="2471" spans="6:11" hidden="1">
      <c r="F2471" s="52" t="str">
        <f>IF(G2471="","",INDEX(COA!$A$4:$A$123,MATCH(JU!$G2471,COA!$B$4:$B$123,0)))</f>
        <v/>
      </c>
      <c r="I2471" s="52" t="str">
        <f>IF(J2471="","",INDEX(COA!$A$4:$A$123,MATCH(JU!$J2471,COA!$B$4:$B$123,0)))</f>
        <v/>
      </c>
      <c r="K2471" s="34" t="str">
        <f t="shared" si="297"/>
        <v/>
      </c>
    </row>
    <row r="2472" spans="6:11" hidden="1">
      <c r="F2472" s="52" t="str">
        <f>IF(G2472="","",INDEX(COA!$A$4:$A$123,MATCH(JU!$G2472,COA!$B$4:$B$123,0)))</f>
        <v/>
      </c>
      <c r="I2472" s="52" t="str">
        <f>IF(J2472="","",INDEX(COA!$A$4:$A$123,MATCH(JU!$J2472,COA!$B$4:$B$123,0)))</f>
        <v/>
      </c>
      <c r="K2472" s="34" t="str">
        <f t="shared" si="297"/>
        <v/>
      </c>
    </row>
    <row r="2473" spans="6:11" hidden="1">
      <c r="F2473" s="52" t="str">
        <f>IF(G2473="","",INDEX(COA!$A$4:$A$123,MATCH(JU!$G2473,COA!$B$4:$B$123,0)))</f>
        <v/>
      </c>
      <c r="I2473" s="52" t="str">
        <f>IF(J2473="","",INDEX(COA!$A$4:$A$123,MATCH(JU!$J2473,COA!$B$4:$B$123,0)))</f>
        <v/>
      </c>
      <c r="K2473" s="34" t="str">
        <f t="shared" si="297"/>
        <v/>
      </c>
    </row>
    <row r="2474" spans="6:11" hidden="1">
      <c r="F2474" s="52" t="str">
        <f>IF(G2474="","",INDEX(COA!$A$4:$A$123,MATCH(JU!$G2474,COA!$B$4:$B$123,0)))</f>
        <v/>
      </c>
      <c r="I2474" s="52" t="str">
        <f>IF(J2474="","",INDEX(COA!$A$4:$A$123,MATCH(JU!$J2474,COA!$B$4:$B$123,0)))</f>
        <v/>
      </c>
      <c r="K2474" s="34" t="str">
        <f t="shared" si="297"/>
        <v/>
      </c>
    </row>
    <row r="2475" spans="6:11" hidden="1">
      <c r="F2475" s="52" t="str">
        <f>IF(G2475="","",INDEX(COA!$A$4:$A$123,MATCH(JU!$G2475,COA!$B$4:$B$123,0)))</f>
        <v/>
      </c>
      <c r="I2475" s="52" t="str">
        <f>IF(J2475="","",INDEX(COA!$A$4:$A$123,MATCH(JU!$J2475,COA!$B$4:$B$123,0)))</f>
        <v/>
      </c>
      <c r="K2475" s="34" t="str">
        <f t="shared" si="297"/>
        <v/>
      </c>
    </row>
    <row r="2476" spans="6:11" hidden="1">
      <c r="F2476" s="52" t="str">
        <f>IF(G2476="","",INDEX(COA!$A$4:$A$123,MATCH(JU!$G2476,COA!$B$4:$B$123,0)))</f>
        <v/>
      </c>
      <c r="I2476" s="52" t="str">
        <f>IF(J2476="","",INDEX(COA!$A$4:$A$123,MATCH(JU!$J2476,COA!$B$4:$B$123,0)))</f>
        <v/>
      </c>
      <c r="K2476" s="34" t="str">
        <f t="shared" si="297"/>
        <v/>
      </c>
    </row>
    <row r="2477" spans="6:11" hidden="1">
      <c r="F2477" s="52" t="str">
        <f>IF(G2477="","",INDEX(COA!$A$4:$A$123,MATCH(JU!$G2477,COA!$B$4:$B$123,0)))</f>
        <v/>
      </c>
      <c r="I2477" s="52" t="str">
        <f>IF(J2477="","",INDEX(COA!$A$4:$A$123,MATCH(JU!$J2477,COA!$B$4:$B$123,0)))</f>
        <v/>
      </c>
      <c r="K2477" s="34" t="str">
        <f t="shared" si="297"/>
        <v/>
      </c>
    </row>
    <row r="2478" spans="6:11" hidden="1">
      <c r="F2478" s="52" t="str">
        <f>IF(G2478="","",INDEX(COA!$A$4:$A$123,MATCH(JU!$G2478,COA!$B$4:$B$123,0)))</f>
        <v/>
      </c>
      <c r="I2478" s="52" t="str">
        <f>IF(J2478="","",INDEX(COA!$A$4:$A$123,MATCH(JU!$J2478,COA!$B$4:$B$123,0)))</f>
        <v/>
      </c>
      <c r="K2478" s="34" t="str">
        <f t="shared" si="297"/>
        <v/>
      </c>
    </row>
    <row r="2479" spans="6:11" hidden="1">
      <c r="F2479" s="52" t="str">
        <f>IF(G2479="","",INDEX(COA!$A$4:$A$123,MATCH(JU!$G2479,COA!$B$4:$B$123,0)))</f>
        <v/>
      </c>
      <c r="I2479" s="52" t="str">
        <f>IF(J2479="","",INDEX(COA!$A$4:$A$123,MATCH(JU!$J2479,COA!$B$4:$B$123,0)))</f>
        <v/>
      </c>
      <c r="K2479" s="34" t="str">
        <f t="shared" si="297"/>
        <v/>
      </c>
    </row>
    <row r="2480" spans="6:11" hidden="1">
      <c r="F2480" s="52" t="str">
        <f>IF(G2480="","",INDEX(COA!$A$4:$A$123,MATCH(JU!$G2480,COA!$B$4:$B$123,0)))</f>
        <v/>
      </c>
      <c r="I2480" s="52" t="str">
        <f>IF(J2480="","",INDEX(COA!$A$4:$A$123,MATCH(JU!$J2480,COA!$B$4:$B$123,0)))</f>
        <v/>
      </c>
      <c r="K2480" s="34" t="str">
        <f t="shared" si="297"/>
        <v/>
      </c>
    </row>
    <row r="2481" spans="6:11" hidden="1">
      <c r="F2481" s="52" t="str">
        <f>IF(G2481="","",INDEX(COA!$A$4:$A$123,MATCH(JU!$G2481,COA!$B$4:$B$123,0)))</f>
        <v/>
      </c>
      <c r="I2481" s="52" t="str">
        <f>IF(J2481="","",INDEX(COA!$A$4:$A$123,MATCH(JU!$J2481,COA!$B$4:$B$123,0)))</f>
        <v/>
      </c>
      <c r="K2481" s="34" t="str">
        <f t="shared" si="297"/>
        <v/>
      </c>
    </row>
    <row r="2482" spans="6:11" hidden="1">
      <c r="F2482" s="52" t="str">
        <f>IF(G2482="","",INDEX(COA!$A$4:$A$123,MATCH(JU!$G2482,COA!$B$4:$B$123,0)))</f>
        <v/>
      </c>
      <c r="I2482" s="52" t="str">
        <f>IF(J2482="","",INDEX(COA!$A$4:$A$123,MATCH(JU!$J2482,COA!$B$4:$B$123,0)))</f>
        <v/>
      </c>
      <c r="K2482" s="34" t="str">
        <f t="shared" si="297"/>
        <v/>
      </c>
    </row>
    <row r="2483" spans="6:11" hidden="1">
      <c r="F2483" s="52" t="str">
        <f>IF(G2483="","",INDEX(COA!$A$4:$A$123,MATCH(JU!$G2483,COA!$B$4:$B$123,0)))</f>
        <v/>
      </c>
      <c r="I2483" s="52" t="str">
        <f>IF(J2483="","",INDEX(COA!$A$4:$A$123,MATCH(JU!$J2483,COA!$B$4:$B$123,0)))</f>
        <v/>
      </c>
      <c r="K2483" s="34" t="str">
        <f t="shared" si="297"/>
        <v/>
      </c>
    </row>
    <row r="2484" spans="6:11" hidden="1">
      <c r="F2484" s="52" t="str">
        <f>IF(G2484="","",INDEX(COA!$A$4:$A$123,MATCH(JU!$G2484,COA!$B$4:$B$123,0)))</f>
        <v/>
      </c>
      <c r="I2484" s="52" t="str">
        <f>IF(J2484="","",INDEX(COA!$A$4:$A$123,MATCH(JU!$J2484,COA!$B$4:$B$123,0)))</f>
        <v/>
      </c>
      <c r="K2484" s="34" t="str">
        <f t="shared" si="297"/>
        <v/>
      </c>
    </row>
    <row r="2485" spans="6:11" hidden="1">
      <c r="F2485" s="52" t="str">
        <f>IF(G2485="","",INDEX(COA!$A$4:$A$123,MATCH(JU!$G2485,COA!$B$4:$B$123,0)))</f>
        <v/>
      </c>
      <c r="I2485" s="52" t="str">
        <f>IF(J2485="","",INDEX(COA!$A$4:$A$123,MATCH(JU!$J2485,COA!$B$4:$B$123,0)))</f>
        <v/>
      </c>
      <c r="K2485" s="34" t="str">
        <f t="shared" si="297"/>
        <v/>
      </c>
    </row>
    <row r="2486" spans="6:11" hidden="1">
      <c r="F2486" s="52" t="str">
        <f>IF(G2486="","",INDEX(COA!$A$4:$A$123,MATCH(JU!$G2486,COA!$B$4:$B$123,0)))</f>
        <v/>
      </c>
      <c r="I2486" s="52" t="str">
        <f>IF(J2486="","",INDEX(COA!$A$4:$A$123,MATCH(JU!$J2486,COA!$B$4:$B$123,0)))</f>
        <v/>
      </c>
      <c r="K2486" s="34" t="str">
        <f t="shared" si="297"/>
        <v/>
      </c>
    </row>
    <row r="2487" spans="6:11" hidden="1">
      <c r="F2487" s="52" t="str">
        <f>IF(G2487="","",INDEX(COA!$A$4:$A$123,MATCH(JU!$G2487,COA!$B$4:$B$123,0)))</f>
        <v/>
      </c>
      <c r="I2487" s="52" t="str">
        <f>IF(J2487="","",INDEX(COA!$A$4:$A$123,MATCH(JU!$J2487,COA!$B$4:$B$123,0)))</f>
        <v/>
      </c>
      <c r="K2487" s="34" t="str">
        <f t="shared" si="297"/>
        <v/>
      </c>
    </row>
    <row r="2488" spans="6:11" hidden="1">
      <c r="F2488" s="52" t="str">
        <f>IF(G2488="","",INDEX(COA!$A$4:$A$123,MATCH(JU!$G2488,COA!$B$4:$B$123,0)))</f>
        <v/>
      </c>
      <c r="I2488" s="52" t="str">
        <f>IF(J2488="","",INDEX(COA!$A$4:$A$123,MATCH(JU!$J2488,COA!$B$4:$B$123,0)))</f>
        <v/>
      </c>
      <c r="K2488" s="34" t="str">
        <f t="shared" si="297"/>
        <v/>
      </c>
    </row>
    <row r="2489" spans="6:11" hidden="1">
      <c r="F2489" s="52" t="str">
        <f>IF(G2489="","",INDEX(COA!$A$4:$A$123,MATCH(JU!$G2489,COA!$B$4:$B$123,0)))</f>
        <v/>
      </c>
      <c r="I2489" s="52" t="str">
        <f>IF(J2489="","",INDEX(COA!$A$4:$A$123,MATCH(JU!$J2489,COA!$B$4:$B$123,0)))</f>
        <v/>
      </c>
      <c r="K2489" s="34" t="str">
        <f t="shared" si="297"/>
        <v/>
      </c>
    </row>
    <row r="2490" spans="6:11" hidden="1">
      <c r="F2490" s="52" t="str">
        <f>IF(G2490="","",INDEX(COA!$A$4:$A$123,MATCH(JU!$G2490,COA!$B$4:$B$123,0)))</f>
        <v/>
      </c>
      <c r="I2490" s="52" t="str">
        <f>IF(J2490="","",INDEX(COA!$A$4:$A$123,MATCH(JU!$J2490,COA!$B$4:$B$123,0)))</f>
        <v/>
      </c>
      <c r="K2490" s="34" t="str">
        <f t="shared" si="297"/>
        <v/>
      </c>
    </row>
    <row r="2491" spans="6:11" hidden="1">
      <c r="F2491" s="52" t="str">
        <f>IF(G2491="","",INDEX(COA!$A$4:$A$123,MATCH(JU!$G2491,COA!$B$4:$B$123,0)))</f>
        <v/>
      </c>
      <c r="I2491" s="52" t="str">
        <f>IF(J2491="","",INDEX(COA!$A$4:$A$123,MATCH(JU!$J2491,COA!$B$4:$B$123,0)))</f>
        <v/>
      </c>
      <c r="K2491" s="34" t="str">
        <f t="shared" si="297"/>
        <v/>
      </c>
    </row>
    <row r="2492" spans="6:11" hidden="1">
      <c r="F2492" s="52" t="str">
        <f>IF(G2492="","",INDEX(COA!$A$4:$A$123,MATCH(JU!$G2492,COA!$B$4:$B$123,0)))</f>
        <v/>
      </c>
      <c r="I2492" s="52" t="str">
        <f>IF(J2492="","",INDEX(COA!$A$4:$A$123,MATCH(JU!$J2492,COA!$B$4:$B$123,0)))</f>
        <v/>
      </c>
      <c r="K2492" s="34" t="str">
        <f t="shared" si="297"/>
        <v/>
      </c>
    </row>
    <row r="2493" spans="6:11" hidden="1">
      <c r="F2493" s="52" t="str">
        <f>IF(G2493="","",INDEX(COA!$A$4:$A$123,MATCH(JU!$G2493,COA!$B$4:$B$123,0)))</f>
        <v/>
      </c>
      <c r="I2493" s="52" t="str">
        <f>IF(J2493="","",INDEX(COA!$A$4:$A$123,MATCH(JU!$J2493,COA!$B$4:$B$123,0)))</f>
        <v/>
      </c>
      <c r="K2493" s="34" t="str">
        <f t="shared" si="297"/>
        <v/>
      </c>
    </row>
    <row r="2494" spans="6:11" hidden="1">
      <c r="F2494" s="52" t="str">
        <f>IF(G2494="","",INDEX(COA!$A$4:$A$123,MATCH(JU!$G2494,COA!$B$4:$B$123,0)))</f>
        <v/>
      </c>
      <c r="I2494" s="52" t="str">
        <f>IF(J2494="","",INDEX(COA!$A$4:$A$123,MATCH(JU!$J2494,COA!$B$4:$B$123,0)))</f>
        <v/>
      </c>
      <c r="K2494" s="34" t="str">
        <f t="shared" si="297"/>
        <v/>
      </c>
    </row>
    <row r="2495" spans="6:11" hidden="1">
      <c r="F2495" s="52" t="str">
        <f>IF(G2495="","",INDEX(COA!$A$4:$A$123,MATCH(JU!$G2495,COA!$B$4:$B$123,0)))</f>
        <v/>
      </c>
      <c r="I2495" s="52" t="str">
        <f>IF(J2495="","",INDEX(COA!$A$4:$A$123,MATCH(JU!$J2495,COA!$B$4:$B$123,0)))</f>
        <v/>
      </c>
      <c r="K2495" s="34" t="str">
        <f t="shared" si="297"/>
        <v/>
      </c>
    </row>
    <row r="2496" spans="6:11" hidden="1">
      <c r="F2496" s="52" t="str">
        <f>IF(G2496="","",INDEX(COA!$A$4:$A$123,MATCH(JU!$G2496,COA!$B$4:$B$123,0)))</f>
        <v/>
      </c>
      <c r="I2496" s="52" t="str">
        <f>IF(J2496="","",INDEX(COA!$A$4:$A$123,MATCH(JU!$J2496,COA!$B$4:$B$123,0)))</f>
        <v/>
      </c>
      <c r="K2496" s="34" t="str">
        <f t="shared" si="297"/>
        <v/>
      </c>
    </row>
    <row r="2497" spans="6:11" hidden="1">
      <c r="F2497" s="52" t="str">
        <f>IF(G2497="","",INDEX(COA!$A$4:$A$123,MATCH(JU!$G2497,COA!$B$4:$B$123,0)))</f>
        <v/>
      </c>
      <c r="I2497" s="52" t="str">
        <f>IF(J2497="","",INDEX(COA!$A$4:$A$123,MATCH(JU!$J2497,COA!$B$4:$B$123,0)))</f>
        <v/>
      </c>
      <c r="K2497" s="34" t="str">
        <f t="shared" si="297"/>
        <v/>
      </c>
    </row>
    <row r="2498" spans="6:11" hidden="1">
      <c r="F2498" s="52" t="str">
        <f>IF(G2498="","",INDEX(COA!$A$4:$A$123,MATCH(JU!$G2498,COA!$B$4:$B$123,0)))</f>
        <v/>
      </c>
      <c r="I2498" s="52" t="str">
        <f>IF(J2498="","",INDEX(COA!$A$4:$A$123,MATCH(JU!$J2498,COA!$B$4:$B$123,0)))</f>
        <v/>
      </c>
      <c r="K2498" s="34" t="str">
        <f t="shared" si="297"/>
        <v/>
      </c>
    </row>
    <row r="2499" spans="6:11" hidden="1">
      <c r="F2499" s="52" t="str">
        <f>IF(G2499="","",INDEX(COA!$A$4:$A$123,MATCH(JU!$G2499,COA!$B$4:$B$123,0)))</f>
        <v/>
      </c>
      <c r="I2499" s="52" t="str">
        <f>IF(J2499="","",INDEX(COA!$A$4:$A$123,MATCH(JU!$J2499,COA!$B$4:$B$123,0)))</f>
        <v/>
      </c>
      <c r="K2499" s="34" t="str">
        <f t="shared" si="297"/>
        <v/>
      </c>
    </row>
    <row r="2500" spans="6:11" hidden="1">
      <c r="F2500" s="52" t="str">
        <f>IF(G2500="","",INDEX(COA!$A$4:$A$123,MATCH(JU!$G2500,COA!$B$4:$B$123,0)))</f>
        <v/>
      </c>
      <c r="I2500" s="52" t="str">
        <f>IF(J2500="","",INDEX(COA!$A$4:$A$123,MATCH(JU!$J2500,COA!$B$4:$B$123,0)))</f>
        <v/>
      </c>
      <c r="K2500" s="34" t="str">
        <f t="shared" si="297"/>
        <v/>
      </c>
    </row>
    <row r="2501" spans="6:11" hidden="1">
      <c r="F2501" s="52" t="str">
        <f>IF(G2501="","",INDEX(COA!$A$4:$A$123,MATCH(JU!$G2501,COA!$B$4:$B$123,0)))</f>
        <v/>
      </c>
      <c r="I2501" s="52" t="str">
        <f>IF(J2501="","",INDEX(COA!$A$4:$A$123,MATCH(JU!$J2501,COA!$B$4:$B$123,0)))</f>
        <v/>
      </c>
      <c r="K2501" s="34" t="str">
        <f t="shared" si="297"/>
        <v/>
      </c>
    </row>
    <row r="2502" spans="6:11" hidden="1">
      <c r="F2502" s="52" t="str">
        <f>IF(G2502="","",INDEX(COA!$A$4:$A$123,MATCH(JU!$G2502,COA!$B$4:$B$123,0)))</f>
        <v/>
      </c>
      <c r="I2502" s="52" t="str">
        <f>IF(J2502="","",INDEX(COA!$A$4:$A$123,MATCH(JU!$J2502,COA!$B$4:$B$123,0)))</f>
        <v/>
      </c>
      <c r="K2502" s="34" t="str">
        <f t="shared" si="297"/>
        <v/>
      </c>
    </row>
    <row r="2503" spans="6:11" hidden="1">
      <c r="F2503" s="52" t="str">
        <f>IF(G2503="","",INDEX(COA!$A$4:$A$123,MATCH(JU!$G2503,COA!$B$4:$B$123,0)))</f>
        <v/>
      </c>
      <c r="I2503" s="52" t="str">
        <f>IF(J2503="","",INDEX(COA!$A$4:$A$123,MATCH(JU!$J2503,COA!$B$4:$B$123,0)))</f>
        <v/>
      </c>
      <c r="K2503" s="34" t="str">
        <f t="shared" si="297"/>
        <v/>
      </c>
    </row>
    <row r="2504" spans="6:11" hidden="1">
      <c r="F2504" s="52" t="str">
        <f>IF(G2504="","",INDEX(COA!$A$4:$A$123,MATCH(JU!$G2504,COA!$B$4:$B$123,0)))</f>
        <v/>
      </c>
      <c r="I2504" s="52" t="str">
        <f>IF(J2504="","",INDEX(COA!$A$4:$A$123,MATCH(JU!$J2504,COA!$B$4:$B$123,0)))</f>
        <v/>
      </c>
      <c r="K2504" s="34" t="str">
        <f t="shared" si="297"/>
        <v/>
      </c>
    </row>
    <row r="2505" spans="6:11" hidden="1">
      <c r="F2505" s="52" t="str">
        <f>IF(G2505="","",INDEX(COA!$A$4:$A$123,MATCH(JU!$G2505,COA!$B$4:$B$123,0)))</f>
        <v/>
      </c>
      <c r="I2505" s="52" t="str">
        <f>IF(J2505="","",INDEX(COA!$A$4:$A$123,MATCH(JU!$J2505,COA!$B$4:$B$123,0)))</f>
        <v/>
      </c>
      <c r="K2505" s="34" t="str">
        <f t="shared" si="297"/>
        <v/>
      </c>
    </row>
    <row r="2506" spans="6:11" hidden="1">
      <c r="F2506" s="52" t="str">
        <f>IF(G2506="","",INDEX(COA!$A$4:$A$123,MATCH(JU!$G2506,COA!$B$4:$B$123,0)))</f>
        <v/>
      </c>
      <c r="I2506" s="52" t="str">
        <f>IF(J2506="","",INDEX(COA!$A$4:$A$123,MATCH(JU!$J2506,COA!$B$4:$B$123,0)))</f>
        <v/>
      </c>
      <c r="K2506" s="34" t="str">
        <f t="shared" si="297"/>
        <v/>
      </c>
    </row>
    <row r="2507" spans="6:11" hidden="1">
      <c r="F2507" s="52" t="str">
        <f>IF(G2507="","",INDEX(COA!$A$4:$A$123,MATCH(JU!$G2507,COA!$B$4:$B$123,0)))</f>
        <v/>
      </c>
      <c r="I2507" s="52" t="str">
        <f>IF(J2507="","",INDEX(COA!$A$4:$A$123,MATCH(JU!$J2507,COA!$B$4:$B$123,0)))</f>
        <v/>
      </c>
      <c r="K2507" s="34" t="str">
        <f t="shared" si="297"/>
        <v/>
      </c>
    </row>
    <row r="2508" spans="6:11" hidden="1">
      <c r="F2508" s="52" t="str">
        <f>IF(G2508="","",INDEX(COA!$A$4:$A$123,MATCH(JU!$G2508,COA!$B$4:$B$123,0)))</f>
        <v/>
      </c>
      <c r="I2508" s="52" t="str">
        <f>IF(J2508="","",INDEX(COA!$A$4:$A$123,MATCH(JU!$J2508,COA!$B$4:$B$123,0)))</f>
        <v/>
      </c>
      <c r="K2508" s="34" t="str">
        <f t="shared" si="297"/>
        <v/>
      </c>
    </row>
    <row r="2509" spans="6:11" hidden="1">
      <c r="F2509" s="52" t="str">
        <f>IF(G2509="","",INDEX(COA!$A$4:$A$123,MATCH(JU!$G2509,COA!$B$4:$B$123,0)))</f>
        <v/>
      </c>
      <c r="I2509" s="52" t="str">
        <f>IF(J2509="","",INDEX(COA!$A$4:$A$123,MATCH(JU!$J2509,COA!$B$4:$B$123,0)))</f>
        <v/>
      </c>
      <c r="K2509" s="34" t="str">
        <f t="shared" si="297"/>
        <v/>
      </c>
    </row>
    <row r="2510" spans="6:11" hidden="1">
      <c r="F2510" s="52" t="str">
        <f>IF(G2510="","",INDEX(COA!$A$4:$A$123,MATCH(JU!$G2510,COA!$B$4:$B$123,0)))</f>
        <v/>
      </c>
      <c r="I2510" s="52" t="str">
        <f>IF(J2510="","",INDEX(COA!$A$4:$A$123,MATCH(JU!$J2510,COA!$B$4:$B$123,0)))</f>
        <v/>
      </c>
      <c r="K2510" s="34" t="str">
        <f t="shared" si="297"/>
        <v/>
      </c>
    </row>
    <row r="2511" spans="6:11" hidden="1">
      <c r="F2511" s="52" t="str">
        <f>IF(G2511="","",INDEX(COA!$A$4:$A$123,MATCH(JU!$G2511,COA!$B$4:$B$123,0)))</f>
        <v/>
      </c>
      <c r="I2511" s="52" t="str">
        <f>IF(J2511="","",INDEX(COA!$A$4:$A$123,MATCH(JU!$J2511,COA!$B$4:$B$123,0)))</f>
        <v/>
      </c>
      <c r="K2511" s="34" t="str">
        <f t="shared" si="297"/>
        <v/>
      </c>
    </row>
    <row r="2512" spans="6:11" hidden="1">
      <c r="F2512" s="52" t="str">
        <f>IF(G2512="","",INDEX(COA!$A$4:$A$123,MATCH(JU!$G2512,COA!$B$4:$B$123,0)))</f>
        <v/>
      </c>
      <c r="I2512" s="52" t="str">
        <f>IF(J2512="","",INDEX(COA!$A$4:$A$123,MATCH(JU!$J2512,COA!$B$4:$B$123,0)))</f>
        <v/>
      </c>
      <c r="K2512" s="34" t="str">
        <f t="shared" si="297"/>
        <v/>
      </c>
    </row>
    <row r="2513" spans="6:11" hidden="1">
      <c r="F2513" s="52" t="str">
        <f>IF(G2513="","",INDEX(COA!$A$4:$A$123,MATCH(JU!$G2513,COA!$B$4:$B$123,0)))</f>
        <v/>
      </c>
      <c r="I2513" s="52" t="str">
        <f>IF(J2513="","",INDEX(COA!$A$4:$A$123,MATCH(JU!$J2513,COA!$B$4:$B$123,0)))</f>
        <v/>
      </c>
      <c r="K2513" s="34" t="str">
        <f t="shared" si="297"/>
        <v/>
      </c>
    </row>
    <row r="2514" spans="6:11" hidden="1">
      <c r="F2514" s="52" t="str">
        <f>IF(G2514="","",INDEX(COA!$A$4:$A$123,MATCH(JU!$G2514,COA!$B$4:$B$123,0)))</f>
        <v/>
      </c>
      <c r="I2514" s="52" t="str">
        <f>IF(J2514="","",INDEX(COA!$A$4:$A$123,MATCH(JU!$J2514,COA!$B$4:$B$123,0)))</f>
        <v/>
      </c>
      <c r="K2514" s="34" t="str">
        <f t="shared" si="297"/>
        <v/>
      </c>
    </row>
    <row r="2515" spans="6:11" hidden="1">
      <c r="F2515" s="52" t="str">
        <f>IF(G2515="","",INDEX(COA!$A$4:$A$123,MATCH(JU!$G2515,COA!$B$4:$B$123,0)))</f>
        <v/>
      </c>
      <c r="I2515" s="52" t="str">
        <f>IF(J2515="","",INDEX(COA!$A$4:$A$123,MATCH(JU!$J2515,COA!$B$4:$B$123,0)))</f>
        <v/>
      </c>
      <c r="K2515" s="34" t="str">
        <f t="shared" si="297"/>
        <v/>
      </c>
    </row>
    <row r="2516" spans="6:11" hidden="1">
      <c r="F2516" s="52" t="str">
        <f>IF(G2516="","",INDEX(COA!$A$4:$A$123,MATCH(JU!$G2516,COA!$B$4:$B$123,0)))</f>
        <v/>
      </c>
      <c r="I2516" s="52" t="str">
        <f>IF(J2516="","",INDEX(COA!$A$4:$A$123,MATCH(JU!$J2516,COA!$B$4:$B$123,0)))</f>
        <v/>
      </c>
      <c r="K2516" s="34" t="str">
        <f t="shared" si="297"/>
        <v/>
      </c>
    </row>
    <row r="2517" spans="6:11" hidden="1">
      <c r="F2517" s="52" t="str">
        <f>IF(G2517="","",INDEX(COA!$A$4:$A$123,MATCH(JU!$G2517,COA!$B$4:$B$123,0)))</f>
        <v/>
      </c>
      <c r="I2517" s="52" t="str">
        <f>IF(J2517="","",INDEX(COA!$A$4:$A$123,MATCH(JU!$J2517,COA!$B$4:$B$123,0)))</f>
        <v/>
      </c>
      <c r="K2517" s="34" t="str">
        <f t="shared" si="297"/>
        <v/>
      </c>
    </row>
    <row r="2518" spans="6:11" hidden="1">
      <c r="F2518" s="52" t="str">
        <f>IF(G2518="","",INDEX(COA!$A$4:$A$123,MATCH(JU!$G2518,COA!$B$4:$B$123,0)))</f>
        <v/>
      </c>
      <c r="I2518" s="52" t="str">
        <f>IF(J2518="","",INDEX(COA!$A$4:$A$123,MATCH(JU!$J2518,COA!$B$4:$B$123,0)))</f>
        <v/>
      </c>
      <c r="K2518" s="34" t="str">
        <f t="shared" si="297"/>
        <v/>
      </c>
    </row>
    <row r="2519" spans="6:11" hidden="1">
      <c r="F2519" s="52" t="str">
        <f>IF(G2519="","",INDEX(COA!$A$4:$A$123,MATCH(JU!$G2519,COA!$B$4:$B$123,0)))</f>
        <v/>
      </c>
      <c r="I2519" s="52" t="str">
        <f>IF(J2519="","",INDEX(COA!$A$4:$A$123,MATCH(JU!$J2519,COA!$B$4:$B$123,0)))</f>
        <v/>
      </c>
      <c r="K2519" s="34" t="str">
        <f t="shared" si="297"/>
        <v/>
      </c>
    </row>
    <row r="2520" spans="6:11" hidden="1">
      <c r="F2520" s="52" t="str">
        <f>IF(G2520="","",INDEX(COA!$A$4:$A$123,MATCH(JU!$G2520,COA!$B$4:$B$123,0)))</f>
        <v/>
      </c>
      <c r="I2520" s="52" t="str">
        <f>IF(J2520="","",INDEX(COA!$A$4:$A$123,MATCH(JU!$J2520,COA!$B$4:$B$123,0)))</f>
        <v/>
      </c>
      <c r="K2520" s="34" t="str">
        <f t="shared" si="297"/>
        <v/>
      </c>
    </row>
    <row r="2521" spans="6:11" hidden="1">
      <c r="F2521" s="52" t="str">
        <f>IF(G2521="","",INDEX(COA!$A$4:$A$123,MATCH(JU!$G2521,COA!$B$4:$B$123,0)))</f>
        <v/>
      </c>
      <c r="I2521" s="52" t="str">
        <f>IF(J2521="","",INDEX(COA!$A$4:$A$123,MATCH(JU!$J2521,COA!$B$4:$B$123,0)))</f>
        <v/>
      </c>
      <c r="K2521" s="34" t="str">
        <f t="shared" si="297"/>
        <v/>
      </c>
    </row>
    <row r="2522" spans="6:11" hidden="1">
      <c r="F2522" s="52" t="str">
        <f>IF(G2522="","",INDEX(COA!$A$4:$A$123,MATCH(JU!$G2522,COA!$B$4:$B$123,0)))</f>
        <v/>
      </c>
      <c r="I2522" s="52" t="str">
        <f>IF(J2522="","",INDEX(COA!$A$4:$A$123,MATCH(JU!$J2522,COA!$B$4:$B$123,0)))</f>
        <v/>
      </c>
      <c r="K2522" s="34" t="str">
        <f t="shared" si="297"/>
        <v/>
      </c>
    </row>
    <row r="2523" spans="6:11" hidden="1">
      <c r="F2523" s="52" t="str">
        <f>IF(G2523="","",INDEX(COA!$A$4:$A$123,MATCH(JU!$G2523,COA!$B$4:$B$123,0)))</f>
        <v/>
      </c>
      <c r="I2523" s="52" t="str">
        <f>IF(J2523="","",INDEX(COA!$A$4:$A$123,MATCH(JU!$J2523,COA!$B$4:$B$123,0)))</f>
        <v/>
      </c>
      <c r="K2523" s="34" t="str">
        <f t="shared" si="297"/>
        <v/>
      </c>
    </row>
    <row r="2524" spans="6:11" hidden="1">
      <c r="F2524" s="52" t="str">
        <f>IF(G2524="","",INDEX(COA!$A$4:$A$123,MATCH(JU!$G2524,COA!$B$4:$B$123,0)))</f>
        <v/>
      </c>
      <c r="I2524" s="52" t="str">
        <f>IF(J2524="","",INDEX(COA!$A$4:$A$123,MATCH(JU!$J2524,COA!$B$4:$B$123,0)))</f>
        <v/>
      </c>
      <c r="K2524" s="34" t="str">
        <f t="shared" si="297"/>
        <v/>
      </c>
    </row>
    <row r="2525" spans="6:11" hidden="1">
      <c r="F2525" s="52" t="str">
        <f>IF(G2525="","",INDEX(COA!$A$4:$A$123,MATCH(JU!$G2525,COA!$B$4:$B$123,0)))</f>
        <v/>
      </c>
      <c r="I2525" s="52" t="str">
        <f>IF(J2525="","",INDEX(COA!$A$4:$A$123,MATCH(JU!$J2525,COA!$B$4:$B$123,0)))</f>
        <v/>
      </c>
      <c r="K2525" s="34" t="str">
        <f t="shared" si="297"/>
        <v/>
      </c>
    </row>
    <row r="2526" spans="6:11" hidden="1">
      <c r="I2526" s="52" t="str">
        <f>IF(J2526="","",INDEX(COA!$A$4:$A$123,MATCH(JU!$J2526,COA!$B$4:$B$123,0)))</f>
        <v/>
      </c>
    </row>
    <row r="2527" spans="6:11" hidden="1">
      <c r="F2527" s="52" t="str">
        <f>IF(G2527="","",INDEX(COA!$A$4:$A$123,MATCH(JU!$G2527,COA!$B$4:$B$123,0)))</f>
        <v/>
      </c>
      <c r="I2527" s="52" t="str">
        <f>IF(J2527="","",INDEX(COA!$A$4:$A$123,MATCH(JU!$J2527,COA!$B$4:$B$123,0)))</f>
        <v/>
      </c>
      <c r="K2527" s="34" t="str">
        <f>IF(H2527="","",H2527)</f>
        <v/>
      </c>
    </row>
    <row r="2528" spans="6:11" hidden="1">
      <c r="F2528" s="52" t="str">
        <f>IF(G2528="","",INDEX(COA!$A$4:$A$123,MATCH(JU!$G2528,COA!$B$4:$B$123,0)))</f>
        <v/>
      </c>
      <c r="I2528" s="52" t="str">
        <f>IF(J2528="","",INDEX(COA!$A$4:$A$123,MATCH(JU!$J2528,COA!$B$4:$B$123,0)))</f>
        <v/>
      </c>
      <c r="K2528" s="34" t="str">
        <f>IF(H2528="","",H2528)</f>
        <v/>
      </c>
    </row>
    <row r="2529" spans="6:11" hidden="1">
      <c r="F2529" s="52" t="str">
        <f>IF(G2529="","",INDEX(COA!$A$4:$A$123,MATCH(JU!$G2529,COA!$B$4:$B$123,0)))</f>
        <v/>
      </c>
      <c r="I2529" s="52" t="str">
        <f>IF(J2529="","",INDEX(COA!$A$4:$A$123,MATCH(JU!$J2529,COA!$B$4:$B$123,0)))</f>
        <v/>
      </c>
    </row>
    <row r="2530" spans="6:11" hidden="1">
      <c r="F2530" s="52" t="str">
        <f>IF(G2530="","",INDEX(COA!$A$4:$A$123,MATCH(JU!$G2530,COA!$B$4:$B$123,0)))</f>
        <v/>
      </c>
      <c r="I2530" s="52" t="str">
        <f>IF(J2530="","",INDEX(COA!$A$4:$A$123,MATCH(JU!$J2530,COA!$B$4:$B$123,0)))</f>
        <v/>
      </c>
      <c r="K2530" s="34" t="str">
        <f t="shared" ref="K2530:K2593" si="298">IF(H2530="","",H2530)</f>
        <v/>
      </c>
    </row>
    <row r="2531" spans="6:11" hidden="1">
      <c r="F2531" s="52" t="str">
        <f>IF(G2531="","",INDEX(COA!$A$4:$A$123,MATCH(JU!$G2531,COA!$B$4:$B$123,0)))</f>
        <v/>
      </c>
      <c r="I2531" s="52" t="str">
        <f>IF(J2531="","",INDEX(COA!$A$4:$A$123,MATCH(JU!$J2531,COA!$B$4:$B$123,0)))</f>
        <v/>
      </c>
      <c r="K2531" s="34" t="str">
        <f t="shared" si="298"/>
        <v/>
      </c>
    </row>
    <row r="2532" spans="6:11" hidden="1">
      <c r="F2532" s="52" t="str">
        <f>IF(G2532="","",INDEX(COA!$A$4:$A$123,MATCH(JU!$G2532,COA!$B$4:$B$123,0)))</f>
        <v/>
      </c>
      <c r="I2532" s="52" t="str">
        <f>IF(J2532="","",INDEX(COA!$A$4:$A$123,MATCH(JU!$J2532,COA!$B$4:$B$123,0)))</f>
        <v/>
      </c>
      <c r="K2532" s="34" t="str">
        <f t="shared" si="298"/>
        <v/>
      </c>
    </row>
    <row r="2533" spans="6:11" hidden="1">
      <c r="F2533" s="52" t="str">
        <f>IF(G2533="","",INDEX(COA!$A$4:$A$123,MATCH(JU!$G2533,COA!$B$4:$B$123,0)))</f>
        <v/>
      </c>
      <c r="I2533" s="52" t="str">
        <f>IF(J2533="","",INDEX(COA!$A$4:$A$123,MATCH(JU!$J2533,COA!$B$4:$B$123,0)))</f>
        <v/>
      </c>
      <c r="K2533" s="34" t="str">
        <f t="shared" si="298"/>
        <v/>
      </c>
    </row>
    <row r="2534" spans="6:11" hidden="1">
      <c r="F2534" s="52" t="str">
        <f>IF(G2534="","",INDEX(COA!$A$4:$A$123,MATCH(JU!$G2534,COA!$B$4:$B$123,0)))</f>
        <v/>
      </c>
      <c r="I2534" s="52" t="str">
        <f>IF(J2534="","",INDEX(COA!$A$4:$A$123,MATCH(JU!$J2534,COA!$B$4:$B$123,0)))</f>
        <v/>
      </c>
      <c r="K2534" s="34" t="str">
        <f t="shared" si="298"/>
        <v/>
      </c>
    </row>
    <row r="2535" spans="6:11" hidden="1">
      <c r="F2535" s="52" t="str">
        <f>IF(G2535="","",INDEX(COA!$A$4:$A$123,MATCH(JU!$G2535,COA!$B$4:$B$123,0)))</f>
        <v/>
      </c>
      <c r="I2535" s="52" t="str">
        <f>IF(J2535="","",INDEX(COA!$A$4:$A$123,MATCH(JU!$J2535,COA!$B$4:$B$123,0)))</f>
        <v/>
      </c>
      <c r="K2535" s="34" t="str">
        <f t="shared" si="298"/>
        <v/>
      </c>
    </row>
    <row r="2536" spans="6:11" hidden="1">
      <c r="F2536" s="52" t="str">
        <f>IF(G2536="","",INDEX(COA!$A$4:$A$123,MATCH(JU!$G2536,COA!$B$4:$B$123,0)))</f>
        <v/>
      </c>
      <c r="I2536" s="52" t="str">
        <f>IF(J2536="","",INDEX(COA!$A$4:$A$123,MATCH(JU!$J2536,COA!$B$4:$B$123,0)))</f>
        <v/>
      </c>
      <c r="K2536" s="34" t="str">
        <f t="shared" si="298"/>
        <v/>
      </c>
    </row>
    <row r="2537" spans="6:11" hidden="1">
      <c r="F2537" s="52" t="str">
        <f>IF(G2537="","",INDEX(COA!$A$4:$A$123,MATCH(JU!$G2537,COA!$B$4:$B$123,0)))</f>
        <v/>
      </c>
      <c r="I2537" s="52" t="str">
        <f>IF(J2537="","",INDEX(COA!$A$4:$A$123,MATCH(JU!$J2537,COA!$B$4:$B$123,0)))</f>
        <v/>
      </c>
      <c r="K2537" s="34" t="str">
        <f t="shared" si="298"/>
        <v/>
      </c>
    </row>
    <row r="2538" spans="6:11" hidden="1">
      <c r="F2538" s="52" t="str">
        <f>IF(G2538="","",INDEX(COA!$A$4:$A$123,MATCH(JU!$G2538,COA!$B$4:$B$123,0)))</f>
        <v/>
      </c>
      <c r="I2538" s="52" t="str">
        <f>IF(J2538="","",INDEX(COA!$A$4:$A$123,MATCH(JU!$J2538,COA!$B$4:$B$123,0)))</f>
        <v/>
      </c>
      <c r="K2538" s="34" t="str">
        <f t="shared" si="298"/>
        <v/>
      </c>
    </row>
    <row r="2539" spans="6:11" hidden="1">
      <c r="F2539" s="52" t="str">
        <f>IF(G2539="","",INDEX(COA!$A$4:$A$123,MATCH(JU!$G2539,COA!$B$4:$B$123,0)))</f>
        <v/>
      </c>
      <c r="I2539" s="52" t="str">
        <f>IF(J2539="","",INDEX(COA!$A$4:$A$123,MATCH(JU!$J2539,COA!$B$4:$B$123,0)))</f>
        <v/>
      </c>
      <c r="K2539" s="34" t="str">
        <f t="shared" si="298"/>
        <v/>
      </c>
    </row>
    <row r="2540" spans="6:11" hidden="1">
      <c r="F2540" s="52" t="str">
        <f>IF(G2540="","",INDEX(COA!$A$4:$A$123,MATCH(JU!$G2540,COA!$B$4:$B$123,0)))</f>
        <v/>
      </c>
      <c r="I2540" s="52" t="str">
        <f>IF(J2540="","",INDEX(COA!$A$4:$A$123,MATCH(JU!$J2540,COA!$B$4:$B$123,0)))</f>
        <v/>
      </c>
      <c r="K2540" s="34" t="str">
        <f t="shared" si="298"/>
        <v/>
      </c>
    </row>
    <row r="2541" spans="6:11" hidden="1">
      <c r="F2541" s="52" t="str">
        <f>IF(G2541="","",INDEX(COA!$A$4:$A$123,MATCH(JU!$G2541,COA!$B$4:$B$123,0)))</f>
        <v/>
      </c>
      <c r="I2541" s="52" t="str">
        <f>IF(J2541="","",INDEX(COA!$A$4:$A$123,MATCH(JU!$J2541,COA!$B$4:$B$123,0)))</f>
        <v/>
      </c>
      <c r="K2541" s="34" t="str">
        <f t="shared" si="298"/>
        <v/>
      </c>
    </row>
    <row r="2542" spans="6:11" hidden="1">
      <c r="F2542" s="52" t="str">
        <f>IF(G2542="","",INDEX(COA!$A$4:$A$123,MATCH(JU!$G2542,COA!$B$4:$B$123,0)))</f>
        <v/>
      </c>
      <c r="I2542" s="52" t="str">
        <f>IF(J2542="","",INDEX(COA!$A$4:$A$123,MATCH(JU!$J2542,COA!$B$4:$B$123,0)))</f>
        <v/>
      </c>
      <c r="K2542" s="34" t="str">
        <f t="shared" si="298"/>
        <v/>
      </c>
    </row>
    <row r="2543" spans="6:11" hidden="1">
      <c r="F2543" s="52" t="str">
        <f>IF(G2543="","",INDEX(COA!$A$4:$A$123,MATCH(JU!$G2543,COA!$B$4:$B$123,0)))</f>
        <v/>
      </c>
      <c r="I2543" s="52" t="str">
        <f>IF(J2543="","",INDEX(COA!$A$4:$A$123,MATCH(JU!$J2543,COA!$B$4:$B$123,0)))</f>
        <v/>
      </c>
      <c r="K2543" s="34" t="str">
        <f t="shared" si="298"/>
        <v/>
      </c>
    </row>
    <row r="2544" spans="6:11" hidden="1">
      <c r="F2544" s="52" t="str">
        <f>IF(G2544="","",INDEX(COA!$A$4:$A$123,MATCH(JU!$G2544,COA!$B$4:$B$123,0)))</f>
        <v/>
      </c>
      <c r="I2544" s="52" t="str">
        <f>IF(J2544="","",INDEX(COA!$A$4:$A$123,MATCH(JU!$J2544,COA!$B$4:$B$123,0)))</f>
        <v/>
      </c>
      <c r="K2544" s="34" t="str">
        <f t="shared" si="298"/>
        <v/>
      </c>
    </row>
    <row r="2545" spans="6:11" hidden="1">
      <c r="F2545" s="52" t="str">
        <f>IF(G2545="","",INDEX(COA!$A$4:$A$123,MATCH(JU!$G2545,COA!$B$4:$B$123,0)))</f>
        <v/>
      </c>
      <c r="I2545" s="52" t="str">
        <f>IF(J2545="","",INDEX(COA!$A$4:$A$123,MATCH(JU!$J2545,COA!$B$4:$B$123,0)))</f>
        <v/>
      </c>
      <c r="K2545" s="34" t="str">
        <f t="shared" si="298"/>
        <v/>
      </c>
    </row>
    <row r="2546" spans="6:11" hidden="1">
      <c r="F2546" s="52" t="str">
        <f>IF(G2546="","",INDEX(COA!$A$4:$A$123,MATCH(JU!$G2546,COA!$B$4:$B$123,0)))</f>
        <v/>
      </c>
      <c r="I2546" s="52" t="str">
        <f>IF(J2546="","",INDEX(COA!$A$4:$A$123,MATCH(JU!$J2546,COA!$B$4:$B$123,0)))</f>
        <v/>
      </c>
      <c r="K2546" s="34" t="str">
        <f t="shared" si="298"/>
        <v/>
      </c>
    </row>
    <row r="2547" spans="6:11" hidden="1">
      <c r="F2547" s="52" t="str">
        <f>IF(G2547="","",INDEX(COA!$A$4:$A$123,MATCH(JU!$G2547,COA!$B$4:$B$123,0)))</f>
        <v/>
      </c>
      <c r="I2547" s="52" t="str">
        <f>IF(J2547="","",INDEX(COA!$A$4:$A$123,MATCH(JU!$J2547,COA!$B$4:$B$123,0)))</f>
        <v/>
      </c>
      <c r="K2547" s="34" t="str">
        <f t="shared" si="298"/>
        <v/>
      </c>
    </row>
    <row r="2548" spans="6:11" hidden="1">
      <c r="F2548" s="52" t="str">
        <f>IF(G2548="","",INDEX(COA!$A$4:$A$123,MATCH(JU!$G2548,COA!$B$4:$B$123,0)))</f>
        <v/>
      </c>
      <c r="I2548" s="52" t="str">
        <f>IF(J2548="","",INDEX(COA!$A$4:$A$123,MATCH(JU!$J2548,COA!$B$4:$B$123,0)))</f>
        <v/>
      </c>
      <c r="K2548" s="34" t="str">
        <f t="shared" si="298"/>
        <v/>
      </c>
    </row>
    <row r="2549" spans="6:11" hidden="1">
      <c r="F2549" s="52" t="str">
        <f>IF(G2549="","",INDEX(COA!$A$4:$A$123,MATCH(JU!$G2549,COA!$B$4:$B$123,0)))</f>
        <v/>
      </c>
      <c r="I2549" s="52" t="str">
        <f>IF(J2549="","",INDEX(COA!$A$4:$A$123,MATCH(JU!$J2549,COA!$B$4:$B$123,0)))</f>
        <v/>
      </c>
      <c r="K2549" s="34" t="str">
        <f t="shared" si="298"/>
        <v/>
      </c>
    </row>
    <row r="2550" spans="6:11" hidden="1">
      <c r="F2550" s="52" t="str">
        <f>IF(G2550="","",INDEX(COA!$A$4:$A$123,MATCH(JU!$G2550,COA!$B$4:$B$123,0)))</f>
        <v/>
      </c>
      <c r="I2550" s="52" t="str">
        <f>IF(J2550="","",INDEX(COA!$A$4:$A$123,MATCH(JU!$J2550,COA!$B$4:$B$123,0)))</f>
        <v/>
      </c>
      <c r="K2550" s="34" t="str">
        <f t="shared" si="298"/>
        <v/>
      </c>
    </row>
    <row r="2551" spans="6:11" hidden="1">
      <c r="F2551" s="52" t="str">
        <f>IF(G2551="","",INDEX(COA!$A$4:$A$123,MATCH(JU!$G2551,COA!$B$4:$B$123,0)))</f>
        <v/>
      </c>
      <c r="I2551" s="52" t="str">
        <f>IF(J2551="","",INDEX(COA!$A$4:$A$123,MATCH(JU!$J2551,COA!$B$4:$B$123,0)))</f>
        <v/>
      </c>
      <c r="K2551" s="34" t="str">
        <f t="shared" si="298"/>
        <v/>
      </c>
    </row>
    <row r="2552" spans="6:11" hidden="1">
      <c r="F2552" s="52" t="str">
        <f>IF(G2552="","",INDEX(COA!$A$4:$A$123,MATCH(JU!$G2552,COA!$B$4:$B$123,0)))</f>
        <v/>
      </c>
      <c r="I2552" s="52" t="str">
        <f>IF(J2552="","",INDEX(COA!$A$4:$A$123,MATCH(JU!$J2552,COA!$B$4:$B$123,0)))</f>
        <v/>
      </c>
      <c r="K2552" s="34" t="str">
        <f t="shared" si="298"/>
        <v/>
      </c>
    </row>
    <row r="2553" spans="6:11" hidden="1">
      <c r="F2553" s="52" t="str">
        <f>IF(G2553="","",INDEX(COA!$A$4:$A$123,MATCH(JU!$G2553,COA!$B$4:$B$123,0)))</f>
        <v/>
      </c>
      <c r="I2553" s="52" t="str">
        <f>IF(J2553="","",INDEX(COA!$A$4:$A$123,MATCH(JU!$J2553,COA!$B$4:$B$123,0)))</f>
        <v/>
      </c>
      <c r="K2553" s="34" t="str">
        <f t="shared" si="298"/>
        <v/>
      </c>
    </row>
    <row r="2554" spans="6:11" hidden="1">
      <c r="F2554" s="52" t="str">
        <f>IF(G2554="","",INDEX(COA!$A$4:$A$123,MATCH(JU!$G2554,COA!$B$4:$B$123,0)))</f>
        <v/>
      </c>
      <c r="I2554" s="52" t="str">
        <f>IF(J2554="","",INDEX(COA!$A$4:$A$123,MATCH(JU!$J2554,COA!$B$4:$B$123,0)))</f>
        <v/>
      </c>
      <c r="K2554" s="34" t="str">
        <f t="shared" si="298"/>
        <v/>
      </c>
    </row>
    <row r="2555" spans="6:11" hidden="1">
      <c r="F2555" s="52" t="str">
        <f>IF(G2555="","",INDEX(COA!$A$4:$A$123,MATCH(JU!$G2555,COA!$B$4:$B$123,0)))</f>
        <v/>
      </c>
      <c r="I2555" s="52" t="str">
        <f>IF(J2555="","",INDEX(COA!$A$4:$A$123,MATCH(JU!$J2555,COA!$B$4:$B$123,0)))</f>
        <v/>
      </c>
      <c r="K2555" s="34" t="str">
        <f t="shared" si="298"/>
        <v/>
      </c>
    </row>
    <row r="2556" spans="6:11" hidden="1">
      <c r="F2556" s="52" t="str">
        <f>IF(G2556="","",INDEX(COA!$A$4:$A$123,MATCH(JU!$G2556,COA!$B$4:$B$123,0)))</f>
        <v/>
      </c>
      <c r="I2556" s="52" t="str">
        <f>IF(J2556="","",INDEX(COA!$A$4:$A$123,MATCH(JU!$J2556,COA!$B$4:$B$123,0)))</f>
        <v/>
      </c>
      <c r="K2556" s="34" t="str">
        <f t="shared" si="298"/>
        <v/>
      </c>
    </row>
    <row r="2557" spans="6:11" hidden="1">
      <c r="F2557" s="52" t="str">
        <f>IF(G2557="","",INDEX(COA!$A$4:$A$123,MATCH(JU!$G2557,COA!$B$4:$B$123,0)))</f>
        <v/>
      </c>
      <c r="I2557" s="52" t="str">
        <f>IF(J2557="","",INDEX(COA!$A$4:$A$123,MATCH(JU!$J2557,COA!$B$4:$B$123,0)))</f>
        <v/>
      </c>
      <c r="K2557" s="34" t="str">
        <f t="shared" si="298"/>
        <v/>
      </c>
    </row>
    <row r="2558" spans="6:11" hidden="1">
      <c r="F2558" s="52" t="str">
        <f>IF(G2558="","",INDEX(COA!$A$4:$A$123,MATCH(JU!$G2558,COA!$B$4:$B$123,0)))</f>
        <v/>
      </c>
      <c r="I2558" s="52" t="str">
        <f>IF(J2558="","",INDEX(COA!$A$4:$A$123,MATCH(JU!$J2558,COA!$B$4:$B$123,0)))</f>
        <v/>
      </c>
      <c r="K2558" s="34" t="str">
        <f t="shared" si="298"/>
        <v/>
      </c>
    </row>
    <row r="2559" spans="6:11" hidden="1">
      <c r="F2559" s="52" t="str">
        <f>IF(G2559="","",INDEX(COA!$A$4:$A$123,MATCH(JU!$G2559,COA!$B$4:$B$123,0)))</f>
        <v/>
      </c>
      <c r="I2559" s="52" t="str">
        <f>IF(J2559="","",INDEX(COA!$A$4:$A$123,MATCH(JU!$J2559,COA!$B$4:$B$123,0)))</f>
        <v/>
      </c>
      <c r="K2559" s="34" t="str">
        <f t="shared" si="298"/>
        <v/>
      </c>
    </row>
    <row r="2560" spans="6:11" hidden="1">
      <c r="F2560" s="52" t="str">
        <f>IF(G2560="","",INDEX(COA!$A$4:$A$123,MATCH(JU!$G2560,COA!$B$4:$B$123,0)))</f>
        <v/>
      </c>
      <c r="I2560" s="52" t="str">
        <f>IF(J2560="","",INDEX(COA!$A$4:$A$123,MATCH(JU!$J2560,COA!$B$4:$B$123,0)))</f>
        <v/>
      </c>
      <c r="K2560" s="34" t="str">
        <f t="shared" si="298"/>
        <v/>
      </c>
    </row>
    <row r="2561" spans="6:11" hidden="1">
      <c r="F2561" s="52" t="str">
        <f>IF(G2561="","",INDEX(COA!$A$4:$A$123,MATCH(JU!$G2561,COA!$B$4:$B$123,0)))</f>
        <v/>
      </c>
      <c r="I2561" s="52" t="str">
        <f>IF(J2561="","",INDEX(COA!$A$4:$A$123,MATCH(JU!$J2561,COA!$B$4:$B$123,0)))</f>
        <v/>
      </c>
      <c r="K2561" s="34" t="str">
        <f t="shared" si="298"/>
        <v/>
      </c>
    </row>
    <row r="2562" spans="6:11" hidden="1">
      <c r="F2562" s="52" t="str">
        <f>IF(G2562="","",INDEX(COA!$A$4:$A$123,MATCH(JU!$G2562,COA!$B$4:$B$123,0)))</f>
        <v/>
      </c>
      <c r="I2562" s="52" t="str">
        <f>IF(J2562="","",INDEX(COA!$A$4:$A$123,MATCH(JU!$J2562,COA!$B$4:$B$123,0)))</f>
        <v/>
      </c>
      <c r="K2562" s="34" t="str">
        <f t="shared" si="298"/>
        <v/>
      </c>
    </row>
    <row r="2563" spans="6:11" hidden="1">
      <c r="F2563" s="52" t="str">
        <f>IF(G2563="","",INDEX(COA!$A$4:$A$123,MATCH(JU!$G2563,COA!$B$4:$B$123,0)))</f>
        <v/>
      </c>
      <c r="I2563" s="52" t="str">
        <f>IF(J2563="","",INDEX(COA!$A$4:$A$123,MATCH(JU!$J2563,COA!$B$4:$B$123,0)))</f>
        <v/>
      </c>
      <c r="K2563" s="34" t="str">
        <f t="shared" si="298"/>
        <v/>
      </c>
    </row>
    <row r="2564" spans="6:11" hidden="1">
      <c r="F2564" s="52" t="str">
        <f>IF(G2564="","",INDEX(COA!$A$4:$A$123,MATCH(JU!$G2564,COA!$B$4:$B$123,0)))</f>
        <v/>
      </c>
      <c r="I2564" s="52" t="str">
        <f>IF(J2564="","",INDEX(COA!$A$4:$A$123,MATCH(JU!$J2564,COA!$B$4:$B$123,0)))</f>
        <v/>
      </c>
      <c r="K2564" s="34" t="str">
        <f t="shared" si="298"/>
        <v/>
      </c>
    </row>
    <row r="2565" spans="6:11" hidden="1">
      <c r="F2565" s="52" t="str">
        <f>IF(G2565="","",INDEX(COA!$A$4:$A$123,MATCH(JU!$G2565,COA!$B$4:$B$123,0)))</f>
        <v/>
      </c>
      <c r="I2565" s="52" t="str">
        <f>IF(J2565="","",INDEX(COA!$A$4:$A$123,MATCH(JU!$J2565,COA!$B$4:$B$123,0)))</f>
        <v/>
      </c>
      <c r="K2565" s="34" t="str">
        <f t="shared" si="298"/>
        <v/>
      </c>
    </row>
    <row r="2566" spans="6:11" hidden="1">
      <c r="F2566" s="52" t="str">
        <f>IF(G2566="","",INDEX(COA!$A$4:$A$123,MATCH(JU!$G2566,COA!$B$4:$B$123,0)))</f>
        <v/>
      </c>
      <c r="I2566" s="52" t="str">
        <f>IF(J2566="","",INDEX(COA!$A$4:$A$123,MATCH(JU!$J2566,COA!$B$4:$B$123,0)))</f>
        <v/>
      </c>
      <c r="K2566" s="34" t="str">
        <f t="shared" si="298"/>
        <v/>
      </c>
    </row>
    <row r="2567" spans="6:11" hidden="1">
      <c r="F2567" s="52" t="str">
        <f>IF(G2567="","",INDEX(COA!$A$4:$A$123,MATCH(JU!$G2567,COA!$B$4:$B$123,0)))</f>
        <v/>
      </c>
      <c r="I2567" s="52" t="str">
        <f>IF(J2567="","",INDEX(COA!$A$4:$A$123,MATCH(JU!$J2567,COA!$B$4:$B$123,0)))</f>
        <v/>
      </c>
      <c r="K2567" s="34" t="str">
        <f t="shared" si="298"/>
        <v/>
      </c>
    </row>
    <row r="2568" spans="6:11" hidden="1">
      <c r="F2568" s="52" t="str">
        <f>IF(G2568="","",INDEX(COA!$A$4:$A$123,MATCH(JU!$G2568,COA!$B$4:$B$123,0)))</f>
        <v/>
      </c>
      <c r="I2568" s="52" t="str">
        <f>IF(J2568="","",INDEX(COA!$A$4:$A$123,MATCH(JU!$J2568,COA!$B$4:$B$123,0)))</f>
        <v/>
      </c>
      <c r="K2568" s="34" t="str">
        <f t="shared" si="298"/>
        <v/>
      </c>
    </row>
    <row r="2569" spans="6:11" hidden="1">
      <c r="F2569" s="52" t="str">
        <f>IF(G2569="","",INDEX(COA!$A$4:$A$123,MATCH(JU!$G2569,COA!$B$4:$B$123,0)))</f>
        <v/>
      </c>
      <c r="I2569" s="52" t="str">
        <f>IF(J2569="","",INDEX(COA!$A$4:$A$123,MATCH(JU!$J2569,COA!$B$4:$B$123,0)))</f>
        <v/>
      </c>
      <c r="K2569" s="34" t="str">
        <f t="shared" si="298"/>
        <v/>
      </c>
    </row>
    <row r="2570" spans="6:11" hidden="1">
      <c r="F2570" s="52" t="str">
        <f>IF(G2570="","",INDEX(COA!$A$4:$A$123,MATCH(JU!$G2570,COA!$B$4:$B$123,0)))</f>
        <v/>
      </c>
      <c r="I2570" s="52" t="str">
        <f>IF(J2570="","",INDEX(COA!$A$4:$A$123,MATCH(JU!$J2570,COA!$B$4:$B$123,0)))</f>
        <v/>
      </c>
      <c r="K2570" s="34" t="str">
        <f t="shared" si="298"/>
        <v/>
      </c>
    </row>
    <row r="2571" spans="6:11" hidden="1">
      <c r="F2571" s="52" t="str">
        <f>IF(G2571="","",INDEX(COA!$A$4:$A$123,MATCH(JU!$G2571,COA!$B$4:$B$123,0)))</f>
        <v/>
      </c>
      <c r="I2571" s="52" t="str">
        <f>IF(J2571="","",INDEX(COA!$A$4:$A$123,MATCH(JU!$J2571,COA!$B$4:$B$123,0)))</f>
        <v/>
      </c>
      <c r="K2571" s="34" t="str">
        <f t="shared" si="298"/>
        <v/>
      </c>
    </row>
    <row r="2572" spans="6:11" hidden="1">
      <c r="F2572" s="52" t="str">
        <f>IF(G2572="","",INDEX(COA!$A$4:$A$123,MATCH(JU!$G2572,COA!$B$4:$B$123,0)))</f>
        <v/>
      </c>
      <c r="I2572" s="52" t="str">
        <f>IF(J2572="","",INDEX(COA!$A$4:$A$123,MATCH(JU!$J2572,COA!$B$4:$B$123,0)))</f>
        <v/>
      </c>
      <c r="K2572" s="34" t="str">
        <f t="shared" si="298"/>
        <v/>
      </c>
    </row>
    <row r="2573" spans="6:11" hidden="1">
      <c r="F2573" s="52" t="str">
        <f>IF(G2573="","",INDEX(COA!$A$4:$A$123,MATCH(JU!$G2573,COA!$B$4:$B$123,0)))</f>
        <v/>
      </c>
      <c r="I2573" s="52" t="str">
        <f>IF(J2573="","",INDEX(COA!$A$4:$A$123,MATCH(JU!$J2573,COA!$B$4:$B$123,0)))</f>
        <v/>
      </c>
      <c r="K2573" s="34" t="str">
        <f t="shared" si="298"/>
        <v/>
      </c>
    </row>
    <row r="2574" spans="6:11" hidden="1">
      <c r="F2574" s="52" t="str">
        <f>IF(G2574="","",INDEX(COA!$A$4:$A$123,MATCH(JU!$G2574,COA!$B$4:$B$123,0)))</f>
        <v/>
      </c>
      <c r="I2574" s="52" t="str">
        <f>IF(J2574="","",INDEX(COA!$A$4:$A$123,MATCH(JU!$J2574,COA!$B$4:$B$123,0)))</f>
        <v/>
      </c>
      <c r="K2574" s="34" t="str">
        <f t="shared" si="298"/>
        <v/>
      </c>
    </row>
    <row r="2575" spans="6:11" hidden="1">
      <c r="F2575" s="52" t="str">
        <f>IF(G2575="","",INDEX(COA!$A$4:$A$123,MATCH(JU!$G2575,COA!$B$4:$B$123,0)))</f>
        <v/>
      </c>
      <c r="I2575" s="52" t="str">
        <f>IF(J2575="","",INDEX(COA!$A$4:$A$123,MATCH(JU!$J2575,COA!$B$4:$B$123,0)))</f>
        <v/>
      </c>
      <c r="K2575" s="34" t="str">
        <f t="shared" si="298"/>
        <v/>
      </c>
    </row>
    <row r="2576" spans="6:11" hidden="1">
      <c r="F2576" s="52" t="str">
        <f>IF(G2576="","",INDEX(COA!$A$4:$A$123,MATCH(JU!$G2576,COA!$B$4:$B$123,0)))</f>
        <v/>
      </c>
      <c r="I2576" s="52" t="str">
        <f>IF(J2576="","",INDEX(COA!$A$4:$A$123,MATCH(JU!$J2576,COA!$B$4:$B$123,0)))</f>
        <v/>
      </c>
      <c r="K2576" s="34" t="str">
        <f t="shared" si="298"/>
        <v/>
      </c>
    </row>
    <row r="2577" spans="6:11" hidden="1">
      <c r="F2577" s="52" t="str">
        <f>IF(G2577="","",INDEX(COA!$A$4:$A$123,MATCH(JU!$G2577,COA!$B$4:$B$123,0)))</f>
        <v/>
      </c>
      <c r="I2577" s="52" t="str">
        <f>IF(J2577="","",INDEX(COA!$A$4:$A$123,MATCH(JU!$J2577,COA!$B$4:$B$123,0)))</f>
        <v/>
      </c>
      <c r="K2577" s="34" t="str">
        <f t="shared" si="298"/>
        <v/>
      </c>
    </row>
    <row r="2578" spans="6:11" hidden="1">
      <c r="F2578" s="52" t="str">
        <f>IF(G2578="","",INDEX(COA!$A$4:$A$123,MATCH(JU!$G2578,COA!$B$4:$B$123,0)))</f>
        <v/>
      </c>
      <c r="I2578" s="52" t="str">
        <f>IF(J2578="","",INDEX(COA!$A$4:$A$123,MATCH(JU!$J2578,COA!$B$4:$B$123,0)))</f>
        <v/>
      </c>
      <c r="K2578" s="34" t="str">
        <f t="shared" si="298"/>
        <v/>
      </c>
    </row>
    <row r="2579" spans="6:11" hidden="1">
      <c r="F2579" s="52" t="str">
        <f>IF(G2579="","",INDEX(COA!$A$4:$A$123,MATCH(JU!$G2579,COA!$B$4:$B$123,0)))</f>
        <v/>
      </c>
      <c r="I2579" s="52" t="str">
        <f>IF(J2579="","",INDEX(COA!$A$4:$A$123,MATCH(JU!$J2579,COA!$B$4:$B$123,0)))</f>
        <v/>
      </c>
      <c r="K2579" s="34" t="str">
        <f t="shared" si="298"/>
        <v/>
      </c>
    </row>
    <row r="2580" spans="6:11" hidden="1">
      <c r="F2580" s="52" t="str">
        <f>IF(G2580="","",INDEX(COA!$A$4:$A$123,MATCH(JU!$G2580,COA!$B$4:$B$123,0)))</f>
        <v/>
      </c>
      <c r="I2580" s="52" t="str">
        <f>IF(J2580="","",INDEX(COA!$A$4:$A$123,MATCH(JU!$J2580,COA!$B$4:$B$123,0)))</f>
        <v/>
      </c>
      <c r="K2580" s="34" t="str">
        <f t="shared" si="298"/>
        <v/>
      </c>
    </row>
    <row r="2581" spans="6:11" hidden="1">
      <c r="F2581" s="52" t="str">
        <f>IF(G2581="","",INDEX(COA!$A$4:$A$123,MATCH(JU!$G2581,COA!$B$4:$B$123,0)))</f>
        <v/>
      </c>
      <c r="I2581" s="52" t="str">
        <f>IF(J2581="","",INDEX(COA!$A$4:$A$123,MATCH(JU!$J2581,COA!$B$4:$B$123,0)))</f>
        <v/>
      </c>
      <c r="K2581" s="34" t="str">
        <f t="shared" si="298"/>
        <v/>
      </c>
    </row>
    <row r="2582" spans="6:11" hidden="1">
      <c r="F2582" s="52" t="str">
        <f>IF(G2582="","",INDEX(COA!$A$4:$A$123,MATCH(JU!$G2582,COA!$B$4:$B$123,0)))</f>
        <v/>
      </c>
      <c r="I2582" s="52" t="str">
        <f>IF(J2582="","",INDEX(COA!$A$4:$A$123,MATCH(JU!$J2582,COA!$B$4:$B$123,0)))</f>
        <v/>
      </c>
      <c r="K2582" s="34" t="str">
        <f t="shared" si="298"/>
        <v/>
      </c>
    </row>
    <row r="2583" spans="6:11" hidden="1">
      <c r="F2583" s="52" t="str">
        <f>IF(G2583="","",INDEX(COA!$A$4:$A$123,MATCH(JU!$G2583,COA!$B$4:$B$123,0)))</f>
        <v/>
      </c>
      <c r="I2583" s="52" t="str">
        <f>IF(J2583="","",INDEX(COA!$A$4:$A$123,MATCH(JU!$J2583,COA!$B$4:$B$123,0)))</f>
        <v/>
      </c>
      <c r="K2583" s="34" t="str">
        <f t="shared" si="298"/>
        <v/>
      </c>
    </row>
    <row r="2584" spans="6:11" hidden="1">
      <c r="F2584" s="52" t="str">
        <f>IF(G2584="","",INDEX(COA!$A$4:$A$123,MATCH(JU!$G2584,COA!$B$4:$B$123,0)))</f>
        <v/>
      </c>
      <c r="I2584" s="52" t="str">
        <f>IF(J2584="","",INDEX(COA!$A$4:$A$123,MATCH(JU!$J2584,COA!$B$4:$B$123,0)))</f>
        <v/>
      </c>
      <c r="K2584" s="34" t="str">
        <f t="shared" si="298"/>
        <v/>
      </c>
    </row>
    <row r="2585" spans="6:11" hidden="1">
      <c r="F2585" s="52" t="str">
        <f>IF(G2585="","",INDEX(COA!$A$4:$A$123,MATCH(JU!$G2585,COA!$B$4:$B$123,0)))</f>
        <v/>
      </c>
      <c r="I2585" s="52" t="str">
        <f>IF(J2585="","",INDEX(COA!$A$4:$A$123,MATCH(JU!$J2585,COA!$B$4:$B$123,0)))</f>
        <v/>
      </c>
      <c r="K2585" s="34" t="str">
        <f t="shared" si="298"/>
        <v/>
      </c>
    </row>
    <row r="2586" spans="6:11" hidden="1">
      <c r="F2586" s="52" t="str">
        <f>IF(G2586="","",INDEX(COA!$A$4:$A$123,MATCH(JU!$G2586,COA!$B$4:$B$123,0)))</f>
        <v/>
      </c>
      <c r="I2586" s="52" t="str">
        <f>IF(J2586="","",INDEX(COA!$A$4:$A$123,MATCH(JU!$J2586,COA!$B$4:$B$123,0)))</f>
        <v/>
      </c>
      <c r="K2586" s="34" t="str">
        <f t="shared" si="298"/>
        <v/>
      </c>
    </row>
    <row r="2587" spans="6:11" hidden="1">
      <c r="F2587" s="52" t="str">
        <f>IF(G2587="","",INDEX(COA!$A$4:$A$123,MATCH(JU!$G2587,COA!$B$4:$B$123,0)))</f>
        <v/>
      </c>
      <c r="I2587" s="52" t="str">
        <f>IF(J2587="","",INDEX(COA!$A$4:$A$123,MATCH(JU!$J2587,COA!$B$4:$B$123,0)))</f>
        <v/>
      </c>
      <c r="K2587" s="34" t="str">
        <f t="shared" si="298"/>
        <v/>
      </c>
    </row>
    <row r="2588" spans="6:11" hidden="1">
      <c r="F2588" s="52" t="str">
        <f>IF(G2588="","",INDEX(COA!$A$4:$A$123,MATCH(JU!$G2588,COA!$B$4:$B$123,0)))</f>
        <v/>
      </c>
      <c r="I2588" s="52" t="str">
        <f>IF(J2588="","",INDEX(COA!$A$4:$A$123,MATCH(JU!$J2588,COA!$B$4:$B$123,0)))</f>
        <v/>
      </c>
      <c r="K2588" s="34" t="str">
        <f t="shared" si="298"/>
        <v/>
      </c>
    </row>
    <row r="2589" spans="6:11" hidden="1">
      <c r="F2589" s="52" t="str">
        <f>IF(G2589="","",INDEX(COA!$A$4:$A$123,MATCH(JU!$G2589,COA!$B$4:$B$123,0)))</f>
        <v/>
      </c>
      <c r="I2589" s="52" t="str">
        <f>IF(J2589="","",INDEX(COA!$A$4:$A$123,MATCH(JU!$J2589,COA!$B$4:$B$123,0)))</f>
        <v/>
      </c>
      <c r="K2589" s="34" t="str">
        <f t="shared" si="298"/>
        <v/>
      </c>
    </row>
    <row r="2590" spans="6:11" hidden="1">
      <c r="F2590" s="52" t="str">
        <f>IF(G2590="","",INDEX(COA!$A$4:$A$123,MATCH(JU!$G2590,COA!$B$4:$B$123,0)))</f>
        <v/>
      </c>
      <c r="I2590" s="52" t="str">
        <f>IF(J2590="","",INDEX(COA!$A$4:$A$123,MATCH(JU!$J2590,COA!$B$4:$B$123,0)))</f>
        <v/>
      </c>
      <c r="K2590" s="34" t="str">
        <f t="shared" si="298"/>
        <v/>
      </c>
    </row>
    <row r="2591" spans="6:11" hidden="1">
      <c r="F2591" s="52" t="str">
        <f>IF(G2591="","",INDEX(COA!$A$4:$A$123,MATCH(JU!$G2591,COA!$B$4:$B$123,0)))</f>
        <v/>
      </c>
      <c r="I2591" s="52" t="str">
        <f>IF(J2591="","",INDEX(COA!$A$4:$A$123,MATCH(JU!$J2591,COA!$B$4:$B$123,0)))</f>
        <v/>
      </c>
      <c r="K2591" s="34" t="str">
        <f t="shared" si="298"/>
        <v/>
      </c>
    </row>
    <row r="2592" spans="6:11" hidden="1">
      <c r="F2592" s="52" t="str">
        <f>IF(G2592="","",INDEX(COA!$A$4:$A$123,MATCH(JU!$G2592,COA!$B$4:$B$123,0)))</f>
        <v/>
      </c>
      <c r="I2592" s="52" t="str">
        <f>IF(J2592="","",INDEX(COA!$A$4:$A$123,MATCH(JU!$J2592,COA!$B$4:$B$123,0)))</f>
        <v/>
      </c>
      <c r="K2592" s="34" t="str">
        <f t="shared" si="298"/>
        <v/>
      </c>
    </row>
    <row r="2593" spans="6:11" hidden="1">
      <c r="F2593" s="52" t="str">
        <f>IF(G2593="","",INDEX(COA!$A$4:$A$123,MATCH(JU!$G2593,COA!$B$4:$B$123,0)))</f>
        <v/>
      </c>
      <c r="I2593" s="52" t="str">
        <f>IF(J2593="","",INDEX(COA!$A$4:$A$123,MATCH(JU!$J2593,COA!$B$4:$B$123,0)))</f>
        <v/>
      </c>
      <c r="K2593" s="34" t="str">
        <f t="shared" si="298"/>
        <v/>
      </c>
    </row>
    <row r="2594" spans="6:11" hidden="1">
      <c r="F2594" s="52" t="str">
        <f>IF(G2594="","",INDEX(COA!$A$4:$A$123,MATCH(JU!$G2594,COA!$B$4:$B$123,0)))</f>
        <v/>
      </c>
      <c r="I2594" s="52" t="str">
        <f>IF(J2594="","",INDEX(COA!$A$4:$A$123,MATCH(JU!$J2594,COA!$B$4:$B$123,0)))</f>
        <v/>
      </c>
      <c r="K2594" s="34" t="str">
        <f t="shared" ref="K2594:K2657" si="299">IF(H2594="","",H2594)</f>
        <v/>
      </c>
    </row>
    <row r="2595" spans="6:11" hidden="1">
      <c r="F2595" s="52" t="str">
        <f>IF(G2595="","",INDEX(COA!$A$4:$A$123,MATCH(JU!$G2595,COA!$B$4:$B$123,0)))</f>
        <v/>
      </c>
      <c r="I2595" s="52" t="str">
        <f>IF(J2595="","",INDEX(COA!$A$4:$A$123,MATCH(JU!$J2595,COA!$B$4:$B$123,0)))</f>
        <v/>
      </c>
      <c r="K2595" s="34" t="str">
        <f t="shared" si="299"/>
        <v/>
      </c>
    </row>
    <row r="2596" spans="6:11" hidden="1">
      <c r="F2596" s="52" t="str">
        <f>IF(G2596="","",INDEX(COA!$A$4:$A$123,MATCH(JU!$G2596,COA!$B$4:$B$123,0)))</f>
        <v/>
      </c>
      <c r="I2596" s="52" t="str">
        <f>IF(J2596="","",INDEX(COA!$A$4:$A$123,MATCH(JU!$J2596,COA!$B$4:$B$123,0)))</f>
        <v/>
      </c>
      <c r="K2596" s="34" t="str">
        <f t="shared" si="299"/>
        <v/>
      </c>
    </row>
    <row r="2597" spans="6:11" hidden="1">
      <c r="F2597" s="52" t="str">
        <f>IF(G2597="","",INDEX(COA!$A$4:$A$123,MATCH(JU!$G2597,COA!$B$4:$B$123,0)))</f>
        <v/>
      </c>
      <c r="I2597" s="52" t="str">
        <f>IF(J2597="","",INDEX(COA!$A$4:$A$123,MATCH(JU!$J2597,COA!$B$4:$B$123,0)))</f>
        <v/>
      </c>
      <c r="K2597" s="34" t="str">
        <f t="shared" si="299"/>
        <v/>
      </c>
    </row>
    <row r="2598" spans="6:11" hidden="1">
      <c r="F2598" s="52" t="str">
        <f>IF(G2598="","",INDEX(COA!$A$4:$A$123,MATCH(JU!$G2598,COA!$B$4:$B$123,0)))</f>
        <v/>
      </c>
      <c r="I2598" s="52" t="str">
        <f>IF(J2598="","",INDEX(COA!$A$4:$A$123,MATCH(JU!$J2598,COA!$B$4:$B$123,0)))</f>
        <v/>
      </c>
      <c r="K2598" s="34" t="str">
        <f t="shared" si="299"/>
        <v/>
      </c>
    </row>
    <row r="2599" spans="6:11" hidden="1">
      <c r="F2599" s="52" t="str">
        <f>IF(G2599="","",INDEX(COA!$A$4:$A$123,MATCH(JU!$G2599,COA!$B$4:$B$123,0)))</f>
        <v/>
      </c>
      <c r="I2599" s="52" t="str">
        <f>IF(J2599="","",INDEX(COA!$A$4:$A$123,MATCH(JU!$J2599,COA!$B$4:$B$123,0)))</f>
        <v/>
      </c>
      <c r="K2599" s="34" t="str">
        <f t="shared" si="299"/>
        <v/>
      </c>
    </row>
    <row r="2600" spans="6:11" hidden="1">
      <c r="F2600" s="52" t="str">
        <f>IF(G2600="","",INDEX(COA!$A$4:$A$123,MATCH(JU!$G2600,COA!$B$4:$B$123,0)))</f>
        <v/>
      </c>
      <c r="I2600" s="52" t="str">
        <f>IF(J2600="","",INDEX(COA!$A$4:$A$123,MATCH(JU!$J2600,COA!$B$4:$B$123,0)))</f>
        <v/>
      </c>
      <c r="K2600" s="34" t="str">
        <f t="shared" si="299"/>
        <v/>
      </c>
    </row>
    <row r="2601" spans="6:11" hidden="1">
      <c r="F2601" s="52" t="str">
        <f>IF(G2601="","",INDEX(COA!$A$4:$A$123,MATCH(JU!$G2601,COA!$B$4:$B$123,0)))</f>
        <v/>
      </c>
      <c r="I2601" s="52" t="str">
        <f>IF(J2601="","",INDEX(COA!$A$4:$A$123,MATCH(JU!$J2601,COA!$B$4:$B$123,0)))</f>
        <v/>
      </c>
      <c r="K2601" s="34" t="str">
        <f t="shared" si="299"/>
        <v/>
      </c>
    </row>
    <row r="2602" spans="6:11" hidden="1">
      <c r="F2602" s="52" t="str">
        <f>IF(G2602="","",INDEX(COA!$A$4:$A$123,MATCH(JU!$G2602,COA!$B$4:$B$123,0)))</f>
        <v/>
      </c>
      <c r="I2602" s="52" t="str">
        <f>IF(J2602="","",INDEX(COA!$A$4:$A$123,MATCH(JU!$J2602,COA!$B$4:$B$123,0)))</f>
        <v/>
      </c>
      <c r="K2602" s="34" t="str">
        <f t="shared" si="299"/>
        <v/>
      </c>
    </row>
    <row r="2603" spans="6:11" hidden="1">
      <c r="F2603" s="52" t="str">
        <f>IF(G2603="","",INDEX(COA!$A$4:$A$123,MATCH(JU!$G2603,COA!$B$4:$B$123,0)))</f>
        <v/>
      </c>
      <c r="I2603" s="52" t="str">
        <f>IF(J2603="","",INDEX(COA!$A$4:$A$123,MATCH(JU!$J2603,COA!$B$4:$B$123,0)))</f>
        <v/>
      </c>
      <c r="K2603" s="34" t="str">
        <f t="shared" si="299"/>
        <v/>
      </c>
    </row>
    <row r="2604" spans="6:11" hidden="1">
      <c r="F2604" s="52" t="str">
        <f>IF(G2604="","",INDEX(COA!$A$4:$A$123,MATCH(JU!$G2604,COA!$B$4:$B$123,0)))</f>
        <v/>
      </c>
      <c r="I2604" s="52" t="str">
        <f>IF(J2604="","",INDEX(COA!$A$4:$A$123,MATCH(JU!$J2604,COA!$B$4:$B$123,0)))</f>
        <v/>
      </c>
      <c r="K2604" s="34" t="str">
        <f t="shared" si="299"/>
        <v/>
      </c>
    </row>
    <row r="2605" spans="6:11" hidden="1">
      <c r="F2605" s="52" t="str">
        <f>IF(G2605="","",INDEX(COA!$A$4:$A$123,MATCH(JU!$G2605,COA!$B$4:$B$123,0)))</f>
        <v/>
      </c>
      <c r="I2605" s="52" t="str">
        <f>IF(J2605="","",INDEX(COA!$A$4:$A$123,MATCH(JU!$J2605,COA!$B$4:$B$123,0)))</f>
        <v/>
      </c>
      <c r="K2605" s="34" t="str">
        <f t="shared" si="299"/>
        <v/>
      </c>
    </row>
    <row r="2606" spans="6:11" hidden="1">
      <c r="F2606" s="52" t="str">
        <f>IF(G2606="","",INDEX(COA!$A$4:$A$123,MATCH(JU!$G2606,COA!$B$4:$B$123,0)))</f>
        <v/>
      </c>
      <c r="I2606" s="52" t="str">
        <f>IF(J2606="","",INDEX(COA!$A$4:$A$123,MATCH(JU!$J2606,COA!$B$4:$B$123,0)))</f>
        <v/>
      </c>
      <c r="K2606" s="34" t="str">
        <f t="shared" si="299"/>
        <v/>
      </c>
    </row>
    <row r="2607" spans="6:11" hidden="1">
      <c r="F2607" s="52" t="str">
        <f>IF(G2607="","",INDEX(COA!$A$4:$A$123,MATCH(JU!$G2607,COA!$B$4:$B$123,0)))</f>
        <v/>
      </c>
      <c r="I2607" s="52" t="str">
        <f>IF(J2607="","",INDEX(COA!$A$4:$A$123,MATCH(JU!$J2607,COA!$B$4:$B$123,0)))</f>
        <v/>
      </c>
      <c r="K2607" s="34" t="str">
        <f t="shared" si="299"/>
        <v/>
      </c>
    </row>
    <row r="2608" spans="6:11" hidden="1">
      <c r="F2608" s="52" t="str">
        <f>IF(G2608="","",INDEX(COA!$A$4:$A$123,MATCH(JU!$G2608,COA!$B$4:$B$123,0)))</f>
        <v/>
      </c>
      <c r="I2608" s="52" t="str">
        <f>IF(J2608="","",INDEX(COA!$A$4:$A$123,MATCH(JU!$J2608,COA!$B$4:$B$123,0)))</f>
        <v/>
      </c>
      <c r="K2608" s="34" t="str">
        <f t="shared" si="299"/>
        <v/>
      </c>
    </row>
    <row r="2609" spans="6:11" hidden="1">
      <c r="F2609" s="52" t="str">
        <f>IF(G2609="","",INDEX(COA!$A$4:$A$123,MATCH(JU!$G2609,COA!$B$4:$B$123,0)))</f>
        <v/>
      </c>
      <c r="I2609" s="52" t="str">
        <f>IF(J2609="","",INDEX(COA!$A$4:$A$123,MATCH(JU!$J2609,COA!$B$4:$B$123,0)))</f>
        <v/>
      </c>
      <c r="K2609" s="34" t="str">
        <f t="shared" si="299"/>
        <v/>
      </c>
    </row>
    <row r="2610" spans="6:11" hidden="1">
      <c r="F2610" s="52" t="str">
        <f>IF(G2610="","",INDEX(COA!$A$4:$A$123,MATCH(JU!$G2610,COA!$B$4:$B$123,0)))</f>
        <v/>
      </c>
      <c r="I2610" s="52" t="str">
        <f>IF(J2610="","",INDEX(COA!$A$4:$A$123,MATCH(JU!$J2610,COA!$B$4:$B$123,0)))</f>
        <v/>
      </c>
      <c r="K2610" s="34" t="str">
        <f t="shared" si="299"/>
        <v/>
      </c>
    </row>
    <row r="2611" spans="6:11" hidden="1">
      <c r="F2611" s="52" t="str">
        <f>IF(G2611="","",INDEX(COA!$A$4:$A$123,MATCH(JU!$G2611,COA!$B$4:$B$123,0)))</f>
        <v/>
      </c>
      <c r="I2611" s="52" t="str">
        <f>IF(J2611="","",INDEX(COA!$A$4:$A$123,MATCH(JU!$J2611,COA!$B$4:$B$123,0)))</f>
        <v/>
      </c>
      <c r="K2611" s="34" t="str">
        <f t="shared" si="299"/>
        <v/>
      </c>
    </row>
    <row r="2612" spans="6:11" hidden="1">
      <c r="F2612" s="52" t="str">
        <f>IF(G2612="","",INDEX(COA!$A$4:$A$123,MATCH(JU!$G2612,COA!$B$4:$B$123,0)))</f>
        <v/>
      </c>
      <c r="I2612" s="52" t="str">
        <f>IF(J2612="","",INDEX(COA!$A$4:$A$123,MATCH(JU!$J2612,COA!$B$4:$B$123,0)))</f>
        <v/>
      </c>
      <c r="K2612" s="34" t="str">
        <f t="shared" si="299"/>
        <v/>
      </c>
    </row>
    <row r="2613" spans="6:11" hidden="1">
      <c r="F2613" s="52" t="str">
        <f>IF(G2613="","",INDEX(COA!$A$4:$A$123,MATCH(JU!$G2613,COA!$B$4:$B$123,0)))</f>
        <v/>
      </c>
      <c r="I2613" s="52" t="str">
        <f>IF(J2613="","",INDEX(COA!$A$4:$A$123,MATCH(JU!$J2613,COA!$B$4:$B$123,0)))</f>
        <v/>
      </c>
      <c r="K2613" s="34" t="str">
        <f t="shared" si="299"/>
        <v/>
      </c>
    </row>
    <row r="2614" spans="6:11" hidden="1">
      <c r="F2614" s="52" t="str">
        <f>IF(G2614="","",INDEX(COA!$A$4:$A$123,MATCH(JU!$G2614,COA!$B$4:$B$123,0)))</f>
        <v/>
      </c>
      <c r="I2614" s="52" t="str">
        <f>IF(J2614="","",INDEX(COA!$A$4:$A$123,MATCH(JU!$J2614,COA!$B$4:$B$123,0)))</f>
        <v/>
      </c>
      <c r="K2614" s="34" t="str">
        <f t="shared" si="299"/>
        <v/>
      </c>
    </row>
    <row r="2615" spans="6:11" hidden="1">
      <c r="F2615" s="52" t="str">
        <f>IF(G2615="","",INDEX(COA!$A$4:$A$123,MATCH(JU!$G2615,COA!$B$4:$B$123,0)))</f>
        <v/>
      </c>
      <c r="I2615" s="52" t="str">
        <f>IF(J2615="","",INDEX(COA!$A$4:$A$123,MATCH(JU!$J2615,COA!$B$4:$B$123,0)))</f>
        <v/>
      </c>
      <c r="K2615" s="34" t="str">
        <f t="shared" si="299"/>
        <v/>
      </c>
    </row>
    <row r="2616" spans="6:11" hidden="1">
      <c r="F2616" s="52" t="str">
        <f>IF(G2616="","",INDEX(COA!$A$4:$A$123,MATCH(JU!$G2616,COA!$B$4:$B$123,0)))</f>
        <v/>
      </c>
      <c r="I2616" s="52" t="str">
        <f>IF(J2616="","",INDEX(COA!$A$4:$A$123,MATCH(JU!$J2616,COA!$B$4:$B$123,0)))</f>
        <v/>
      </c>
      <c r="K2616" s="34" t="str">
        <f t="shared" si="299"/>
        <v/>
      </c>
    </row>
    <row r="2617" spans="6:11" hidden="1">
      <c r="F2617" s="52" t="str">
        <f>IF(G2617="","",INDEX(COA!$A$4:$A$123,MATCH(JU!$G2617,COA!$B$4:$B$123,0)))</f>
        <v/>
      </c>
      <c r="I2617" s="52" t="str">
        <f>IF(J2617="","",INDEX(COA!$A$4:$A$123,MATCH(JU!$J2617,COA!$B$4:$B$123,0)))</f>
        <v/>
      </c>
      <c r="K2617" s="34" t="str">
        <f t="shared" si="299"/>
        <v/>
      </c>
    </row>
    <row r="2618" spans="6:11" hidden="1">
      <c r="F2618" s="52" t="str">
        <f>IF(G2618="","",INDEX(COA!$A$4:$A$123,MATCH(JU!$G2618,COA!$B$4:$B$123,0)))</f>
        <v/>
      </c>
      <c r="I2618" s="52" t="str">
        <f>IF(J2618="","",INDEX(COA!$A$4:$A$123,MATCH(JU!$J2618,COA!$B$4:$B$123,0)))</f>
        <v/>
      </c>
      <c r="K2618" s="34" t="str">
        <f t="shared" si="299"/>
        <v/>
      </c>
    </row>
    <row r="2619" spans="6:11" hidden="1">
      <c r="F2619" s="52" t="str">
        <f>IF(G2619="","",INDEX(COA!$A$4:$A$123,MATCH(JU!$G2619,COA!$B$4:$B$123,0)))</f>
        <v/>
      </c>
      <c r="I2619" s="52" t="str">
        <f>IF(J2619="","",INDEX(COA!$A$4:$A$123,MATCH(JU!$J2619,COA!$B$4:$B$123,0)))</f>
        <v/>
      </c>
      <c r="K2619" s="34" t="str">
        <f t="shared" si="299"/>
        <v/>
      </c>
    </row>
    <row r="2620" spans="6:11" hidden="1">
      <c r="F2620" s="52" t="str">
        <f>IF(G2620="","",INDEX(COA!$A$4:$A$123,MATCH(JU!$G2620,COA!$B$4:$B$123,0)))</f>
        <v/>
      </c>
      <c r="I2620" s="52" t="str">
        <f>IF(J2620="","",INDEX(COA!$A$4:$A$123,MATCH(JU!$J2620,COA!$B$4:$B$123,0)))</f>
        <v/>
      </c>
      <c r="K2620" s="34" t="str">
        <f t="shared" si="299"/>
        <v/>
      </c>
    </row>
    <row r="2621" spans="6:11" hidden="1">
      <c r="F2621" s="52" t="str">
        <f>IF(G2621="","",INDEX(COA!$A$4:$A$123,MATCH(JU!$G2621,COA!$B$4:$B$123,0)))</f>
        <v/>
      </c>
      <c r="I2621" s="52" t="str">
        <f>IF(J2621="","",INDEX(COA!$A$4:$A$123,MATCH(JU!$J2621,COA!$B$4:$B$123,0)))</f>
        <v/>
      </c>
      <c r="K2621" s="34" t="str">
        <f t="shared" si="299"/>
        <v/>
      </c>
    </row>
    <row r="2622" spans="6:11" hidden="1">
      <c r="F2622" s="52" t="str">
        <f>IF(G2622="","",INDEX(COA!$A$4:$A$123,MATCH(JU!$G2622,COA!$B$4:$B$123,0)))</f>
        <v/>
      </c>
      <c r="I2622" s="52" t="str">
        <f>IF(J2622="","",INDEX(COA!$A$4:$A$123,MATCH(JU!$J2622,COA!$B$4:$B$123,0)))</f>
        <v/>
      </c>
      <c r="K2622" s="34" t="str">
        <f t="shared" si="299"/>
        <v/>
      </c>
    </row>
    <row r="2623" spans="6:11" hidden="1">
      <c r="F2623" s="52" t="str">
        <f>IF(G2623="","",INDEX(COA!$A$4:$A$123,MATCH(JU!$G2623,COA!$B$4:$B$123,0)))</f>
        <v/>
      </c>
      <c r="I2623" s="52" t="str">
        <f>IF(J2623="","",INDEX(COA!$A$4:$A$123,MATCH(JU!$J2623,COA!$B$4:$B$123,0)))</f>
        <v/>
      </c>
      <c r="K2623" s="34" t="str">
        <f t="shared" si="299"/>
        <v/>
      </c>
    </row>
    <row r="2624" spans="6:11" hidden="1">
      <c r="F2624" s="52" t="str">
        <f>IF(G2624="","",INDEX(COA!$A$4:$A$123,MATCH(JU!$G2624,COA!$B$4:$B$123,0)))</f>
        <v/>
      </c>
      <c r="I2624" s="52" t="str">
        <f>IF(J2624="","",INDEX(COA!$A$4:$A$123,MATCH(JU!$J2624,COA!$B$4:$B$123,0)))</f>
        <v/>
      </c>
      <c r="K2624" s="34" t="str">
        <f t="shared" si="299"/>
        <v/>
      </c>
    </row>
    <row r="2625" spans="6:11" hidden="1">
      <c r="F2625" s="52" t="str">
        <f>IF(G2625="","",INDEX(COA!$A$4:$A$123,MATCH(JU!$G2625,COA!$B$4:$B$123,0)))</f>
        <v/>
      </c>
      <c r="I2625" s="52" t="str">
        <f>IF(J2625="","",INDEX(COA!$A$4:$A$123,MATCH(JU!$J2625,COA!$B$4:$B$123,0)))</f>
        <v/>
      </c>
      <c r="K2625" s="34" t="str">
        <f t="shared" si="299"/>
        <v/>
      </c>
    </row>
    <row r="2626" spans="6:11" hidden="1">
      <c r="F2626" s="52" t="str">
        <f>IF(G2626="","",INDEX(COA!$A$4:$A$123,MATCH(JU!$G2626,COA!$B$4:$B$123,0)))</f>
        <v/>
      </c>
      <c r="I2626" s="52" t="str">
        <f>IF(J2626="","",INDEX(COA!$A$4:$A$123,MATCH(JU!$J2626,COA!$B$4:$B$123,0)))</f>
        <v/>
      </c>
      <c r="K2626" s="34" t="str">
        <f t="shared" si="299"/>
        <v/>
      </c>
    </row>
    <row r="2627" spans="6:11" hidden="1">
      <c r="F2627" s="52" t="str">
        <f>IF(G2627="","",INDEX(COA!$A$4:$A$123,MATCH(JU!$G2627,COA!$B$4:$B$123,0)))</f>
        <v/>
      </c>
      <c r="I2627" s="52" t="str">
        <f>IF(J2627="","",INDEX(COA!$A$4:$A$123,MATCH(JU!$J2627,COA!$B$4:$B$123,0)))</f>
        <v/>
      </c>
      <c r="K2627" s="34" t="str">
        <f t="shared" si="299"/>
        <v/>
      </c>
    </row>
    <row r="2628" spans="6:11" hidden="1">
      <c r="F2628" s="52" t="str">
        <f>IF(G2628="","",INDEX(COA!$A$4:$A$123,MATCH(JU!$G2628,COA!$B$4:$B$123,0)))</f>
        <v/>
      </c>
      <c r="I2628" s="52" t="str">
        <f>IF(J2628="","",INDEX(COA!$A$4:$A$123,MATCH(JU!$J2628,COA!$B$4:$B$123,0)))</f>
        <v/>
      </c>
      <c r="K2628" s="34" t="str">
        <f t="shared" si="299"/>
        <v/>
      </c>
    </row>
    <row r="2629" spans="6:11" hidden="1">
      <c r="F2629" s="52" t="str">
        <f>IF(G2629="","",INDEX(COA!$A$4:$A$123,MATCH(JU!$G2629,COA!$B$4:$B$123,0)))</f>
        <v/>
      </c>
      <c r="I2629" s="52" t="str">
        <f>IF(J2629="","",INDEX(COA!$A$4:$A$123,MATCH(JU!$J2629,COA!$B$4:$B$123,0)))</f>
        <v/>
      </c>
      <c r="K2629" s="34" t="str">
        <f t="shared" si="299"/>
        <v/>
      </c>
    </row>
    <row r="2630" spans="6:11" hidden="1">
      <c r="F2630" s="52" t="str">
        <f>IF(G2630="","",INDEX(COA!$A$4:$A$123,MATCH(JU!$G2630,COA!$B$4:$B$123,0)))</f>
        <v/>
      </c>
      <c r="I2630" s="52" t="str">
        <f>IF(J2630="","",INDEX(COA!$A$4:$A$123,MATCH(JU!$J2630,COA!$B$4:$B$123,0)))</f>
        <v/>
      </c>
      <c r="K2630" s="34" t="str">
        <f t="shared" si="299"/>
        <v/>
      </c>
    </row>
    <row r="2631" spans="6:11" hidden="1">
      <c r="F2631" s="52" t="str">
        <f>IF(G2631="","",INDEX(COA!$A$4:$A$123,MATCH(JU!$G2631,COA!$B$4:$B$123,0)))</f>
        <v/>
      </c>
      <c r="I2631" s="52" t="str">
        <f>IF(J2631="","",INDEX(COA!$A$4:$A$123,MATCH(JU!$J2631,COA!$B$4:$B$123,0)))</f>
        <v/>
      </c>
      <c r="K2631" s="34" t="str">
        <f t="shared" si="299"/>
        <v/>
      </c>
    </row>
    <row r="2632" spans="6:11" hidden="1">
      <c r="F2632" s="52" t="str">
        <f>IF(G2632="","",INDEX(COA!$A$4:$A$123,MATCH(JU!$G2632,COA!$B$4:$B$123,0)))</f>
        <v/>
      </c>
      <c r="I2632" s="52" t="str">
        <f>IF(J2632="","",INDEX(COA!$A$4:$A$123,MATCH(JU!$J2632,COA!$B$4:$B$123,0)))</f>
        <v/>
      </c>
      <c r="K2632" s="34" t="str">
        <f t="shared" si="299"/>
        <v/>
      </c>
    </row>
    <row r="2633" spans="6:11" hidden="1">
      <c r="F2633" s="52" t="str">
        <f>IF(G2633="","",INDEX(COA!$A$4:$A$123,MATCH(JU!$G2633,COA!$B$4:$B$123,0)))</f>
        <v/>
      </c>
      <c r="I2633" s="52" t="str">
        <f>IF(J2633="","",INDEX(COA!$A$4:$A$123,MATCH(JU!$J2633,COA!$B$4:$B$123,0)))</f>
        <v/>
      </c>
      <c r="K2633" s="34" t="str">
        <f t="shared" si="299"/>
        <v/>
      </c>
    </row>
    <row r="2634" spans="6:11" hidden="1">
      <c r="F2634" s="52" t="str">
        <f>IF(G2634="","",INDEX(COA!$A$4:$A$123,MATCH(JU!$G2634,COA!$B$4:$B$123,0)))</f>
        <v/>
      </c>
      <c r="I2634" s="52" t="str">
        <f>IF(J2634="","",INDEX(COA!$A$4:$A$123,MATCH(JU!$J2634,COA!$B$4:$B$123,0)))</f>
        <v/>
      </c>
      <c r="K2634" s="34" t="str">
        <f t="shared" si="299"/>
        <v/>
      </c>
    </row>
    <row r="2635" spans="6:11" hidden="1">
      <c r="F2635" s="52" t="str">
        <f>IF(G2635="","",INDEX(COA!$A$4:$A$123,MATCH(JU!$G2635,COA!$B$4:$B$123,0)))</f>
        <v/>
      </c>
      <c r="I2635" s="52" t="str">
        <f>IF(J2635="","",INDEX(COA!$A$4:$A$123,MATCH(JU!$J2635,COA!$B$4:$B$123,0)))</f>
        <v/>
      </c>
      <c r="K2635" s="34" t="str">
        <f t="shared" si="299"/>
        <v/>
      </c>
    </row>
    <row r="2636" spans="6:11" hidden="1">
      <c r="F2636" s="52" t="str">
        <f>IF(G2636="","",INDEX(COA!$A$4:$A$123,MATCH(JU!$G2636,COA!$B$4:$B$123,0)))</f>
        <v/>
      </c>
      <c r="I2636" s="52" t="str">
        <f>IF(J2636="","",INDEX(COA!$A$4:$A$123,MATCH(JU!$J2636,COA!$B$4:$B$123,0)))</f>
        <v/>
      </c>
      <c r="K2636" s="34" t="str">
        <f t="shared" si="299"/>
        <v/>
      </c>
    </row>
    <row r="2637" spans="6:11" hidden="1">
      <c r="F2637" s="52" t="str">
        <f>IF(G2637="","",INDEX(COA!$A$4:$A$123,MATCH(JU!$G2637,COA!$B$4:$B$123,0)))</f>
        <v/>
      </c>
      <c r="I2637" s="52" t="str">
        <f>IF(J2637="","",INDEX(COA!$A$4:$A$123,MATCH(JU!$J2637,COA!$B$4:$B$123,0)))</f>
        <v/>
      </c>
      <c r="K2637" s="34" t="str">
        <f t="shared" si="299"/>
        <v/>
      </c>
    </row>
    <row r="2638" spans="6:11" hidden="1">
      <c r="F2638" s="52" t="str">
        <f>IF(G2638="","",INDEX(COA!$A$4:$A$123,MATCH(JU!$G2638,COA!$B$4:$B$123,0)))</f>
        <v/>
      </c>
      <c r="I2638" s="52" t="str">
        <f>IF(J2638="","",INDEX(COA!$A$4:$A$123,MATCH(JU!$J2638,COA!$B$4:$B$123,0)))</f>
        <v/>
      </c>
      <c r="K2638" s="34" t="str">
        <f t="shared" si="299"/>
        <v/>
      </c>
    </row>
    <row r="2639" spans="6:11" hidden="1">
      <c r="F2639" s="52" t="str">
        <f>IF(G2639="","",INDEX(COA!$A$4:$A$123,MATCH(JU!$G2639,COA!$B$4:$B$123,0)))</f>
        <v/>
      </c>
      <c r="I2639" s="52" t="str">
        <f>IF(J2639="","",INDEX(COA!$A$4:$A$123,MATCH(JU!$J2639,COA!$B$4:$B$123,0)))</f>
        <v/>
      </c>
      <c r="K2639" s="34" t="str">
        <f t="shared" si="299"/>
        <v/>
      </c>
    </row>
    <row r="2640" spans="6:11" hidden="1">
      <c r="F2640" s="52" t="str">
        <f>IF(G2640="","",INDEX(COA!$A$4:$A$123,MATCH(JU!$G2640,COA!$B$4:$B$123,0)))</f>
        <v/>
      </c>
      <c r="I2640" s="52" t="str">
        <f>IF(J2640="","",INDEX(COA!$A$4:$A$123,MATCH(JU!$J2640,COA!$B$4:$B$123,0)))</f>
        <v/>
      </c>
      <c r="K2640" s="34" t="str">
        <f t="shared" si="299"/>
        <v/>
      </c>
    </row>
    <row r="2641" spans="6:11" hidden="1">
      <c r="F2641" s="52" t="str">
        <f>IF(G2641="","",INDEX(COA!$A$4:$A$123,MATCH(JU!$G2641,COA!$B$4:$B$123,0)))</f>
        <v/>
      </c>
      <c r="I2641" s="52" t="str">
        <f>IF(J2641="","",INDEX(COA!$A$4:$A$123,MATCH(JU!$J2641,COA!$B$4:$B$123,0)))</f>
        <v/>
      </c>
      <c r="K2641" s="34" t="str">
        <f t="shared" si="299"/>
        <v/>
      </c>
    </row>
    <row r="2642" spans="6:11" hidden="1">
      <c r="F2642" s="52" t="str">
        <f>IF(G2642="","",INDEX(COA!$A$4:$A$123,MATCH(JU!$G2642,COA!$B$4:$B$123,0)))</f>
        <v/>
      </c>
      <c r="I2642" s="52" t="str">
        <f>IF(J2642="","",INDEX(COA!$A$4:$A$123,MATCH(JU!$J2642,COA!$B$4:$B$123,0)))</f>
        <v/>
      </c>
      <c r="K2642" s="34" t="str">
        <f t="shared" si="299"/>
        <v/>
      </c>
    </row>
    <row r="2643" spans="6:11" hidden="1">
      <c r="F2643" s="52" t="str">
        <f>IF(G2643="","",INDEX(COA!$A$4:$A$123,MATCH(JU!$G2643,COA!$B$4:$B$123,0)))</f>
        <v/>
      </c>
      <c r="I2643" s="52" t="str">
        <f>IF(J2643="","",INDEX(COA!$A$4:$A$123,MATCH(JU!$J2643,COA!$B$4:$B$123,0)))</f>
        <v/>
      </c>
      <c r="K2643" s="34" t="str">
        <f t="shared" si="299"/>
        <v/>
      </c>
    </row>
    <row r="2644" spans="6:11" hidden="1">
      <c r="F2644" s="52" t="str">
        <f>IF(G2644="","",INDEX(COA!$A$4:$A$123,MATCH(JU!$G2644,COA!$B$4:$B$123,0)))</f>
        <v/>
      </c>
      <c r="I2644" s="52" t="str">
        <f>IF(J2644="","",INDEX(COA!$A$4:$A$123,MATCH(JU!$J2644,COA!$B$4:$B$123,0)))</f>
        <v/>
      </c>
      <c r="K2644" s="34" t="str">
        <f t="shared" si="299"/>
        <v/>
      </c>
    </row>
    <row r="2645" spans="6:11" hidden="1">
      <c r="F2645" s="52" t="str">
        <f>IF(G2645="","",INDEX(COA!$A$4:$A$123,MATCH(JU!$G2645,COA!$B$4:$B$123,0)))</f>
        <v/>
      </c>
      <c r="I2645" s="52" t="str">
        <f>IF(J2645="","",INDEX(COA!$A$4:$A$123,MATCH(JU!$J2645,COA!$B$4:$B$123,0)))</f>
        <v/>
      </c>
      <c r="K2645" s="34" t="str">
        <f t="shared" si="299"/>
        <v/>
      </c>
    </row>
    <row r="2646" spans="6:11" hidden="1">
      <c r="F2646" s="52" t="str">
        <f>IF(G2646="","",INDEX(COA!$A$4:$A$123,MATCH(JU!$G2646,COA!$B$4:$B$123,0)))</f>
        <v/>
      </c>
      <c r="I2646" s="52" t="str">
        <f>IF(J2646="","",INDEX(COA!$A$4:$A$123,MATCH(JU!$J2646,COA!$B$4:$B$123,0)))</f>
        <v/>
      </c>
      <c r="K2646" s="34" t="str">
        <f t="shared" si="299"/>
        <v/>
      </c>
    </row>
    <row r="2647" spans="6:11" hidden="1">
      <c r="F2647" s="52" t="str">
        <f>IF(G2647="","",INDEX(COA!$A$4:$A$123,MATCH(JU!$G2647,COA!$B$4:$B$123,0)))</f>
        <v/>
      </c>
      <c r="I2647" s="52" t="str">
        <f>IF(J2647="","",INDEX(COA!$A$4:$A$123,MATCH(JU!$J2647,COA!$B$4:$B$123,0)))</f>
        <v/>
      </c>
      <c r="K2647" s="34" t="str">
        <f t="shared" si="299"/>
        <v/>
      </c>
    </row>
    <row r="2648" spans="6:11" hidden="1">
      <c r="F2648" s="52" t="str">
        <f>IF(G2648="","",INDEX(COA!$A$4:$A$123,MATCH(JU!$G2648,COA!$B$4:$B$123,0)))</f>
        <v/>
      </c>
      <c r="I2648" s="52" t="str">
        <f>IF(J2648="","",INDEX(COA!$A$4:$A$123,MATCH(JU!$J2648,COA!$B$4:$B$123,0)))</f>
        <v/>
      </c>
      <c r="K2648" s="34" t="str">
        <f t="shared" si="299"/>
        <v/>
      </c>
    </row>
    <row r="2649" spans="6:11" hidden="1">
      <c r="F2649" s="52" t="str">
        <f>IF(G2649="","",INDEX(COA!$A$4:$A$123,MATCH(JU!$G2649,COA!$B$4:$B$123,0)))</f>
        <v/>
      </c>
      <c r="I2649" s="52" t="str">
        <f>IF(J2649="","",INDEX(COA!$A$4:$A$123,MATCH(JU!$J2649,COA!$B$4:$B$123,0)))</f>
        <v/>
      </c>
      <c r="K2649" s="34" t="str">
        <f t="shared" si="299"/>
        <v/>
      </c>
    </row>
    <row r="2650" spans="6:11" hidden="1">
      <c r="F2650" s="52" t="str">
        <f>IF(G2650="","",INDEX(COA!$A$4:$A$123,MATCH(JU!$G2650,COA!$B$4:$B$123,0)))</f>
        <v/>
      </c>
      <c r="I2650" s="52" t="str">
        <f>IF(J2650="","",INDEX(COA!$A$4:$A$123,MATCH(JU!$J2650,COA!$B$4:$B$123,0)))</f>
        <v/>
      </c>
      <c r="K2650" s="34" t="str">
        <f t="shared" si="299"/>
        <v/>
      </c>
    </row>
    <row r="2651" spans="6:11" hidden="1">
      <c r="F2651" s="52" t="str">
        <f>IF(G2651="","",INDEX(COA!$A$4:$A$123,MATCH(JU!$G2651,COA!$B$4:$B$123,0)))</f>
        <v/>
      </c>
      <c r="I2651" s="52" t="str">
        <f>IF(J2651="","",INDEX(COA!$A$4:$A$123,MATCH(JU!$J2651,COA!$B$4:$B$123,0)))</f>
        <v/>
      </c>
      <c r="K2651" s="34" t="str">
        <f t="shared" si="299"/>
        <v/>
      </c>
    </row>
    <row r="2652" spans="6:11" hidden="1">
      <c r="F2652" s="52" t="str">
        <f>IF(G2652="","",INDEX(COA!$A$4:$A$123,MATCH(JU!$G2652,COA!$B$4:$B$123,0)))</f>
        <v/>
      </c>
      <c r="I2652" s="52" t="str">
        <f>IF(J2652="","",INDEX(COA!$A$4:$A$123,MATCH(JU!$J2652,COA!$B$4:$B$123,0)))</f>
        <v/>
      </c>
      <c r="K2652" s="34" t="str">
        <f t="shared" si="299"/>
        <v/>
      </c>
    </row>
    <row r="2653" spans="6:11" hidden="1">
      <c r="F2653" s="52" t="str">
        <f>IF(G2653="","",INDEX(COA!$A$4:$A$123,MATCH(JU!$G2653,COA!$B$4:$B$123,0)))</f>
        <v/>
      </c>
      <c r="I2653" s="52" t="str">
        <f>IF(J2653="","",INDEX(COA!$A$4:$A$123,MATCH(JU!$J2653,COA!$B$4:$B$123,0)))</f>
        <v/>
      </c>
      <c r="K2653" s="34" t="str">
        <f t="shared" si="299"/>
        <v/>
      </c>
    </row>
    <row r="2654" spans="6:11" hidden="1">
      <c r="F2654" s="52" t="str">
        <f>IF(G2654="","",INDEX(COA!$A$4:$A$123,MATCH(JU!$G2654,COA!$B$4:$B$123,0)))</f>
        <v/>
      </c>
      <c r="I2654" s="52" t="str">
        <f>IF(J2654="","",INDEX(COA!$A$4:$A$123,MATCH(JU!$J2654,COA!$B$4:$B$123,0)))</f>
        <v/>
      </c>
      <c r="K2654" s="34" t="str">
        <f t="shared" si="299"/>
        <v/>
      </c>
    </row>
    <row r="2655" spans="6:11" hidden="1">
      <c r="F2655" s="52" t="str">
        <f>IF(G2655="","",INDEX(COA!$A$4:$A$123,MATCH(JU!$G2655,COA!$B$4:$B$123,0)))</f>
        <v/>
      </c>
      <c r="I2655" s="52" t="str">
        <f>IF(J2655="","",INDEX(COA!$A$4:$A$123,MATCH(JU!$J2655,COA!$B$4:$B$123,0)))</f>
        <v/>
      </c>
      <c r="K2655" s="34" t="str">
        <f t="shared" si="299"/>
        <v/>
      </c>
    </row>
    <row r="2656" spans="6:11" hidden="1">
      <c r="F2656" s="52" t="str">
        <f>IF(G2656="","",INDEX(COA!$A$4:$A$123,MATCH(JU!$G2656,COA!$B$4:$B$123,0)))</f>
        <v/>
      </c>
      <c r="I2656" s="52" t="str">
        <f>IF(J2656="","",INDEX(COA!$A$4:$A$123,MATCH(JU!$J2656,COA!$B$4:$B$123,0)))</f>
        <v/>
      </c>
      <c r="K2656" s="34" t="str">
        <f t="shared" si="299"/>
        <v/>
      </c>
    </row>
    <row r="2657" spans="6:11" hidden="1">
      <c r="F2657" s="52" t="str">
        <f>IF(G2657="","",INDEX(COA!$A$4:$A$123,MATCH(JU!$G2657,COA!$B$4:$B$123,0)))</f>
        <v/>
      </c>
      <c r="I2657" s="52" t="str">
        <f>IF(J2657="","",INDEX(COA!$A$4:$A$123,MATCH(JU!$J2657,COA!$B$4:$B$123,0)))</f>
        <v/>
      </c>
      <c r="K2657" s="34" t="str">
        <f t="shared" si="299"/>
        <v/>
      </c>
    </row>
    <row r="2658" spans="6:11" hidden="1">
      <c r="F2658" s="52" t="str">
        <f>IF(G2658="","",INDEX(COA!$A$4:$A$123,MATCH(JU!$G2658,COA!$B$4:$B$123,0)))</f>
        <v/>
      </c>
      <c r="I2658" s="52" t="str">
        <f>IF(J2658="","",INDEX(COA!$A$4:$A$123,MATCH(JU!$J2658,COA!$B$4:$B$123,0)))</f>
        <v/>
      </c>
      <c r="K2658" s="34" t="str">
        <f t="shared" ref="K2658:K2721" si="300">IF(H2658="","",H2658)</f>
        <v/>
      </c>
    </row>
    <row r="2659" spans="6:11" hidden="1">
      <c r="F2659" s="52" t="str">
        <f>IF(G2659="","",INDEX(COA!$A$4:$A$123,MATCH(JU!$G2659,COA!$B$4:$B$123,0)))</f>
        <v/>
      </c>
      <c r="I2659" s="52" t="str">
        <f>IF(J2659="","",INDEX(COA!$A$4:$A$123,MATCH(JU!$J2659,COA!$B$4:$B$123,0)))</f>
        <v/>
      </c>
      <c r="K2659" s="34" t="str">
        <f t="shared" si="300"/>
        <v/>
      </c>
    </row>
    <row r="2660" spans="6:11" hidden="1">
      <c r="F2660" s="52" t="str">
        <f>IF(G2660="","",INDEX(COA!$A$4:$A$123,MATCH(JU!$G2660,COA!$B$4:$B$123,0)))</f>
        <v/>
      </c>
      <c r="I2660" s="52" t="str">
        <f>IF(J2660="","",INDEX(COA!$A$4:$A$123,MATCH(JU!$J2660,COA!$B$4:$B$123,0)))</f>
        <v/>
      </c>
      <c r="K2660" s="34" t="str">
        <f t="shared" si="300"/>
        <v/>
      </c>
    </row>
    <row r="2661" spans="6:11" hidden="1">
      <c r="F2661" s="52" t="str">
        <f>IF(G2661="","",INDEX(COA!$A$4:$A$123,MATCH(JU!$G2661,COA!$B$4:$B$123,0)))</f>
        <v/>
      </c>
      <c r="I2661" s="52" t="str">
        <f>IF(J2661="","",INDEX(COA!$A$4:$A$123,MATCH(JU!$J2661,COA!$B$4:$B$123,0)))</f>
        <v/>
      </c>
      <c r="K2661" s="34" t="str">
        <f t="shared" si="300"/>
        <v/>
      </c>
    </row>
    <row r="2662" spans="6:11" hidden="1">
      <c r="F2662" s="52" t="str">
        <f>IF(G2662="","",INDEX(COA!$A$4:$A$123,MATCH(JU!$G2662,COA!$B$4:$B$123,0)))</f>
        <v/>
      </c>
      <c r="I2662" s="52" t="str">
        <f>IF(J2662="","",INDEX(COA!$A$4:$A$123,MATCH(JU!$J2662,COA!$B$4:$B$123,0)))</f>
        <v/>
      </c>
      <c r="K2662" s="34" t="str">
        <f t="shared" si="300"/>
        <v/>
      </c>
    </row>
    <row r="2663" spans="6:11" hidden="1">
      <c r="F2663" s="52" t="str">
        <f>IF(G2663="","",INDEX(COA!$A$4:$A$123,MATCH(JU!$G2663,COA!$B$4:$B$123,0)))</f>
        <v/>
      </c>
      <c r="I2663" s="52" t="str">
        <f>IF(J2663="","",INDEX(COA!$A$4:$A$123,MATCH(JU!$J2663,COA!$B$4:$B$123,0)))</f>
        <v/>
      </c>
      <c r="K2663" s="34" t="str">
        <f t="shared" si="300"/>
        <v/>
      </c>
    </row>
    <row r="2664" spans="6:11" hidden="1">
      <c r="F2664" s="52" t="str">
        <f>IF(G2664="","",INDEX(COA!$A$4:$A$123,MATCH(JU!$G2664,COA!$B$4:$B$123,0)))</f>
        <v/>
      </c>
      <c r="I2664" s="52" t="str">
        <f>IF(J2664="","",INDEX(COA!$A$4:$A$123,MATCH(JU!$J2664,COA!$B$4:$B$123,0)))</f>
        <v/>
      </c>
      <c r="K2664" s="34" t="str">
        <f t="shared" si="300"/>
        <v/>
      </c>
    </row>
    <row r="2665" spans="6:11" hidden="1">
      <c r="F2665" s="52" t="str">
        <f>IF(G2665="","",INDEX(COA!$A$4:$A$123,MATCH(JU!$G2665,COA!$B$4:$B$123,0)))</f>
        <v/>
      </c>
      <c r="I2665" s="52" t="str">
        <f>IF(J2665="","",INDEX(COA!$A$4:$A$123,MATCH(JU!$J2665,COA!$B$4:$B$123,0)))</f>
        <v/>
      </c>
      <c r="K2665" s="34" t="str">
        <f t="shared" si="300"/>
        <v/>
      </c>
    </row>
    <row r="2666" spans="6:11" hidden="1">
      <c r="F2666" s="52" t="str">
        <f>IF(G2666="","",INDEX(COA!$A$4:$A$123,MATCH(JU!$G2666,COA!$B$4:$B$123,0)))</f>
        <v/>
      </c>
      <c r="I2666" s="52" t="str">
        <f>IF(J2666="","",INDEX(COA!$A$4:$A$123,MATCH(JU!$J2666,COA!$B$4:$B$123,0)))</f>
        <v/>
      </c>
      <c r="K2666" s="34" t="str">
        <f t="shared" si="300"/>
        <v/>
      </c>
    </row>
    <row r="2667" spans="6:11" hidden="1">
      <c r="F2667" s="52" t="str">
        <f>IF(G2667="","",INDEX(COA!$A$4:$A$123,MATCH(JU!$G2667,COA!$B$4:$B$123,0)))</f>
        <v/>
      </c>
      <c r="I2667" s="52" t="str">
        <f>IF(J2667="","",INDEX(COA!$A$4:$A$123,MATCH(JU!$J2667,COA!$B$4:$B$123,0)))</f>
        <v/>
      </c>
      <c r="K2667" s="34" t="str">
        <f t="shared" si="300"/>
        <v/>
      </c>
    </row>
    <row r="2668" spans="6:11" hidden="1">
      <c r="F2668" s="52" t="str">
        <f>IF(G2668="","",INDEX(COA!$A$4:$A$123,MATCH(JU!$G2668,COA!$B$4:$B$123,0)))</f>
        <v/>
      </c>
      <c r="I2668" s="52" t="str">
        <f>IF(J2668="","",INDEX(COA!$A$4:$A$123,MATCH(JU!$J2668,COA!$B$4:$B$123,0)))</f>
        <v/>
      </c>
      <c r="K2668" s="34" t="str">
        <f t="shared" si="300"/>
        <v/>
      </c>
    </row>
    <row r="2669" spans="6:11" hidden="1">
      <c r="F2669" s="52" t="str">
        <f>IF(G2669="","",INDEX(COA!$A$4:$A$123,MATCH(JU!$G2669,COA!$B$4:$B$123,0)))</f>
        <v/>
      </c>
      <c r="I2669" s="52" t="str">
        <f>IF(J2669="","",INDEX(COA!$A$4:$A$123,MATCH(JU!$J2669,COA!$B$4:$B$123,0)))</f>
        <v/>
      </c>
      <c r="K2669" s="34" t="str">
        <f t="shared" si="300"/>
        <v/>
      </c>
    </row>
    <row r="2670" spans="6:11" hidden="1">
      <c r="F2670" s="52" t="str">
        <f>IF(G2670="","",INDEX(COA!$A$4:$A$123,MATCH(JU!$G2670,COA!$B$4:$B$123,0)))</f>
        <v/>
      </c>
      <c r="I2670" s="52" t="str">
        <f>IF(J2670="","",INDEX(COA!$A$4:$A$123,MATCH(JU!$J2670,COA!$B$4:$B$123,0)))</f>
        <v/>
      </c>
      <c r="K2670" s="34" t="str">
        <f t="shared" si="300"/>
        <v/>
      </c>
    </row>
    <row r="2671" spans="6:11" hidden="1">
      <c r="F2671" s="52" t="str">
        <f>IF(G2671="","",INDEX(COA!$A$4:$A$123,MATCH(JU!$G2671,COA!$B$4:$B$123,0)))</f>
        <v/>
      </c>
      <c r="I2671" s="52" t="str">
        <f>IF(J2671="","",INDEX(COA!$A$4:$A$123,MATCH(JU!$J2671,COA!$B$4:$B$123,0)))</f>
        <v/>
      </c>
      <c r="K2671" s="34" t="str">
        <f t="shared" si="300"/>
        <v/>
      </c>
    </row>
    <row r="2672" spans="6:11" hidden="1">
      <c r="F2672" s="52" t="str">
        <f>IF(G2672="","",INDEX(COA!$A$4:$A$123,MATCH(JU!$G2672,COA!$B$4:$B$123,0)))</f>
        <v/>
      </c>
      <c r="I2672" s="52" t="str">
        <f>IF(J2672="","",INDEX(COA!$A$4:$A$123,MATCH(JU!$J2672,COA!$B$4:$B$123,0)))</f>
        <v/>
      </c>
      <c r="K2672" s="34" t="str">
        <f t="shared" si="300"/>
        <v/>
      </c>
    </row>
    <row r="2673" spans="6:11" hidden="1">
      <c r="F2673" s="52" t="str">
        <f>IF(G2673="","",INDEX(COA!$A$4:$A$123,MATCH(JU!$G2673,COA!$B$4:$B$123,0)))</f>
        <v/>
      </c>
      <c r="I2673" s="52" t="str">
        <f>IF(J2673="","",INDEX(COA!$A$4:$A$123,MATCH(JU!$J2673,COA!$B$4:$B$123,0)))</f>
        <v/>
      </c>
      <c r="K2673" s="34" t="str">
        <f t="shared" si="300"/>
        <v/>
      </c>
    </row>
    <row r="2674" spans="6:11" hidden="1">
      <c r="F2674" s="52" t="str">
        <f>IF(G2674="","",INDEX(COA!$A$4:$A$123,MATCH(JU!$G2674,COA!$B$4:$B$123,0)))</f>
        <v/>
      </c>
      <c r="I2674" s="52" t="str">
        <f>IF(J2674="","",INDEX(COA!$A$4:$A$123,MATCH(JU!$J2674,COA!$B$4:$B$123,0)))</f>
        <v/>
      </c>
      <c r="K2674" s="34" t="str">
        <f t="shared" si="300"/>
        <v/>
      </c>
    </row>
    <row r="2675" spans="6:11" hidden="1">
      <c r="F2675" s="52" t="str">
        <f>IF(G2675="","",INDEX(COA!$A$4:$A$123,MATCH(JU!$G2675,COA!$B$4:$B$123,0)))</f>
        <v/>
      </c>
      <c r="I2675" s="52" t="str">
        <f>IF(J2675="","",INDEX(COA!$A$4:$A$123,MATCH(JU!$J2675,COA!$B$4:$B$123,0)))</f>
        <v/>
      </c>
      <c r="K2675" s="34" t="str">
        <f t="shared" si="300"/>
        <v/>
      </c>
    </row>
    <row r="2676" spans="6:11" hidden="1">
      <c r="F2676" s="52" t="str">
        <f>IF(G2676="","",INDEX(COA!$A$4:$A$123,MATCH(JU!$G2676,COA!$B$4:$B$123,0)))</f>
        <v/>
      </c>
      <c r="I2676" s="52" t="str">
        <f>IF(J2676="","",INDEX(COA!$A$4:$A$123,MATCH(JU!$J2676,COA!$B$4:$B$123,0)))</f>
        <v/>
      </c>
      <c r="K2676" s="34" t="str">
        <f t="shared" si="300"/>
        <v/>
      </c>
    </row>
    <row r="2677" spans="6:11" hidden="1">
      <c r="F2677" s="52" t="str">
        <f>IF(G2677="","",INDEX(COA!$A$4:$A$123,MATCH(JU!$G2677,COA!$B$4:$B$123,0)))</f>
        <v/>
      </c>
      <c r="I2677" s="52" t="str">
        <f>IF(J2677="","",INDEX(COA!$A$4:$A$123,MATCH(JU!$J2677,COA!$B$4:$B$123,0)))</f>
        <v/>
      </c>
      <c r="K2677" s="34" t="str">
        <f t="shared" si="300"/>
        <v/>
      </c>
    </row>
    <row r="2678" spans="6:11" hidden="1">
      <c r="F2678" s="52" t="str">
        <f>IF(G2678="","",INDEX(COA!$A$4:$A$123,MATCH(JU!$G2678,COA!$B$4:$B$123,0)))</f>
        <v/>
      </c>
      <c r="I2678" s="52" t="str">
        <f>IF(J2678="","",INDEX(COA!$A$4:$A$123,MATCH(JU!$J2678,COA!$B$4:$B$123,0)))</f>
        <v/>
      </c>
      <c r="K2678" s="34" t="str">
        <f t="shared" si="300"/>
        <v/>
      </c>
    </row>
    <row r="2679" spans="6:11" hidden="1">
      <c r="F2679" s="52" t="str">
        <f>IF(G2679="","",INDEX(COA!$A$4:$A$123,MATCH(JU!$G2679,COA!$B$4:$B$123,0)))</f>
        <v/>
      </c>
      <c r="I2679" s="52" t="str">
        <f>IF(J2679="","",INDEX(COA!$A$4:$A$123,MATCH(JU!$J2679,COA!$B$4:$B$123,0)))</f>
        <v/>
      </c>
      <c r="K2679" s="34" t="str">
        <f t="shared" si="300"/>
        <v/>
      </c>
    </row>
    <row r="2680" spans="6:11" hidden="1">
      <c r="F2680" s="52" t="str">
        <f>IF(G2680="","",INDEX(COA!$A$4:$A$123,MATCH(JU!$G2680,COA!$B$4:$B$123,0)))</f>
        <v/>
      </c>
      <c r="I2680" s="52" t="str">
        <f>IF(J2680="","",INDEX(COA!$A$4:$A$123,MATCH(JU!$J2680,COA!$B$4:$B$123,0)))</f>
        <v/>
      </c>
      <c r="K2680" s="34" t="str">
        <f t="shared" si="300"/>
        <v/>
      </c>
    </row>
    <row r="2681" spans="6:11" hidden="1">
      <c r="F2681" s="52" t="str">
        <f>IF(G2681="","",INDEX(COA!$A$4:$A$123,MATCH(JU!$G2681,COA!$B$4:$B$123,0)))</f>
        <v/>
      </c>
      <c r="I2681" s="52" t="str">
        <f>IF(J2681="","",INDEX(COA!$A$4:$A$123,MATCH(JU!$J2681,COA!$B$4:$B$123,0)))</f>
        <v/>
      </c>
      <c r="K2681" s="34" t="str">
        <f t="shared" si="300"/>
        <v/>
      </c>
    </row>
    <row r="2682" spans="6:11" hidden="1">
      <c r="F2682" s="52" t="str">
        <f>IF(G2682="","",INDEX(COA!$A$4:$A$123,MATCH(JU!$G2682,COA!$B$4:$B$123,0)))</f>
        <v/>
      </c>
      <c r="I2682" s="52" t="str">
        <f>IF(J2682="","",INDEX(COA!$A$4:$A$123,MATCH(JU!$J2682,COA!$B$4:$B$123,0)))</f>
        <v/>
      </c>
      <c r="K2682" s="34" t="str">
        <f t="shared" si="300"/>
        <v/>
      </c>
    </row>
    <row r="2683" spans="6:11" hidden="1">
      <c r="F2683" s="52" t="str">
        <f>IF(G2683="","",INDEX(COA!$A$4:$A$123,MATCH(JU!$G2683,COA!$B$4:$B$123,0)))</f>
        <v/>
      </c>
      <c r="I2683" s="52" t="str">
        <f>IF(J2683="","",INDEX(COA!$A$4:$A$123,MATCH(JU!$J2683,COA!$B$4:$B$123,0)))</f>
        <v/>
      </c>
      <c r="K2683" s="34" t="str">
        <f t="shared" si="300"/>
        <v/>
      </c>
    </row>
    <row r="2684" spans="6:11" hidden="1">
      <c r="F2684" s="52" t="str">
        <f>IF(G2684="","",INDEX(COA!$A$4:$A$123,MATCH(JU!$G2684,COA!$B$4:$B$123,0)))</f>
        <v/>
      </c>
      <c r="I2684" s="52" t="str">
        <f>IF(J2684="","",INDEX(COA!$A$4:$A$123,MATCH(JU!$J2684,COA!$B$4:$B$123,0)))</f>
        <v/>
      </c>
      <c r="K2684" s="34" t="str">
        <f t="shared" si="300"/>
        <v/>
      </c>
    </row>
    <row r="2685" spans="6:11" hidden="1">
      <c r="F2685" s="52" t="str">
        <f>IF(G2685="","",INDEX(COA!$A$4:$A$123,MATCH(JU!$G2685,COA!$B$4:$B$123,0)))</f>
        <v/>
      </c>
      <c r="I2685" s="52" t="str">
        <f>IF(J2685="","",INDEX(COA!$A$4:$A$123,MATCH(JU!$J2685,COA!$B$4:$B$123,0)))</f>
        <v/>
      </c>
      <c r="K2685" s="34" t="str">
        <f t="shared" si="300"/>
        <v/>
      </c>
    </row>
    <row r="2686" spans="6:11" hidden="1">
      <c r="F2686" s="52" t="str">
        <f>IF(G2686="","",INDEX(COA!$A$4:$A$123,MATCH(JU!$G2686,COA!$B$4:$B$123,0)))</f>
        <v/>
      </c>
      <c r="I2686" s="52" t="str">
        <f>IF(J2686="","",INDEX(COA!$A$4:$A$123,MATCH(JU!$J2686,COA!$B$4:$B$123,0)))</f>
        <v/>
      </c>
      <c r="K2686" s="34" t="str">
        <f t="shared" si="300"/>
        <v/>
      </c>
    </row>
    <row r="2687" spans="6:11" hidden="1">
      <c r="F2687" s="52" t="str">
        <f>IF(G2687="","",INDEX(COA!$A$4:$A$123,MATCH(JU!$G2687,COA!$B$4:$B$123,0)))</f>
        <v/>
      </c>
      <c r="I2687" s="52" t="str">
        <f>IF(J2687="","",INDEX(COA!$A$4:$A$123,MATCH(JU!$J2687,COA!$B$4:$B$123,0)))</f>
        <v/>
      </c>
      <c r="K2687" s="34" t="str">
        <f t="shared" si="300"/>
        <v/>
      </c>
    </row>
    <row r="2688" spans="6:11" hidden="1">
      <c r="F2688" s="52" t="str">
        <f>IF(G2688="","",INDEX(COA!$A$4:$A$123,MATCH(JU!$G2688,COA!$B$4:$B$123,0)))</f>
        <v/>
      </c>
      <c r="I2688" s="52" t="str">
        <f>IF(J2688="","",INDEX(COA!$A$4:$A$123,MATCH(JU!$J2688,COA!$B$4:$B$123,0)))</f>
        <v/>
      </c>
      <c r="K2688" s="34" t="str">
        <f t="shared" si="300"/>
        <v/>
      </c>
    </row>
    <row r="2689" spans="6:11" hidden="1">
      <c r="F2689" s="52" t="str">
        <f>IF(G2689="","",INDEX(COA!$A$4:$A$123,MATCH(JU!$G2689,COA!$B$4:$B$123,0)))</f>
        <v/>
      </c>
      <c r="I2689" s="52" t="str">
        <f>IF(J2689="","",INDEX(COA!$A$4:$A$123,MATCH(JU!$J2689,COA!$B$4:$B$123,0)))</f>
        <v/>
      </c>
      <c r="K2689" s="34" t="str">
        <f t="shared" si="300"/>
        <v/>
      </c>
    </row>
    <row r="2690" spans="6:11" hidden="1">
      <c r="F2690" s="52" t="str">
        <f>IF(G2690="","",INDEX(COA!$A$4:$A$123,MATCH(JU!$G2690,COA!$B$4:$B$123,0)))</f>
        <v/>
      </c>
      <c r="I2690" s="52" t="str">
        <f>IF(J2690="","",INDEX(COA!$A$4:$A$123,MATCH(JU!$J2690,COA!$B$4:$B$123,0)))</f>
        <v/>
      </c>
      <c r="K2690" s="34" t="str">
        <f t="shared" si="300"/>
        <v/>
      </c>
    </row>
    <row r="2691" spans="6:11" hidden="1">
      <c r="F2691" s="52" t="str">
        <f>IF(G2691="","",INDEX(COA!$A$4:$A$123,MATCH(JU!$G2691,COA!$B$4:$B$123,0)))</f>
        <v/>
      </c>
      <c r="I2691" s="52" t="str">
        <f>IF(J2691="","",INDEX(COA!$A$4:$A$123,MATCH(JU!$J2691,COA!$B$4:$B$123,0)))</f>
        <v/>
      </c>
      <c r="K2691" s="34" t="str">
        <f t="shared" si="300"/>
        <v/>
      </c>
    </row>
    <row r="2692" spans="6:11" hidden="1">
      <c r="F2692" s="52" t="str">
        <f>IF(G2692="","",INDEX(COA!$A$4:$A$123,MATCH(JU!$G2692,COA!$B$4:$B$123,0)))</f>
        <v/>
      </c>
      <c r="I2692" s="52" t="str">
        <f>IF(J2692="","",INDEX(COA!$A$4:$A$123,MATCH(JU!$J2692,COA!$B$4:$B$123,0)))</f>
        <v/>
      </c>
      <c r="K2692" s="34" t="str">
        <f t="shared" si="300"/>
        <v/>
      </c>
    </row>
    <row r="2693" spans="6:11" hidden="1">
      <c r="F2693" s="52" t="str">
        <f>IF(G2693="","",INDEX(COA!$A$4:$A$123,MATCH(JU!$G2693,COA!$B$4:$B$123,0)))</f>
        <v/>
      </c>
      <c r="I2693" s="52" t="str">
        <f>IF(J2693="","",INDEX(COA!$A$4:$A$123,MATCH(JU!$J2693,COA!$B$4:$B$123,0)))</f>
        <v/>
      </c>
      <c r="K2693" s="34" t="str">
        <f t="shared" si="300"/>
        <v/>
      </c>
    </row>
    <row r="2694" spans="6:11" hidden="1">
      <c r="F2694" s="52" t="str">
        <f>IF(G2694="","",INDEX(COA!$A$4:$A$123,MATCH(JU!$G2694,COA!$B$4:$B$123,0)))</f>
        <v/>
      </c>
      <c r="I2694" s="52" t="str">
        <f>IF(J2694="","",INDEX(COA!$A$4:$A$123,MATCH(JU!$J2694,COA!$B$4:$B$123,0)))</f>
        <v/>
      </c>
      <c r="K2694" s="34" t="str">
        <f t="shared" si="300"/>
        <v/>
      </c>
    </row>
    <row r="2695" spans="6:11" hidden="1">
      <c r="F2695" s="52" t="str">
        <f>IF(G2695="","",INDEX(COA!$A$4:$A$123,MATCH(JU!$G2695,COA!$B$4:$B$123,0)))</f>
        <v/>
      </c>
      <c r="I2695" s="52" t="str">
        <f>IF(J2695="","",INDEX(COA!$A$4:$A$123,MATCH(JU!$J2695,COA!$B$4:$B$123,0)))</f>
        <v/>
      </c>
      <c r="K2695" s="34" t="str">
        <f t="shared" si="300"/>
        <v/>
      </c>
    </row>
    <row r="2696" spans="6:11" hidden="1">
      <c r="F2696" s="52" t="str">
        <f>IF(G2696="","",INDEX(COA!$A$4:$A$123,MATCH(JU!$G2696,COA!$B$4:$B$123,0)))</f>
        <v/>
      </c>
      <c r="I2696" s="52" t="str">
        <f>IF(J2696="","",INDEX(COA!$A$4:$A$123,MATCH(JU!$J2696,COA!$B$4:$B$123,0)))</f>
        <v/>
      </c>
      <c r="K2696" s="34" t="str">
        <f t="shared" si="300"/>
        <v/>
      </c>
    </row>
    <row r="2697" spans="6:11" hidden="1">
      <c r="F2697" s="52" t="str">
        <f>IF(G2697="","",INDEX(COA!$A$4:$A$123,MATCH(JU!$G2697,COA!$B$4:$B$123,0)))</f>
        <v/>
      </c>
      <c r="I2697" s="52" t="str">
        <f>IF(J2697="","",INDEX(COA!$A$4:$A$123,MATCH(JU!$J2697,COA!$B$4:$B$123,0)))</f>
        <v/>
      </c>
      <c r="K2697" s="34" t="str">
        <f t="shared" si="300"/>
        <v/>
      </c>
    </row>
    <row r="2698" spans="6:11" hidden="1">
      <c r="F2698" s="52" t="str">
        <f>IF(G2698="","",INDEX(COA!$A$4:$A$123,MATCH(JU!$G2698,COA!$B$4:$B$123,0)))</f>
        <v/>
      </c>
      <c r="I2698" s="52" t="str">
        <f>IF(J2698="","",INDEX(COA!$A$4:$A$123,MATCH(JU!$J2698,COA!$B$4:$B$123,0)))</f>
        <v/>
      </c>
      <c r="K2698" s="34" t="str">
        <f t="shared" si="300"/>
        <v/>
      </c>
    </row>
    <row r="2699" spans="6:11" hidden="1">
      <c r="F2699" s="52" t="str">
        <f>IF(G2699="","",INDEX(COA!$A$4:$A$123,MATCH(JU!$G2699,COA!$B$4:$B$123,0)))</f>
        <v/>
      </c>
      <c r="I2699" s="52" t="str">
        <f>IF(J2699="","",INDEX(COA!$A$4:$A$123,MATCH(JU!$J2699,COA!$B$4:$B$123,0)))</f>
        <v/>
      </c>
      <c r="K2699" s="34" t="str">
        <f t="shared" si="300"/>
        <v/>
      </c>
    </row>
    <row r="2700" spans="6:11" hidden="1">
      <c r="F2700" s="52" t="str">
        <f>IF(G2700="","",INDEX(COA!$A$4:$A$123,MATCH(JU!$G2700,COA!$B$4:$B$123,0)))</f>
        <v/>
      </c>
      <c r="I2700" s="52" t="str">
        <f>IF(J2700="","",INDEX(COA!$A$4:$A$123,MATCH(JU!$J2700,COA!$B$4:$B$123,0)))</f>
        <v/>
      </c>
      <c r="K2700" s="34" t="str">
        <f t="shared" si="300"/>
        <v/>
      </c>
    </row>
    <row r="2701" spans="6:11" hidden="1">
      <c r="F2701" s="52" t="str">
        <f>IF(G2701="","",INDEX(COA!$A$4:$A$123,MATCH(JU!$G2701,COA!$B$4:$B$123,0)))</f>
        <v/>
      </c>
      <c r="I2701" s="52" t="str">
        <f>IF(J2701="","",INDEX(COA!$A$4:$A$123,MATCH(JU!$J2701,COA!$B$4:$B$123,0)))</f>
        <v/>
      </c>
      <c r="K2701" s="34" t="str">
        <f t="shared" si="300"/>
        <v/>
      </c>
    </row>
    <row r="2702" spans="6:11" hidden="1">
      <c r="F2702" s="52" t="str">
        <f>IF(G2702="","",INDEX(COA!$A$4:$A$123,MATCH(JU!$G2702,COA!$B$4:$B$123,0)))</f>
        <v/>
      </c>
      <c r="I2702" s="52" t="str">
        <f>IF(J2702="","",INDEX(COA!$A$4:$A$123,MATCH(JU!$J2702,COA!$B$4:$B$123,0)))</f>
        <v/>
      </c>
      <c r="K2702" s="34" t="str">
        <f t="shared" si="300"/>
        <v/>
      </c>
    </row>
    <row r="2703" spans="6:11" hidden="1">
      <c r="F2703" s="52" t="str">
        <f>IF(G2703="","",INDEX(COA!$A$4:$A$123,MATCH(JU!$G2703,COA!$B$4:$B$123,0)))</f>
        <v/>
      </c>
      <c r="I2703" s="52" t="str">
        <f>IF(J2703="","",INDEX(COA!$A$4:$A$123,MATCH(JU!$J2703,COA!$B$4:$B$123,0)))</f>
        <v/>
      </c>
      <c r="K2703" s="34" t="str">
        <f t="shared" si="300"/>
        <v/>
      </c>
    </row>
    <row r="2704" spans="6:11" hidden="1">
      <c r="F2704" s="52" t="str">
        <f>IF(G2704="","",INDEX(COA!$A$4:$A$123,MATCH(JU!$G2704,COA!$B$4:$B$123,0)))</f>
        <v/>
      </c>
      <c r="I2704" s="52" t="str">
        <f>IF(J2704="","",INDEX(COA!$A$4:$A$123,MATCH(JU!$J2704,COA!$B$4:$B$123,0)))</f>
        <v/>
      </c>
      <c r="K2704" s="34" t="str">
        <f t="shared" si="300"/>
        <v/>
      </c>
    </row>
    <row r="2705" spans="6:11" hidden="1">
      <c r="F2705" s="52" t="str">
        <f>IF(G2705="","",INDEX(COA!$A$4:$A$123,MATCH(JU!$G2705,COA!$B$4:$B$123,0)))</f>
        <v/>
      </c>
      <c r="I2705" s="52" t="str">
        <f>IF(J2705="","",INDEX(COA!$A$4:$A$123,MATCH(JU!$J2705,COA!$B$4:$B$123,0)))</f>
        <v/>
      </c>
      <c r="K2705" s="34" t="str">
        <f t="shared" si="300"/>
        <v/>
      </c>
    </row>
    <row r="2706" spans="6:11" hidden="1">
      <c r="F2706" s="52" t="str">
        <f>IF(G2706="","",INDEX(COA!$A$4:$A$123,MATCH(JU!$G2706,COA!$B$4:$B$123,0)))</f>
        <v/>
      </c>
      <c r="I2706" s="52" t="str">
        <f>IF(J2706="","",INDEX(COA!$A$4:$A$123,MATCH(JU!$J2706,COA!$B$4:$B$123,0)))</f>
        <v/>
      </c>
      <c r="K2706" s="34" t="str">
        <f t="shared" si="300"/>
        <v/>
      </c>
    </row>
    <row r="2707" spans="6:11" hidden="1">
      <c r="F2707" s="52" t="str">
        <f>IF(G2707="","",INDEX(COA!$A$4:$A$123,MATCH(JU!$G2707,COA!$B$4:$B$123,0)))</f>
        <v/>
      </c>
      <c r="I2707" s="52" t="str">
        <f>IF(J2707="","",INDEX(COA!$A$4:$A$123,MATCH(JU!$J2707,COA!$B$4:$B$123,0)))</f>
        <v/>
      </c>
      <c r="K2707" s="34" t="str">
        <f t="shared" si="300"/>
        <v/>
      </c>
    </row>
    <row r="2708" spans="6:11" hidden="1">
      <c r="F2708" s="52" t="str">
        <f>IF(G2708="","",INDEX(COA!$A$4:$A$123,MATCH(JU!$G2708,COA!$B$4:$B$123,0)))</f>
        <v/>
      </c>
      <c r="I2708" s="52" t="str">
        <f>IF(J2708="","",INDEX(COA!$A$4:$A$123,MATCH(JU!$J2708,COA!$B$4:$B$123,0)))</f>
        <v/>
      </c>
      <c r="K2708" s="34" t="str">
        <f t="shared" si="300"/>
        <v/>
      </c>
    </row>
    <row r="2709" spans="6:11" hidden="1">
      <c r="F2709" s="52" t="str">
        <f>IF(G2709="","",INDEX(COA!$A$4:$A$123,MATCH(JU!$G2709,COA!$B$4:$B$123,0)))</f>
        <v/>
      </c>
      <c r="I2709" s="52" t="str">
        <f>IF(J2709="","",INDEX(COA!$A$4:$A$123,MATCH(JU!$J2709,COA!$B$4:$B$123,0)))</f>
        <v/>
      </c>
      <c r="K2709" s="34" t="str">
        <f t="shared" si="300"/>
        <v/>
      </c>
    </row>
    <row r="2710" spans="6:11" hidden="1">
      <c r="F2710" s="52" t="str">
        <f>IF(G2710="","",INDEX(COA!$A$4:$A$123,MATCH(JU!$G2710,COA!$B$4:$B$123,0)))</f>
        <v/>
      </c>
      <c r="I2710" s="52" t="str">
        <f>IF(J2710="","",INDEX(COA!$A$4:$A$123,MATCH(JU!$J2710,COA!$B$4:$B$123,0)))</f>
        <v/>
      </c>
      <c r="K2710" s="34" t="str">
        <f t="shared" si="300"/>
        <v/>
      </c>
    </row>
    <row r="2711" spans="6:11" hidden="1">
      <c r="F2711" s="52" t="str">
        <f>IF(G2711="","",INDEX(COA!$A$4:$A$123,MATCH(JU!$G2711,COA!$B$4:$B$123,0)))</f>
        <v/>
      </c>
      <c r="I2711" s="52" t="str">
        <f>IF(J2711="","",INDEX(COA!$A$4:$A$123,MATCH(JU!$J2711,COA!$B$4:$B$123,0)))</f>
        <v/>
      </c>
      <c r="K2711" s="34" t="str">
        <f t="shared" si="300"/>
        <v/>
      </c>
    </row>
    <row r="2712" spans="6:11" hidden="1">
      <c r="F2712" s="52" t="str">
        <f>IF(G2712="","",INDEX(COA!$A$4:$A$123,MATCH(JU!$G2712,COA!$B$4:$B$123,0)))</f>
        <v/>
      </c>
      <c r="I2712" s="52" t="str">
        <f>IF(J2712="","",INDEX(COA!$A$4:$A$123,MATCH(JU!$J2712,COA!$B$4:$B$123,0)))</f>
        <v/>
      </c>
      <c r="K2712" s="34" t="str">
        <f t="shared" si="300"/>
        <v/>
      </c>
    </row>
    <row r="2713" spans="6:11" hidden="1">
      <c r="F2713" s="52" t="str">
        <f>IF(G2713="","",INDEX(COA!$A$4:$A$123,MATCH(JU!$G2713,COA!$B$4:$B$123,0)))</f>
        <v/>
      </c>
      <c r="I2713" s="52" t="str">
        <f>IF(J2713="","",INDEX(COA!$A$4:$A$123,MATCH(JU!$J2713,COA!$B$4:$B$123,0)))</f>
        <v/>
      </c>
      <c r="K2713" s="34" t="str">
        <f t="shared" si="300"/>
        <v/>
      </c>
    </row>
    <row r="2714" spans="6:11" hidden="1">
      <c r="F2714" s="52" t="str">
        <f>IF(G2714="","",INDEX(COA!$A$4:$A$123,MATCH(JU!$G2714,COA!$B$4:$B$123,0)))</f>
        <v/>
      </c>
      <c r="I2714" s="52" t="str">
        <f>IF(J2714="","",INDEX(COA!$A$4:$A$123,MATCH(JU!$J2714,COA!$B$4:$B$123,0)))</f>
        <v/>
      </c>
      <c r="K2714" s="34" t="str">
        <f t="shared" si="300"/>
        <v/>
      </c>
    </row>
    <row r="2715" spans="6:11" hidden="1">
      <c r="F2715" s="52" t="str">
        <f>IF(G2715="","",INDEX(COA!$A$4:$A$123,MATCH(JU!$G2715,COA!$B$4:$B$123,0)))</f>
        <v/>
      </c>
      <c r="I2715" s="52" t="str">
        <f>IF(J2715="","",INDEX(COA!$A$4:$A$123,MATCH(JU!$J2715,COA!$B$4:$B$123,0)))</f>
        <v/>
      </c>
      <c r="K2715" s="34" t="str">
        <f t="shared" si="300"/>
        <v/>
      </c>
    </row>
    <row r="2716" spans="6:11" hidden="1">
      <c r="F2716" s="52" t="str">
        <f>IF(G2716="","",INDEX(COA!$A$4:$A$123,MATCH(JU!$G2716,COA!$B$4:$B$123,0)))</f>
        <v/>
      </c>
      <c r="I2716" s="52" t="str">
        <f>IF(J2716="","",INDEX(COA!$A$4:$A$123,MATCH(JU!$J2716,COA!$B$4:$B$123,0)))</f>
        <v/>
      </c>
      <c r="K2716" s="34" t="str">
        <f t="shared" si="300"/>
        <v/>
      </c>
    </row>
    <row r="2717" spans="6:11" hidden="1">
      <c r="F2717" s="52" t="str">
        <f>IF(G2717="","",INDEX(COA!$A$4:$A$123,MATCH(JU!$G2717,COA!$B$4:$B$123,0)))</f>
        <v/>
      </c>
      <c r="I2717" s="52" t="str">
        <f>IF(J2717="","",INDEX(COA!$A$4:$A$123,MATCH(JU!$J2717,COA!$B$4:$B$123,0)))</f>
        <v/>
      </c>
      <c r="K2717" s="34" t="str">
        <f t="shared" si="300"/>
        <v/>
      </c>
    </row>
    <row r="2718" spans="6:11" hidden="1">
      <c r="F2718" s="52" t="str">
        <f>IF(G2718="","",INDEX(COA!$A$4:$A$123,MATCH(JU!$G2718,COA!$B$4:$B$123,0)))</f>
        <v/>
      </c>
      <c r="I2718" s="52" t="str">
        <f>IF(J2718="","",INDEX(COA!$A$4:$A$123,MATCH(JU!$J2718,COA!$B$4:$B$123,0)))</f>
        <v/>
      </c>
      <c r="K2718" s="34" t="str">
        <f t="shared" si="300"/>
        <v/>
      </c>
    </row>
    <row r="2719" spans="6:11" hidden="1">
      <c r="F2719" s="52" t="str">
        <f>IF(G2719="","",INDEX(COA!$A$4:$A$123,MATCH(JU!$G2719,COA!$B$4:$B$123,0)))</f>
        <v/>
      </c>
      <c r="I2719" s="52" t="str">
        <f>IF(J2719="","",INDEX(COA!$A$4:$A$123,MATCH(JU!$J2719,COA!$B$4:$B$123,0)))</f>
        <v/>
      </c>
      <c r="K2719" s="34" t="str">
        <f t="shared" si="300"/>
        <v/>
      </c>
    </row>
    <row r="2720" spans="6:11" hidden="1">
      <c r="F2720" s="52" t="str">
        <f>IF(G2720="","",INDEX(COA!$A$4:$A$123,MATCH(JU!$G2720,COA!$B$4:$B$123,0)))</f>
        <v/>
      </c>
      <c r="I2720" s="52" t="str">
        <f>IF(J2720="","",INDEX(COA!$A$4:$A$123,MATCH(JU!$J2720,COA!$B$4:$B$123,0)))</f>
        <v/>
      </c>
      <c r="K2720" s="34" t="str">
        <f t="shared" si="300"/>
        <v/>
      </c>
    </row>
    <row r="2721" spans="6:11" hidden="1">
      <c r="F2721" s="52" t="str">
        <f>IF(G2721="","",INDEX(COA!$A$4:$A$123,MATCH(JU!$G2721,COA!$B$4:$B$123,0)))</f>
        <v/>
      </c>
      <c r="I2721" s="52" t="str">
        <f>IF(J2721="","",INDEX(COA!$A$4:$A$123,MATCH(JU!$J2721,COA!$B$4:$B$123,0)))</f>
        <v/>
      </c>
      <c r="K2721" s="34" t="str">
        <f t="shared" si="300"/>
        <v/>
      </c>
    </row>
    <row r="2722" spans="6:11" hidden="1">
      <c r="F2722" s="52" t="str">
        <f>IF(G2722="","",INDEX(COA!$A$4:$A$123,MATCH(JU!$G2722,COA!$B$4:$B$123,0)))</f>
        <v/>
      </c>
      <c r="I2722" s="52" t="str">
        <f>IF(J2722="","",INDEX(COA!$A$4:$A$123,MATCH(JU!$J2722,COA!$B$4:$B$123,0)))</f>
        <v/>
      </c>
      <c r="K2722" s="34" t="str">
        <f t="shared" ref="K2722:K2785" si="301">IF(H2722="","",H2722)</f>
        <v/>
      </c>
    </row>
    <row r="2723" spans="6:11" hidden="1">
      <c r="F2723" s="52" t="str">
        <f>IF(G2723="","",INDEX(COA!$A$4:$A$123,MATCH(JU!$G2723,COA!$B$4:$B$123,0)))</f>
        <v/>
      </c>
      <c r="I2723" s="52" t="str">
        <f>IF(J2723="","",INDEX(COA!$A$4:$A$123,MATCH(JU!$J2723,COA!$B$4:$B$123,0)))</f>
        <v/>
      </c>
      <c r="K2723" s="34" t="str">
        <f t="shared" si="301"/>
        <v/>
      </c>
    </row>
    <row r="2724" spans="6:11" hidden="1">
      <c r="F2724" s="52" t="str">
        <f>IF(G2724="","",INDEX(COA!$A$4:$A$123,MATCH(JU!$G2724,COA!$B$4:$B$123,0)))</f>
        <v/>
      </c>
      <c r="I2724" s="52" t="str">
        <f>IF(J2724="","",INDEX(COA!$A$4:$A$123,MATCH(JU!$J2724,COA!$B$4:$B$123,0)))</f>
        <v/>
      </c>
      <c r="K2724" s="34" t="str">
        <f t="shared" si="301"/>
        <v/>
      </c>
    </row>
    <row r="2725" spans="6:11" hidden="1">
      <c r="F2725" s="52" t="str">
        <f>IF(G2725="","",INDEX(COA!$A$4:$A$123,MATCH(JU!$G2725,COA!$B$4:$B$123,0)))</f>
        <v/>
      </c>
      <c r="I2725" s="52" t="str">
        <f>IF(J2725="","",INDEX(COA!$A$4:$A$123,MATCH(JU!$J2725,COA!$B$4:$B$123,0)))</f>
        <v/>
      </c>
      <c r="K2725" s="34" t="str">
        <f t="shared" si="301"/>
        <v/>
      </c>
    </row>
    <row r="2726" spans="6:11" hidden="1">
      <c r="F2726" s="52" t="str">
        <f>IF(G2726="","",INDEX(COA!$A$4:$A$123,MATCH(JU!$G2726,COA!$B$4:$B$123,0)))</f>
        <v/>
      </c>
      <c r="I2726" s="52" t="str">
        <f>IF(J2726="","",INDEX(COA!$A$4:$A$123,MATCH(JU!$J2726,COA!$B$4:$B$123,0)))</f>
        <v/>
      </c>
      <c r="K2726" s="34" t="str">
        <f t="shared" si="301"/>
        <v/>
      </c>
    </row>
    <row r="2727" spans="6:11" hidden="1">
      <c r="F2727" s="52" t="str">
        <f>IF(G2727="","",INDEX(COA!$A$4:$A$123,MATCH(JU!$G2727,COA!$B$4:$B$123,0)))</f>
        <v/>
      </c>
      <c r="I2727" s="52" t="str">
        <f>IF(J2727="","",INDEX(COA!$A$4:$A$123,MATCH(JU!$J2727,COA!$B$4:$B$123,0)))</f>
        <v/>
      </c>
      <c r="K2727" s="34" t="str">
        <f t="shared" si="301"/>
        <v/>
      </c>
    </row>
    <row r="2728" spans="6:11" hidden="1">
      <c r="F2728" s="52" t="str">
        <f>IF(G2728="","",INDEX(COA!$A$4:$A$123,MATCH(JU!$G2728,COA!$B$4:$B$123,0)))</f>
        <v/>
      </c>
      <c r="I2728" s="52" t="str">
        <f>IF(J2728="","",INDEX(COA!$A$4:$A$123,MATCH(JU!$J2728,COA!$B$4:$B$123,0)))</f>
        <v/>
      </c>
      <c r="K2728" s="34" t="str">
        <f t="shared" si="301"/>
        <v/>
      </c>
    </row>
    <row r="2729" spans="6:11" hidden="1">
      <c r="F2729" s="52" t="str">
        <f>IF(G2729="","",INDEX(COA!$A$4:$A$123,MATCH(JU!$G2729,COA!$B$4:$B$123,0)))</f>
        <v/>
      </c>
      <c r="I2729" s="52" t="str">
        <f>IF(J2729="","",INDEX(COA!$A$4:$A$123,MATCH(JU!$J2729,COA!$B$4:$B$123,0)))</f>
        <v/>
      </c>
      <c r="K2729" s="34" t="str">
        <f t="shared" si="301"/>
        <v/>
      </c>
    </row>
    <row r="2730" spans="6:11" hidden="1">
      <c r="F2730" s="52" t="str">
        <f>IF(G2730="","",INDEX(COA!$A$4:$A$123,MATCH(JU!$G2730,COA!$B$4:$B$123,0)))</f>
        <v/>
      </c>
      <c r="I2730" s="52" t="str">
        <f>IF(J2730="","",INDEX(COA!$A$4:$A$123,MATCH(JU!$J2730,COA!$B$4:$B$123,0)))</f>
        <v/>
      </c>
      <c r="K2730" s="34" t="str">
        <f t="shared" si="301"/>
        <v/>
      </c>
    </row>
    <row r="2731" spans="6:11" hidden="1">
      <c r="F2731" s="52" t="str">
        <f>IF(G2731="","",INDEX(COA!$A$4:$A$123,MATCH(JU!$G2731,COA!$B$4:$B$123,0)))</f>
        <v/>
      </c>
      <c r="I2731" s="52" t="str">
        <f>IF(J2731="","",INDEX(COA!$A$4:$A$123,MATCH(JU!$J2731,COA!$B$4:$B$123,0)))</f>
        <v/>
      </c>
      <c r="K2731" s="34" t="str">
        <f t="shared" si="301"/>
        <v/>
      </c>
    </row>
    <row r="2732" spans="6:11" hidden="1">
      <c r="F2732" s="52" t="str">
        <f>IF(G2732="","",INDEX(COA!$A$4:$A$123,MATCH(JU!$G2732,COA!$B$4:$B$123,0)))</f>
        <v/>
      </c>
      <c r="I2732" s="52" t="str">
        <f>IF(J2732="","",INDEX(COA!$A$4:$A$123,MATCH(JU!$J2732,COA!$B$4:$B$123,0)))</f>
        <v/>
      </c>
      <c r="K2732" s="34" t="str">
        <f t="shared" si="301"/>
        <v/>
      </c>
    </row>
    <row r="2733" spans="6:11" hidden="1">
      <c r="F2733" s="52" t="str">
        <f>IF(G2733="","",INDEX(COA!$A$4:$A$123,MATCH(JU!$G2733,COA!$B$4:$B$123,0)))</f>
        <v/>
      </c>
      <c r="I2733" s="52" t="str">
        <f>IF(J2733="","",INDEX(COA!$A$4:$A$123,MATCH(JU!$J2733,COA!$B$4:$B$123,0)))</f>
        <v/>
      </c>
      <c r="K2733" s="34" t="str">
        <f t="shared" si="301"/>
        <v/>
      </c>
    </row>
    <row r="2734" spans="6:11" hidden="1">
      <c r="F2734" s="52" t="str">
        <f>IF(G2734="","",INDEX(COA!$A$4:$A$123,MATCH(JU!$G2734,COA!$B$4:$B$123,0)))</f>
        <v/>
      </c>
      <c r="I2734" s="52" t="str">
        <f>IF(J2734="","",INDEX(COA!$A$4:$A$123,MATCH(JU!$J2734,COA!$B$4:$B$123,0)))</f>
        <v/>
      </c>
      <c r="K2734" s="34" t="str">
        <f t="shared" si="301"/>
        <v/>
      </c>
    </row>
    <row r="2735" spans="6:11" hidden="1">
      <c r="F2735" s="52" t="str">
        <f>IF(G2735="","",INDEX(COA!$A$4:$A$123,MATCH(JU!$G2735,COA!$B$4:$B$123,0)))</f>
        <v/>
      </c>
      <c r="I2735" s="52" t="str">
        <f>IF(J2735="","",INDEX(COA!$A$4:$A$123,MATCH(JU!$J2735,COA!$B$4:$B$123,0)))</f>
        <v/>
      </c>
      <c r="K2735" s="34" t="str">
        <f t="shared" si="301"/>
        <v/>
      </c>
    </row>
    <row r="2736" spans="6:11" hidden="1">
      <c r="F2736" s="52" t="str">
        <f>IF(G2736="","",INDEX(COA!$A$4:$A$123,MATCH(JU!$G2736,COA!$B$4:$B$123,0)))</f>
        <v/>
      </c>
      <c r="I2736" s="52" t="str">
        <f>IF(J2736="","",INDEX(COA!$A$4:$A$123,MATCH(JU!$J2736,COA!$B$4:$B$123,0)))</f>
        <v/>
      </c>
      <c r="K2736" s="34" t="str">
        <f t="shared" si="301"/>
        <v/>
      </c>
    </row>
    <row r="2737" spans="6:11" hidden="1">
      <c r="F2737" s="52" t="str">
        <f>IF(G2737="","",INDEX(COA!$A$4:$A$123,MATCH(JU!$G2737,COA!$B$4:$B$123,0)))</f>
        <v/>
      </c>
      <c r="I2737" s="52" t="str">
        <f>IF(J2737="","",INDEX(COA!$A$4:$A$123,MATCH(JU!$J2737,COA!$B$4:$B$123,0)))</f>
        <v/>
      </c>
      <c r="K2737" s="34" t="str">
        <f t="shared" si="301"/>
        <v/>
      </c>
    </row>
    <row r="2738" spans="6:11" hidden="1">
      <c r="F2738" s="52" t="str">
        <f>IF(G2738="","",INDEX(COA!$A$4:$A$123,MATCH(JU!$G2738,COA!$B$4:$B$123,0)))</f>
        <v/>
      </c>
      <c r="I2738" s="52" t="str">
        <f>IF(J2738="","",INDEX(COA!$A$4:$A$123,MATCH(JU!$J2738,COA!$B$4:$B$123,0)))</f>
        <v/>
      </c>
      <c r="K2738" s="34" t="str">
        <f t="shared" si="301"/>
        <v/>
      </c>
    </row>
    <row r="2739" spans="6:11" hidden="1">
      <c r="F2739" s="52" t="str">
        <f>IF(G2739="","",INDEX(COA!$A$4:$A$123,MATCH(JU!$G2739,COA!$B$4:$B$123,0)))</f>
        <v/>
      </c>
      <c r="I2739" s="52" t="str">
        <f>IF(J2739="","",INDEX(COA!$A$4:$A$123,MATCH(JU!$J2739,COA!$B$4:$B$123,0)))</f>
        <v/>
      </c>
      <c r="K2739" s="34" t="str">
        <f t="shared" si="301"/>
        <v/>
      </c>
    </row>
    <row r="2740" spans="6:11" hidden="1">
      <c r="F2740" s="52" t="str">
        <f>IF(G2740="","",INDEX(COA!$A$4:$A$123,MATCH(JU!$G2740,COA!$B$4:$B$123,0)))</f>
        <v/>
      </c>
      <c r="I2740" s="52" t="str">
        <f>IF(J2740="","",INDEX(COA!$A$4:$A$123,MATCH(JU!$J2740,COA!$B$4:$B$123,0)))</f>
        <v/>
      </c>
      <c r="K2740" s="34" t="str">
        <f t="shared" si="301"/>
        <v/>
      </c>
    </row>
    <row r="2741" spans="6:11" hidden="1">
      <c r="F2741" s="52" t="str">
        <f>IF(G2741="","",INDEX(COA!$A$4:$A$123,MATCH(JU!$G2741,COA!$B$4:$B$123,0)))</f>
        <v/>
      </c>
      <c r="I2741" s="52" t="str">
        <f>IF(J2741="","",INDEX(COA!$A$4:$A$123,MATCH(JU!$J2741,COA!$B$4:$B$123,0)))</f>
        <v/>
      </c>
      <c r="K2741" s="34" t="str">
        <f t="shared" si="301"/>
        <v/>
      </c>
    </row>
    <row r="2742" spans="6:11" hidden="1">
      <c r="F2742" s="52" t="str">
        <f>IF(G2742="","",INDEX(COA!$A$4:$A$123,MATCH(JU!$G2742,COA!$B$4:$B$123,0)))</f>
        <v/>
      </c>
      <c r="I2742" s="52" t="str">
        <f>IF(J2742="","",INDEX(COA!$A$4:$A$123,MATCH(JU!$J2742,COA!$B$4:$B$123,0)))</f>
        <v/>
      </c>
      <c r="K2742" s="34" t="str">
        <f t="shared" si="301"/>
        <v/>
      </c>
    </row>
    <row r="2743" spans="6:11" hidden="1">
      <c r="F2743" s="52" t="str">
        <f>IF(G2743="","",INDEX(COA!$A$4:$A$123,MATCH(JU!$G2743,COA!$B$4:$B$123,0)))</f>
        <v/>
      </c>
      <c r="I2743" s="52" t="str">
        <f>IF(J2743="","",INDEX(COA!$A$4:$A$123,MATCH(JU!$J2743,COA!$B$4:$B$123,0)))</f>
        <v/>
      </c>
      <c r="K2743" s="34" t="str">
        <f t="shared" si="301"/>
        <v/>
      </c>
    </row>
    <row r="2744" spans="6:11" hidden="1">
      <c r="F2744" s="52" t="str">
        <f>IF(G2744="","",INDEX(COA!$A$4:$A$123,MATCH(JU!$G2744,COA!$B$4:$B$123,0)))</f>
        <v/>
      </c>
      <c r="I2744" s="52" t="str">
        <f>IF(J2744="","",INDEX(COA!$A$4:$A$123,MATCH(JU!$J2744,COA!$B$4:$B$123,0)))</f>
        <v/>
      </c>
      <c r="K2744" s="34" t="str">
        <f t="shared" si="301"/>
        <v/>
      </c>
    </row>
    <row r="2745" spans="6:11" hidden="1">
      <c r="F2745" s="52" t="str">
        <f>IF(G2745="","",INDEX(COA!$A$4:$A$123,MATCH(JU!$G2745,COA!$B$4:$B$123,0)))</f>
        <v/>
      </c>
      <c r="I2745" s="52" t="str">
        <f>IF(J2745="","",INDEX(COA!$A$4:$A$123,MATCH(JU!$J2745,COA!$B$4:$B$123,0)))</f>
        <v/>
      </c>
      <c r="K2745" s="34" t="str">
        <f t="shared" si="301"/>
        <v/>
      </c>
    </row>
    <row r="2746" spans="6:11" hidden="1">
      <c r="F2746" s="52" t="str">
        <f>IF(G2746="","",INDEX(COA!$A$4:$A$123,MATCH(JU!$G2746,COA!$B$4:$B$123,0)))</f>
        <v/>
      </c>
      <c r="I2746" s="52" t="str">
        <f>IF(J2746="","",INDEX(COA!$A$4:$A$123,MATCH(JU!$J2746,COA!$B$4:$B$123,0)))</f>
        <v/>
      </c>
      <c r="K2746" s="34" t="str">
        <f t="shared" si="301"/>
        <v/>
      </c>
    </row>
    <row r="2747" spans="6:11" hidden="1">
      <c r="F2747" s="52" t="str">
        <f>IF(G2747="","",INDEX(COA!$A$4:$A$123,MATCH(JU!$G2747,COA!$B$4:$B$123,0)))</f>
        <v/>
      </c>
      <c r="I2747" s="52" t="str">
        <f>IF(J2747="","",INDEX(COA!$A$4:$A$123,MATCH(JU!$J2747,COA!$B$4:$B$123,0)))</f>
        <v/>
      </c>
      <c r="K2747" s="34" t="str">
        <f t="shared" si="301"/>
        <v/>
      </c>
    </row>
    <row r="2748" spans="6:11" hidden="1">
      <c r="F2748" s="52" t="str">
        <f>IF(G2748="","",INDEX(COA!$A$4:$A$123,MATCH(JU!$G2748,COA!$B$4:$B$123,0)))</f>
        <v/>
      </c>
      <c r="I2748" s="52" t="str">
        <f>IF(J2748="","",INDEX(COA!$A$4:$A$123,MATCH(JU!$J2748,COA!$B$4:$B$123,0)))</f>
        <v/>
      </c>
      <c r="K2748" s="34" t="str">
        <f t="shared" si="301"/>
        <v/>
      </c>
    </row>
    <row r="2749" spans="6:11" hidden="1">
      <c r="F2749" s="52" t="str">
        <f>IF(G2749="","",INDEX(COA!$A$4:$A$123,MATCH(JU!$G2749,COA!$B$4:$B$123,0)))</f>
        <v/>
      </c>
      <c r="I2749" s="52" t="str">
        <f>IF(J2749="","",INDEX(COA!$A$4:$A$123,MATCH(JU!$J2749,COA!$B$4:$B$123,0)))</f>
        <v/>
      </c>
      <c r="K2749" s="34" t="str">
        <f t="shared" si="301"/>
        <v/>
      </c>
    </row>
    <row r="2750" spans="6:11" hidden="1">
      <c r="F2750" s="52" t="str">
        <f>IF(G2750="","",INDEX(COA!$A$4:$A$123,MATCH(JU!$G2750,COA!$B$4:$B$123,0)))</f>
        <v/>
      </c>
      <c r="I2750" s="52" t="str">
        <f>IF(J2750="","",INDEX(COA!$A$4:$A$123,MATCH(JU!$J2750,COA!$B$4:$B$123,0)))</f>
        <v/>
      </c>
      <c r="K2750" s="34" t="str">
        <f t="shared" si="301"/>
        <v/>
      </c>
    </row>
    <row r="2751" spans="6:11" hidden="1">
      <c r="F2751" s="52" t="str">
        <f>IF(G2751="","",INDEX(COA!$A$4:$A$123,MATCH(JU!$G2751,COA!$B$4:$B$123,0)))</f>
        <v/>
      </c>
      <c r="I2751" s="52" t="str">
        <f>IF(J2751="","",INDEX(COA!$A$4:$A$123,MATCH(JU!$J2751,COA!$B$4:$B$123,0)))</f>
        <v/>
      </c>
      <c r="K2751" s="34" t="str">
        <f t="shared" si="301"/>
        <v/>
      </c>
    </row>
    <row r="2752" spans="6:11" hidden="1">
      <c r="F2752" s="52" t="str">
        <f>IF(G2752="","",INDEX(COA!$A$4:$A$123,MATCH(JU!$G2752,COA!$B$4:$B$123,0)))</f>
        <v/>
      </c>
      <c r="I2752" s="52" t="str">
        <f>IF(J2752="","",INDEX(COA!$A$4:$A$123,MATCH(JU!$J2752,COA!$B$4:$B$123,0)))</f>
        <v/>
      </c>
      <c r="K2752" s="34" t="str">
        <f t="shared" si="301"/>
        <v/>
      </c>
    </row>
    <row r="2753" spans="6:11" hidden="1">
      <c r="F2753" s="52" t="str">
        <f>IF(G2753="","",INDEX(COA!$A$4:$A$123,MATCH(JU!$G2753,COA!$B$4:$B$123,0)))</f>
        <v/>
      </c>
      <c r="I2753" s="52" t="str">
        <f>IF(J2753="","",INDEX(COA!$A$4:$A$123,MATCH(JU!$J2753,COA!$B$4:$B$123,0)))</f>
        <v/>
      </c>
      <c r="K2753" s="34" t="str">
        <f t="shared" si="301"/>
        <v/>
      </c>
    </row>
    <row r="2754" spans="6:11" hidden="1">
      <c r="F2754" s="52" t="str">
        <f>IF(G2754="","",INDEX(COA!$A$4:$A$123,MATCH(JU!$G2754,COA!$B$4:$B$123,0)))</f>
        <v/>
      </c>
      <c r="I2754" s="52" t="str">
        <f>IF(J2754="","",INDEX(COA!$A$4:$A$123,MATCH(JU!$J2754,COA!$B$4:$B$123,0)))</f>
        <v/>
      </c>
      <c r="K2754" s="34" t="str">
        <f t="shared" si="301"/>
        <v/>
      </c>
    </row>
    <row r="2755" spans="6:11" hidden="1">
      <c r="F2755" s="52" t="str">
        <f>IF(G2755="","",INDEX(COA!$A$4:$A$123,MATCH(JU!$G2755,COA!$B$4:$B$123,0)))</f>
        <v/>
      </c>
      <c r="I2755" s="52" t="str">
        <f>IF(J2755="","",INDEX(COA!$A$4:$A$123,MATCH(JU!$J2755,COA!$B$4:$B$123,0)))</f>
        <v/>
      </c>
      <c r="K2755" s="34" t="str">
        <f t="shared" si="301"/>
        <v/>
      </c>
    </row>
    <row r="2756" spans="6:11" hidden="1">
      <c r="F2756" s="52" t="str">
        <f>IF(G2756="","",INDEX(COA!$A$4:$A$123,MATCH(JU!$G2756,COA!$B$4:$B$123,0)))</f>
        <v/>
      </c>
      <c r="I2756" s="52" t="str">
        <f>IF(J2756="","",INDEX(COA!$A$4:$A$123,MATCH(JU!$J2756,COA!$B$4:$B$123,0)))</f>
        <v/>
      </c>
      <c r="K2756" s="34" t="str">
        <f t="shared" si="301"/>
        <v/>
      </c>
    </row>
    <row r="2757" spans="6:11" hidden="1">
      <c r="F2757" s="52" t="str">
        <f>IF(G2757="","",INDEX(COA!$A$4:$A$123,MATCH(JU!$G2757,COA!$B$4:$B$123,0)))</f>
        <v/>
      </c>
      <c r="I2757" s="52" t="str">
        <f>IF(J2757="","",INDEX(COA!$A$4:$A$123,MATCH(JU!$J2757,COA!$B$4:$B$123,0)))</f>
        <v/>
      </c>
      <c r="K2757" s="34" t="str">
        <f t="shared" si="301"/>
        <v/>
      </c>
    </row>
    <row r="2758" spans="6:11" hidden="1">
      <c r="F2758" s="52" t="str">
        <f>IF(G2758="","",INDEX(COA!$A$4:$A$123,MATCH(JU!$G2758,COA!$B$4:$B$123,0)))</f>
        <v/>
      </c>
      <c r="I2758" s="52" t="str">
        <f>IF(J2758="","",INDEX(COA!$A$4:$A$123,MATCH(JU!$J2758,COA!$B$4:$B$123,0)))</f>
        <v/>
      </c>
      <c r="K2758" s="34" t="str">
        <f t="shared" si="301"/>
        <v/>
      </c>
    </row>
    <row r="2759" spans="6:11" hidden="1">
      <c r="F2759" s="52" t="str">
        <f>IF(G2759="","",INDEX(COA!$A$4:$A$123,MATCH(JU!$G2759,COA!$B$4:$B$123,0)))</f>
        <v/>
      </c>
      <c r="I2759" s="52" t="str">
        <f>IF(J2759="","",INDEX(COA!$A$4:$A$123,MATCH(JU!$J2759,COA!$B$4:$B$123,0)))</f>
        <v/>
      </c>
      <c r="K2759" s="34" t="str">
        <f t="shared" si="301"/>
        <v/>
      </c>
    </row>
    <row r="2760" spans="6:11" hidden="1">
      <c r="F2760" s="52" t="str">
        <f>IF(G2760="","",INDEX(COA!$A$4:$A$123,MATCH(JU!$G2760,COA!$B$4:$B$123,0)))</f>
        <v/>
      </c>
      <c r="I2760" s="52" t="str">
        <f>IF(J2760="","",INDEX(COA!$A$4:$A$123,MATCH(JU!$J2760,COA!$B$4:$B$123,0)))</f>
        <v/>
      </c>
      <c r="K2760" s="34" t="str">
        <f t="shared" si="301"/>
        <v/>
      </c>
    </row>
    <row r="2761" spans="6:11" hidden="1">
      <c r="F2761" s="52" t="str">
        <f>IF(G2761="","",INDEX(COA!$A$4:$A$123,MATCH(JU!$G2761,COA!$B$4:$B$123,0)))</f>
        <v/>
      </c>
      <c r="I2761" s="52" t="str">
        <f>IF(J2761="","",INDEX(COA!$A$4:$A$123,MATCH(JU!$J2761,COA!$B$4:$B$123,0)))</f>
        <v/>
      </c>
      <c r="K2761" s="34" t="str">
        <f t="shared" si="301"/>
        <v/>
      </c>
    </row>
    <row r="2762" spans="6:11" hidden="1">
      <c r="F2762" s="52" t="str">
        <f>IF(G2762="","",INDEX(COA!$A$4:$A$123,MATCH(JU!$G2762,COA!$B$4:$B$123,0)))</f>
        <v/>
      </c>
      <c r="I2762" s="52" t="str">
        <f>IF(J2762="","",INDEX(COA!$A$4:$A$123,MATCH(JU!$J2762,COA!$B$4:$B$123,0)))</f>
        <v/>
      </c>
      <c r="K2762" s="34" t="str">
        <f t="shared" si="301"/>
        <v/>
      </c>
    </row>
    <row r="2763" spans="6:11" hidden="1">
      <c r="F2763" s="52" t="str">
        <f>IF(G2763="","",INDEX(COA!$A$4:$A$123,MATCH(JU!$G2763,COA!$B$4:$B$123,0)))</f>
        <v/>
      </c>
      <c r="I2763" s="52" t="str">
        <f>IF(J2763="","",INDEX(COA!$A$4:$A$123,MATCH(JU!$J2763,COA!$B$4:$B$123,0)))</f>
        <v/>
      </c>
      <c r="K2763" s="34" t="str">
        <f t="shared" si="301"/>
        <v/>
      </c>
    </row>
    <row r="2764" spans="6:11" hidden="1">
      <c r="F2764" s="52" t="str">
        <f>IF(G2764="","",INDEX(COA!$A$4:$A$123,MATCH(JU!$G2764,COA!$B$4:$B$123,0)))</f>
        <v/>
      </c>
      <c r="I2764" s="52" t="str">
        <f>IF(J2764="","",INDEX(COA!$A$4:$A$123,MATCH(JU!$J2764,COA!$B$4:$B$123,0)))</f>
        <v/>
      </c>
      <c r="K2764" s="34" t="str">
        <f t="shared" si="301"/>
        <v/>
      </c>
    </row>
    <row r="2765" spans="6:11" hidden="1">
      <c r="F2765" s="52" t="str">
        <f>IF(G2765="","",INDEX(COA!$A$4:$A$123,MATCH(JU!$G2765,COA!$B$4:$B$123,0)))</f>
        <v/>
      </c>
      <c r="I2765" s="52" t="str">
        <f>IF(J2765="","",INDEX(COA!$A$4:$A$123,MATCH(JU!$J2765,COA!$B$4:$B$123,0)))</f>
        <v/>
      </c>
      <c r="K2765" s="34" t="str">
        <f t="shared" si="301"/>
        <v/>
      </c>
    </row>
    <row r="2766" spans="6:11" hidden="1">
      <c r="F2766" s="52" t="str">
        <f>IF(G2766="","",INDEX(COA!$A$4:$A$123,MATCH(JU!$G2766,COA!$B$4:$B$123,0)))</f>
        <v/>
      </c>
      <c r="I2766" s="52" t="str">
        <f>IF(J2766="","",INDEX(COA!$A$4:$A$123,MATCH(JU!$J2766,COA!$B$4:$B$123,0)))</f>
        <v/>
      </c>
      <c r="K2766" s="34" t="str">
        <f t="shared" si="301"/>
        <v/>
      </c>
    </row>
    <row r="2767" spans="6:11" hidden="1">
      <c r="F2767" s="52" t="str">
        <f>IF(G2767="","",INDEX(COA!$A$4:$A$123,MATCH(JU!$G2767,COA!$B$4:$B$123,0)))</f>
        <v/>
      </c>
      <c r="I2767" s="52" t="str">
        <f>IF(J2767="","",INDEX(COA!$A$4:$A$123,MATCH(JU!$J2767,COA!$B$4:$B$123,0)))</f>
        <v/>
      </c>
      <c r="K2767" s="34" t="str">
        <f t="shared" si="301"/>
        <v/>
      </c>
    </row>
    <row r="2768" spans="6:11" hidden="1">
      <c r="F2768" s="52" t="str">
        <f>IF(G2768="","",INDEX(COA!$A$4:$A$123,MATCH(JU!$G2768,COA!$B$4:$B$123,0)))</f>
        <v/>
      </c>
      <c r="I2768" s="52" t="str">
        <f>IF(J2768="","",INDEX(COA!$A$4:$A$123,MATCH(JU!$J2768,COA!$B$4:$B$123,0)))</f>
        <v/>
      </c>
      <c r="K2768" s="34" t="str">
        <f t="shared" si="301"/>
        <v/>
      </c>
    </row>
    <row r="2769" spans="6:11" hidden="1">
      <c r="F2769" s="52" t="str">
        <f>IF(G2769="","",INDEX(COA!$A$4:$A$123,MATCH(JU!$G2769,COA!$B$4:$B$123,0)))</f>
        <v/>
      </c>
      <c r="I2769" s="52" t="str">
        <f>IF(J2769="","",INDEX(COA!$A$4:$A$123,MATCH(JU!$J2769,COA!$B$4:$B$123,0)))</f>
        <v/>
      </c>
      <c r="K2769" s="34" t="str">
        <f t="shared" si="301"/>
        <v/>
      </c>
    </row>
    <row r="2770" spans="6:11" hidden="1">
      <c r="F2770" s="52" t="str">
        <f>IF(G2770="","",INDEX(COA!$A$4:$A$123,MATCH(JU!$G2770,COA!$B$4:$B$123,0)))</f>
        <v/>
      </c>
      <c r="I2770" s="52" t="str">
        <f>IF(J2770="","",INDEX(COA!$A$4:$A$123,MATCH(JU!$J2770,COA!$B$4:$B$123,0)))</f>
        <v/>
      </c>
      <c r="K2770" s="34" t="str">
        <f t="shared" si="301"/>
        <v/>
      </c>
    </row>
    <row r="2771" spans="6:11" hidden="1">
      <c r="F2771" s="52" t="str">
        <f>IF(G2771="","",INDEX(COA!$A$4:$A$123,MATCH(JU!$G2771,COA!$B$4:$B$123,0)))</f>
        <v/>
      </c>
      <c r="I2771" s="52" t="str">
        <f>IF(J2771="","",INDEX(COA!$A$4:$A$123,MATCH(JU!$J2771,COA!$B$4:$B$123,0)))</f>
        <v/>
      </c>
      <c r="K2771" s="34" t="str">
        <f t="shared" si="301"/>
        <v/>
      </c>
    </row>
    <row r="2772" spans="6:11" hidden="1">
      <c r="F2772" s="52" t="str">
        <f>IF(G2772="","",INDEX(COA!$A$4:$A$123,MATCH(JU!$G2772,COA!$B$4:$B$123,0)))</f>
        <v/>
      </c>
      <c r="I2772" s="52" t="str">
        <f>IF(J2772="","",INDEX(COA!$A$4:$A$123,MATCH(JU!$J2772,COA!$B$4:$B$123,0)))</f>
        <v/>
      </c>
      <c r="K2772" s="34" t="str">
        <f t="shared" si="301"/>
        <v/>
      </c>
    </row>
    <row r="2773" spans="6:11" hidden="1">
      <c r="F2773" s="52" t="str">
        <f>IF(G2773="","",INDEX(COA!$A$4:$A$123,MATCH(JU!$G2773,COA!$B$4:$B$123,0)))</f>
        <v/>
      </c>
      <c r="I2773" s="52" t="str">
        <f>IF(J2773="","",INDEX(COA!$A$4:$A$123,MATCH(JU!$J2773,COA!$B$4:$B$123,0)))</f>
        <v/>
      </c>
      <c r="K2773" s="34" t="str">
        <f t="shared" si="301"/>
        <v/>
      </c>
    </row>
    <row r="2774" spans="6:11" hidden="1">
      <c r="F2774" s="52" t="str">
        <f>IF(G2774="","",INDEX(COA!$A$4:$A$123,MATCH(JU!$G2774,COA!$B$4:$B$123,0)))</f>
        <v/>
      </c>
      <c r="I2774" s="52" t="str">
        <f>IF(J2774="","",INDEX(COA!$A$4:$A$123,MATCH(JU!$J2774,COA!$B$4:$B$123,0)))</f>
        <v/>
      </c>
      <c r="K2774" s="34" t="str">
        <f t="shared" si="301"/>
        <v/>
      </c>
    </row>
    <row r="2775" spans="6:11" hidden="1">
      <c r="F2775" s="52" t="str">
        <f>IF(G2775="","",INDEX(COA!$A$4:$A$123,MATCH(JU!$G2775,COA!$B$4:$B$123,0)))</f>
        <v/>
      </c>
      <c r="I2775" s="52" t="str">
        <f>IF(J2775="","",INDEX(COA!$A$4:$A$123,MATCH(JU!$J2775,COA!$B$4:$B$123,0)))</f>
        <v/>
      </c>
      <c r="K2775" s="34" t="str">
        <f t="shared" si="301"/>
        <v/>
      </c>
    </row>
    <row r="2776" spans="6:11" hidden="1">
      <c r="F2776" s="52" t="str">
        <f>IF(G2776="","",INDEX(COA!$A$4:$A$123,MATCH(JU!$G2776,COA!$B$4:$B$123,0)))</f>
        <v/>
      </c>
      <c r="I2776" s="52" t="str">
        <f>IF(J2776="","",INDEX(COA!$A$4:$A$123,MATCH(JU!$J2776,COA!$B$4:$B$123,0)))</f>
        <v/>
      </c>
      <c r="K2776" s="34" t="str">
        <f t="shared" si="301"/>
        <v/>
      </c>
    </row>
    <row r="2777" spans="6:11" hidden="1">
      <c r="F2777" s="52" t="str">
        <f>IF(G2777="","",INDEX(COA!$A$4:$A$123,MATCH(JU!$G2777,COA!$B$4:$B$123,0)))</f>
        <v/>
      </c>
      <c r="I2777" s="52" t="str">
        <f>IF(J2777="","",INDEX(COA!$A$4:$A$123,MATCH(JU!$J2777,COA!$B$4:$B$123,0)))</f>
        <v/>
      </c>
      <c r="K2777" s="34" t="str">
        <f t="shared" si="301"/>
        <v/>
      </c>
    </row>
    <row r="2778" spans="6:11" hidden="1">
      <c r="F2778" s="52" t="str">
        <f>IF(G2778="","",INDEX(COA!$A$4:$A$123,MATCH(JU!$G2778,COA!$B$4:$B$123,0)))</f>
        <v/>
      </c>
      <c r="I2778" s="52" t="str">
        <f>IF(J2778="","",INDEX(COA!$A$4:$A$123,MATCH(JU!$J2778,COA!$B$4:$B$123,0)))</f>
        <v/>
      </c>
      <c r="K2778" s="34" t="str">
        <f t="shared" si="301"/>
        <v/>
      </c>
    </row>
    <row r="2779" spans="6:11" hidden="1">
      <c r="F2779" s="52" t="str">
        <f>IF(G2779="","",INDEX(COA!$A$4:$A$123,MATCH(JU!$G2779,COA!$B$4:$B$123,0)))</f>
        <v/>
      </c>
      <c r="I2779" s="52" t="str">
        <f>IF(J2779="","",INDEX(COA!$A$4:$A$123,MATCH(JU!$J2779,COA!$B$4:$B$123,0)))</f>
        <v/>
      </c>
      <c r="K2779" s="34" t="str">
        <f t="shared" si="301"/>
        <v/>
      </c>
    </row>
    <row r="2780" spans="6:11" hidden="1">
      <c r="F2780" s="52" t="str">
        <f>IF(G2780="","",INDEX(COA!$A$4:$A$123,MATCH(JU!$G2780,COA!$B$4:$B$123,0)))</f>
        <v/>
      </c>
      <c r="I2780" s="52" t="str">
        <f>IF(J2780="","",INDEX(COA!$A$4:$A$123,MATCH(JU!$J2780,COA!$B$4:$B$123,0)))</f>
        <v/>
      </c>
      <c r="K2780" s="34" t="str">
        <f t="shared" si="301"/>
        <v/>
      </c>
    </row>
    <row r="2781" spans="6:11" hidden="1">
      <c r="F2781" s="52" t="str">
        <f>IF(G2781="","",INDEX(COA!$A$4:$A$123,MATCH(JU!$G2781,COA!$B$4:$B$123,0)))</f>
        <v/>
      </c>
      <c r="I2781" s="52" t="str">
        <f>IF(J2781="","",INDEX(COA!$A$4:$A$123,MATCH(JU!$J2781,COA!$B$4:$B$123,0)))</f>
        <v/>
      </c>
      <c r="K2781" s="34" t="str">
        <f t="shared" si="301"/>
        <v/>
      </c>
    </row>
    <row r="2782" spans="6:11" hidden="1">
      <c r="F2782" s="52" t="str">
        <f>IF(G2782="","",INDEX(COA!$A$4:$A$123,MATCH(JU!$G2782,COA!$B$4:$B$123,0)))</f>
        <v/>
      </c>
      <c r="I2782" s="52" t="str">
        <f>IF(J2782="","",INDEX(COA!$A$4:$A$123,MATCH(JU!$J2782,COA!$B$4:$B$123,0)))</f>
        <v/>
      </c>
      <c r="K2782" s="34" t="str">
        <f t="shared" si="301"/>
        <v/>
      </c>
    </row>
    <row r="2783" spans="6:11" hidden="1">
      <c r="F2783" s="52" t="str">
        <f>IF(G2783="","",INDEX(COA!$A$4:$A$123,MATCH(JU!$G2783,COA!$B$4:$B$123,0)))</f>
        <v/>
      </c>
      <c r="I2783" s="52" t="str">
        <f>IF(J2783="","",INDEX(COA!$A$4:$A$123,MATCH(JU!$J2783,COA!$B$4:$B$123,0)))</f>
        <v/>
      </c>
      <c r="K2783" s="34" t="str">
        <f t="shared" si="301"/>
        <v/>
      </c>
    </row>
    <row r="2784" spans="6:11" hidden="1">
      <c r="F2784" s="52" t="str">
        <f>IF(G2784="","",INDEX(COA!$A$4:$A$123,MATCH(JU!$G2784,COA!$B$4:$B$123,0)))</f>
        <v/>
      </c>
      <c r="I2784" s="52" t="str">
        <f>IF(J2784="","",INDEX(COA!$A$4:$A$123,MATCH(JU!$J2784,COA!$B$4:$B$123,0)))</f>
        <v/>
      </c>
      <c r="K2784" s="34" t="str">
        <f t="shared" si="301"/>
        <v/>
      </c>
    </row>
    <row r="2785" spans="6:11" hidden="1">
      <c r="F2785" s="52" t="str">
        <f>IF(G2785="","",INDEX(COA!$A$4:$A$123,MATCH(JU!$G2785,COA!$B$4:$B$123,0)))</f>
        <v/>
      </c>
      <c r="I2785" s="52" t="str">
        <f>IF(J2785="","",INDEX(COA!$A$4:$A$123,MATCH(JU!$J2785,COA!$B$4:$B$123,0)))</f>
        <v/>
      </c>
      <c r="K2785" s="34" t="str">
        <f t="shared" si="301"/>
        <v/>
      </c>
    </row>
    <row r="2786" spans="6:11" hidden="1">
      <c r="F2786" s="52" t="str">
        <f>IF(G2786="","",INDEX(COA!$A$4:$A$123,MATCH(JU!$G2786,COA!$B$4:$B$123,0)))</f>
        <v/>
      </c>
      <c r="I2786" s="52" t="str">
        <f>IF(J2786="","",INDEX(COA!$A$4:$A$123,MATCH(JU!$J2786,COA!$B$4:$B$123,0)))</f>
        <v/>
      </c>
      <c r="K2786" s="34" t="str">
        <f t="shared" ref="K2786:K2849" si="302">IF(H2786="","",H2786)</f>
        <v/>
      </c>
    </row>
    <row r="2787" spans="6:11" hidden="1">
      <c r="F2787" s="52" t="str">
        <f>IF(G2787="","",INDEX(COA!$A$4:$A$123,MATCH(JU!$G2787,COA!$B$4:$B$123,0)))</f>
        <v/>
      </c>
      <c r="I2787" s="52" t="str">
        <f>IF(J2787="","",INDEX(COA!$A$4:$A$123,MATCH(JU!$J2787,COA!$B$4:$B$123,0)))</f>
        <v/>
      </c>
      <c r="K2787" s="34" t="str">
        <f t="shared" si="302"/>
        <v/>
      </c>
    </row>
    <row r="2788" spans="6:11" hidden="1">
      <c r="F2788" s="52" t="str">
        <f>IF(G2788="","",INDEX(COA!$A$4:$A$123,MATCH(JU!$G2788,COA!$B$4:$B$123,0)))</f>
        <v/>
      </c>
      <c r="I2788" s="52" t="str">
        <f>IF(J2788="","",INDEX(COA!$A$4:$A$123,MATCH(JU!$J2788,COA!$B$4:$B$123,0)))</f>
        <v/>
      </c>
      <c r="K2788" s="34" t="str">
        <f t="shared" si="302"/>
        <v/>
      </c>
    </row>
    <row r="2789" spans="6:11" hidden="1">
      <c r="F2789" s="52" t="str">
        <f>IF(G2789="","",INDEX(COA!$A$4:$A$123,MATCH(JU!$G2789,COA!$B$4:$B$123,0)))</f>
        <v/>
      </c>
      <c r="I2789" s="52" t="str">
        <f>IF(J2789="","",INDEX(COA!$A$4:$A$123,MATCH(JU!$J2789,COA!$B$4:$B$123,0)))</f>
        <v/>
      </c>
      <c r="K2789" s="34" t="str">
        <f t="shared" si="302"/>
        <v/>
      </c>
    </row>
    <row r="2790" spans="6:11" hidden="1">
      <c r="F2790" s="52" t="str">
        <f>IF(G2790="","",INDEX(COA!$A$4:$A$123,MATCH(JU!$G2790,COA!$B$4:$B$123,0)))</f>
        <v/>
      </c>
      <c r="I2790" s="52" t="str">
        <f>IF(J2790="","",INDEX(COA!$A$4:$A$123,MATCH(JU!$J2790,COA!$B$4:$B$123,0)))</f>
        <v/>
      </c>
      <c r="K2790" s="34" t="str">
        <f t="shared" si="302"/>
        <v/>
      </c>
    </row>
    <row r="2791" spans="6:11" hidden="1">
      <c r="F2791" s="52" t="str">
        <f>IF(G2791="","",INDEX(COA!$A$4:$A$123,MATCH(JU!$G2791,COA!$B$4:$B$123,0)))</f>
        <v/>
      </c>
      <c r="I2791" s="52" t="str">
        <f>IF(J2791="","",INDEX(COA!$A$4:$A$123,MATCH(JU!$J2791,COA!$B$4:$B$123,0)))</f>
        <v/>
      </c>
      <c r="K2791" s="34" t="str">
        <f t="shared" si="302"/>
        <v/>
      </c>
    </row>
    <row r="2792" spans="6:11" hidden="1">
      <c r="F2792" s="52" t="str">
        <f>IF(G2792="","",INDEX(COA!$A$4:$A$123,MATCH(JU!$G2792,COA!$B$4:$B$123,0)))</f>
        <v/>
      </c>
      <c r="I2792" s="52" t="str">
        <f>IF(J2792="","",INDEX(COA!$A$4:$A$123,MATCH(JU!$J2792,COA!$B$4:$B$123,0)))</f>
        <v/>
      </c>
      <c r="K2792" s="34" t="str">
        <f t="shared" si="302"/>
        <v/>
      </c>
    </row>
    <row r="2793" spans="6:11" hidden="1">
      <c r="F2793" s="52" t="str">
        <f>IF(G2793="","",INDEX(COA!$A$4:$A$123,MATCH(JU!$G2793,COA!$B$4:$B$123,0)))</f>
        <v/>
      </c>
      <c r="I2793" s="52" t="str">
        <f>IF(J2793="","",INDEX(COA!$A$4:$A$123,MATCH(JU!$J2793,COA!$B$4:$B$123,0)))</f>
        <v/>
      </c>
      <c r="K2793" s="34" t="str">
        <f t="shared" si="302"/>
        <v/>
      </c>
    </row>
    <row r="2794" spans="6:11" hidden="1">
      <c r="F2794" s="52" t="str">
        <f>IF(G2794="","",INDEX(COA!$A$4:$A$123,MATCH(JU!$G2794,COA!$B$4:$B$123,0)))</f>
        <v/>
      </c>
      <c r="I2794" s="52" t="str">
        <f>IF(J2794="","",INDEX(COA!$A$4:$A$123,MATCH(JU!$J2794,COA!$B$4:$B$123,0)))</f>
        <v/>
      </c>
      <c r="K2794" s="34" t="str">
        <f t="shared" si="302"/>
        <v/>
      </c>
    </row>
    <row r="2795" spans="6:11" hidden="1">
      <c r="F2795" s="52" t="str">
        <f>IF(G2795="","",INDEX(COA!$A$4:$A$123,MATCH(JU!$G2795,COA!$B$4:$B$123,0)))</f>
        <v/>
      </c>
      <c r="I2795" s="52" t="str">
        <f>IF(J2795="","",INDEX(COA!$A$4:$A$123,MATCH(JU!$J2795,COA!$B$4:$B$123,0)))</f>
        <v/>
      </c>
      <c r="K2795" s="34" t="str">
        <f t="shared" si="302"/>
        <v/>
      </c>
    </row>
    <row r="2796" spans="6:11" hidden="1">
      <c r="F2796" s="52" t="str">
        <f>IF(G2796="","",INDEX(COA!$A$4:$A$123,MATCH(JU!$G2796,COA!$B$4:$B$123,0)))</f>
        <v/>
      </c>
      <c r="I2796" s="52" t="str">
        <f>IF(J2796="","",INDEX(COA!$A$4:$A$123,MATCH(JU!$J2796,COA!$B$4:$B$123,0)))</f>
        <v/>
      </c>
      <c r="K2796" s="34" t="str">
        <f t="shared" si="302"/>
        <v/>
      </c>
    </row>
    <row r="2797" spans="6:11" hidden="1">
      <c r="F2797" s="52" t="str">
        <f>IF(G2797="","",INDEX(COA!$A$4:$A$123,MATCH(JU!$G2797,COA!$B$4:$B$123,0)))</f>
        <v/>
      </c>
      <c r="I2797" s="52" t="str">
        <f>IF(J2797="","",INDEX(COA!$A$4:$A$123,MATCH(JU!$J2797,COA!$B$4:$B$123,0)))</f>
        <v/>
      </c>
      <c r="K2797" s="34" t="str">
        <f t="shared" si="302"/>
        <v/>
      </c>
    </row>
    <row r="2798" spans="6:11" hidden="1">
      <c r="F2798" s="52" t="str">
        <f>IF(G2798="","",INDEX(COA!$A$4:$A$123,MATCH(JU!$G2798,COA!$B$4:$B$123,0)))</f>
        <v/>
      </c>
      <c r="I2798" s="52" t="str">
        <f>IF(J2798="","",INDEX(COA!$A$4:$A$123,MATCH(JU!$J2798,COA!$B$4:$B$123,0)))</f>
        <v/>
      </c>
      <c r="K2798" s="34" t="str">
        <f t="shared" si="302"/>
        <v/>
      </c>
    </row>
    <row r="2799" spans="6:11" hidden="1">
      <c r="F2799" s="52" t="str">
        <f>IF(G2799="","",INDEX(COA!$A$4:$A$123,MATCH(JU!$G2799,COA!$B$4:$B$123,0)))</f>
        <v/>
      </c>
      <c r="I2799" s="52" t="str">
        <f>IF(J2799="","",INDEX(COA!$A$4:$A$123,MATCH(JU!$J2799,COA!$B$4:$B$123,0)))</f>
        <v/>
      </c>
      <c r="K2799" s="34" t="str">
        <f t="shared" si="302"/>
        <v/>
      </c>
    </row>
    <row r="2800" spans="6:11" hidden="1">
      <c r="F2800" s="52" t="str">
        <f>IF(G2800="","",INDEX(COA!$A$4:$A$123,MATCH(JU!$G2800,COA!$B$4:$B$123,0)))</f>
        <v/>
      </c>
      <c r="I2800" s="52" t="str">
        <f>IF(J2800="","",INDEX(COA!$A$4:$A$123,MATCH(JU!$J2800,COA!$B$4:$B$123,0)))</f>
        <v/>
      </c>
      <c r="K2800" s="34" t="str">
        <f t="shared" si="302"/>
        <v/>
      </c>
    </row>
    <row r="2801" spans="6:11" hidden="1">
      <c r="F2801" s="52" t="str">
        <f>IF(G2801="","",INDEX(COA!$A$4:$A$123,MATCH(JU!$G2801,COA!$B$4:$B$123,0)))</f>
        <v/>
      </c>
      <c r="I2801" s="52" t="str">
        <f>IF(J2801="","",INDEX(COA!$A$4:$A$123,MATCH(JU!$J2801,COA!$B$4:$B$123,0)))</f>
        <v/>
      </c>
      <c r="K2801" s="34" t="str">
        <f t="shared" si="302"/>
        <v/>
      </c>
    </row>
    <row r="2802" spans="6:11" hidden="1">
      <c r="F2802" s="52" t="str">
        <f>IF(G2802="","",INDEX(COA!$A$4:$A$123,MATCH(JU!$G2802,COA!$B$4:$B$123,0)))</f>
        <v/>
      </c>
      <c r="I2802" s="52" t="str">
        <f>IF(J2802="","",INDEX(COA!$A$4:$A$123,MATCH(JU!$J2802,COA!$B$4:$B$123,0)))</f>
        <v/>
      </c>
      <c r="K2802" s="34" t="str">
        <f t="shared" si="302"/>
        <v/>
      </c>
    </row>
    <row r="2803" spans="6:11" hidden="1">
      <c r="F2803" s="52" t="str">
        <f>IF(G2803="","",INDEX(COA!$A$4:$A$123,MATCH(JU!$G2803,COA!$B$4:$B$123,0)))</f>
        <v/>
      </c>
      <c r="I2803" s="52" t="str">
        <f>IF(J2803="","",INDEX(COA!$A$4:$A$123,MATCH(JU!$J2803,COA!$B$4:$B$123,0)))</f>
        <v/>
      </c>
      <c r="K2803" s="34" t="str">
        <f t="shared" si="302"/>
        <v/>
      </c>
    </row>
    <row r="2804" spans="6:11" hidden="1">
      <c r="F2804" s="52" t="str">
        <f>IF(G2804="","",INDEX(COA!$A$4:$A$123,MATCH(JU!$G2804,COA!$B$4:$B$123,0)))</f>
        <v/>
      </c>
      <c r="I2804" s="52" t="str">
        <f>IF(J2804="","",INDEX(COA!$A$4:$A$123,MATCH(JU!$J2804,COA!$B$4:$B$123,0)))</f>
        <v/>
      </c>
      <c r="K2804" s="34" t="str">
        <f t="shared" si="302"/>
        <v/>
      </c>
    </row>
    <row r="2805" spans="6:11" hidden="1">
      <c r="F2805" s="52" t="str">
        <f>IF(G2805="","",INDEX(COA!$A$4:$A$123,MATCH(JU!$G2805,COA!$B$4:$B$123,0)))</f>
        <v/>
      </c>
      <c r="I2805" s="52" t="str">
        <f>IF(J2805="","",INDEX(COA!$A$4:$A$123,MATCH(JU!$J2805,COA!$B$4:$B$123,0)))</f>
        <v/>
      </c>
      <c r="K2805" s="34" t="str">
        <f t="shared" si="302"/>
        <v/>
      </c>
    </row>
    <row r="2806" spans="6:11" hidden="1">
      <c r="F2806" s="52" t="str">
        <f>IF(G2806="","",INDEX(COA!$A$4:$A$123,MATCH(JU!$G2806,COA!$B$4:$B$123,0)))</f>
        <v/>
      </c>
      <c r="I2806" s="52" t="str">
        <f>IF(J2806="","",INDEX(COA!$A$4:$A$123,MATCH(JU!$J2806,COA!$B$4:$B$123,0)))</f>
        <v/>
      </c>
      <c r="K2806" s="34" t="str">
        <f t="shared" si="302"/>
        <v/>
      </c>
    </row>
    <row r="2807" spans="6:11" hidden="1">
      <c r="F2807" s="52" t="str">
        <f>IF(G2807="","",INDEX(COA!$A$4:$A$123,MATCH(JU!$G2807,COA!$B$4:$B$123,0)))</f>
        <v/>
      </c>
      <c r="I2807" s="52" t="str">
        <f>IF(J2807="","",INDEX(COA!$A$4:$A$123,MATCH(JU!$J2807,COA!$B$4:$B$123,0)))</f>
        <v/>
      </c>
      <c r="K2807" s="34" t="str">
        <f t="shared" si="302"/>
        <v/>
      </c>
    </row>
    <row r="2808" spans="6:11" hidden="1">
      <c r="F2808" s="52" t="str">
        <f>IF(G2808="","",INDEX(COA!$A$4:$A$123,MATCH(JU!$G2808,COA!$B$4:$B$123,0)))</f>
        <v/>
      </c>
      <c r="I2808" s="52" t="str">
        <f>IF(J2808="","",INDEX(COA!$A$4:$A$123,MATCH(JU!$J2808,COA!$B$4:$B$123,0)))</f>
        <v/>
      </c>
      <c r="K2808" s="34" t="str">
        <f t="shared" si="302"/>
        <v/>
      </c>
    </row>
    <row r="2809" spans="6:11" hidden="1">
      <c r="F2809" s="52" t="str">
        <f>IF(G2809="","",INDEX(COA!$A$4:$A$123,MATCH(JU!$G2809,COA!$B$4:$B$123,0)))</f>
        <v/>
      </c>
      <c r="I2809" s="52" t="str">
        <f>IF(J2809="","",INDEX(COA!$A$4:$A$123,MATCH(JU!$J2809,COA!$B$4:$B$123,0)))</f>
        <v/>
      </c>
      <c r="K2809" s="34" t="str">
        <f t="shared" si="302"/>
        <v/>
      </c>
    </row>
    <row r="2810" spans="6:11" hidden="1">
      <c r="F2810" s="52" t="str">
        <f>IF(G2810="","",INDEX(COA!$A$4:$A$123,MATCH(JU!$G2810,COA!$B$4:$B$123,0)))</f>
        <v/>
      </c>
      <c r="I2810" s="52" t="str">
        <f>IF(J2810="","",INDEX(COA!$A$4:$A$123,MATCH(JU!$J2810,COA!$B$4:$B$123,0)))</f>
        <v/>
      </c>
      <c r="K2810" s="34" t="str">
        <f t="shared" si="302"/>
        <v/>
      </c>
    </row>
    <row r="2811" spans="6:11" hidden="1">
      <c r="F2811" s="52" t="str">
        <f>IF(G2811="","",INDEX(COA!$A$4:$A$123,MATCH(JU!$G2811,COA!$B$4:$B$123,0)))</f>
        <v/>
      </c>
      <c r="I2811" s="52" t="str">
        <f>IF(J2811="","",INDEX(COA!$A$4:$A$123,MATCH(JU!$J2811,COA!$B$4:$B$123,0)))</f>
        <v/>
      </c>
      <c r="K2811" s="34" t="str">
        <f t="shared" si="302"/>
        <v/>
      </c>
    </row>
    <row r="2812" spans="6:11" hidden="1">
      <c r="F2812" s="52" t="str">
        <f>IF(G2812="","",INDEX(COA!$A$4:$A$123,MATCH(JU!$G2812,COA!$B$4:$B$123,0)))</f>
        <v/>
      </c>
      <c r="I2812" s="52" t="str">
        <f>IF(J2812="","",INDEX(COA!$A$4:$A$123,MATCH(JU!$J2812,COA!$B$4:$B$123,0)))</f>
        <v/>
      </c>
      <c r="K2812" s="34" t="str">
        <f t="shared" si="302"/>
        <v/>
      </c>
    </row>
    <row r="2813" spans="6:11" hidden="1">
      <c r="F2813" s="52" t="str">
        <f>IF(G2813="","",INDEX(COA!$A$4:$A$123,MATCH(JU!$G2813,COA!$B$4:$B$123,0)))</f>
        <v/>
      </c>
      <c r="I2813" s="52" t="str">
        <f>IF(J2813="","",INDEX(COA!$A$4:$A$123,MATCH(JU!$J2813,COA!$B$4:$B$123,0)))</f>
        <v/>
      </c>
      <c r="K2813" s="34" t="str">
        <f t="shared" si="302"/>
        <v/>
      </c>
    </row>
    <row r="2814" spans="6:11" hidden="1">
      <c r="F2814" s="52" t="str">
        <f>IF(G2814="","",INDEX(COA!$A$4:$A$123,MATCH(JU!$G2814,COA!$B$4:$B$123,0)))</f>
        <v/>
      </c>
      <c r="I2814" s="52" t="str">
        <f>IF(J2814="","",INDEX(COA!$A$4:$A$123,MATCH(JU!$J2814,COA!$B$4:$B$123,0)))</f>
        <v/>
      </c>
      <c r="K2814" s="34" t="str">
        <f t="shared" si="302"/>
        <v/>
      </c>
    </row>
    <row r="2815" spans="6:11" hidden="1">
      <c r="F2815" s="52" t="str">
        <f>IF(G2815="","",INDEX(COA!$A$4:$A$123,MATCH(JU!$G2815,COA!$B$4:$B$123,0)))</f>
        <v/>
      </c>
      <c r="I2815" s="52" t="str">
        <f>IF(J2815="","",INDEX(COA!$A$4:$A$123,MATCH(JU!$J2815,COA!$B$4:$B$123,0)))</f>
        <v/>
      </c>
      <c r="K2815" s="34" t="str">
        <f t="shared" si="302"/>
        <v/>
      </c>
    </row>
    <row r="2816" spans="6:11" hidden="1">
      <c r="F2816" s="52" t="str">
        <f>IF(G2816="","",INDEX(COA!$A$4:$A$123,MATCH(JU!$G2816,COA!$B$4:$B$123,0)))</f>
        <v/>
      </c>
      <c r="I2816" s="52" t="str">
        <f>IF(J2816="","",INDEX(COA!$A$4:$A$123,MATCH(JU!$J2816,COA!$B$4:$B$123,0)))</f>
        <v/>
      </c>
      <c r="K2816" s="34" t="str">
        <f t="shared" si="302"/>
        <v/>
      </c>
    </row>
    <row r="2817" spans="6:11" hidden="1">
      <c r="F2817" s="52" t="str">
        <f>IF(G2817="","",INDEX(COA!$A$4:$A$123,MATCH(JU!$G2817,COA!$B$4:$B$123,0)))</f>
        <v/>
      </c>
      <c r="I2817" s="52" t="str">
        <f>IF(J2817="","",INDEX(COA!$A$4:$A$123,MATCH(JU!$J2817,COA!$B$4:$B$123,0)))</f>
        <v/>
      </c>
      <c r="K2817" s="34" t="str">
        <f t="shared" si="302"/>
        <v/>
      </c>
    </row>
    <row r="2818" spans="6:11" hidden="1">
      <c r="F2818" s="52" t="str">
        <f>IF(G2818="","",INDEX(COA!$A$4:$A$123,MATCH(JU!$G2818,COA!$B$4:$B$123,0)))</f>
        <v/>
      </c>
      <c r="I2818" s="52" t="str">
        <f>IF(J2818="","",INDEX(COA!$A$4:$A$123,MATCH(JU!$J2818,COA!$B$4:$B$123,0)))</f>
        <v/>
      </c>
      <c r="K2818" s="34" t="str">
        <f t="shared" si="302"/>
        <v/>
      </c>
    </row>
    <row r="2819" spans="6:11" hidden="1">
      <c r="F2819" s="52" t="str">
        <f>IF(G2819="","",INDEX(COA!$A$4:$A$123,MATCH(JU!$G2819,COA!$B$4:$B$123,0)))</f>
        <v/>
      </c>
      <c r="I2819" s="52" t="str">
        <f>IF(J2819="","",INDEX(COA!$A$4:$A$123,MATCH(JU!$J2819,COA!$B$4:$B$123,0)))</f>
        <v/>
      </c>
      <c r="K2819" s="34" t="str">
        <f t="shared" si="302"/>
        <v/>
      </c>
    </row>
    <row r="2820" spans="6:11" hidden="1">
      <c r="F2820" s="52" t="str">
        <f>IF(G2820="","",INDEX(COA!$A$4:$A$123,MATCH(JU!$G2820,COA!$B$4:$B$123,0)))</f>
        <v/>
      </c>
      <c r="I2820" s="52" t="str">
        <f>IF(J2820="","",INDEX(COA!$A$4:$A$123,MATCH(JU!$J2820,COA!$B$4:$B$123,0)))</f>
        <v/>
      </c>
      <c r="K2820" s="34" t="str">
        <f t="shared" si="302"/>
        <v/>
      </c>
    </row>
    <row r="2821" spans="6:11" hidden="1">
      <c r="F2821" s="52" t="str">
        <f>IF(G2821="","",INDEX(COA!$A$4:$A$123,MATCH(JU!$G2821,COA!$B$4:$B$123,0)))</f>
        <v/>
      </c>
      <c r="I2821" s="52" t="str">
        <f>IF(J2821="","",INDEX(COA!$A$4:$A$123,MATCH(JU!$J2821,COA!$B$4:$B$123,0)))</f>
        <v/>
      </c>
      <c r="K2821" s="34" t="str">
        <f t="shared" si="302"/>
        <v/>
      </c>
    </row>
    <row r="2822" spans="6:11" hidden="1">
      <c r="F2822" s="52" t="str">
        <f>IF(G2822="","",INDEX(COA!$A$4:$A$123,MATCH(JU!$G2822,COA!$B$4:$B$123,0)))</f>
        <v/>
      </c>
      <c r="I2822" s="52" t="str">
        <f>IF(J2822="","",INDEX(COA!$A$4:$A$123,MATCH(JU!$J2822,COA!$B$4:$B$123,0)))</f>
        <v/>
      </c>
      <c r="K2822" s="34" t="str">
        <f t="shared" si="302"/>
        <v/>
      </c>
    </row>
    <row r="2823" spans="6:11" hidden="1">
      <c r="F2823" s="52" t="str">
        <f>IF(G2823="","",INDEX(COA!$A$4:$A$123,MATCH(JU!$G2823,COA!$B$4:$B$123,0)))</f>
        <v/>
      </c>
      <c r="I2823" s="52" t="str">
        <f>IF(J2823="","",INDEX(COA!$A$4:$A$123,MATCH(JU!$J2823,COA!$B$4:$B$123,0)))</f>
        <v/>
      </c>
      <c r="K2823" s="34" t="str">
        <f t="shared" si="302"/>
        <v/>
      </c>
    </row>
    <row r="2824" spans="6:11" hidden="1">
      <c r="F2824" s="52" t="str">
        <f>IF(G2824="","",INDEX(COA!$A$4:$A$123,MATCH(JU!$G2824,COA!$B$4:$B$123,0)))</f>
        <v/>
      </c>
      <c r="I2824" s="52" t="str">
        <f>IF(J2824="","",INDEX(COA!$A$4:$A$123,MATCH(JU!$J2824,COA!$B$4:$B$123,0)))</f>
        <v/>
      </c>
      <c r="K2824" s="34" t="str">
        <f t="shared" si="302"/>
        <v/>
      </c>
    </row>
    <row r="2825" spans="6:11" hidden="1">
      <c r="F2825" s="52" t="str">
        <f>IF(G2825="","",INDEX(COA!$A$4:$A$123,MATCH(JU!$G2825,COA!$B$4:$B$123,0)))</f>
        <v/>
      </c>
      <c r="I2825" s="52" t="str">
        <f>IF(J2825="","",INDEX(COA!$A$4:$A$123,MATCH(JU!$J2825,COA!$B$4:$B$123,0)))</f>
        <v/>
      </c>
      <c r="K2825" s="34" t="str">
        <f t="shared" si="302"/>
        <v/>
      </c>
    </row>
    <row r="2826" spans="6:11" hidden="1">
      <c r="F2826" s="52" t="str">
        <f>IF(G2826="","",INDEX(COA!$A$4:$A$123,MATCH(JU!$G2826,COA!$B$4:$B$123,0)))</f>
        <v/>
      </c>
      <c r="I2826" s="52" t="str">
        <f>IF(J2826="","",INDEX(COA!$A$4:$A$123,MATCH(JU!$J2826,COA!$B$4:$B$123,0)))</f>
        <v/>
      </c>
      <c r="K2826" s="34" t="str">
        <f t="shared" si="302"/>
        <v/>
      </c>
    </row>
    <row r="2827" spans="6:11" hidden="1">
      <c r="F2827" s="52" t="str">
        <f>IF(G2827="","",INDEX(COA!$A$4:$A$123,MATCH(JU!$G2827,COA!$B$4:$B$123,0)))</f>
        <v/>
      </c>
      <c r="I2827" s="52" t="str">
        <f>IF(J2827="","",INDEX(COA!$A$4:$A$123,MATCH(JU!$J2827,COA!$B$4:$B$123,0)))</f>
        <v/>
      </c>
      <c r="K2827" s="34" t="str">
        <f t="shared" si="302"/>
        <v/>
      </c>
    </row>
    <row r="2828" spans="6:11" hidden="1">
      <c r="F2828" s="52" t="str">
        <f>IF(G2828="","",INDEX(COA!$A$4:$A$123,MATCH(JU!$G2828,COA!$B$4:$B$123,0)))</f>
        <v/>
      </c>
      <c r="I2828" s="52" t="str">
        <f>IF(J2828="","",INDEX(COA!$A$4:$A$123,MATCH(JU!$J2828,COA!$B$4:$B$123,0)))</f>
        <v/>
      </c>
      <c r="K2828" s="34" t="str">
        <f t="shared" si="302"/>
        <v/>
      </c>
    </row>
    <row r="2829" spans="6:11" hidden="1">
      <c r="F2829" s="52" t="str">
        <f>IF(G2829="","",INDEX(COA!$A$4:$A$123,MATCH(JU!$G2829,COA!$B$4:$B$123,0)))</f>
        <v/>
      </c>
      <c r="I2829" s="52" t="str">
        <f>IF(J2829="","",INDEX(COA!$A$4:$A$123,MATCH(JU!$J2829,COA!$B$4:$B$123,0)))</f>
        <v/>
      </c>
      <c r="K2829" s="34" t="str">
        <f t="shared" si="302"/>
        <v/>
      </c>
    </row>
    <row r="2830" spans="6:11" hidden="1">
      <c r="F2830" s="52" t="str">
        <f>IF(G2830="","",INDEX(COA!$A$4:$A$123,MATCH(JU!$G2830,COA!$B$4:$B$123,0)))</f>
        <v/>
      </c>
      <c r="I2830" s="52" t="str">
        <f>IF(J2830="","",INDEX(COA!$A$4:$A$123,MATCH(JU!$J2830,COA!$B$4:$B$123,0)))</f>
        <v/>
      </c>
      <c r="K2830" s="34" t="str">
        <f t="shared" si="302"/>
        <v/>
      </c>
    </row>
    <row r="2831" spans="6:11" hidden="1">
      <c r="F2831" s="52" t="str">
        <f>IF(G2831="","",INDEX(COA!$A$4:$A$123,MATCH(JU!$G2831,COA!$B$4:$B$123,0)))</f>
        <v/>
      </c>
      <c r="I2831" s="52" t="str">
        <f>IF(J2831="","",INDEX(COA!$A$4:$A$123,MATCH(JU!$J2831,COA!$B$4:$B$123,0)))</f>
        <v/>
      </c>
      <c r="K2831" s="34" t="str">
        <f t="shared" si="302"/>
        <v/>
      </c>
    </row>
    <row r="2832" spans="6:11" hidden="1">
      <c r="F2832" s="52" t="str">
        <f>IF(G2832="","",INDEX(COA!$A$4:$A$123,MATCH(JU!$G2832,COA!$B$4:$B$123,0)))</f>
        <v/>
      </c>
      <c r="I2832" s="52" t="str">
        <f>IF(J2832="","",INDEX(COA!$A$4:$A$123,MATCH(JU!$J2832,COA!$B$4:$B$123,0)))</f>
        <v/>
      </c>
      <c r="K2832" s="34" t="str">
        <f t="shared" si="302"/>
        <v/>
      </c>
    </row>
    <row r="2833" spans="6:11" hidden="1">
      <c r="F2833" s="52" t="str">
        <f>IF(G2833="","",INDEX(COA!$A$4:$A$123,MATCH(JU!$G2833,COA!$B$4:$B$123,0)))</f>
        <v/>
      </c>
      <c r="I2833" s="52" t="str">
        <f>IF(J2833="","",INDEX(COA!$A$4:$A$123,MATCH(JU!$J2833,COA!$B$4:$B$123,0)))</f>
        <v/>
      </c>
      <c r="K2833" s="34" t="str">
        <f t="shared" si="302"/>
        <v/>
      </c>
    </row>
    <row r="2834" spans="6:11" hidden="1">
      <c r="F2834" s="52" t="str">
        <f>IF(G2834="","",INDEX(COA!$A$4:$A$123,MATCH(JU!$G2834,COA!$B$4:$B$123,0)))</f>
        <v/>
      </c>
      <c r="I2834" s="52" t="str">
        <f>IF(J2834="","",INDEX(COA!$A$4:$A$123,MATCH(JU!$J2834,COA!$B$4:$B$123,0)))</f>
        <v/>
      </c>
      <c r="K2834" s="34" t="str">
        <f t="shared" si="302"/>
        <v/>
      </c>
    </row>
    <row r="2835" spans="6:11" hidden="1">
      <c r="F2835" s="52" t="str">
        <f>IF(G2835="","",INDEX(COA!$A$4:$A$123,MATCH(JU!$G2835,COA!$B$4:$B$123,0)))</f>
        <v/>
      </c>
      <c r="I2835" s="52" t="str">
        <f>IF(J2835="","",INDEX(COA!$A$4:$A$123,MATCH(JU!$J2835,COA!$B$4:$B$123,0)))</f>
        <v/>
      </c>
      <c r="K2835" s="34" t="str">
        <f t="shared" si="302"/>
        <v/>
      </c>
    </row>
    <row r="2836" spans="6:11" hidden="1">
      <c r="F2836" s="52" t="str">
        <f>IF(G2836="","",INDEX(COA!$A$4:$A$123,MATCH(JU!$G2836,COA!$B$4:$B$123,0)))</f>
        <v/>
      </c>
      <c r="I2836" s="52" t="str">
        <f>IF(J2836="","",INDEX(COA!$A$4:$A$123,MATCH(JU!$J2836,COA!$B$4:$B$123,0)))</f>
        <v/>
      </c>
      <c r="K2836" s="34" t="str">
        <f t="shared" si="302"/>
        <v/>
      </c>
    </row>
    <row r="2837" spans="6:11" hidden="1">
      <c r="F2837" s="52" t="str">
        <f>IF(G2837="","",INDEX(COA!$A$4:$A$123,MATCH(JU!$G2837,COA!$B$4:$B$123,0)))</f>
        <v/>
      </c>
      <c r="I2837" s="52" t="str">
        <f>IF(J2837="","",INDEX(COA!$A$4:$A$123,MATCH(JU!$J2837,COA!$B$4:$B$123,0)))</f>
        <v/>
      </c>
      <c r="K2837" s="34" t="str">
        <f t="shared" si="302"/>
        <v/>
      </c>
    </row>
    <row r="2838" spans="6:11" hidden="1">
      <c r="F2838" s="52" t="str">
        <f>IF(G2838="","",INDEX(COA!$A$4:$A$123,MATCH(JU!$G2838,COA!$B$4:$B$123,0)))</f>
        <v/>
      </c>
      <c r="I2838" s="52" t="str">
        <f>IF(J2838="","",INDEX(COA!$A$4:$A$123,MATCH(JU!$J2838,COA!$B$4:$B$123,0)))</f>
        <v/>
      </c>
      <c r="K2838" s="34" t="str">
        <f t="shared" si="302"/>
        <v/>
      </c>
    </row>
    <row r="2839" spans="6:11" hidden="1">
      <c r="F2839" s="52" t="str">
        <f>IF(G2839="","",INDEX(COA!$A$4:$A$123,MATCH(JU!$G2839,COA!$B$4:$B$123,0)))</f>
        <v/>
      </c>
      <c r="I2839" s="52" t="str">
        <f>IF(J2839="","",INDEX(COA!$A$4:$A$123,MATCH(JU!$J2839,COA!$B$4:$B$123,0)))</f>
        <v/>
      </c>
      <c r="K2839" s="34" t="str">
        <f t="shared" si="302"/>
        <v/>
      </c>
    </row>
    <row r="2840" spans="6:11" hidden="1">
      <c r="F2840" s="52" t="str">
        <f>IF(G2840="","",INDEX(COA!$A$4:$A$123,MATCH(JU!$G2840,COA!$B$4:$B$123,0)))</f>
        <v/>
      </c>
      <c r="I2840" s="52" t="str">
        <f>IF(J2840="","",INDEX(COA!$A$4:$A$123,MATCH(JU!$J2840,COA!$B$4:$B$123,0)))</f>
        <v/>
      </c>
      <c r="K2840" s="34" t="str">
        <f t="shared" si="302"/>
        <v/>
      </c>
    </row>
    <row r="2841" spans="6:11" hidden="1">
      <c r="F2841" s="52" t="str">
        <f>IF(G2841="","",INDEX(COA!$A$4:$A$123,MATCH(JU!$G2841,COA!$B$4:$B$123,0)))</f>
        <v/>
      </c>
      <c r="I2841" s="52" t="str">
        <f>IF(J2841="","",INDEX(COA!$A$4:$A$123,MATCH(JU!$J2841,COA!$B$4:$B$123,0)))</f>
        <v/>
      </c>
      <c r="K2841" s="34" t="str">
        <f t="shared" si="302"/>
        <v/>
      </c>
    </row>
    <row r="2842" spans="6:11" hidden="1">
      <c r="F2842" s="52" t="str">
        <f>IF(G2842="","",INDEX(COA!$A$4:$A$123,MATCH(JU!$G2842,COA!$B$4:$B$123,0)))</f>
        <v/>
      </c>
      <c r="I2842" s="52" t="str">
        <f>IF(J2842="","",INDEX(COA!$A$4:$A$123,MATCH(JU!$J2842,COA!$B$4:$B$123,0)))</f>
        <v/>
      </c>
      <c r="K2842" s="34" t="str">
        <f t="shared" si="302"/>
        <v/>
      </c>
    </row>
    <row r="2843" spans="6:11" hidden="1">
      <c r="F2843" s="52" t="str">
        <f>IF(G2843="","",INDEX(COA!$A$4:$A$123,MATCH(JU!$G2843,COA!$B$4:$B$123,0)))</f>
        <v/>
      </c>
      <c r="I2843" s="52" t="str">
        <f>IF(J2843="","",INDEX(COA!$A$4:$A$123,MATCH(JU!$J2843,COA!$B$4:$B$123,0)))</f>
        <v/>
      </c>
      <c r="K2843" s="34" t="str">
        <f t="shared" si="302"/>
        <v/>
      </c>
    </row>
    <row r="2844" spans="6:11" hidden="1">
      <c r="F2844" s="52" t="str">
        <f>IF(G2844="","",INDEX(COA!$A$4:$A$123,MATCH(JU!$G2844,COA!$B$4:$B$123,0)))</f>
        <v/>
      </c>
      <c r="I2844" s="52" t="str">
        <f>IF(J2844="","",INDEX(COA!$A$4:$A$123,MATCH(JU!$J2844,COA!$B$4:$B$123,0)))</f>
        <v/>
      </c>
      <c r="K2844" s="34" t="str">
        <f t="shared" si="302"/>
        <v/>
      </c>
    </row>
    <row r="2845" spans="6:11" hidden="1">
      <c r="F2845" s="52" t="str">
        <f>IF(G2845="","",INDEX(COA!$A$4:$A$123,MATCH(JU!$G2845,COA!$B$4:$B$123,0)))</f>
        <v/>
      </c>
      <c r="I2845" s="52" t="str">
        <f>IF(J2845="","",INDEX(COA!$A$4:$A$123,MATCH(JU!$J2845,COA!$B$4:$B$123,0)))</f>
        <v/>
      </c>
      <c r="K2845" s="34" t="str">
        <f t="shared" si="302"/>
        <v/>
      </c>
    </row>
    <row r="2846" spans="6:11" hidden="1">
      <c r="F2846" s="52" t="str">
        <f>IF(G2846="","",INDEX(COA!$A$4:$A$123,MATCH(JU!$G2846,COA!$B$4:$B$123,0)))</f>
        <v/>
      </c>
      <c r="I2846" s="52" t="str">
        <f>IF(J2846="","",INDEX(COA!$A$4:$A$123,MATCH(JU!$J2846,COA!$B$4:$B$123,0)))</f>
        <v/>
      </c>
      <c r="K2846" s="34" t="str">
        <f t="shared" si="302"/>
        <v/>
      </c>
    </row>
    <row r="2847" spans="6:11" hidden="1">
      <c r="F2847" s="52" t="str">
        <f>IF(G2847="","",INDEX(COA!$A$4:$A$123,MATCH(JU!$G2847,COA!$B$4:$B$123,0)))</f>
        <v/>
      </c>
      <c r="I2847" s="52" t="str">
        <f>IF(J2847="","",INDEX(COA!$A$4:$A$123,MATCH(JU!$J2847,COA!$B$4:$B$123,0)))</f>
        <v/>
      </c>
      <c r="K2847" s="34" t="str">
        <f t="shared" si="302"/>
        <v/>
      </c>
    </row>
    <row r="2848" spans="6:11" hidden="1">
      <c r="F2848" s="52" t="str">
        <f>IF(G2848="","",INDEX(COA!$A$4:$A$123,MATCH(JU!$G2848,COA!$B$4:$B$123,0)))</f>
        <v/>
      </c>
      <c r="I2848" s="52" t="str">
        <f>IF(J2848="","",INDEX(COA!$A$4:$A$123,MATCH(JU!$J2848,COA!$B$4:$B$123,0)))</f>
        <v/>
      </c>
      <c r="K2848" s="34" t="str">
        <f t="shared" si="302"/>
        <v/>
      </c>
    </row>
    <row r="2849" spans="6:11" hidden="1">
      <c r="F2849" s="52" t="str">
        <f>IF(G2849="","",INDEX(COA!$A$4:$A$123,MATCH(JU!$G2849,COA!$B$4:$B$123,0)))</f>
        <v/>
      </c>
      <c r="I2849" s="52" t="str">
        <f>IF(J2849="","",INDEX(COA!$A$4:$A$123,MATCH(JU!$J2849,COA!$B$4:$B$123,0)))</f>
        <v/>
      </c>
      <c r="K2849" s="34" t="str">
        <f t="shared" si="302"/>
        <v/>
      </c>
    </row>
    <row r="2850" spans="6:11" hidden="1">
      <c r="F2850" s="52" t="str">
        <f>IF(G2850="","",INDEX(COA!$A$4:$A$123,MATCH(JU!$G2850,COA!$B$4:$B$123,0)))</f>
        <v/>
      </c>
      <c r="I2850" s="52" t="str">
        <f>IF(J2850="","",INDEX(COA!$A$4:$A$123,MATCH(JU!$J2850,COA!$B$4:$B$123,0)))</f>
        <v/>
      </c>
      <c r="K2850" s="34" t="str">
        <f t="shared" ref="K2850:K2913" si="303">IF(H2850="","",H2850)</f>
        <v/>
      </c>
    </row>
    <row r="2851" spans="6:11" hidden="1">
      <c r="F2851" s="52" t="str">
        <f>IF(G2851="","",INDEX(COA!$A$4:$A$123,MATCH(JU!$G2851,COA!$B$4:$B$123,0)))</f>
        <v/>
      </c>
      <c r="I2851" s="52" t="str">
        <f>IF(J2851="","",INDEX(COA!$A$4:$A$123,MATCH(JU!$J2851,COA!$B$4:$B$123,0)))</f>
        <v/>
      </c>
      <c r="K2851" s="34" t="str">
        <f t="shared" si="303"/>
        <v/>
      </c>
    </row>
    <row r="2852" spans="6:11" hidden="1">
      <c r="F2852" s="52" t="str">
        <f>IF(G2852="","",INDEX(COA!$A$4:$A$123,MATCH(JU!$G2852,COA!$B$4:$B$123,0)))</f>
        <v/>
      </c>
      <c r="I2852" s="52" t="str">
        <f>IF(J2852="","",INDEX(COA!$A$4:$A$123,MATCH(JU!$J2852,COA!$B$4:$B$123,0)))</f>
        <v/>
      </c>
      <c r="K2852" s="34" t="str">
        <f t="shared" si="303"/>
        <v/>
      </c>
    </row>
    <row r="2853" spans="6:11" hidden="1">
      <c r="F2853" s="52" t="str">
        <f>IF(G2853="","",INDEX(COA!$A$4:$A$123,MATCH(JU!$G2853,COA!$B$4:$B$123,0)))</f>
        <v/>
      </c>
      <c r="I2853" s="52" t="str">
        <f>IF(J2853="","",INDEX(COA!$A$4:$A$123,MATCH(JU!$J2853,COA!$B$4:$B$123,0)))</f>
        <v/>
      </c>
      <c r="K2853" s="34" t="str">
        <f t="shared" si="303"/>
        <v/>
      </c>
    </row>
    <row r="2854" spans="6:11" hidden="1">
      <c r="F2854" s="52" t="str">
        <f>IF(G2854="","",INDEX(COA!$A$4:$A$123,MATCH(JU!$G2854,COA!$B$4:$B$123,0)))</f>
        <v/>
      </c>
      <c r="I2854" s="52" t="str">
        <f>IF(J2854="","",INDEX(COA!$A$4:$A$123,MATCH(JU!$J2854,COA!$B$4:$B$123,0)))</f>
        <v/>
      </c>
      <c r="K2854" s="34" t="str">
        <f t="shared" si="303"/>
        <v/>
      </c>
    </row>
    <row r="2855" spans="6:11" hidden="1">
      <c r="F2855" s="52" t="str">
        <f>IF(G2855="","",INDEX(COA!$A$4:$A$123,MATCH(JU!$G2855,COA!$B$4:$B$123,0)))</f>
        <v/>
      </c>
      <c r="I2855" s="52" t="str">
        <f>IF(J2855="","",INDEX(COA!$A$4:$A$123,MATCH(JU!$J2855,COA!$B$4:$B$123,0)))</f>
        <v/>
      </c>
      <c r="K2855" s="34" t="str">
        <f t="shared" si="303"/>
        <v/>
      </c>
    </row>
    <row r="2856" spans="6:11" hidden="1">
      <c r="F2856" s="52" t="str">
        <f>IF(G2856="","",INDEX(COA!$A$4:$A$123,MATCH(JU!$G2856,COA!$B$4:$B$123,0)))</f>
        <v/>
      </c>
      <c r="I2856" s="52" t="str">
        <f>IF(J2856="","",INDEX(COA!$A$4:$A$123,MATCH(JU!$J2856,COA!$B$4:$B$123,0)))</f>
        <v/>
      </c>
      <c r="K2856" s="34" t="str">
        <f t="shared" si="303"/>
        <v/>
      </c>
    </row>
    <row r="2857" spans="6:11" hidden="1">
      <c r="F2857" s="52" t="str">
        <f>IF(G2857="","",INDEX(COA!$A$4:$A$123,MATCH(JU!$G2857,COA!$B$4:$B$123,0)))</f>
        <v/>
      </c>
      <c r="I2857" s="52" t="str">
        <f>IF(J2857="","",INDEX(COA!$A$4:$A$123,MATCH(JU!$J2857,COA!$B$4:$B$123,0)))</f>
        <v/>
      </c>
      <c r="K2857" s="34" t="str">
        <f t="shared" si="303"/>
        <v/>
      </c>
    </row>
    <row r="2858" spans="6:11" hidden="1">
      <c r="F2858" s="52" t="str">
        <f>IF(G2858="","",INDEX(COA!$A$4:$A$123,MATCH(JU!$G2858,COA!$B$4:$B$123,0)))</f>
        <v/>
      </c>
      <c r="I2858" s="52" t="str">
        <f>IF(J2858="","",INDEX(COA!$A$4:$A$123,MATCH(JU!$J2858,COA!$B$4:$B$123,0)))</f>
        <v/>
      </c>
      <c r="K2858" s="34" t="str">
        <f t="shared" si="303"/>
        <v/>
      </c>
    </row>
    <row r="2859" spans="6:11" hidden="1">
      <c r="F2859" s="52" t="str">
        <f>IF(G2859="","",INDEX(COA!$A$4:$A$123,MATCH(JU!$G2859,COA!$B$4:$B$123,0)))</f>
        <v/>
      </c>
      <c r="I2859" s="52" t="str">
        <f>IF(J2859="","",INDEX(COA!$A$4:$A$123,MATCH(JU!$J2859,COA!$B$4:$B$123,0)))</f>
        <v/>
      </c>
      <c r="K2859" s="34" t="str">
        <f t="shared" si="303"/>
        <v/>
      </c>
    </row>
    <row r="2860" spans="6:11" hidden="1">
      <c r="F2860" s="52" t="str">
        <f>IF(G2860="","",INDEX(COA!$A$4:$A$123,MATCH(JU!$G2860,COA!$B$4:$B$123,0)))</f>
        <v/>
      </c>
      <c r="I2860" s="52" t="str">
        <f>IF(J2860="","",INDEX(COA!$A$4:$A$123,MATCH(JU!$J2860,COA!$B$4:$B$123,0)))</f>
        <v/>
      </c>
      <c r="K2860" s="34" t="str">
        <f t="shared" si="303"/>
        <v/>
      </c>
    </row>
    <row r="2861" spans="6:11" hidden="1">
      <c r="F2861" s="52" t="str">
        <f>IF(G2861="","",INDEX(COA!$A$4:$A$123,MATCH(JU!$G2861,COA!$B$4:$B$123,0)))</f>
        <v/>
      </c>
      <c r="I2861" s="52" t="str">
        <f>IF(J2861="","",INDEX(COA!$A$4:$A$123,MATCH(JU!$J2861,COA!$B$4:$B$123,0)))</f>
        <v/>
      </c>
      <c r="K2861" s="34" t="str">
        <f t="shared" si="303"/>
        <v/>
      </c>
    </row>
    <row r="2862" spans="6:11" hidden="1">
      <c r="F2862" s="52" t="str">
        <f>IF(G2862="","",INDEX(COA!$A$4:$A$123,MATCH(JU!$G2862,COA!$B$4:$B$123,0)))</f>
        <v/>
      </c>
      <c r="I2862" s="52" t="str">
        <f>IF(J2862="","",INDEX(COA!$A$4:$A$123,MATCH(JU!$J2862,COA!$B$4:$B$123,0)))</f>
        <v/>
      </c>
      <c r="K2862" s="34" t="str">
        <f t="shared" si="303"/>
        <v/>
      </c>
    </row>
    <row r="2863" spans="6:11" hidden="1">
      <c r="F2863" s="52" t="str">
        <f>IF(G2863="","",INDEX(COA!$A$4:$A$123,MATCH(JU!$G2863,COA!$B$4:$B$123,0)))</f>
        <v/>
      </c>
      <c r="I2863" s="52" t="str">
        <f>IF(J2863="","",INDEX(COA!$A$4:$A$123,MATCH(JU!$J2863,COA!$B$4:$B$123,0)))</f>
        <v/>
      </c>
      <c r="K2863" s="34" t="str">
        <f t="shared" si="303"/>
        <v/>
      </c>
    </row>
    <row r="2864" spans="6:11" hidden="1">
      <c r="F2864" s="52" t="str">
        <f>IF(G2864="","",INDEX(COA!$A$4:$A$123,MATCH(JU!$G2864,COA!$B$4:$B$123,0)))</f>
        <v/>
      </c>
      <c r="I2864" s="52" t="str">
        <f>IF(J2864="","",INDEX(COA!$A$4:$A$123,MATCH(JU!$J2864,COA!$B$4:$B$123,0)))</f>
        <v/>
      </c>
      <c r="K2864" s="34" t="str">
        <f t="shared" si="303"/>
        <v/>
      </c>
    </row>
    <row r="2865" spans="6:11" hidden="1">
      <c r="F2865" s="52" t="str">
        <f>IF(G2865="","",INDEX(COA!$A$4:$A$123,MATCH(JU!$G2865,COA!$B$4:$B$123,0)))</f>
        <v/>
      </c>
      <c r="I2865" s="52" t="str">
        <f>IF(J2865="","",INDEX(COA!$A$4:$A$123,MATCH(JU!$J2865,COA!$B$4:$B$123,0)))</f>
        <v/>
      </c>
      <c r="K2865" s="34" t="str">
        <f t="shared" si="303"/>
        <v/>
      </c>
    </row>
    <row r="2866" spans="6:11" hidden="1">
      <c r="F2866" s="52" t="str">
        <f>IF(G2866="","",INDEX(COA!$A$4:$A$123,MATCH(JU!$G2866,COA!$B$4:$B$123,0)))</f>
        <v/>
      </c>
      <c r="I2866" s="52" t="str">
        <f>IF(J2866="","",INDEX(COA!$A$4:$A$123,MATCH(JU!$J2866,COA!$B$4:$B$123,0)))</f>
        <v/>
      </c>
      <c r="K2866" s="34" t="str">
        <f t="shared" si="303"/>
        <v/>
      </c>
    </row>
    <row r="2867" spans="6:11" hidden="1">
      <c r="F2867" s="52" t="str">
        <f>IF(G2867="","",INDEX(COA!$A$4:$A$123,MATCH(JU!$G2867,COA!$B$4:$B$123,0)))</f>
        <v/>
      </c>
      <c r="I2867" s="52" t="str">
        <f>IF(J2867="","",INDEX(COA!$A$4:$A$123,MATCH(JU!$J2867,COA!$B$4:$B$123,0)))</f>
        <v/>
      </c>
      <c r="K2867" s="34" t="str">
        <f t="shared" si="303"/>
        <v/>
      </c>
    </row>
    <row r="2868" spans="6:11" hidden="1">
      <c r="F2868" s="52" t="str">
        <f>IF(G2868="","",INDEX(COA!$A$4:$A$123,MATCH(JU!$G2868,COA!$B$4:$B$123,0)))</f>
        <v/>
      </c>
      <c r="I2868" s="52" t="str">
        <f>IF(J2868="","",INDEX(COA!$A$4:$A$123,MATCH(JU!$J2868,COA!$B$4:$B$123,0)))</f>
        <v/>
      </c>
      <c r="K2868" s="34" t="str">
        <f t="shared" si="303"/>
        <v/>
      </c>
    </row>
    <row r="2869" spans="6:11" hidden="1">
      <c r="F2869" s="52" t="str">
        <f>IF(G2869="","",INDEX(COA!$A$4:$A$123,MATCH(JU!$G2869,COA!$B$4:$B$123,0)))</f>
        <v/>
      </c>
      <c r="I2869" s="52" t="str">
        <f>IF(J2869="","",INDEX(COA!$A$4:$A$123,MATCH(JU!$J2869,COA!$B$4:$B$123,0)))</f>
        <v/>
      </c>
      <c r="K2869" s="34" t="str">
        <f t="shared" si="303"/>
        <v/>
      </c>
    </row>
    <row r="2870" spans="6:11" hidden="1">
      <c r="F2870" s="52" t="str">
        <f>IF(G2870="","",INDEX(COA!$A$4:$A$123,MATCH(JU!$G2870,COA!$B$4:$B$123,0)))</f>
        <v/>
      </c>
      <c r="I2870" s="52" t="str">
        <f>IF(J2870="","",INDEX(COA!$A$4:$A$123,MATCH(JU!$J2870,COA!$B$4:$B$123,0)))</f>
        <v/>
      </c>
      <c r="K2870" s="34" t="str">
        <f t="shared" si="303"/>
        <v/>
      </c>
    </row>
    <row r="2871" spans="6:11" hidden="1">
      <c r="F2871" s="52" t="str">
        <f>IF(G2871="","",INDEX(COA!$A$4:$A$123,MATCH(JU!$G2871,COA!$B$4:$B$123,0)))</f>
        <v/>
      </c>
      <c r="I2871" s="52" t="str">
        <f>IF(J2871="","",INDEX(COA!$A$4:$A$123,MATCH(JU!$J2871,COA!$B$4:$B$123,0)))</f>
        <v/>
      </c>
      <c r="K2871" s="34" t="str">
        <f t="shared" si="303"/>
        <v/>
      </c>
    </row>
    <row r="2872" spans="6:11" hidden="1">
      <c r="F2872" s="52" t="str">
        <f>IF(G2872="","",INDEX(COA!$A$4:$A$123,MATCH(JU!$G2872,COA!$B$4:$B$123,0)))</f>
        <v/>
      </c>
      <c r="I2872" s="52" t="str">
        <f>IF(J2872="","",INDEX(COA!$A$4:$A$123,MATCH(JU!$J2872,COA!$B$4:$B$123,0)))</f>
        <v/>
      </c>
      <c r="K2872" s="34" t="str">
        <f t="shared" si="303"/>
        <v/>
      </c>
    </row>
    <row r="2873" spans="6:11" hidden="1">
      <c r="F2873" s="52" t="str">
        <f>IF(G2873="","",INDEX(COA!$A$4:$A$123,MATCH(JU!$G2873,COA!$B$4:$B$123,0)))</f>
        <v/>
      </c>
      <c r="I2873" s="52" t="str">
        <f>IF(J2873="","",INDEX(COA!$A$4:$A$123,MATCH(JU!$J2873,COA!$B$4:$B$123,0)))</f>
        <v/>
      </c>
      <c r="K2873" s="34" t="str">
        <f t="shared" si="303"/>
        <v/>
      </c>
    </row>
    <row r="2874" spans="6:11" hidden="1">
      <c r="F2874" s="52" t="str">
        <f>IF(G2874="","",INDEX(COA!$A$4:$A$123,MATCH(JU!$G2874,COA!$B$4:$B$123,0)))</f>
        <v/>
      </c>
      <c r="I2874" s="52" t="str">
        <f>IF(J2874="","",INDEX(COA!$A$4:$A$123,MATCH(JU!$J2874,COA!$B$4:$B$123,0)))</f>
        <v/>
      </c>
      <c r="K2874" s="34" t="str">
        <f t="shared" si="303"/>
        <v/>
      </c>
    </row>
    <row r="2875" spans="6:11" hidden="1">
      <c r="F2875" s="52" t="str">
        <f>IF(G2875="","",INDEX(COA!$A$4:$A$123,MATCH(JU!$G2875,COA!$B$4:$B$123,0)))</f>
        <v/>
      </c>
      <c r="I2875" s="52" t="str">
        <f>IF(J2875="","",INDEX(COA!$A$4:$A$123,MATCH(JU!$J2875,COA!$B$4:$B$123,0)))</f>
        <v/>
      </c>
      <c r="K2875" s="34" t="str">
        <f t="shared" si="303"/>
        <v/>
      </c>
    </row>
    <row r="2876" spans="6:11" hidden="1">
      <c r="F2876" s="52" t="str">
        <f>IF(G2876="","",INDEX(COA!$A$4:$A$123,MATCH(JU!$G2876,COA!$B$4:$B$123,0)))</f>
        <v/>
      </c>
      <c r="I2876" s="52" t="str">
        <f>IF(J2876="","",INDEX(COA!$A$4:$A$123,MATCH(JU!$J2876,COA!$B$4:$B$123,0)))</f>
        <v/>
      </c>
      <c r="K2876" s="34" t="str">
        <f t="shared" si="303"/>
        <v/>
      </c>
    </row>
    <row r="2877" spans="6:11" hidden="1">
      <c r="F2877" s="52" t="str">
        <f>IF(G2877="","",INDEX(COA!$A$4:$A$123,MATCH(JU!$G2877,COA!$B$4:$B$123,0)))</f>
        <v/>
      </c>
      <c r="I2877" s="52" t="str">
        <f>IF(J2877="","",INDEX(COA!$A$4:$A$123,MATCH(JU!$J2877,COA!$B$4:$B$123,0)))</f>
        <v/>
      </c>
      <c r="K2877" s="34" t="str">
        <f t="shared" si="303"/>
        <v/>
      </c>
    </row>
    <row r="2878" spans="6:11" hidden="1">
      <c r="F2878" s="52" t="str">
        <f>IF(G2878="","",INDEX(COA!$A$4:$A$123,MATCH(JU!$G2878,COA!$B$4:$B$123,0)))</f>
        <v/>
      </c>
      <c r="I2878" s="52" t="str">
        <f>IF(J2878="","",INDEX(COA!$A$4:$A$123,MATCH(JU!$J2878,COA!$B$4:$B$123,0)))</f>
        <v/>
      </c>
      <c r="K2878" s="34" t="str">
        <f t="shared" si="303"/>
        <v/>
      </c>
    </row>
    <row r="2879" spans="6:11" hidden="1">
      <c r="F2879" s="52" t="str">
        <f>IF(G2879="","",INDEX(COA!$A$4:$A$123,MATCH(JU!$G2879,COA!$B$4:$B$123,0)))</f>
        <v/>
      </c>
      <c r="I2879" s="52" t="str">
        <f>IF(J2879="","",INDEX(COA!$A$4:$A$123,MATCH(JU!$J2879,COA!$B$4:$B$123,0)))</f>
        <v/>
      </c>
      <c r="K2879" s="34" t="str">
        <f t="shared" si="303"/>
        <v/>
      </c>
    </row>
    <row r="2880" spans="6:11" hidden="1">
      <c r="F2880" s="52" t="str">
        <f>IF(G2880="","",INDEX(COA!$A$4:$A$123,MATCH(JU!$G2880,COA!$B$4:$B$123,0)))</f>
        <v/>
      </c>
      <c r="I2880" s="52" t="str">
        <f>IF(J2880="","",INDEX(COA!$A$4:$A$123,MATCH(JU!$J2880,COA!$B$4:$B$123,0)))</f>
        <v/>
      </c>
      <c r="K2880" s="34" t="str">
        <f t="shared" si="303"/>
        <v/>
      </c>
    </row>
    <row r="2881" spans="6:11" hidden="1">
      <c r="F2881" s="52" t="str">
        <f>IF(G2881="","",INDEX(COA!$A$4:$A$123,MATCH(JU!$G2881,COA!$B$4:$B$123,0)))</f>
        <v/>
      </c>
      <c r="I2881" s="52" t="str">
        <f>IF(J2881="","",INDEX(COA!$A$4:$A$123,MATCH(JU!$J2881,COA!$B$4:$B$123,0)))</f>
        <v/>
      </c>
      <c r="K2881" s="34" t="str">
        <f t="shared" si="303"/>
        <v/>
      </c>
    </row>
    <row r="2882" spans="6:11" hidden="1">
      <c r="F2882" s="52" t="str">
        <f>IF(G2882="","",INDEX(COA!$A$4:$A$123,MATCH(JU!$G2882,COA!$B$4:$B$123,0)))</f>
        <v/>
      </c>
      <c r="I2882" s="52" t="str">
        <f>IF(J2882="","",INDEX(COA!$A$4:$A$123,MATCH(JU!$J2882,COA!$B$4:$B$123,0)))</f>
        <v/>
      </c>
      <c r="K2882" s="34" t="str">
        <f t="shared" si="303"/>
        <v/>
      </c>
    </row>
    <row r="2883" spans="6:11" hidden="1">
      <c r="F2883" s="52" t="str">
        <f>IF(G2883="","",INDEX(COA!$A$4:$A$123,MATCH(JU!$G2883,COA!$B$4:$B$123,0)))</f>
        <v/>
      </c>
      <c r="I2883" s="52" t="str">
        <f>IF(J2883="","",INDEX(COA!$A$4:$A$123,MATCH(JU!$J2883,COA!$B$4:$B$123,0)))</f>
        <v/>
      </c>
      <c r="K2883" s="34" t="str">
        <f t="shared" si="303"/>
        <v/>
      </c>
    </row>
    <row r="2884" spans="6:11" hidden="1">
      <c r="F2884" s="52" t="str">
        <f>IF(G2884="","",INDEX(COA!$A$4:$A$123,MATCH(JU!$G2884,COA!$B$4:$B$123,0)))</f>
        <v/>
      </c>
      <c r="I2884" s="52" t="str">
        <f>IF(J2884="","",INDEX(COA!$A$4:$A$123,MATCH(JU!$J2884,COA!$B$4:$B$123,0)))</f>
        <v/>
      </c>
      <c r="K2884" s="34" t="str">
        <f t="shared" si="303"/>
        <v/>
      </c>
    </row>
    <row r="2885" spans="6:11" hidden="1">
      <c r="F2885" s="52" t="str">
        <f>IF(G2885="","",INDEX(COA!$A$4:$A$123,MATCH(JU!$G2885,COA!$B$4:$B$123,0)))</f>
        <v/>
      </c>
      <c r="I2885" s="52" t="str">
        <f>IF(J2885="","",INDEX(COA!$A$4:$A$123,MATCH(JU!$J2885,COA!$B$4:$B$123,0)))</f>
        <v/>
      </c>
      <c r="K2885" s="34" t="str">
        <f t="shared" si="303"/>
        <v/>
      </c>
    </row>
    <row r="2886" spans="6:11" hidden="1">
      <c r="F2886" s="52" t="str">
        <f>IF(G2886="","",INDEX(COA!$A$4:$A$123,MATCH(JU!$G2886,COA!$B$4:$B$123,0)))</f>
        <v/>
      </c>
      <c r="I2886" s="52" t="str">
        <f>IF(J2886="","",INDEX(COA!$A$4:$A$123,MATCH(JU!$J2886,COA!$B$4:$B$123,0)))</f>
        <v/>
      </c>
      <c r="K2886" s="34" t="str">
        <f t="shared" si="303"/>
        <v/>
      </c>
    </row>
    <row r="2887" spans="6:11" hidden="1">
      <c r="F2887" s="52" t="str">
        <f>IF(G2887="","",INDEX(COA!$A$4:$A$123,MATCH(JU!$G2887,COA!$B$4:$B$123,0)))</f>
        <v/>
      </c>
      <c r="I2887" s="52" t="str">
        <f>IF(J2887="","",INDEX(COA!$A$4:$A$123,MATCH(JU!$J2887,COA!$B$4:$B$123,0)))</f>
        <v/>
      </c>
      <c r="K2887" s="34" t="str">
        <f t="shared" si="303"/>
        <v/>
      </c>
    </row>
    <row r="2888" spans="6:11" hidden="1">
      <c r="F2888" s="52" t="str">
        <f>IF(G2888="","",INDEX(COA!$A$4:$A$123,MATCH(JU!$G2888,COA!$B$4:$B$123,0)))</f>
        <v/>
      </c>
      <c r="I2888" s="52" t="str">
        <f>IF(J2888="","",INDEX(COA!$A$4:$A$123,MATCH(JU!$J2888,COA!$B$4:$B$123,0)))</f>
        <v/>
      </c>
      <c r="K2888" s="34" t="str">
        <f t="shared" si="303"/>
        <v/>
      </c>
    </row>
    <row r="2889" spans="6:11" hidden="1">
      <c r="F2889" s="52" t="str">
        <f>IF(G2889="","",INDEX(COA!$A$4:$A$123,MATCH(JU!$G2889,COA!$B$4:$B$123,0)))</f>
        <v/>
      </c>
      <c r="I2889" s="52" t="str">
        <f>IF(J2889="","",INDEX(COA!$A$4:$A$123,MATCH(JU!$J2889,COA!$B$4:$B$123,0)))</f>
        <v/>
      </c>
      <c r="K2889" s="34" t="str">
        <f t="shared" si="303"/>
        <v/>
      </c>
    </row>
    <row r="2890" spans="6:11" hidden="1">
      <c r="F2890" s="52" t="str">
        <f>IF(G2890="","",INDEX(COA!$A$4:$A$123,MATCH(JU!$G2890,COA!$B$4:$B$123,0)))</f>
        <v/>
      </c>
      <c r="I2890" s="52" t="str">
        <f>IF(J2890="","",INDEX(COA!$A$4:$A$123,MATCH(JU!$J2890,COA!$B$4:$B$123,0)))</f>
        <v/>
      </c>
      <c r="K2890" s="34" t="str">
        <f t="shared" si="303"/>
        <v/>
      </c>
    </row>
    <row r="2891" spans="6:11" hidden="1">
      <c r="F2891" s="52" t="str">
        <f>IF(G2891="","",INDEX(COA!$A$4:$A$123,MATCH(JU!$G2891,COA!$B$4:$B$123,0)))</f>
        <v/>
      </c>
      <c r="I2891" s="52" t="str">
        <f>IF(J2891="","",INDEX(COA!$A$4:$A$123,MATCH(JU!$J2891,COA!$B$4:$B$123,0)))</f>
        <v/>
      </c>
      <c r="K2891" s="34" t="str">
        <f t="shared" si="303"/>
        <v/>
      </c>
    </row>
    <row r="2892" spans="6:11" hidden="1">
      <c r="F2892" s="52" t="str">
        <f>IF(G2892="","",INDEX(COA!$A$4:$A$123,MATCH(JU!$G2892,COA!$B$4:$B$123,0)))</f>
        <v/>
      </c>
      <c r="I2892" s="52" t="str">
        <f>IF(J2892="","",INDEX(COA!$A$4:$A$123,MATCH(JU!$J2892,COA!$B$4:$B$123,0)))</f>
        <v/>
      </c>
      <c r="K2892" s="34" t="str">
        <f t="shared" si="303"/>
        <v/>
      </c>
    </row>
    <row r="2893" spans="6:11" hidden="1">
      <c r="F2893" s="52" t="str">
        <f>IF(G2893="","",INDEX(COA!$A$4:$A$123,MATCH(JU!$G2893,COA!$B$4:$B$123,0)))</f>
        <v/>
      </c>
      <c r="I2893" s="52" t="str">
        <f>IF(J2893="","",INDEX(COA!$A$4:$A$123,MATCH(JU!$J2893,COA!$B$4:$B$123,0)))</f>
        <v/>
      </c>
      <c r="K2893" s="34" t="str">
        <f t="shared" si="303"/>
        <v/>
      </c>
    </row>
    <row r="2894" spans="6:11" hidden="1">
      <c r="F2894" s="52" t="str">
        <f>IF(G2894="","",INDEX(COA!$A$4:$A$123,MATCH(JU!$G2894,COA!$B$4:$B$123,0)))</f>
        <v/>
      </c>
      <c r="I2894" s="52" t="str">
        <f>IF(J2894="","",INDEX(COA!$A$4:$A$123,MATCH(JU!$J2894,COA!$B$4:$B$123,0)))</f>
        <v/>
      </c>
      <c r="K2894" s="34" t="str">
        <f t="shared" si="303"/>
        <v/>
      </c>
    </row>
    <row r="2895" spans="6:11" hidden="1">
      <c r="F2895" s="52" t="str">
        <f>IF(G2895="","",INDEX(COA!$A$4:$A$123,MATCH(JU!$G2895,COA!$B$4:$B$123,0)))</f>
        <v/>
      </c>
      <c r="I2895" s="52" t="str">
        <f>IF(J2895="","",INDEX(COA!$A$4:$A$123,MATCH(JU!$J2895,COA!$B$4:$B$123,0)))</f>
        <v/>
      </c>
      <c r="K2895" s="34" t="str">
        <f t="shared" si="303"/>
        <v/>
      </c>
    </row>
    <row r="2896" spans="6:11" hidden="1">
      <c r="F2896" s="52" t="str">
        <f>IF(G2896="","",INDEX(COA!$A$4:$A$123,MATCH(JU!$G2896,COA!$B$4:$B$123,0)))</f>
        <v/>
      </c>
      <c r="I2896" s="52" t="str">
        <f>IF(J2896="","",INDEX(COA!$A$4:$A$123,MATCH(JU!$J2896,COA!$B$4:$B$123,0)))</f>
        <v/>
      </c>
      <c r="K2896" s="34" t="str">
        <f t="shared" si="303"/>
        <v/>
      </c>
    </row>
    <row r="2897" spans="6:12" hidden="1">
      <c r="F2897" s="52" t="str">
        <f>IF(G2897="","",INDEX(COA!$A$4:$A$123,MATCH(JU!$G2897,COA!$B$4:$B$123,0)))</f>
        <v/>
      </c>
      <c r="I2897" s="52" t="str">
        <f>IF(J2897="","",INDEX(COA!$A$4:$A$123,MATCH(JU!$J2897,COA!$B$4:$B$123,0)))</f>
        <v/>
      </c>
      <c r="K2897" s="34" t="str">
        <f t="shared" si="303"/>
        <v/>
      </c>
    </row>
    <row r="2898" spans="6:12" hidden="1">
      <c r="F2898" s="52" t="str">
        <f>IF(G2898="","",INDEX(COA!$A$4:$A$123,MATCH(JU!$G2898,COA!$B$4:$B$123,0)))</f>
        <v/>
      </c>
      <c r="I2898" s="52" t="str">
        <f>IF(J2898="","",INDEX(COA!$A$4:$A$123,MATCH(JU!$J2898,COA!$B$4:$B$123,0)))</f>
        <v/>
      </c>
      <c r="K2898" s="34" t="str">
        <f t="shared" si="303"/>
        <v/>
      </c>
    </row>
    <row r="2899" spans="6:12" hidden="1">
      <c r="F2899" s="52" t="str">
        <f>IF(G2899="","",INDEX(COA!$A$4:$A$123,MATCH(JU!$G2899,COA!$B$4:$B$123,0)))</f>
        <v/>
      </c>
      <c r="I2899" s="52" t="str">
        <f>IF(J2899="","",INDEX(COA!$A$4:$A$123,MATCH(JU!$J2899,COA!$B$4:$B$123,0)))</f>
        <v/>
      </c>
      <c r="K2899" s="34" t="str">
        <f t="shared" si="303"/>
        <v/>
      </c>
    </row>
    <row r="2900" spans="6:12" hidden="1">
      <c r="F2900" s="52" t="str">
        <f>IF(G2900="","",INDEX(COA!$A$4:$A$123,MATCH(JU!$G2900,COA!$B$4:$B$123,0)))</f>
        <v/>
      </c>
      <c r="I2900" s="52" t="str">
        <f>IF(J2900="","",INDEX(COA!$A$4:$A$123,MATCH(JU!$J2900,COA!$B$4:$B$123,0)))</f>
        <v/>
      </c>
      <c r="K2900" s="34" t="str">
        <f t="shared" si="303"/>
        <v/>
      </c>
    </row>
    <row r="2901" spans="6:12" hidden="1">
      <c r="F2901" s="52" t="str">
        <f>IF(G2901="","",INDEX(COA!$A$4:$A$123,MATCH(JU!$G2901,COA!$B$4:$B$123,0)))</f>
        <v/>
      </c>
      <c r="I2901" s="52" t="str">
        <f>IF(J2901="","",INDEX(COA!$A$4:$A$123,MATCH(JU!$J2901,COA!$B$4:$B$123,0)))</f>
        <v/>
      </c>
      <c r="K2901" s="34" t="str">
        <f t="shared" si="303"/>
        <v/>
      </c>
    </row>
    <row r="2902" spans="6:12" hidden="1">
      <c r="F2902" s="52" t="str">
        <f>IF(G2902="","",INDEX(COA!$A$4:$A$123,MATCH(JU!$G2902,COA!$B$4:$B$123,0)))</f>
        <v/>
      </c>
      <c r="I2902" s="52" t="str">
        <f>IF(J2902="","",INDEX(COA!$A$4:$A$123,MATCH(JU!$J2902,COA!$B$4:$B$123,0)))</f>
        <v/>
      </c>
      <c r="K2902" s="34" t="str">
        <f t="shared" si="303"/>
        <v/>
      </c>
    </row>
    <row r="2903" spans="6:12" hidden="1">
      <c r="F2903" s="52" t="str">
        <f>IF(G2903="","",INDEX(COA!$A$4:$A$123,MATCH(JU!$G2903,COA!$B$4:$B$123,0)))</f>
        <v/>
      </c>
      <c r="I2903" s="52" t="str">
        <f>IF(J2903="","",INDEX(COA!$A$4:$A$123,MATCH(JU!$J2903,COA!$B$4:$B$123,0)))</f>
        <v/>
      </c>
      <c r="K2903" s="34" t="str">
        <f t="shared" si="303"/>
        <v/>
      </c>
    </row>
    <row r="2904" spans="6:12" hidden="1">
      <c r="F2904" s="52" t="str">
        <f>IF(G2904="","",INDEX(COA!$A$4:$A$123,MATCH(JU!$G2904,COA!$B$4:$B$123,0)))</f>
        <v/>
      </c>
      <c r="I2904" s="52" t="str">
        <f>IF(J2904="","",INDEX(COA!$A$4:$A$123,MATCH(JU!$J2904,COA!$B$4:$B$123,0)))</f>
        <v/>
      </c>
      <c r="K2904" s="34" t="str">
        <f t="shared" si="303"/>
        <v/>
      </c>
    </row>
    <row r="2905" spans="6:12" hidden="1">
      <c r="F2905" s="52" t="str">
        <f>IF(G2905="","",INDEX(COA!$A$4:$A$123,MATCH(JU!$G2905,COA!$B$4:$B$123,0)))</f>
        <v/>
      </c>
      <c r="I2905" s="52" t="str">
        <f>IF(J2905="","",INDEX(COA!$A$4:$A$123,MATCH(JU!$J2905,COA!$B$4:$B$123,0)))</f>
        <v/>
      </c>
      <c r="K2905" s="34" t="str">
        <f t="shared" si="303"/>
        <v/>
      </c>
    </row>
    <row r="2906" spans="6:12" hidden="1">
      <c r="F2906" s="52" t="str">
        <f>IF(G2906="","",INDEX(COA!$A$4:$A$123,MATCH(JU!$G2906,COA!$B$4:$B$123,0)))</f>
        <v/>
      </c>
      <c r="I2906" s="52" t="str">
        <f>IF(J2906="","",INDEX(COA!$A$4:$A$123,MATCH(JU!$J2906,COA!$B$4:$B$123,0)))</f>
        <v/>
      </c>
      <c r="K2906" s="34" t="str">
        <f t="shared" si="303"/>
        <v/>
      </c>
      <c r="L2906" s="34">
        <v>8</v>
      </c>
    </row>
    <row r="2907" spans="6:12" hidden="1">
      <c r="F2907" s="52" t="str">
        <f>IF(G2907="","",INDEX(COA!$A$4:$A$123,MATCH(JU!$G2907,COA!$B$4:$B$123,0)))</f>
        <v/>
      </c>
      <c r="I2907" s="52" t="str">
        <f>IF(J2907="","",INDEX(COA!$A$4:$A$123,MATCH(JU!$J2907,COA!$B$4:$B$123,0)))</f>
        <v/>
      </c>
      <c r="K2907" s="34" t="str">
        <f t="shared" si="303"/>
        <v/>
      </c>
      <c r="L2907" s="34">
        <v>11</v>
      </c>
    </row>
    <row r="2908" spans="6:12" hidden="1">
      <c r="F2908" s="52" t="str">
        <f>IF(G2908="","",INDEX(COA!$A$4:$A$123,MATCH(JU!$G2908,COA!$B$4:$B$123,0)))</f>
        <v/>
      </c>
      <c r="I2908" s="52" t="str">
        <f>IF(J2908="","",INDEX(COA!$A$4:$A$123,MATCH(JU!$J2908,COA!$B$4:$B$123,0)))</f>
        <v/>
      </c>
      <c r="K2908" s="34" t="str">
        <f t="shared" si="303"/>
        <v/>
      </c>
      <c r="L2908" s="34">
        <v>8</v>
      </c>
    </row>
    <row r="2909" spans="6:12" hidden="1">
      <c r="F2909" s="52" t="str">
        <f>IF(G2909="","",INDEX(COA!$A$4:$A$123,MATCH(JU!$G2909,COA!$B$4:$B$123,0)))</f>
        <v/>
      </c>
      <c r="I2909" s="52" t="str">
        <f>IF(J2909="","",INDEX(COA!$A$4:$A$123,MATCH(JU!$J2909,COA!$B$4:$B$123,0)))</f>
        <v/>
      </c>
      <c r="K2909" s="34" t="str">
        <f t="shared" si="303"/>
        <v/>
      </c>
      <c r="L2909" s="34">
        <v>1</v>
      </c>
    </row>
    <row r="2910" spans="6:12" hidden="1">
      <c r="F2910" s="52" t="str">
        <f>IF(G2910="","",INDEX(COA!$A$4:$A$123,MATCH(JU!$G2910,COA!$B$4:$B$123,0)))</f>
        <v/>
      </c>
      <c r="I2910" s="52" t="str">
        <f>IF(J2910="","",INDEX(COA!$A$4:$A$123,MATCH(JU!$J2910,COA!$B$4:$B$123,0)))</f>
        <v/>
      </c>
      <c r="K2910" s="34" t="str">
        <f t="shared" si="303"/>
        <v/>
      </c>
      <c r="L2910" s="34">
        <v>9</v>
      </c>
    </row>
    <row r="2911" spans="6:12" hidden="1">
      <c r="F2911" s="52" t="str">
        <f>IF(G2911="","",INDEX(COA!$A$4:$A$123,MATCH(JU!$G2911,COA!$B$4:$B$123,0)))</f>
        <v/>
      </c>
      <c r="I2911" s="52" t="str">
        <f>IF(J2911="","",INDEX(COA!$A$4:$A$123,MATCH(JU!$J2911,COA!$B$4:$B$123,0)))</f>
        <v/>
      </c>
      <c r="K2911" s="34" t="str">
        <f t="shared" si="303"/>
        <v/>
      </c>
      <c r="L2911" s="34">
        <v>3</v>
      </c>
    </row>
    <row r="2912" spans="6:12" hidden="1">
      <c r="F2912" s="52" t="str">
        <f>IF(G2912="","",INDEX(COA!$A$4:$A$123,MATCH(JU!$G2912,COA!$B$4:$B$123,0)))</f>
        <v/>
      </c>
      <c r="I2912" s="52" t="str">
        <f>IF(J2912="","",INDEX(COA!$A$4:$A$123,MATCH(JU!$J2912,COA!$B$4:$B$123,0)))</f>
        <v/>
      </c>
      <c r="K2912" s="34" t="str">
        <f t="shared" si="303"/>
        <v/>
      </c>
      <c r="L2912" s="34">
        <v>2</v>
      </c>
    </row>
    <row r="2913" spans="6:12" hidden="1">
      <c r="F2913" s="52" t="str">
        <f>IF(G2913="","",INDEX(COA!$A$4:$A$123,MATCH(JU!$G2913,COA!$B$4:$B$123,0)))</f>
        <v/>
      </c>
      <c r="I2913" s="52" t="str">
        <f>IF(J2913="","",INDEX(COA!$A$4:$A$123,MATCH(JU!$J2913,COA!$B$4:$B$123,0)))</f>
        <v/>
      </c>
      <c r="K2913" s="34" t="str">
        <f t="shared" si="303"/>
        <v/>
      </c>
      <c r="L2913" s="34">
        <v>1</v>
      </c>
    </row>
    <row r="2914" spans="6:12" hidden="1">
      <c r="F2914" s="52" t="str">
        <f>IF(G2914="","",INDEX(COA!$A$4:$A$123,MATCH(JU!$G2914,COA!$B$4:$B$123,0)))</f>
        <v/>
      </c>
      <c r="I2914" s="52" t="str">
        <f>IF(J2914="","",INDEX(COA!$A$4:$A$123,MATCH(JU!$J2914,COA!$B$4:$B$123,0)))</f>
        <v/>
      </c>
      <c r="K2914" s="34" t="str">
        <f t="shared" ref="K2914:K2959" si="304">IF(H2914="","",H2914)</f>
        <v/>
      </c>
      <c r="L2914" s="34">
        <v>3</v>
      </c>
    </row>
    <row r="2915" spans="6:12" hidden="1">
      <c r="F2915" s="52" t="str">
        <f>IF(G2915="","",INDEX(COA!$A$4:$A$123,MATCH(JU!$G2915,COA!$B$4:$B$123,0)))</f>
        <v/>
      </c>
      <c r="I2915" s="52" t="str">
        <f>IF(J2915="","",INDEX(COA!$A$4:$A$123,MATCH(JU!$J2915,COA!$B$4:$B$123,0)))</f>
        <v/>
      </c>
      <c r="K2915" s="34" t="str">
        <f t="shared" si="304"/>
        <v/>
      </c>
      <c r="L2915" s="34">
        <v>8</v>
      </c>
    </row>
    <row r="2916" spans="6:12" hidden="1">
      <c r="F2916" s="52" t="str">
        <f>IF(G2916="","",INDEX(COA!$A$4:$A$123,MATCH(JU!$G2916,COA!$B$4:$B$123,0)))</f>
        <v/>
      </c>
      <c r="I2916" s="52" t="str">
        <f>IF(J2916="","",INDEX(COA!$A$4:$A$123,MATCH(JU!$J2916,COA!$B$4:$B$123,0)))</f>
        <v/>
      </c>
      <c r="K2916" s="34" t="str">
        <f t="shared" si="304"/>
        <v/>
      </c>
      <c r="L2916" s="34">
        <v>12</v>
      </c>
    </row>
    <row r="2917" spans="6:12" hidden="1">
      <c r="F2917" s="52" t="str">
        <f>IF(G2917="","",INDEX(COA!$A$4:$A$123,MATCH(JU!$G2917,COA!$B$4:$B$123,0)))</f>
        <v/>
      </c>
      <c r="I2917" s="52" t="str">
        <f>IF(J2917="","",INDEX(COA!$A$4:$A$123,MATCH(JU!$J2917,COA!$B$4:$B$123,0)))</f>
        <v/>
      </c>
      <c r="K2917" s="34" t="str">
        <f t="shared" si="304"/>
        <v/>
      </c>
      <c r="L2917" s="34">
        <v>6</v>
      </c>
    </row>
    <row r="2918" spans="6:12" hidden="1">
      <c r="F2918" s="52" t="str">
        <f>IF(G2918="","",INDEX(COA!$A$4:$A$123,MATCH(JU!$G2918,COA!$B$4:$B$123,0)))</f>
        <v/>
      </c>
      <c r="I2918" s="52" t="str">
        <f>IF(J2918="","",INDEX(COA!$A$4:$A$123,MATCH(JU!$J2918,COA!$B$4:$B$123,0)))</f>
        <v/>
      </c>
      <c r="K2918" s="34" t="str">
        <f t="shared" si="304"/>
        <v/>
      </c>
      <c r="L2918" s="34">
        <v>8</v>
      </c>
    </row>
    <row r="2919" spans="6:12" hidden="1">
      <c r="F2919" s="52" t="str">
        <f>IF(G2919="","",INDEX(COA!$A$4:$A$123,MATCH(JU!$G2919,COA!$B$4:$B$123,0)))</f>
        <v/>
      </c>
      <c r="I2919" s="52" t="str">
        <f>IF(J2919="","",INDEX(COA!$A$4:$A$123,MATCH(JU!$J2919,COA!$B$4:$B$123,0)))</f>
        <v/>
      </c>
      <c r="K2919" s="34" t="str">
        <f t="shared" si="304"/>
        <v/>
      </c>
      <c r="L2919" s="34">
        <v>16</v>
      </c>
    </row>
    <row r="2920" spans="6:12" hidden="1">
      <c r="F2920" s="52" t="str">
        <f>IF(G2920="","",INDEX(COA!$A$4:$A$123,MATCH(JU!$G2920,COA!$B$4:$B$123,0)))</f>
        <v/>
      </c>
      <c r="I2920" s="52" t="str">
        <f>IF(J2920="","",INDEX(COA!$A$4:$A$123,MATCH(JU!$J2920,COA!$B$4:$B$123,0)))</f>
        <v/>
      </c>
      <c r="K2920" s="34" t="str">
        <f t="shared" si="304"/>
        <v/>
      </c>
      <c r="L2920" s="34">
        <v>42</v>
      </c>
    </row>
    <row r="2921" spans="6:12" hidden="1">
      <c r="F2921" s="52" t="str">
        <f>IF(G2921="","",INDEX(COA!$A$4:$A$123,MATCH(JU!$G2921,COA!$B$4:$B$123,0)))</f>
        <v/>
      </c>
      <c r="I2921" s="52" t="str">
        <f>IF(J2921="","",INDEX(COA!$A$4:$A$123,MATCH(JU!$J2921,COA!$B$4:$B$123,0)))</f>
        <v/>
      </c>
      <c r="K2921" s="34" t="str">
        <f t="shared" si="304"/>
        <v/>
      </c>
      <c r="L2921" s="34">
        <v>30</v>
      </c>
    </row>
    <row r="2922" spans="6:12" hidden="1">
      <c r="F2922" s="52" t="str">
        <f>IF(G2922="","",INDEX(COA!$A$4:$A$123,MATCH(JU!$G2922,COA!$B$4:$B$123,0)))</f>
        <v/>
      </c>
      <c r="I2922" s="52" t="str">
        <f>IF(J2922="","",INDEX(COA!$A$4:$A$123,MATCH(JU!$J2922,COA!$B$4:$B$123,0)))</f>
        <v/>
      </c>
      <c r="K2922" s="34" t="str">
        <f t="shared" si="304"/>
        <v/>
      </c>
      <c r="L2922" s="34">
        <v>41</v>
      </c>
    </row>
    <row r="2923" spans="6:12" hidden="1">
      <c r="F2923" s="52" t="str">
        <f>IF(G2923="","",INDEX(COA!$A$4:$A$123,MATCH(JU!$G2923,COA!$B$4:$B$123,0)))</f>
        <v/>
      </c>
      <c r="I2923" s="52" t="str">
        <f>IF(J2923="","",INDEX(COA!$A$4:$A$123,MATCH(JU!$J2923,COA!$B$4:$B$123,0)))</f>
        <v/>
      </c>
      <c r="K2923" s="34" t="str">
        <f t="shared" si="304"/>
        <v/>
      </c>
      <c r="L2923" s="34">
        <v>8</v>
      </c>
    </row>
    <row r="2924" spans="6:12" hidden="1">
      <c r="F2924" s="52" t="str">
        <f>IF(G2924="","",INDEX(COA!$A$4:$A$123,MATCH(JU!$G2924,COA!$B$4:$B$123,0)))</f>
        <v/>
      </c>
      <c r="I2924" s="52" t="str">
        <f>IF(J2924="","",INDEX(COA!$A$4:$A$123,MATCH(JU!$J2924,COA!$B$4:$B$123,0)))</f>
        <v/>
      </c>
      <c r="K2924" s="34" t="str">
        <f t="shared" si="304"/>
        <v/>
      </c>
      <c r="L2924" s="34">
        <v>25</v>
      </c>
    </row>
    <row r="2925" spans="6:12" hidden="1">
      <c r="F2925" s="52" t="str">
        <f>IF(G2925="","",INDEX(COA!$A$4:$A$123,MATCH(JU!$G2925,COA!$B$4:$B$123,0)))</f>
        <v/>
      </c>
      <c r="I2925" s="52" t="str">
        <f>IF(J2925="","",INDEX(COA!$A$4:$A$123,MATCH(JU!$J2925,COA!$B$4:$B$123,0)))</f>
        <v/>
      </c>
      <c r="K2925" s="34" t="str">
        <f t="shared" si="304"/>
        <v/>
      </c>
      <c r="L2925" s="34">
        <v>1</v>
      </c>
    </row>
    <row r="2926" spans="6:12" hidden="1">
      <c r="F2926" s="52" t="str">
        <f>IF(G2926="","",INDEX(COA!$A$4:$A$123,MATCH(JU!$G2926,COA!$B$4:$B$123,0)))</f>
        <v/>
      </c>
      <c r="I2926" s="52" t="str">
        <f>IF(J2926="","",INDEX(COA!$A$4:$A$123,MATCH(JU!$J2926,COA!$B$4:$B$123,0)))</f>
        <v/>
      </c>
      <c r="K2926" s="34" t="str">
        <f t="shared" si="304"/>
        <v/>
      </c>
      <c r="L2926" s="34">
        <v>1</v>
      </c>
    </row>
    <row r="2927" spans="6:12" hidden="1">
      <c r="F2927" s="52" t="str">
        <f>IF(G2927="","",INDEX(COA!$A$4:$A$123,MATCH(JU!$G2927,COA!$B$4:$B$123,0)))</f>
        <v/>
      </c>
      <c r="I2927" s="52" t="str">
        <f>IF(J2927="","",INDEX(COA!$A$4:$A$123,MATCH(JU!$J2927,COA!$B$4:$B$123,0)))</f>
        <v/>
      </c>
      <c r="K2927" s="34" t="str">
        <f t="shared" si="304"/>
        <v/>
      </c>
      <c r="L2927" s="34">
        <v>25</v>
      </c>
    </row>
    <row r="2928" spans="6:12" hidden="1">
      <c r="F2928" s="52" t="str">
        <f>IF(G2928="","",INDEX(COA!$A$4:$A$123,MATCH(JU!$G2928,COA!$B$4:$B$123,0)))</f>
        <v/>
      </c>
      <c r="I2928" s="52" t="str">
        <f>IF(J2928="","",INDEX(COA!$A$4:$A$123,MATCH(JU!$J2928,COA!$B$4:$B$123,0)))</f>
        <v/>
      </c>
      <c r="K2928" s="34" t="str">
        <f t="shared" si="304"/>
        <v/>
      </c>
      <c r="L2928" s="34">
        <v>8</v>
      </c>
    </row>
    <row r="2929" spans="6:12" hidden="1">
      <c r="F2929" s="52" t="str">
        <f>IF(G2929="","",INDEX(COA!$A$4:$A$123,MATCH(JU!$G2929,COA!$B$4:$B$123,0)))</f>
        <v/>
      </c>
      <c r="I2929" s="52" t="str">
        <f>IF(J2929="","",INDEX(COA!$A$4:$A$123,MATCH(JU!$J2929,COA!$B$4:$B$123,0)))</f>
        <v/>
      </c>
      <c r="K2929" s="34" t="str">
        <f t="shared" si="304"/>
        <v/>
      </c>
      <c r="L2929" s="34">
        <v>7</v>
      </c>
    </row>
    <row r="2930" spans="6:12" hidden="1">
      <c r="F2930" s="52" t="str">
        <f>IF(G2930="","",INDEX(COA!$A$4:$A$123,MATCH(JU!$G2930,COA!$B$4:$B$123,0)))</f>
        <v/>
      </c>
      <c r="I2930" s="52" t="str">
        <f>IF(J2930="","",INDEX(COA!$A$4:$A$123,MATCH(JU!$J2930,COA!$B$4:$B$123,0)))</f>
        <v/>
      </c>
      <c r="K2930" s="34" t="str">
        <f t="shared" si="304"/>
        <v/>
      </c>
      <c r="L2930" s="34">
        <v>6</v>
      </c>
    </row>
    <row r="2931" spans="6:12" hidden="1">
      <c r="F2931" s="52" t="str">
        <f>IF(G2931="","",INDEX(COA!$A$4:$A$123,MATCH(JU!$G2931,COA!$B$4:$B$123,0)))</f>
        <v/>
      </c>
      <c r="I2931" s="52" t="str">
        <f>IF(J2931="","",INDEX(COA!$A$4:$A$123,MATCH(JU!$J2931,COA!$B$4:$B$123,0)))</f>
        <v/>
      </c>
      <c r="K2931" s="34" t="str">
        <f t="shared" si="304"/>
        <v/>
      </c>
      <c r="L2931" s="34">
        <v>16</v>
      </c>
    </row>
    <row r="2932" spans="6:12" hidden="1">
      <c r="F2932" s="52" t="str">
        <f>IF(G2932="","",INDEX(COA!$A$4:$A$123,MATCH(JU!$G2932,COA!$B$4:$B$123,0)))</f>
        <v/>
      </c>
      <c r="I2932" s="52" t="str">
        <f>IF(J2932="","",INDEX(COA!$A$4:$A$123,MATCH(JU!$J2932,COA!$B$4:$B$123,0)))</f>
        <v/>
      </c>
      <c r="K2932" s="34" t="str">
        <f t="shared" si="304"/>
        <v/>
      </c>
      <c r="L2932" s="34">
        <v>1</v>
      </c>
    </row>
    <row r="2933" spans="6:12" hidden="1">
      <c r="F2933" s="52" t="str">
        <f>IF(G2933="","",INDEX(COA!$A$4:$A$123,MATCH(JU!$G2933,COA!$B$4:$B$123,0)))</f>
        <v/>
      </c>
      <c r="I2933" s="52" t="str">
        <f>IF(J2933="","",INDEX(COA!$A$4:$A$123,MATCH(JU!$J2933,COA!$B$4:$B$123,0)))</f>
        <v/>
      </c>
      <c r="K2933" s="34" t="str">
        <f t="shared" si="304"/>
        <v/>
      </c>
      <c r="L2933" s="34">
        <v>1</v>
      </c>
    </row>
    <row r="2934" spans="6:12" hidden="1">
      <c r="F2934" s="52" t="str">
        <f>IF(G2934="","",INDEX(COA!$A$4:$A$123,MATCH(JU!$G2934,COA!$B$4:$B$123,0)))</f>
        <v/>
      </c>
      <c r="I2934" s="52" t="str">
        <f>IF(J2934="","",INDEX(COA!$A$4:$A$123,MATCH(JU!$J2934,COA!$B$4:$B$123,0)))</f>
        <v/>
      </c>
      <c r="K2934" s="34" t="str">
        <f t="shared" si="304"/>
        <v/>
      </c>
      <c r="L2934" s="34">
        <v>3</v>
      </c>
    </row>
    <row r="2935" spans="6:12" hidden="1">
      <c r="F2935" s="52" t="str">
        <f>IF(G2935="","",INDEX(COA!$A$4:$A$123,MATCH(JU!$G2935,COA!$B$4:$B$123,0)))</f>
        <v/>
      </c>
      <c r="I2935" s="52" t="str">
        <f>IF(J2935="","",INDEX(COA!$A$4:$A$123,MATCH(JU!$J2935,COA!$B$4:$B$123,0)))</f>
        <v/>
      </c>
      <c r="K2935" s="34" t="str">
        <f t="shared" si="304"/>
        <v/>
      </c>
      <c r="L2935" s="34">
        <v>8</v>
      </c>
    </row>
    <row r="2936" spans="6:12" hidden="1">
      <c r="F2936" s="52" t="str">
        <f>IF(G2936="","",INDEX(COA!$A$4:$A$123,MATCH(JU!$G2936,COA!$B$4:$B$123,0)))</f>
        <v/>
      </c>
      <c r="I2936" s="52" t="str">
        <f>IF(J2936="","",INDEX(COA!$A$4:$A$123,MATCH(JU!$J2936,COA!$B$4:$B$123,0)))</f>
        <v/>
      </c>
      <c r="K2936" s="34" t="str">
        <f t="shared" si="304"/>
        <v/>
      </c>
      <c r="L2936" s="34">
        <v>7</v>
      </c>
    </row>
    <row r="2937" spans="6:12" hidden="1">
      <c r="F2937" s="52" t="str">
        <f>IF(G2937="","",INDEX(COA!$A$4:$A$123,MATCH(JU!$G2937,COA!$B$4:$B$123,0)))</f>
        <v/>
      </c>
      <c r="I2937" s="52" t="str">
        <f>IF(J2937="","",INDEX(COA!$A$4:$A$123,MATCH(JU!$J2937,COA!$B$4:$B$123,0)))</f>
        <v/>
      </c>
      <c r="K2937" s="34" t="str">
        <f t="shared" si="304"/>
        <v/>
      </c>
      <c r="L2937" s="34">
        <v>10</v>
      </c>
    </row>
    <row r="2938" spans="6:12" hidden="1">
      <c r="F2938" s="52" t="str">
        <f>IF(G2938="","",INDEX(COA!$A$4:$A$123,MATCH(JU!$G2938,COA!$B$4:$B$123,0)))</f>
        <v/>
      </c>
      <c r="I2938" s="52" t="str">
        <f>IF(J2938="","",INDEX(COA!$A$4:$A$123,MATCH(JU!$J2938,COA!$B$4:$B$123,0)))</f>
        <v/>
      </c>
      <c r="K2938" s="34" t="str">
        <f t="shared" si="304"/>
        <v/>
      </c>
      <c r="L2938" s="34">
        <v>5</v>
      </c>
    </row>
    <row r="2939" spans="6:12" hidden="1">
      <c r="F2939" s="52" t="str">
        <f>IF(G2939="","",INDEX(COA!$A$4:$A$123,MATCH(JU!$G2939,COA!$B$4:$B$123,0)))</f>
        <v/>
      </c>
      <c r="I2939" s="52" t="str">
        <f>IF(J2939="","",INDEX(COA!$A$4:$A$123,MATCH(JU!$J2939,COA!$B$4:$B$123,0)))</f>
        <v/>
      </c>
      <c r="K2939" s="34" t="str">
        <f t="shared" si="304"/>
        <v/>
      </c>
      <c r="L2939" s="34">
        <v>6</v>
      </c>
    </row>
    <row r="2940" spans="6:12" hidden="1">
      <c r="F2940" s="52" t="str">
        <f>IF(G2940="","",INDEX(COA!$A$4:$A$123,MATCH(JU!$G2940,COA!$B$4:$B$123,0)))</f>
        <v/>
      </c>
      <c r="I2940" s="52" t="str">
        <f>IF(J2940="","",INDEX(COA!$A$4:$A$123,MATCH(JU!$J2940,COA!$B$4:$B$123,0)))</f>
        <v/>
      </c>
      <c r="K2940" s="34" t="str">
        <f t="shared" si="304"/>
        <v/>
      </c>
      <c r="L2940" s="34">
        <v>4</v>
      </c>
    </row>
    <row r="2941" spans="6:12" hidden="1">
      <c r="F2941" s="52" t="str">
        <f>IF(G2941="","",INDEX(COA!$A$4:$A$123,MATCH(JU!$G2941,COA!$B$4:$B$123,0)))</f>
        <v/>
      </c>
      <c r="I2941" s="52" t="str">
        <f>IF(J2941="","",INDEX(COA!$A$4:$A$123,MATCH(JU!$J2941,COA!$B$4:$B$123,0)))</f>
        <v/>
      </c>
      <c r="K2941" s="34" t="str">
        <f t="shared" si="304"/>
        <v/>
      </c>
      <c r="L2941" s="34">
        <v>6</v>
      </c>
    </row>
    <row r="2942" spans="6:12" hidden="1">
      <c r="F2942" s="52" t="str">
        <f>IF(G2942="","",INDEX(COA!$A$4:$A$123,MATCH(JU!$G2942,COA!$B$4:$B$123,0)))</f>
        <v/>
      </c>
      <c r="I2942" s="52" t="str">
        <f>IF(J2942="","",INDEX(COA!$A$4:$A$123,MATCH(JU!$J2942,COA!$B$4:$B$123,0)))</f>
        <v/>
      </c>
      <c r="K2942" s="34" t="str">
        <f t="shared" si="304"/>
        <v/>
      </c>
      <c r="L2942" s="34">
        <v>9</v>
      </c>
    </row>
    <row r="2943" spans="6:12" hidden="1">
      <c r="F2943" s="52" t="str">
        <f>IF(G2943="","",INDEX(COA!$A$4:$A$123,MATCH(JU!$G2943,COA!$B$4:$B$123,0)))</f>
        <v/>
      </c>
      <c r="I2943" s="52" t="str">
        <f>IF(J2943="","",INDEX(COA!$A$4:$A$123,MATCH(JU!$J2943,COA!$B$4:$B$123,0)))</f>
        <v/>
      </c>
      <c r="K2943" s="34" t="str">
        <f t="shared" si="304"/>
        <v/>
      </c>
      <c r="L2943" s="34">
        <v>7</v>
      </c>
    </row>
    <row r="2944" spans="6:12" hidden="1">
      <c r="F2944" s="52" t="str">
        <f>IF(G2944="","",INDEX(COA!$A$4:$A$123,MATCH(JU!$G2944,COA!$B$4:$B$123,0)))</f>
        <v/>
      </c>
      <c r="I2944" s="52" t="str">
        <f>IF(J2944="","",INDEX(COA!$A$4:$A$123,MATCH(JU!$J2944,COA!$B$4:$B$123,0)))</f>
        <v/>
      </c>
      <c r="K2944" s="34" t="str">
        <f t="shared" si="304"/>
        <v/>
      </c>
      <c r="L2944" s="34">
        <v>20</v>
      </c>
    </row>
    <row r="2945" spans="6:12" hidden="1">
      <c r="F2945" s="52" t="str">
        <f>IF(G2945="","",INDEX(COA!$A$4:$A$123,MATCH(JU!$G2945,COA!$B$4:$B$123,0)))</f>
        <v/>
      </c>
      <c r="I2945" s="52" t="str">
        <f>IF(J2945="","",INDEX(COA!$A$4:$A$123,MATCH(JU!$J2945,COA!$B$4:$B$123,0)))</f>
        <v/>
      </c>
      <c r="K2945" s="34" t="str">
        <f t="shared" si="304"/>
        <v/>
      </c>
      <c r="L2945" s="34">
        <v>13</v>
      </c>
    </row>
    <row r="2946" spans="6:12" hidden="1">
      <c r="F2946" s="52" t="str">
        <f>IF(G2946="","",INDEX(COA!$A$4:$A$123,MATCH(JU!$G2946,COA!$B$4:$B$123,0)))</f>
        <v/>
      </c>
      <c r="I2946" s="52" t="str">
        <f>IF(J2946="","",INDEX(COA!$A$4:$A$123,MATCH(JU!$J2946,COA!$B$4:$B$123,0)))</f>
        <v/>
      </c>
      <c r="K2946" s="34" t="str">
        <f t="shared" si="304"/>
        <v/>
      </c>
      <c r="L2946" s="34">
        <v>18</v>
      </c>
    </row>
    <row r="2947" spans="6:12" hidden="1">
      <c r="F2947" s="52" t="str">
        <f>IF(G2947="","",INDEX(COA!$A$4:$A$123,MATCH(JU!$G2947,COA!$B$4:$B$123,0)))</f>
        <v/>
      </c>
      <c r="I2947" s="52" t="str">
        <f>IF(J2947="","",INDEX(COA!$A$4:$A$123,MATCH(JU!$J2947,COA!$B$4:$B$123,0)))</f>
        <v/>
      </c>
      <c r="K2947" s="34" t="str">
        <f t="shared" si="304"/>
        <v/>
      </c>
      <c r="L2947" s="34">
        <v>3</v>
      </c>
    </row>
    <row r="2948" spans="6:12" hidden="1">
      <c r="F2948" s="52" t="str">
        <f>IF(G2948="","",INDEX(COA!$A$4:$A$123,MATCH(JU!$G2948,COA!$B$4:$B$123,0)))</f>
        <v/>
      </c>
      <c r="I2948" s="52" t="str">
        <f>IF(J2948="","",INDEX(COA!$A$4:$A$123,MATCH(JU!$J2948,COA!$B$4:$B$123,0)))</f>
        <v/>
      </c>
      <c r="K2948" s="34" t="str">
        <f t="shared" si="304"/>
        <v/>
      </c>
      <c r="L2948" s="34">
        <v>7</v>
      </c>
    </row>
    <row r="2949" spans="6:12" hidden="1">
      <c r="F2949" s="52" t="str">
        <f>IF(G2949="","",INDEX(COA!$A$4:$A$123,MATCH(JU!$G2949,COA!$B$4:$B$123,0)))</f>
        <v/>
      </c>
      <c r="I2949" s="52" t="str">
        <f>IF(J2949="","",INDEX(COA!$A$4:$A$123,MATCH(JU!$J2949,COA!$B$4:$B$123,0)))</f>
        <v/>
      </c>
      <c r="K2949" s="34" t="str">
        <f t="shared" si="304"/>
        <v/>
      </c>
      <c r="L2949" s="34">
        <v>17</v>
      </c>
    </row>
    <row r="2950" spans="6:12" hidden="1">
      <c r="F2950" s="52" t="str">
        <f>IF(G2950="","",INDEX(COA!$A$4:$A$123,MATCH(JU!$G2950,COA!$B$4:$B$123,0)))</f>
        <v/>
      </c>
      <c r="I2950" s="52" t="str">
        <f>IF(J2950="","",INDEX(COA!$A$4:$A$123,MATCH(JU!$J2950,COA!$B$4:$B$123,0)))</f>
        <v/>
      </c>
      <c r="K2950" s="34" t="str">
        <f t="shared" si="304"/>
        <v/>
      </c>
      <c r="L2950" s="34">
        <v>17</v>
      </c>
    </row>
    <row r="2951" spans="6:12" hidden="1">
      <c r="F2951" s="52" t="str">
        <f>IF(G2951="","",INDEX(COA!$A$4:$A$123,MATCH(JU!$G2951,COA!$B$4:$B$123,0)))</f>
        <v/>
      </c>
      <c r="I2951" s="52" t="str">
        <f>IF(J2951="","",INDEX(COA!$A$4:$A$123,MATCH(JU!$J2951,COA!$B$4:$B$123,0)))</f>
        <v/>
      </c>
      <c r="K2951" s="34" t="str">
        <f t="shared" si="304"/>
        <v/>
      </c>
      <c r="L2951" s="34">
        <v>19</v>
      </c>
    </row>
    <row r="2952" spans="6:12" hidden="1">
      <c r="F2952" s="52" t="str">
        <f>IF(G2952="","",INDEX(COA!$A$4:$A$123,MATCH(JU!$G2952,COA!$B$4:$B$123,0)))</f>
        <v/>
      </c>
      <c r="I2952" s="52" t="str">
        <f>IF(J2952="","",INDEX(COA!$A$4:$A$123,MATCH(JU!$J2952,COA!$B$4:$B$123,0)))</f>
        <v/>
      </c>
      <c r="K2952" s="34" t="str">
        <f t="shared" si="304"/>
        <v/>
      </c>
      <c r="L2952" s="34">
        <v>8</v>
      </c>
    </row>
    <row r="2953" spans="6:12" hidden="1">
      <c r="F2953" s="52" t="str">
        <f>IF(G2953="","",INDEX(COA!$A$4:$A$123,MATCH(JU!$G2953,COA!$B$4:$B$123,0)))</f>
        <v/>
      </c>
      <c r="I2953" s="52" t="str">
        <f>IF(J2953="","",INDEX(COA!$A$4:$A$123,MATCH(JU!$J2953,COA!$B$4:$B$123,0)))</f>
        <v/>
      </c>
      <c r="K2953" s="34" t="str">
        <f t="shared" si="304"/>
        <v/>
      </c>
      <c r="L2953" s="34">
        <v>3</v>
      </c>
    </row>
    <row r="2954" spans="6:12" hidden="1">
      <c r="F2954" s="52" t="str">
        <f>IF(G2954="","",INDEX(COA!$A$4:$A$123,MATCH(JU!$G2954,COA!$B$4:$B$123,0)))</f>
        <v/>
      </c>
      <c r="I2954" s="52" t="str">
        <f>IF(J2954="","",INDEX(COA!$A$4:$A$123,MATCH(JU!$J2954,COA!$B$4:$B$123,0)))</f>
        <v/>
      </c>
      <c r="K2954" s="34" t="str">
        <f t="shared" si="304"/>
        <v/>
      </c>
      <c r="L2954" s="34">
        <v>6</v>
      </c>
    </row>
    <row r="2955" spans="6:12" hidden="1">
      <c r="F2955" s="52" t="str">
        <f>IF(G2955="","",INDEX(COA!$A$4:$A$123,MATCH(JU!$G2955,COA!$B$4:$B$123,0)))</f>
        <v/>
      </c>
      <c r="I2955" s="52" t="str">
        <f>IF(J2955="","",INDEX(COA!$A$4:$A$123,MATCH(JU!$J2955,COA!$B$4:$B$123,0)))</f>
        <v/>
      </c>
      <c r="K2955" s="34" t="str">
        <f t="shared" si="304"/>
        <v/>
      </c>
      <c r="L2955" s="34">
        <v>6</v>
      </c>
    </row>
    <row r="2956" spans="6:12" hidden="1">
      <c r="F2956" s="52" t="str">
        <f>IF(G2956="","",INDEX(COA!$A$4:$A$123,MATCH(JU!$G2956,COA!$B$4:$B$123,0)))</f>
        <v/>
      </c>
      <c r="I2956" s="52" t="str">
        <f>IF(J2956="","",INDEX(COA!$A$4:$A$123,MATCH(JU!$J2956,COA!$B$4:$B$123,0)))</f>
        <v/>
      </c>
      <c r="K2956" s="34" t="str">
        <f t="shared" si="304"/>
        <v/>
      </c>
      <c r="L2956" s="34">
        <v>5</v>
      </c>
    </row>
    <row r="2957" spans="6:12" hidden="1">
      <c r="F2957" s="52" t="str">
        <f>IF(G2957="","",INDEX(COA!$A$4:$A$123,MATCH(JU!$G2957,COA!$B$4:$B$123,0)))</f>
        <v/>
      </c>
      <c r="I2957" s="52" t="str">
        <f>IF(J2957="","",INDEX(COA!$A$4:$A$123,MATCH(JU!$J2957,COA!$B$4:$B$123,0)))</f>
        <v/>
      </c>
      <c r="K2957" s="34" t="str">
        <f t="shared" si="304"/>
        <v/>
      </c>
      <c r="L2957" s="34">
        <v>17</v>
      </c>
    </row>
    <row r="2958" spans="6:12" hidden="1">
      <c r="F2958" s="52" t="str">
        <f>IF(G2958="","",INDEX(COA!$A$4:$A$123,MATCH(JU!$G2958,COA!$B$4:$B$123,0)))</f>
        <v/>
      </c>
      <c r="I2958" s="52" t="str">
        <f>IF(J2958="","",INDEX(COA!$A$4:$A$123,MATCH(JU!$J2958,COA!$B$4:$B$123,0)))</f>
        <v/>
      </c>
      <c r="K2958" s="34" t="str">
        <f t="shared" si="304"/>
        <v/>
      </c>
      <c r="L2958" s="34">
        <v>15</v>
      </c>
    </row>
    <row r="2959" spans="6:12" hidden="1">
      <c r="F2959" s="52" t="str">
        <f>IF(G2959="","",INDEX(COA!$A$4:$A$123,MATCH(JU!$G2959,COA!$B$4:$B$123,0)))</f>
        <v/>
      </c>
      <c r="I2959" s="52" t="str">
        <f>IF(J2959="","",INDEX(COA!$A$4:$A$123,MATCH(JU!$J2959,COA!$B$4:$B$123,0)))</f>
        <v/>
      </c>
      <c r="K2959" s="34" t="str">
        <f t="shared" si="304"/>
        <v/>
      </c>
      <c r="L2959" s="34">
        <v>21</v>
      </c>
    </row>
    <row r="2960" spans="6:12" hidden="1">
      <c r="I2960" s="52" t="str">
        <f>IF(J2960="","",INDEX(COA!$A$4:$A$123,MATCH(JU!$J2960,COA!$B$4:$B$123,0)))</f>
        <v/>
      </c>
      <c r="L2960" s="34">
        <v>6</v>
      </c>
    </row>
    <row r="2961" spans="6:11" hidden="1">
      <c r="F2961" s="52" t="str">
        <f>IF(G2961="","",INDEX(COA!$A$4:$A$123,MATCH(JU!$G2961,COA!$B$4:$B$123,0)))</f>
        <v/>
      </c>
      <c r="I2961" s="52" t="str">
        <f>IF(J2961="","",INDEX(COA!$A$4:$A$123,MATCH(JU!$J2961,COA!$B$4:$B$123,0)))</f>
        <v/>
      </c>
      <c r="K2961" s="34" t="str">
        <f t="shared" ref="K2961:K2968" si="305">IF(H2961="","",H2961)</f>
        <v/>
      </c>
    </row>
    <row r="2962" spans="6:11" hidden="1">
      <c r="F2962" s="52" t="str">
        <f>IF(G2962="","",INDEX(COA!$A$4:$A$123,MATCH(JU!$G2962,COA!$B$4:$B$123,0)))</f>
        <v/>
      </c>
      <c r="I2962" s="52" t="str">
        <f>IF(J2962="","",INDEX(COA!$A$4:$A$123,MATCH(JU!$J2962,COA!$B$4:$B$123,0)))</f>
        <v/>
      </c>
      <c r="K2962" s="34" t="str">
        <f t="shared" si="305"/>
        <v/>
      </c>
    </row>
    <row r="2963" spans="6:11" hidden="1">
      <c r="F2963" s="52" t="str">
        <f>IF(G2963="","",INDEX(COA!$A$4:$A$123,MATCH(JU!$G2963,COA!$B$4:$B$123,0)))</f>
        <v/>
      </c>
      <c r="I2963" s="52" t="str">
        <f>IF(J2963="","",INDEX(COA!$A$4:$A$123,MATCH(JU!$J2963,COA!$B$4:$B$123,0)))</f>
        <v/>
      </c>
      <c r="K2963" s="34" t="str">
        <f t="shared" si="305"/>
        <v/>
      </c>
    </row>
    <row r="2964" spans="6:11" hidden="1">
      <c r="F2964" s="52" t="str">
        <f>IF(G2964="","",INDEX(COA!$A$4:$A$123,MATCH(JU!$G2964,COA!$B$4:$B$123,0)))</f>
        <v/>
      </c>
      <c r="I2964" s="52" t="str">
        <f>IF(J2964="","",INDEX(COA!$A$4:$A$123,MATCH(JU!$J2964,COA!$B$4:$B$123,0)))</f>
        <v/>
      </c>
      <c r="K2964" s="34" t="str">
        <f t="shared" si="305"/>
        <v/>
      </c>
    </row>
    <row r="2965" spans="6:11" hidden="1">
      <c r="F2965" s="52" t="str">
        <f>IF(G2965="","",INDEX(COA!$A$4:$A$123,MATCH(JU!$G2965,COA!$B$4:$B$123,0)))</f>
        <v/>
      </c>
      <c r="I2965" s="52" t="str">
        <f>IF(J2965="","",INDEX(COA!$A$4:$A$123,MATCH(JU!$J2965,COA!$B$4:$B$123,0)))</f>
        <v/>
      </c>
      <c r="K2965" s="34" t="str">
        <f t="shared" si="305"/>
        <v/>
      </c>
    </row>
    <row r="2966" spans="6:11" hidden="1">
      <c r="F2966" s="52" t="str">
        <f>IF(G2966="","",INDEX(COA!$A$4:$A$123,MATCH(JU!$G2966,COA!$B$4:$B$123,0)))</f>
        <v/>
      </c>
      <c r="I2966" s="52" t="str">
        <f>IF(J2966="","",INDEX(COA!$A$4:$A$123,MATCH(JU!$J2966,COA!$B$4:$B$123,0)))</f>
        <v/>
      </c>
      <c r="K2966" s="34" t="str">
        <f t="shared" ref="K2966" si="306">IF(H2966="","",H2966)</f>
        <v/>
      </c>
    </row>
    <row r="2967" spans="6:11" hidden="1">
      <c r="F2967" s="52" t="str">
        <f>IF(G2967="","",INDEX(COA!$A$4:$A$123,MATCH(JU!$G2967,COA!$B$4:$B$123,0)))</f>
        <v/>
      </c>
      <c r="I2967" s="52" t="str">
        <f>IF(J2967="","",INDEX(COA!$A$4:$A$123,MATCH(JU!$J2967,COA!$B$4:$B$123,0)))</f>
        <v/>
      </c>
      <c r="K2967" s="34" t="str">
        <f t="shared" si="305"/>
        <v/>
      </c>
    </row>
    <row r="2968" spans="6:11" hidden="1">
      <c r="F2968" s="52" t="str">
        <f>IF(G2968="","",INDEX(COA!$A$4:$A$123,MATCH(JU!$G2968,COA!$B$4:$B$123,0)))</f>
        <v/>
      </c>
      <c r="I2968" s="52" t="str">
        <f>IF(J2968="","",INDEX(COA!$A$4:$A$123,MATCH(JU!$J2968,COA!$B$4:$B$123,0)))</f>
        <v/>
      </c>
      <c r="K2968" s="34" t="str">
        <f t="shared" si="305"/>
        <v/>
      </c>
    </row>
    <row r="2969" spans="6:11" hidden="1"/>
    <row r="2970" spans="6:11" hidden="1"/>
    <row r="2971" spans="6:11" hidden="1"/>
    <row r="2972" spans="6:11" hidden="1"/>
    <row r="2973" spans="6:11" hidden="1"/>
    <row r="2974" spans="6:11" hidden="1"/>
    <row r="2975" spans="6:11" hidden="1"/>
    <row r="2976" spans="6:11" hidden="1"/>
    <row r="2977" hidden="1"/>
    <row r="2978" hidden="1"/>
    <row r="2979" hidden="1"/>
    <row r="2980" hidden="1"/>
    <row r="2981" hidden="1"/>
    <row r="2982" hidden="1"/>
    <row r="2983" hidden="1"/>
    <row r="2984" hidden="1"/>
    <row r="2985" hidden="1"/>
    <row r="2986" hidden="1"/>
    <row r="2987" hidden="1"/>
    <row r="2988" hidden="1"/>
    <row r="2989" hidden="1"/>
    <row r="2990" hidden="1"/>
    <row r="2991" hidden="1"/>
    <row r="2992" hidden="1"/>
    <row r="2993" spans="12:13" hidden="1"/>
    <row r="2994" spans="12:13" hidden="1"/>
    <row r="2995" spans="12:13" hidden="1"/>
    <row r="2996" spans="12:13" hidden="1"/>
    <row r="2997" spans="12:13" hidden="1"/>
    <row r="2998" spans="12:13" hidden="1"/>
    <row r="2999" spans="12:13" hidden="1"/>
    <row r="3000" spans="12:13" hidden="1"/>
    <row r="3001" spans="12:13" hidden="1"/>
    <row r="3002" spans="12:13" hidden="1"/>
    <row r="3003" spans="12:13" hidden="1"/>
    <row r="3004" spans="12:13" hidden="1"/>
    <row r="3005" spans="12:13" hidden="1">
      <c r="L3005" s="18"/>
      <c r="M3005" s="34"/>
    </row>
    <row r="3006" spans="12:13" hidden="1">
      <c r="L3006" s="18"/>
      <c r="M3006" s="34"/>
    </row>
    <row r="3007" spans="12:13" hidden="1">
      <c r="L3007" s="18"/>
      <c r="M3007" s="34"/>
    </row>
    <row r="3008" spans="12:13" hidden="1">
      <c r="L3008" s="18"/>
      <c r="M3008" s="34"/>
    </row>
    <row r="3009" spans="12:13" hidden="1">
      <c r="L3009" s="18"/>
      <c r="M3009" s="34"/>
    </row>
    <row r="3010" spans="12:13" hidden="1">
      <c r="L3010" s="18"/>
      <c r="M3010" s="34"/>
    </row>
    <row r="3011" spans="12:13" hidden="1">
      <c r="L3011" s="18"/>
      <c r="M3011" s="34"/>
    </row>
    <row r="3012" spans="12:13" hidden="1">
      <c r="L3012" s="18"/>
      <c r="M3012" s="34"/>
    </row>
    <row r="3013" spans="12:13" hidden="1">
      <c r="L3013" s="18"/>
      <c r="M3013" s="34"/>
    </row>
    <row r="3014" spans="12:13" hidden="1">
      <c r="L3014" s="18"/>
      <c r="M3014" s="34"/>
    </row>
    <row r="3015" spans="12:13" hidden="1">
      <c r="L3015" s="18"/>
      <c r="M3015" s="34"/>
    </row>
    <row r="3016" spans="12:13" hidden="1">
      <c r="L3016" s="18"/>
      <c r="M3016" s="34"/>
    </row>
    <row r="3017" spans="12:13" hidden="1">
      <c r="L3017" s="18"/>
      <c r="M3017" s="34"/>
    </row>
    <row r="3018" spans="12:13" hidden="1">
      <c r="L3018" s="18"/>
      <c r="M3018" s="34"/>
    </row>
    <row r="3019" spans="12:13" hidden="1">
      <c r="L3019" s="18"/>
      <c r="M3019" s="34"/>
    </row>
    <row r="3020" spans="12:13" hidden="1">
      <c r="L3020" s="18"/>
      <c r="M3020" s="34"/>
    </row>
    <row r="3021" spans="12:13" hidden="1">
      <c r="L3021" s="18"/>
      <c r="M3021" s="34"/>
    </row>
    <row r="3022" spans="12:13" hidden="1">
      <c r="L3022" s="18"/>
      <c r="M3022" s="34"/>
    </row>
    <row r="3023" spans="12:13" hidden="1">
      <c r="L3023" s="18"/>
      <c r="M3023" s="34"/>
    </row>
    <row r="3024" spans="12:13" hidden="1">
      <c r="L3024" s="18"/>
      <c r="M3024" s="34"/>
    </row>
    <row r="3025" spans="12:13" hidden="1">
      <c r="L3025" s="18"/>
      <c r="M3025" s="34"/>
    </row>
    <row r="3026" spans="12:13" hidden="1">
      <c r="L3026" s="18"/>
      <c r="M3026" s="34"/>
    </row>
    <row r="3027" spans="12:13" hidden="1">
      <c r="L3027" s="18"/>
      <c r="M3027" s="34"/>
    </row>
    <row r="3028" spans="12:13" hidden="1">
      <c r="L3028" s="18"/>
      <c r="M3028" s="34"/>
    </row>
    <row r="3029" spans="12:13" hidden="1">
      <c r="L3029" s="18"/>
      <c r="M3029" s="34"/>
    </row>
    <row r="3030" spans="12:13" hidden="1">
      <c r="L3030" s="18"/>
      <c r="M3030" s="34"/>
    </row>
    <row r="3031" spans="12:13" hidden="1">
      <c r="L3031" s="18"/>
      <c r="M3031" s="34"/>
    </row>
    <row r="3032" spans="12:13" hidden="1">
      <c r="L3032" s="18"/>
      <c r="M3032" s="34"/>
    </row>
    <row r="3033" spans="12:13" hidden="1">
      <c r="L3033" s="18"/>
      <c r="M3033" s="34"/>
    </row>
    <row r="3034" spans="12:13" hidden="1">
      <c r="L3034" s="18"/>
      <c r="M3034" s="34"/>
    </row>
    <row r="3035" spans="12:13" hidden="1"/>
    <row r="3036" spans="12:13" hidden="1"/>
    <row r="3037" spans="12:13" hidden="1"/>
    <row r="3038" spans="12:13" hidden="1"/>
    <row r="3039" spans="12:13" hidden="1"/>
    <row r="3040" spans="12:13" hidden="1"/>
    <row r="3041" hidden="1"/>
    <row r="3042" hidden="1"/>
    <row r="3043" hidden="1"/>
    <row r="3044" hidden="1"/>
    <row r="3045" hidden="1"/>
    <row r="3046" hidden="1"/>
    <row r="3047" hidden="1"/>
    <row r="3048" hidden="1"/>
    <row r="3049" hidden="1"/>
    <row r="3050" hidden="1"/>
    <row r="3051" hidden="1"/>
    <row r="3052" hidden="1"/>
    <row r="3053" hidden="1"/>
    <row r="3054" hidden="1"/>
    <row r="3055" hidden="1"/>
    <row r="3056" hidden="1"/>
    <row r="3057" hidden="1"/>
    <row r="3058" hidden="1"/>
    <row r="3059" hidden="1"/>
    <row r="3060" hidden="1"/>
    <row r="3061" hidden="1"/>
    <row r="3062" hidden="1"/>
    <row r="3063" hidden="1"/>
    <row r="3064" hidden="1"/>
    <row r="3065" hidden="1"/>
    <row r="3066" hidden="1"/>
    <row r="3067" hidden="1"/>
    <row r="3068" hidden="1"/>
    <row r="3069" hidden="1"/>
    <row r="3070" hidden="1"/>
    <row r="3071" hidden="1"/>
    <row r="3072" hidden="1"/>
    <row r="3073" hidden="1"/>
  </sheetData>
  <autoFilter xmlns:x14="http://schemas.microsoft.com/office/spreadsheetml/2009/9/main" ref="A4:K3073" xr:uid="{00000000-0009-0000-0000-000002000000}">
    <filterColumn colId="3">
      <filters>
        <mc:AlternateContent xmlns:mc="http://schemas.openxmlformats.org/markup-compatibility/2006">
          <mc:Choice Requires="x14">
            <x14:filter val="By. Biaya DP SUBKON DG IWANG, UNTUK UMROH"/>
            <x14:filter val="By. Biaya DP SUBKON DG RAJA, UNTUK UMROH"/>
            <x14:filter val="By. Biaya GAJI SUBKON TUKANG POS"/>
            <x14:filter val="By. Biaya PELUNASAN SUBKON KUSEN TAHAP 3"/>
            <x14:filter val="By. Biaya PELUNASAN SUBKON RUKO DG ANCA BLOK R10"/>
            <x14:filter val="By. Biaya PEMBAYARAN FASUM DP SUBKON SELOKAN 5 UNIT TAHAP 4"/>
            <x14:filter val="By. Biaya PEMBAYARAN KE 1 SUBKON KUSEN PAK SUBAIR TAHAP 3"/>
            <x14:filter val="By. Biaya PEMBAYARAN KE 2 SUBKON DG ANSAR"/>
            <x14:filter val="By. Biaya PEMBAYARAN KE 2 SUBKON KUSEN PAK SUBAIR TAHAP 3"/>
            <x14:filter val="By. Biaya PEMBAYARAN KE 2 SUBKON RUKO DG BASO TOTAL 25 JT TERSISA 13 JT"/>
            <x14:filter val="By. Biaya PEMBAYARAN KE 3 SUBKON KUSEN PAK SUBAIR TAHAP 3"/>
            <x14:filter val="By. Biaya PEMBAYARAN KE 3 SUBKON PAK AKBAR TAHAP 3"/>
            <x14:filter val="By. Biaya PEMBAYARAN KE 3 SUBKON RUKO BLOK R1 DG BASO TOTAL 25 JT SISA 8 JT"/>
            <x14:filter val="By. Biaya PEMBAYARAN KE 5 SUBKON KUSEN PAK SUBAIR"/>
            <x14:filter val="By. Biaya PEMBAYARAN RETENSI SUBKON TAHAP 2"/>
            <x14:filter val="By. Biaya PEMBAYARAN SUBKON 5 UNIT DG RA'JA SN3 YANG KE 2 TAHAP 3"/>
            <x14:filter val="By. Biaya PEMBAYARAN SUBKON DG ANCA PELUNASAN 18 JT DG RA'JA KE 3 6,5 JT DG NASO PELUNASAN 8 JT (SUBKON TAHAP 3)"/>
            <x14:filter val="By. Biaya PEMBAYARAN SUBKON DG BASO RUKO BLOK R1 SN3"/>
            <x14:filter val="By. Biaya PEMBAYARAN SUBKON DG BASO RUKO SN3"/>
            <x14:filter val="By. Biaya PEMBAYARAN SUBKON GORONG-GORONG TAHAP 3"/>
            <x14:filter val="By. Biaya PEMBAYARAN SUBKON KE 1 DAHLAN &amp; AKBAR 7 UNIT 2,5 JT/UNIT TAHAP 3"/>
            <x14:filter val="By. Biaya PEMBAYARAN SUBKON KE 4 DG AHMAD 1 UNIT 9 JT TAHAP 3"/>
            <x14:filter val="By. Biaya PEMBAYARAN SUBKON KE 5 DG RAJA TAHAP 3"/>
            <x14:filter val="By. Biaya PEMBAYARAN SUBKON KE 5 KUSEN PAK SUBAIR TAHAP 3"/>
            <x14:filter val="By. Biaya PEMBAYARAN SUBKON KUSEN KE 4 OLEH PAK SUBAIR TAHAP 3"/>
            <x14:filter val="By. Biaya PEMBAYARAN SUBKON KUSEN PAK SUBAIR KE 3 TAHAP 3"/>
            <x14:filter val="By. Biaya PEMBAYARAN SUBKON KUSEN PAK SUBAIR TAHAP 3"/>
            <x14:filter val="By. Biaya PEMBAYARAN SUBKON KUSEN PAK SUBAIR TERMIN 5 TAHAP 3"/>
            <x14:filter val="By. Biaya PEMBAYARAN SUBKON KUSEN RUKO 4 UNIT"/>
            <x14:filter val="By. Biaya PEMBAYARAN SUBKON LISTRIK RUKO 6 UNIT"/>
            <x14:filter val="By. Biaya PEMBAYARAN SUBKON PINTU BESI BLOK R11 (TUKANG DG RAJA)"/>
            <x14:filter val="By. Biaya PEMBAYARAN SUBKON ROSETER RIBAS TAHAP 3"/>
            <x14:filter val="By. Biaya PEMBAYARAN SUBKON RUKO BLOK R10"/>
            <x14:filter val="By. Biaya PEMBAYARAN SUBKON RUKO BLOK R9 DG ANSAR"/>
            <x14:filter val="By. Biaya PEMBAYARAN SUBKON RUKO OM NASIR BLOK R 15"/>
            <x14:filter val="By. Biaya PEMBAYARAN SUBKON RUKO R1 SN3"/>
            <x14:filter val="By. Biaya PEMBAYARAN SUBKON TUKANG DANDI TAHAP 3"/>
            <x14:filter val="By. Biaya PEMBAYARAN SUBKON TUKANG TAHAP 4"/>
            <x14:filter val="By. Biaya PEMBAYARAN TERMIN 1 SUBKON TUKANG DG AGUS TAHAP 4 TOTAL 82,500,000 SISA 67.650.000"/>
            <x14:filter val="By. Biaya PEMBAYARAN TERMIN 2 SUBKON PEKERJA RUMAH DG BASO 9 JT DG ANCA 5JT TAHAP 4 SN3"/>
            <x14:filter val="By. Biaya PEMBAYARAN TERMIN 2 SUBKON TUKANG DG SAPRI TOTAL 33.000.000 SISA 21.900.000 TAHAP 4"/>
            <x14:filter val="By. Biaya PEMBAYARAN TERMIN 4  TAHAP 3SUBKON RUMAH DAHLAN 82,500,000 SISA 49,000,000 T"/>
            <x14:filter val="By. Biaya PEMBAYARAN TERMIN 6 SUBKON KUSEN SN3"/>
            <x14:filter val="By. Biaya PEMBAYARAN TERMIN 6 SUBKON PEKERJA RUMAH DG RAJA TAHAP 3 TOTAL 82,500,000 SISA 66.000.0000"/>
            <x14:filter val="By. Biaya PEMBAYARAN TERMIN 7 SUBKON TUKANG RAJA TOTAL 82,500,000 SISA 70,000,000 TAHAP 3"/>
            <x14:filter val="By. Biaya PEMBAYRAN SUBKON RUKO PEMASANGAN LISTRIK SN3"/>
            <x14:filter val="By. Biaya SPEMBAYARAN SUBKON DG MUNASSAR R9 RUKO"/>
            <x14:filter val="By. Biaya SUBKON 5 UNIT D1,D2,D3,D4,D5 TAHAP 3"/>
            <x14:filter val="By. Biaya SUBKON KE 3 RUKO DG BASO BLOK R1"/>
            <x14:filter val="By. Biaya SUBKON LISTRIK DG LABBANG TAHAP 3"/>
            <x14:filter val="By. Biaya SUBKON OM LABBANG LISTRIK 550K X 5 UNIT TAHAP 3"/>
            <x14:filter val="By. Biaya SUBKON PONDASI RUKO 7 UNIT X 2 JT"/>
            <x14:filter val="By. Biaya SUBKON RUKO OM NASIR SN3"/>
            <x14:filter val="By. Biaya SUBKON RUMAH TAHAP 3"/>
            <x14:filter val="By. Biaya SUBKON SN3 TERMIN 4 PELUNASAN ZUL 13,3 JT PELUNASAN AKBAR 10 JT NUDING 15 JT IWANG 10 JT"/>
            <x14:filter val="By. Biaya SUBKON TAHAP 4 19,8 JT DAN TAHAP 3 35 JT SN3"/>
            <x14:filter val="By. Biaya SUBKON TUKANG BASO/FAHRI TERMIN 1 TOTAL 49,500,000 SISA 39,5000,000"/>
            <x14:filter val="By. Biaya TAMBAHAN PEMBAYARAN RETENSI SUBKON TAHAP 2"/>
            <x14:filter val="By. Biaya TERMIN 1 30 X 16,5 JT SUBKON SN3 TAHAP 3"/>
            <x14:filter val="Terima Uang Masuk atas REIMBERS DP PEMBELIAN TANAH 3 LOKASI MANGARABE 95 JT TGL 5/3/2026 (TOTAL 53.5JT DIGUNAKAN UNTUK PEMBAYARAN PENGEMBALIAN DP YANG BATAL 5 JT BLOK E22 RAHMI TAHAP 3 DAN PEMBAYARAN SUBKON 48,5 JT  (DG DANDI 24.650.000, DG AHMAD 9 JT, DG ZUL 14.850.000))"/>
            <x14:filter val="Terima Uang Masuk atas REIMBURS KELEBIHAN TF SUBKON TAHAP 3 TERMIN 1 TGL 2/2/2026"/>
          </mc:Choice>
          <mc:Fallback>
            <filter val="By. Biaya DP SUBKON DG IWANG, UNTUK UMROH"/>
            <filter val="By. Biaya DP SUBKON DG RAJA, UNTUK UMROH"/>
            <filter val="By. Biaya GAJI SUBKON TUKANG POS"/>
            <filter val="By. Biaya PELUNASAN SUBKON KUSEN TAHAP 3"/>
            <filter val="By. Biaya PELUNASAN SUBKON RUKO DG ANCA BLOK R10"/>
            <filter val="By. Biaya PEMBAYARAN FASUM DP SUBKON SELOKAN 5 UNIT TAHAP 4"/>
            <filter val="By. Biaya PEMBAYARAN KE 1 SUBKON KUSEN PAK SUBAIR TAHAP 3"/>
            <filter val="By. Biaya PEMBAYARAN KE 2 SUBKON DG ANSAR"/>
            <filter val="By. Biaya PEMBAYARAN KE 2 SUBKON KUSEN PAK SUBAIR TAHAP 3"/>
            <filter val="By. Biaya PEMBAYARAN KE 2 SUBKON RUKO DG BASO TOTAL 25 JT TERSISA 13 JT"/>
            <filter val="By. Biaya PEMBAYARAN KE 3 SUBKON KUSEN PAK SUBAIR TAHAP 3"/>
            <filter val="By. Biaya PEMBAYARAN KE 3 SUBKON PAK AKBAR TAHAP 3"/>
            <filter val="By. Biaya PEMBAYARAN KE 3 SUBKON RUKO BLOK R1 DG BASO TOTAL 25 JT SISA 8 JT"/>
            <filter val="By. Biaya PEMBAYARAN KE 5 SUBKON KUSEN PAK SUBAIR"/>
            <filter val="By. Biaya PEMBAYARAN RETENSI SUBKON TAHAP 2"/>
            <filter val="By. Biaya PEMBAYARAN SUBKON 5 UNIT DG RA'JA SN3 YANG KE 2 TAHAP 3"/>
            <filter val="By. Biaya PEMBAYARAN SUBKON DG ANCA PELUNASAN 18 JT DG RA'JA KE 3 6,5 JT DG NASO PELUNASAN 8 JT (SUBKON TAHAP 3)"/>
            <filter val="By. Biaya PEMBAYARAN SUBKON DG BASO RUKO BLOK R1 SN3"/>
            <filter val="By. Biaya PEMBAYARAN SUBKON DG BASO RUKO SN3"/>
            <filter val="By. Biaya PEMBAYARAN SUBKON GORONG-GORONG TAHAP 3"/>
            <filter val="By. Biaya PEMBAYARAN SUBKON KE 1 DAHLAN &amp; AKBAR 7 UNIT 2,5 JT/UNIT TAHAP 3"/>
            <filter val="By. Biaya PEMBAYARAN SUBKON KE 4 DG AHMAD 1 UNIT 9 JT TAHAP 3"/>
            <filter val="By. Biaya PEMBAYARAN SUBKON KE 5 DG RAJA TAHAP 3"/>
            <filter val="By. Biaya PEMBAYARAN SUBKON KE 5 KUSEN PAK SUBAIR TAHAP 3"/>
            <filter val="By. Biaya PEMBAYARAN SUBKON KUSEN KE 4 OLEH PAK SUBAIR TAHAP 3"/>
            <filter val="By. Biaya PEMBAYARAN SUBKON KUSEN PAK SUBAIR KE 3 TAHAP 3"/>
            <filter val="By. Biaya PEMBAYARAN SUBKON KUSEN PAK SUBAIR TAHAP 3"/>
            <filter val="By. Biaya PEMBAYARAN SUBKON KUSEN PAK SUBAIR TERMIN 5 TAHAP 3"/>
            <filter val="By. Biaya PEMBAYARAN SUBKON KUSEN RUKO 4 UNIT"/>
            <filter val="By. Biaya PEMBAYARAN SUBKON LISTRIK RUKO 6 UNIT"/>
            <filter val="By. Biaya PEMBAYARAN SUBKON PINTU BESI BLOK R11 (TUKANG DG RAJA)"/>
            <filter val="By. Biaya PEMBAYARAN SUBKON ROSETER RIBAS TAHAP 3"/>
            <filter val="By. Biaya PEMBAYARAN SUBKON RUKO BLOK R10"/>
            <filter val="By. Biaya PEMBAYARAN SUBKON RUKO BLOK R9 DG ANSAR"/>
            <filter val="By. Biaya PEMBAYARAN SUBKON RUKO OM NASIR BLOK R 15"/>
            <filter val="By. Biaya PEMBAYARAN SUBKON RUKO R1 SN3"/>
            <filter val="By. Biaya PEMBAYARAN SUBKON TUKANG DANDI TAHAP 3"/>
            <filter val="By. Biaya PEMBAYARAN SUBKON TUKANG TAHAP 4"/>
            <filter val="By. Biaya PEMBAYARAN TERMIN 1 SUBKON TUKANG DG AGUS TAHAP 4 TOTAL 82,500,000 SISA 67.650.000"/>
            <filter val="By. Biaya PEMBAYARAN TERMIN 2 SUBKON PEKERJA RUMAH DG BASO 9 JT DG ANCA 5JT TAHAP 4 SN3"/>
            <filter val="By. Biaya PEMBAYARAN TERMIN 2 SUBKON TUKANG DG SAPRI TOTAL 33.000.000 SISA 21.900.000 TAHAP 4"/>
            <filter val="By. Biaya PEMBAYARAN TERMIN 4  TAHAP 3SUBKON RUMAH DAHLAN 82,500,000 SISA 49,000,000 T"/>
            <filter val="By. Biaya PEMBAYARAN TERMIN 6 SUBKON KUSEN SN3"/>
            <filter val="By. Biaya PEMBAYARAN TERMIN 6 SUBKON PEKERJA RUMAH DG RAJA TAHAP 3 TOTAL 82,500,000 SISA 66.000.0000"/>
            <filter val="By. Biaya PEMBAYARAN TERMIN 7 SUBKON TUKANG RAJA TOTAL 82,500,000 SISA 70,000,000 TAHAP 3"/>
            <filter val="By. Biaya PEMBAYRAN SUBKON RUKO PEMASANGAN LISTRIK SN3"/>
            <filter val="By. Biaya SPEMBAYARAN SUBKON DG MUNASSAR R9 RUKO"/>
            <filter val="By. Biaya SUBKON 5 UNIT D1,D2,D3,D4,D5 TAHAP 3"/>
            <filter val="By. Biaya SUBKON KE 3 RUKO DG BASO BLOK R1"/>
            <filter val="By. Biaya SUBKON LISTRIK DG LABBANG TAHAP 3"/>
            <filter val="By. Biaya SUBKON OM LABBANG LISTRIK 550K X 5 UNIT TAHAP 3"/>
            <filter val="By. Biaya SUBKON PONDASI RUKO 7 UNIT X 2 JT"/>
            <filter val="By. Biaya SUBKON RUKO OM NASIR SN3"/>
            <filter val="By. Biaya SUBKON RUMAH TAHAP 3"/>
            <filter val="By. Biaya SUBKON SN3 TERMIN 4 PELUNASAN ZUL 13,3 JT PELUNASAN AKBAR 10 JT NUDING 15 JT IWANG 10 JT"/>
            <filter val="By. Biaya SUBKON TAHAP 4 19,8 JT DAN TAHAP 3 35 JT SN3"/>
            <filter val="By. Biaya SUBKON TUKANG BASO/FAHRI TERMIN 1 TOTAL 49,500,000 SISA 39,5000,000"/>
            <filter val="By. Biaya TAMBAHAN PEMBAYARAN RETENSI SUBKON TAHAP 2"/>
            <filter val="By. Biaya TERMIN 1 30 X 16,5 JT SUBKON SN3 TAHAP 3"/>
            <filter val="Terima Uang Masuk atas REIMBURS KELEBIHAN TF SUBKON TAHAP 3 TERMIN 1 TGL 2/2/2026"/>
          </mc:Fallback>
        </mc:AlternateContent>
      </filters>
    </filterColumn>
  </autoFilter>
  <mergeCells count="5">
    <mergeCell ref="F2:H2"/>
    <mergeCell ref="I2:K2"/>
    <mergeCell ref="B2:B3"/>
    <mergeCell ref="C2:C3"/>
    <mergeCell ref="D2:D3"/>
  </mergeCells>
  <dataValidations count="1">
    <dataValidation type="custom" allowBlank="1" showDropDown="1" sqref="H506:H508 H489 H602 H585:H586 H588 H597 H485 H467 H610 H502 H497:H498 H522:H524" xr:uid="{00000000-0002-0000-0200-000000000000}">
      <formula1>AND(ISNUMBER(H467),(NOT(OR(NOT(ISERROR(DATEVALUE(H467))),AND(ISNUMBER(H467),LEFT(CELL("format",H467))="D")))))</formula1>
    </dataValidation>
  </dataValidations>
  <pageMargins left="0.7" right="0.7" top="0.75" bottom="0.75" header="0.3" footer="0.3"/>
  <pageSetup paperSize="9" scale="57"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COA!$B$4:$B$123</xm:f>
          </x14:formula1>
          <xm:sqref>J1920:J2121 G2619:G2850 G1718:G1722 G1880:G1918 J2135:J2158 G2512:G2537 G2123:G2133 J2325:J2504 G1724:G1870 J1872:J1911 G1872:G1878 J2506:J2850 G1920:G2121 G1698:G1716 G2852:G3002 G2539:G2617 G2325:G2497 G2506:G2510 J2852:J3002 G2141:G2158 J1913:J1918 J2160:J2283 G2499:G2504 J2319:J2323 G1486:G1696 G2135:G2139 J2291:J2317 G2160:G2283 J2285:J2289 G3004:G3059 J2123:J2133 G2285:G2323 J3004:J3059 J1163:J1309 J1312:J1339 J1341:J1346 J5:J1161 G5:G765 J1451:J1870 G767:G1484 J1349:J1449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D498-4FC3-44F3-A6FC-8DBDF0AB18FB}">
  <dimension ref="B1:BD104"/>
  <sheetViews>
    <sheetView showGridLines="0" tabSelected="1" zoomScale="83" zoomScaleNormal="115" workbookViewId="0">
      <selection activeCell="AZ10" sqref="AZ10"/>
    </sheetView>
  </sheetViews>
  <sheetFormatPr defaultRowHeight="14.5"/>
  <cols>
    <col min="1" max="1" width="1.54296875" customWidth="1"/>
    <col min="2" max="2" width="12" style="240" customWidth="1"/>
    <col min="3" max="3" width="0" style="211" hidden="1" customWidth="1"/>
    <col min="4" max="4" width="56.90625" bestFit="1" customWidth="1"/>
    <col min="5" max="5" width="0" style="242" hidden="1" customWidth="1"/>
    <col min="6" max="6" width="12.1796875" bestFit="1" customWidth="1"/>
    <col min="7" max="8" width="16.26953125" bestFit="1" customWidth="1"/>
    <col min="9" max="9" width="2.7265625" customWidth="1"/>
    <col min="10" max="10" width="12" style="240" customWidth="1"/>
    <col min="11" max="11" width="0" style="211" hidden="1" customWidth="1"/>
    <col min="12" max="12" width="56.90625" bestFit="1" customWidth="1"/>
    <col min="13" max="13" width="0" style="242" hidden="1" customWidth="1"/>
    <col min="14" max="14" width="12.1796875" bestFit="1" customWidth="1"/>
    <col min="15" max="16" width="16.26953125" bestFit="1" customWidth="1"/>
    <col min="17" max="17" width="2.7265625" customWidth="1"/>
    <col min="18" max="18" width="12" style="240" customWidth="1"/>
    <col min="19" max="19" width="0" style="211" hidden="1" customWidth="1"/>
    <col min="20" max="20" width="56.90625" bestFit="1" customWidth="1"/>
    <col min="21" max="21" width="0" style="242" hidden="1" customWidth="1"/>
    <col min="22" max="22" width="12.1796875" bestFit="1" customWidth="1"/>
    <col min="23" max="24" width="16.26953125" bestFit="1" customWidth="1"/>
    <col min="25" max="25" width="2.7265625" customWidth="1"/>
    <col min="26" max="26" width="12" style="240" customWidth="1"/>
    <col min="27" max="27" width="0" style="211" hidden="1" customWidth="1"/>
    <col min="28" max="28" width="56.90625" bestFit="1" customWidth="1"/>
    <col min="29" max="29" width="0" style="242" hidden="1" customWidth="1"/>
    <col min="30" max="30" width="12.1796875" bestFit="1" customWidth="1"/>
    <col min="31" max="32" width="16.26953125" bestFit="1" customWidth="1"/>
    <col min="33" max="33" width="2.7265625" customWidth="1"/>
    <col min="34" max="34" width="12" style="240" customWidth="1"/>
    <col min="35" max="35" width="0" style="211" hidden="1" customWidth="1"/>
    <col min="36" max="36" width="56.90625" bestFit="1" customWidth="1"/>
    <col min="37" max="37" width="0" style="242" hidden="1" customWidth="1"/>
    <col min="38" max="38" width="12.1796875" bestFit="1" customWidth="1"/>
    <col min="39" max="40" width="16.26953125" bestFit="1" customWidth="1"/>
    <col min="41" max="41" width="2.7265625" customWidth="1"/>
    <col min="42" max="42" width="12" style="240" customWidth="1"/>
    <col min="43" max="43" width="0" style="211" hidden="1" customWidth="1"/>
    <col min="44" max="44" width="56.90625" bestFit="1" customWidth="1"/>
    <col min="45" max="45" width="0" style="242" hidden="1" customWidth="1"/>
    <col min="46" max="46" width="12.1796875" bestFit="1" customWidth="1"/>
    <col min="47" max="48" width="16.26953125" bestFit="1" customWidth="1"/>
    <col min="49" max="49" width="2.7265625" customWidth="1"/>
    <col min="50" max="50" width="12" style="240" customWidth="1"/>
    <col min="51" max="51" width="0" style="211" hidden="1" customWidth="1"/>
    <col min="52" max="52" width="56.90625" bestFit="1" customWidth="1"/>
    <col min="53" max="53" width="0" style="242" hidden="1" customWidth="1"/>
    <col min="54" max="54" width="12.1796875" bestFit="1" customWidth="1"/>
    <col min="55" max="56" width="16.26953125" bestFit="1" customWidth="1"/>
  </cols>
  <sheetData>
    <row r="1" spans="2:56">
      <c r="B1" s="297" t="s">
        <v>544</v>
      </c>
      <c r="C1" s="297"/>
      <c r="D1" s="297"/>
      <c r="E1" s="297"/>
      <c r="F1" s="297"/>
      <c r="G1" s="297"/>
      <c r="H1" s="297"/>
      <c r="J1" s="297" t="s">
        <v>2357</v>
      </c>
      <c r="K1" s="297"/>
      <c r="L1" s="297"/>
      <c r="M1" s="297"/>
      <c r="N1" s="297"/>
      <c r="O1" s="297"/>
      <c r="P1" s="297"/>
      <c r="R1" s="297" t="s">
        <v>2354</v>
      </c>
      <c r="S1" s="297"/>
      <c r="T1" s="297"/>
      <c r="U1" s="297"/>
      <c r="V1" s="297"/>
      <c r="W1" s="297"/>
      <c r="X1" s="297"/>
      <c r="Z1" s="297" t="s">
        <v>2349</v>
      </c>
      <c r="AA1" s="297"/>
      <c r="AB1" s="297"/>
      <c r="AC1" s="297"/>
      <c r="AD1" s="297"/>
      <c r="AE1" s="297"/>
      <c r="AF1" s="297"/>
      <c r="AH1" s="297" t="s">
        <v>2350</v>
      </c>
      <c r="AI1" s="297"/>
      <c r="AJ1" s="297"/>
      <c r="AK1" s="297"/>
      <c r="AL1" s="297"/>
      <c r="AM1" s="297"/>
      <c r="AN1" s="297"/>
      <c r="AP1" s="297" t="s">
        <v>2351</v>
      </c>
      <c r="AQ1" s="297"/>
      <c r="AR1" s="297"/>
      <c r="AS1" s="297"/>
      <c r="AT1" s="297"/>
      <c r="AU1" s="297"/>
      <c r="AV1" s="297"/>
      <c r="AX1" s="297" t="s">
        <v>549</v>
      </c>
      <c r="AY1" s="297"/>
      <c r="AZ1" s="297"/>
      <c r="BA1" s="297"/>
      <c r="BB1" s="297"/>
      <c r="BC1" s="297"/>
      <c r="BD1" s="297"/>
    </row>
    <row r="2" spans="2:56">
      <c r="O2" s="237">
        <f>O5/Forecasting!G6</f>
        <v>34.742805004689082</v>
      </c>
    </row>
    <row r="3" spans="2:56">
      <c r="B3" s="239" t="s">
        <v>116</v>
      </c>
      <c r="C3" s="238" t="s">
        <v>117</v>
      </c>
      <c r="D3" s="35" t="s">
        <v>112</v>
      </c>
      <c r="E3" s="66" t="s">
        <v>124</v>
      </c>
      <c r="F3" s="67" t="s">
        <v>114</v>
      </c>
      <c r="G3" s="67" t="s">
        <v>115</v>
      </c>
      <c r="H3" s="67" t="s">
        <v>125</v>
      </c>
      <c r="J3" s="239" t="s">
        <v>116</v>
      </c>
      <c r="K3" s="238" t="s">
        <v>117</v>
      </c>
      <c r="L3" s="35" t="s">
        <v>112</v>
      </c>
      <c r="M3" s="66" t="s">
        <v>124</v>
      </c>
      <c r="N3" s="67" t="s">
        <v>114</v>
      </c>
      <c r="O3" s="67" t="s">
        <v>115</v>
      </c>
      <c r="P3" s="67" t="s">
        <v>125</v>
      </c>
      <c r="R3" s="239" t="s">
        <v>116</v>
      </c>
      <c r="S3" s="238" t="s">
        <v>117</v>
      </c>
      <c r="T3" s="35" t="s">
        <v>112</v>
      </c>
      <c r="U3" s="66" t="s">
        <v>124</v>
      </c>
      <c r="V3" s="67" t="s">
        <v>114</v>
      </c>
      <c r="W3" s="67" t="s">
        <v>115</v>
      </c>
      <c r="X3" s="67" t="s">
        <v>125</v>
      </c>
      <c r="Z3" s="239" t="s">
        <v>116</v>
      </c>
      <c r="AA3" s="238" t="s">
        <v>117</v>
      </c>
      <c r="AB3" s="35" t="s">
        <v>112</v>
      </c>
      <c r="AC3" s="66" t="s">
        <v>124</v>
      </c>
      <c r="AD3" s="67" t="s">
        <v>114</v>
      </c>
      <c r="AE3" s="67" t="s">
        <v>115</v>
      </c>
      <c r="AF3" s="67" t="s">
        <v>125</v>
      </c>
      <c r="AH3" s="239" t="s">
        <v>116</v>
      </c>
      <c r="AI3" s="238" t="s">
        <v>117</v>
      </c>
      <c r="AJ3" s="35" t="s">
        <v>112</v>
      </c>
      <c r="AK3" s="66" t="s">
        <v>124</v>
      </c>
      <c r="AL3" s="67" t="s">
        <v>114</v>
      </c>
      <c r="AM3" s="67" t="s">
        <v>115</v>
      </c>
      <c r="AN3" s="67" t="s">
        <v>125</v>
      </c>
      <c r="AP3" s="239" t="s">
        <v>116</v>
      </c>
      <c r="AQ3" s="238" t="s">
        <v>117</v>
      </c>
      <c r="AR3" s="35" t="s">
        <v>112</v>
      </c>
      <c r="AS3" s="66" t="s">
        <v>124</v>
      </c>
      <c r="AT3" s="67" t="s">
        <v>114</v>
      </c>
      <c r="AU3" s="67" t="s">
        <v>115</v>
      </c>
      <c r="AV3" s="67" t="s">
        <v>125</v>
      </c>
      <c r="AX3" s="239" t="s">
        <v>116</v>
      </c>
      <c r="AY3" s="238" t="s">
        <v>117</v>
      </c>
      <c r="AZ3" s="35" t="s">
        <v>112</v>
      </c>
      <c r="BA3" s="66" t="s">
        <v>124</v>
      </c>
      <c r="BB3" s="67" t="s">
        <v>114</v>
      </c>
      <c r="BC3" s="67" t="s">
        <v>115</v>
      </c>
      <c r="BD3" s="67" t="s">
        <v>125</v>
      </c>
    </row>
    <row r="4" spans="2:56" s="248" customFormat="1" ht="6" customHeight="1">
      <c r="B4" s="250"/>
      <c r="C4" s="251"/>
      <c r="E4" s="252"/>
      <c r="F4" s="247"/>
      <c r="G4" s="247"/>
      <c r="H4" s="247"/>
      <c r="J4" s="250"/>
      <c r="K4" s="251"/>
      <c r="M4" s="252"/>
      <c r="N4" s="247"/>
      <c r="O4" s="247"/>
      <c r="P4" s="247"/>
      <c r="R4" s="250"/>
      <c r="S4" s="251"/>
      <c r="U4" s="252"/>
      <c r="V4" s="247"/>
      <c r="W4" s="247"/>
      <c r="X4" s="247"/>
      <c r="Z4" s="250"/>
      <c r="AA4" s="251"/>
      <c r="AC4" s="252"/>
      <c r="AD4" s="247"/>
      <c r="AE4" s="247"/>
      <c r="AF4" s="247"/>
      <c r="AH4" s="250"/>
      <c r="AI4" s="251"/>
      <c r="AK4" s="252"/>
      <c r="AL4" s="247"/>
      <c r="AM4" s="247"/>
      <c r="AN4" s="247"/>
      <c r="AP4" s="250"/>
      <c r="AQ4" s="251"/>
      <c r="AS4" s="252"/>
      <c r="AT4" s="247"/>
      <c r="AU4" s="247"/>
      <c r="AV4" s="247"/>
      <c r="AX4" s="250"/>
      <c r="AY4" s="251"/>
      <c r="BA4" s="252"/>
      <c r="BB4" s="247"/>
      <c r="BC4" s="247"/>
      <c r="BD4" s="247"/>
    </row>
    <row r="5" spans="2:56">
      <c r="B5" s="214">
        <v>46073</v>
      </c>
      <c r="C5" s="211" t="s">
        <v>325</v>
      </c>
      <c r="D5" t="s">
        <v>354</v>
      </c>
      <c r="E5" s="242">
        <v>0</v>
      </c>
      <c r="F5" s="216">
        <v>0</v>
      </c>
      <c r="G5" s="216">
        <v>1350000000</v>
      </c>
      <c r="H5" s="216">
        <f>G5-F5</f>
        <v>1350000000</v>
      </c>
      <c r="J5" s="214">
        <v>46136</v>
      </c>
      <c r="K5" s="211" t="s">
        <v>465</v>
      </c>
      <c r="L5" t="s">
        <v>545</v>
      </c>
      <c r="M5" s="242">
        <v>0</v>
      </c>
      <c r="N5" s="216">
        <v>0</v>
      </c>
      <c r="O5" s="216">
        <v>435000000</v>
      </c>
      <c r="P5" s="216">
        <f>O5-N5</f>
        <v>435000000</v>
      </c>
      <c r="R5" s="214">
        <v>46132</v>
      </c>
      <c r="S5" s="211" t="s">
        <v>453</v>
      </c>
      <c r="T5" t="s">
        <v>550</v>
      </c>
      <c r="U5" s="242">
        <v>0</v>
      </c>
      <c r="V5" s="216">
        <v>0</v>
      </c>
      <c r="W5" s="216">
        <v>300000000</v>
      </c>
      <c r="X5" s="216">
        <f>W5-V5</f>
        <v>300000000</v>
      </c>
      <c r="Z5" s="214"/>
      <c r="AB5" t="s">
        <v>2361</v>
      </c>
      <c r="AD5" s="216"/>
      <c r="AE5" s="216">
        <v>326787224</v>
      </c>
      <c r="AF5" s="216">
        <f>AE5-AD5</f>
        <v>326787224</v>
      </c>
      <c r="AH5" s="214">
        <v>46137</v>
      </c>
      <c r="AI5" s="211" t="s">
        <v>453</v>
      </c>
      <c r="AJ5" t="s">
        <v>2363</v>
      </c>
      <c r="AK5" s="242">
        <v>0</v>
      </c>
      <c r="AL5" s="216">
        <v>0</v>
      </c>
      <c r="AM5" s="216">
        <v>165600000</v>
      </c>
      <c r="AN5" s="216">
        <f>AM5-AL5</f>
        <v>165600000</v>
      </c>
      <c r="AP5" s="214"/>
      <c r="AT5" s="216"/>
      <c r="AU5" s="216"/>
      <c r="AV5" s="216">
        <f>AU5-AT5</f>
        <v>0</v>
      </c>
      <c r="AX5" s="214">
        <v>46132</v>
      </c>
      <c r="AY5" s="211" t="s">
        <v>453</v>
      </c>
      <c r="AZ5" t="s">
        <v>550</v>
      </c>
      <c r="BA5" s="242">
        <v>0</v>
      </c>
      <c r="BB5" s="216">
        <v>0</v>
      </c>
      <c r="BC5" s="216">
        <v>300000000</v>
      </c>
      <c r="BD5" s="216">
        <f>BC5-BB5</f>
        <v>300000000</v>
      </c>
    </row>
    <row r="6" spans="2:56" s="248" customFormat="1">
      <c r="B6" s="253">
        <v>46094</v>
      </c>
      <c r="C6" s="251" t="s">
        <v>1220</v>
      </c>
      <c r="D6" s="248" t="s">
        <v>1449</v>
      </c>
      <c r="E6" s="252">
        <v>0</v>
      </c>
      <c r="F6" s="247">
        <v>70000000</v>
      </c>
      <c r="G6" s="247"/>
      <c r="H6" s="247">
        <f>H5+G6-F6</f>
        <v>1280000000</v>
      </c>
      <c r="J6" s="253"/>
      <c r="K6" s="251"/>
      <c r="L6" s="248" t="s">
        <v>2356</v>
      </c>
      <c r="M6" s="252"/>
      <c r="O6" s="247">
        <v>62500000</v>
      </c>
      <c r="P6" s="247">
        <f>P5-N6+O6</f>
        <v>497500000</v>
      </c>
      <c r="R6" s="253">
        <v>46133</v>
      </c>
      <c r="S6" s="251" t="s">
        <v>457</v>
      </c>
      <c r="T6" s="248" t="s">
        <v>551</v>
      </c>
      <c r="U6" s="252">
        <v>0</v>
      </c>
      <c r="V6" s="247">
        <v>0</v>
      </c>
      <c r="W6" s="247">
        <v>50000000</v>
      </c>
      <c r="X6" s="247">
        <f>X5+W6-V6</f>
        <v>350000000</v>
      </c>
      <c r="Z6" s="253">
        <v>46123</v>
      </c>
      <c r="AA6" s="251"/>
      <c r="AB6" s="248" t="s">
        <v>2365</v>
      </c>
      <c r="AC6" s="252"/>
      <c r="AD6" s="247">
        <v>22066400</v>
      </c>
      <c r="AE6" s="247"/>
      <c r="AF6" s="247">
        <f>AF5+AE6-AD6</f>
        <v>304720824</v>
      </c>
      <c r="AH6" s="253">
        <v>46137</v>
      </c>
      <c r="AI6" s="251" t="s">
        <v>457</v>
      </c>
      <c r="AJ6" s="248" t="s">
        <v>1796</v>
      </c>
      <c r="AK6" s="252">
        <v>0</v>
      </c>
      <c r="AL6" s="247">
        <v>4600000</v>
      </c>
      <c r="AM6" s="247"/>
      <c r="AN6" s="247">
        <f>AN5+AM6-AL6</f>
        <v>161000000</v>
      </c>
      <c r="AP6" s="253"/>
      <c r="AQ6" s="251"/>
      <c r="AS6" s="252"/>
      <c r="AT6" s="247"/>
      <c r="AU6" s="247"/>
      <c r="AV6" s="247">
        <f>AV5+AU6-AT6</f>
        <v>0</v>
      </c>
      <c r="AX6" s="253">
        <v>46133</v>
      </c>
      <c r="AY6" s="251" t="s">
        <v>457</v>
      </c>
      <c r="AZ6" s="248" t="s">
        <v>551</v>
      </c>
      <c r="BA6" s="252">
        <v>0</v>
      </c>
      <c r="BB6" s="247">
        <v>0</v>
      </c>
      <c r="BC6" s="247">
        <v>50000000</v>
      </c>
      <c r="BD6" s="247">
        <f>BD5+BC6-BB6</f>
        <v>350000000</v>
      </c>
    </row>
    <row r="7" spans="2:56">
      <c r="B7" s="214">
        <v>46100</v>
      </c>
      <c r="C7" s="211">
        <v>0</v>
      </c>
      <c r="D7" t="s">
        <v>416</v>
      </c>
      <c r="E7" s="242">
        <v>0</v>
      </c>
      <c r="F7" s="216">
        <v>0</v>
      </c>
      <c r="G7" s="216">
        <v>1350000000</v>
      </c>
      <c r="H7" s="216">
        <f t="shared" ref="H7:H22" si="0">H6+G7-F7</f>
        <v>2630000000</v>
      </c>
      <c r="J7" s="214"/>
      <c r="L7" t="s">
        <v>2356</v>
      </c>
      <c r="O7" s="216">
        <v>3500000</v>
      </c>
      <c r="P7" s="216">
        <f t="shared" ref="P7:P16" si="1">P6-N7+O7</f>
        <v>501000000</v>
      </c>
      <c r="R7" s="214">
        <v>46136</v>
      </c>
      <c r="S7" s="211" t="s">
        <v>468</v>
      </c>
      <c r="T7" t="s">
        <v>552</v>
      </c>
      <c r="U7" s="242">
        <v>0</v>
      </c>
      <c r="V7" s="216">
        <v>50000000</v>
      </c>
      <c r="W7" s="216">
        <v>0</v>
      </c>
      <c r="X7" s="216">
        <f t="shared" ref="X7:X14" si="2">X6+W7-V7</f>
        <v>300000000</v>
      </c>
      <c r="Z7" s="214">
        <v>46152</v>
      </c>
      <c r="AB7" t="s">
        <v>2366</v>
      </c>
      <c r="AD7" s="216">
        <v>20000000</v>
      </c>
      <c r="AE7" s="216"/>
      <c r="AF7" s="216">
        <f t="shared" ref="AF7:AF14" si="3">AF6+AE7-AD7</f>
        <v>284720824</v>
      </c>
      <c r="AH7" s="214"/>
      <c r="AL7" s="216"/>
      <c r="AM7" s="216">
        <v>0</v>
      </c>
      <c r="AN7" s="216">
        <f t="shared" ref="AN7:AN14" si="4">AN6+AM7-AL7</f>
        <v>161000000</v>
      </c>
      <c r="AP7" s="214"/>
      <c r="AT7" s="216"/>
      <c r="AU7" s="216"/>
      <c r="AV7" s="216">
        <f t="shared" ref="AV7:AV14" si="5">AV6+AU7-AT7</f>
        <v>0</v>
      </c>
      <c r="AX7" s="214">
        <v>46136</v>
      </c>
      <c r="AY7" s="211" t="s">
        <v>468</v>
      </c>
      <c r="AZ7" t="s">
        <v>552</v>
      </c>
      <c r="BA7" s="242">
        <v>0</v>
      </c>
      <c r="BB7" s="216">
        <v>50000000</v>
      </c>
      <c r="BC7" s="216">
        <v>0</v>
      </c>
      <c r="BD7" s="216">
        <f t="shared" ref="BD7:BD14" si="6">BD6+BC7-BB7</f>
        <v>300000000</v>
      </c>
    </row>
    <row r="8" spans="2:56" s="248" customFormat="1">
      <c r="B8" s="253">
        <v>46107</v>
      </c>
      <c r="C8" s="251">
        <v>0</v>
      </c>
      <c r="D8" s="248" t="s">
        <v>402</v>
      </c>
      <c r="E8" s="252">
        <v>0</v>
      </c>
      <c r="F8" s="247">
        <v>70000000</v>
      </c>
      <c r="G8" s="247">
        <v>0</v>
      </c>
      <c r="H8" s="247">
        <f t="shared" si="0"/>
        <v>2560000000</v>
      </c>
      <c r="J8" s="253"/>
      <c r="K8" s="251"/>
      <c r="L8" s="248" t="s">
        <v>2356</v>
      </c>
      <c r="M8" s="252"/>
      <c r="O8" s="247">
        <v>7500000</v>
      </c>
      <c r="P8" s="247">
        <f t="shared" si="1"/>
        <v>508500000</v>
      </c>
      <c r="R8" s="253">
        <v>46138</v>
      </c>
      <c r="S8" s="251" t="s">
        <v>476</v>
      </c>
      <c r="T8" s="248" t="s">
        <v>553</v>
      </c>
      <c r="U8" s="252">
        <v>0</v>
      </c>
      <c r="V8" s="247">
        <v>1000000</v>
      </c>
      <c r="W8" s="247">
        <v>0</v>
      </c>
      <c r="X8" s="247">
        <f t="shared" si="2"/>
        <v>299000000</v>
      </c>
      <c r="Z8" s="253"/>
      <c r="AA8" s="251"/>
      <c r="AC8" s="252"/>
      <c r="AD8" s="247"/>
      <c r="AE8" s="247"/>
      <c r="AF8" s="247">
        <f t="shared" si="3"/>
        <v>284720824</v>
      </c>
      <c r="AH8" s="253"/>
      <c r="AI8" s="251"/>
      <c r="AK8" s="252"/>
      <c r="AL8" s="247"/>
      <c r="AM8" s="247">
        <v>0</v>
      </c>
      <c r="AN8" s="247">
        <f t="shared" si="4"/>
        <v>161000000</v>
      </c>
      <c r="AP8" s="253"/>
      <c r="AQ8" s="251"/>
      <c r="AS8" s="252"/>
      <c r="AT8" s="247"/>
      <c r="AU8" s="247"/>
      <c r="AV8" s="247">
        <f t="shared" si="5"/>
        <v>0</v>
      </c>
      <c r="AX8" s="253">
        <v>46138</v>
      </c>
      <c r="AY8" s="251" t="s">
        <v>476</v>
      </c>
      <c r="AZ8" s="248" t="s">
        <v>553</v>
      </c>
      <c r="BA8" s="252">
        <v>0</v>
      </c>
      <c r="BB8" s="247">
        <v>1000000</v>
      </c>
      <c r="BC8" s="247">
        <v>0</v>
      </c>
      <c r="BD8" s="247">
        <f t="shared" si="6"/>
        <v>299000000</v>
      </c>
    </row>
    <row r="9" spans="2:56">
      <c r="B9" s="214">
        <v>46119</v>
      </c>
      <c r="C9" s="211" t="s">
        <v>1483</v>
      </c>
      <c r="D9" t="s">
        <v>2040</v>
      </c>
      <c r="E9" s="242">
        <v>0</v>
      </c>
      <c r="F9" s="216">
        <v>70000000</v>
      </c>
      <c r="G9" s="216">
        <v>0</v>
      </c>
      <c r="H9" s="216">
        <f t="shared" si="0"/>
        <v>2490000000</v>
      </c>
      <c r="J9" s="214"/>
      <c r="L9" t="s">
        <v>2356</v>
      </c>
      <c r="O9" s="216">
        <v>5900000</v>
      </c>
      <c r="P9" s="216">
        <f t="shared" si="1"/>
        <v>514400000</v>
      </c>
      <c r="R9" s="214">
        <v>46139</v>
      </c>
      <c r="S9" s="211" t="s">
        <v>480</v>
      </c>
      <c r="T9" t="s">
        <v>554</v>
      </c>
      <c r="U9" s="242">
        <v>0</v>
      </c>
      <c r="V9" s="216">
        <v>50000000</v>
      </c>
      <c r="W9" s="216">
        <v>0</v>
      </c>
      <c r="X9" s="216">
        <f t="shared" si="2"/>
        <v>249000000</v>
      </c>
      <c r="Z9" s="214"/>
      <c r="AD9" s="216"/>
      <c r="AE9" s="216"/>
      <c r="AF9" s="216">
        <f t="shared" si="3"/>
        <v>284720824</v>
      </c>
      <c r="AH9" s="214"/>
      <c r="AL9" s="216"/>
      <c r="AM9" s="216">
        <v>0</v>
      </c>
      <c r="AN9" s="216">
        <f t="shared" si="4"/>
        <v>161000000</v>
      </c>
      <c r="AP9" s="214"/>
      <c r="AT9" s="216"/>
      <c r="AU9" s="216"/>
      <c r="AV9" s="216">
        <f t="shared" si="5"/>
        <v>0</v>
      </c>
      <c r="AX9" s="214">
        <v>46139</v>
      </c>
      <c r="AY9" s="211" t="s">
        <v>480</v>
      </c>
      <c r="AZ9" t="s">
        <v>554</v>
      </c>
      <c r="BA9" s="242">
        <v>0</v>
      </c>
      <c r="BB9" s="216">
        <v>50000000</v>
      </c>
      <c r="BC9" s="216">
        <v>0</v>
      </c>
      <c r="BD9" s="216">
        <f t="shared" si="6"/>
        <v>249000000</v>
      </c>
    </row>
    <row r="10" spans="2:56" s="248" customFormat="1">
      <c r="B10" s="253">
        <v>46128</v>
      </c>
      <c r="C10" s="251" t="s">
        <v>1515</v>
      </c>
      <c r="D10" s="248" t="s">
        <v>2045</v>
      </c>
      <c r="E10" s="252">
        <v>0</v>
      </c>
      <c r="F10" s="247">
        <v>140000000</v>
      </c>
      <c r="G10" s="247"/>
      <c r="H10" s="247">
        <f t="shared" si="0"/>
        <v>2350000000</v>
      </c>
      <c r="J10" s="253"/>
      <c r="K10" s="251"/>
      <c r="M10" s="252"/>
      <c r="N10" s="247"/>
      <c r="O10" s="247"/>
      <c r="P10" s="247">
        <f t="shared" si="1"/>
        <v>514400000</v>
      </c>
      <c r="R10" s="253"/>
      <c r="S10" s="251"/>
      <c r="U10" s="252"/>
      <c r="V10" s="247"/>
      <c r="W10" s="247"/>
      <c r="X10" s="247">
        <f t="shared" si="2"/>
        <v>249000000</v>
      </c>
      <c r="Z10" s="253"/>
      <c r="AA10" s="251"/>
      <c r="AC10" s="252"/>
      <c r="AD10" s="247"/>
      <c r="AE10" s="247"/>
      <c r="AF10" s="247">
        <f t="shared" si="3"/>
        <v>284720824</v>
      </c>
      <c r="AH10" s="253"/>
      <c r="AI10" s="251"/>
      <c r="AK10" s="252"/>
      <c r="AL10" s="247"/>
      <c r="AM10" s="247"/>
      <c r="AN10" s="247">
        <f t="shared" si="4"/>
        <v>161000000</v>
      </c>
      <c r="AP10" s="253"/>
      <c r="AQ10" s="251"/>
      <c r="AS10" s="252"/>
      <c r="AT10" s="247"/>
      <c r="AU10" s="247"/>
      <c r="AV10" s="247">
        <f t="shared" si="5"/>
        <v>0</v>
      </c>
      <c r="AX10" s="253"/>
      <c r="AY10" s="251"/>
      <c r="BA10" s="252"/>
      <c r="BB10" s="247"/>
      <c r="BC10" s="247"/>
      <c r="BD10" s="247">
        <f t="shared" si="6"/>
        <v>249000000</v>
      </c>
    </row>
    <row r="11" spans="2:56">
      <c r="B11" s="214">
        <v>46133</v>
      </c>
      <c r="C11" s="211" t="s">
        <v>1552</v>
      </c>
      <c r="D11" t="s">
        <v>2052</v>
      </c>
      <c r="E11" s="242">
        <v>0</v>
      </c>
      <c r="F11" s="216">
        <v>70000000</v>
      </c>
      <c r="G11" s="216">
        <v>0</v>
      </c>
      <c r="H11" s="216">
        <f t="shared" si="0"/>
        <v>2280000000</v>
      </c>
      <c r="J11" s="214"/>
      <c r="N11" s="216"/>
      <c r="O11" s="216"/>
      <c r="P11" s="216">
        <f t="shared" si="1"/>
        <v>514400000</v>
      </c>
      <c r="R11" s="214"/>
      <c r="V11" s="216"/>
      <c r="W11" s="216"/>
      <c r="X11" s="216">
        <f t="shared" si="2"/>
        <v>249000000</v>
      </c>
      <c r="Z11" s="214"/>
      <c r="AD11" s="216"/>
      <c r="AE11" s="216"/>
      <c r="AF11" s="216">
        <f t="shared" si="3"/>
        <v>284720824</v>
      </c>
      <c r="AH11" s="214"/>
      <c r="AL11" s="216"/>
      <c r="AM11" s="216"/>
      <c r="AN11" s="216">
        <f t="shared" si="4"/>
        <v>161000000</v>
      </c>
      <c r="AP11" s="214"/>
      <c r="AT11" s="216"/>
      <c r="AU11" s="216"/>
      <c r="AV11" s="216">
        <f t="shared" si="5"/>
        <v>0</v>
      </c>
      <c r="AX11" s="214"/>
      <c r="BB11" s="216"/>
      <c r="BC11" s="216"/>
      <c r="BD11" s="216">
        <f t="shared" si="6"/>
        <v>249000000</v>
      </c>
    </row>
    <row r="12" spans="2:56" s="248" customFormat="1">
      <c r="B12" s="253">
        <v>46140</v>
      </c>
      <c r="C12" s="251" t="s">
        <v>484</v>
      </c>
      <c r="D12" s="248" t="s">
        <v>525</v>
      </c>
      <c r="E12" s="252">
        <v>0</v>
      </c>
      <c r="F12" s="247">
        <v>70000000</v>
      </c>
      <c r="G12" s="247">
        <v>0</v>
      </c>
      <c r="H12" s="247">
        <f t="shared" si="0"/>
        <v>2210000000</v>
      </c>
      <c r="J12" s="253"/>
      <c r="K12" s="251"/>
      <c r="M12" s="252"/>
      <c r="N12" s="247"/>
      <c r="O12" s="247"/>
      <c r="P12" s="247">
        <f t="shared" si="1"/>
        <v>514400000</v>
      </c>
      <c r="R12" s="253"/>
      <c r="S12" s="251"/>
      <c r="U12" s="252"/>
      <c r="V12" s="247"/>
      <c r="W12" s="247"/>
      <c r="X12" s="247">
        <f t="shared" si="2"/>
        <v>249000000</v>
      </c>
      <c r="Z12" s="253"/>
      <c r="AA12" s="251"/>
      <c r="AC12" s="252"/>
      <c r="AD12" s="247"/>
      <c r="AE12" s="247"/>
      <c r="AF12" s="247">
        <f t="shared" si="3"/>
        <v>284720824</v>
      </c>
      <c r="AH12" s="253"/>
      <c r="AI12" s="251"/>
      <c r="AK12" s="252"/>
      <c r="AL12" s="247"/>
      <c r="AM12" s="247"/>
      <c r="AN12" s="247">
        <f t="shared" si="4"/>
        <v>161000000</v>
      </c>
      <c r="AP12" s="253"/>
      <c r="AQ12" s="251"/>
      <c r="AS12" s="252"/>
      <c r="AT12" s="247"/>
      <c r="AU12" s="247"/>
      <c r="AV12" s="247">
        <f t="shared" si="5"/>
        <v>0</v>
      </c>
      <c r="AX12" s="253"/>
      <c r="AY12" s="251"/>
      <c r="BA12" s="252"/>
      <c r="BB12" s="247"/>
      <c r="BC12" s="247"/>
      <c r="BD12" s="247">
        <f t="shared" si="6"/>
        <v>249000000</v>
      </c>
    </row>
    <row r="13" spans="2:56">
      <c r="B13" s="214">
        <v>46140</v>
      </c>
      <c r="C13" s="211" t="s">
        <v>485</v>
      </c>
      <c r="D13" t="s">
        <v>527</v>
      </c>
      <c r="E13" s="242">
        <v>0</v>
      </c>
      <c r="F13" s="216">
        <v>70000000</v>
      </c>
      <c r="G13" s="216">
        <v>0</v>
      </c>
      <c r="H13" s="216">
        <f t="shared" si="0"/>
        <v>2140000000</v>
      </c>
      <c r="J13" s="214"/>
      <c r="N13" s="216"/>
      <c r="O13" s="216"/>
      <c r="P13" s="216">
        <f t="shared" si="1"/>
        <v>514400000</v>
      </c>
      <c r="R13" s="214"/>
      <c r="V13" s="216"/>
      <c r="W13" s="216"/>
      <c r="X13" s="216">
        <f t="shared" si="2"/>
        <v>249000000</v>
      </c>
      <c r="Z13" s="214"/>
      <c r="AD13" s="216"/>
      <c r="AE13" s="216"/>
      <c r="AF13" s="216">
        <f t="shared" si="3"/>
        <v>284720824</v>
      </c>
      <c r="AH13" s="214"/>
      <c r="AL13" s="216"/>
      <c r="AM13" s="216"/>
      <c r="AN13" s="216">
        <f t="shared" si="4"/>
        <v>161000000</v>
      </c>
      <c r="AP13" s="214"/>
      <c r="AT13" s="216"/>
      <c r="AU13" s="216"/>
      <c r="AV13" s="216">
        <f t="shared" si="5"/>
        <v>0</v>
      </c>
      <c r="AX13" s="214"/>
      <c r="BB13" s="216"/>
      <c r="BC13" s="216"/>
      <c r="BD13" s="216">
        <f t="shared" si="6"/>
        <v>249000000</v>
      </c>
    </row>
    <row r="14" spans="2:56" s="248" customFormat="1">
      <c r="B14" s="253">
        <v>46140</v>
      </c>
      <c r="C14" s="251" t="s">
        <v>486</v>
      </c>
      <c r="D14" s="248" t="s">
        <v>528</v>
      </c>
      <c r="E14" s="252">
        <v>0</v>
      </c>
      <c r="F14" s="247">
        <v>70000000</v>
      </c>
      <c r="G14" s="247">
        <v>0</v>
      </c>
      <c r="H14" s="247">
        <f t="shared" si="0"/>
        <v>2070000000</v>
      </c>
      <c r="J14" s="253"/>
      <c r="K14" s="251"/>
      <c r="M14" s="252"/>
      <c r="N14" s="247"/>
      <c r="O14" s="247"/>
      <c r="P14" s="247">
        <f t="shared" si="1"/>
        <v>514400000</v>
      </c>
      <c r="R14" s="253"/>
      <c r="S14" s="251"/>
      <c r="U14" s="252"/>
      <c r="V14" s="247"/>
      <c r="W14" s="247"/>
      <c r="X14" s="247">
        <f t="shared" si="2"/>
        <v>249000000</v>
      </c>
      <c r="Z14" s="253"/>
      <c r="AA14" s="251"/>
      <c r="AC14" s="252"/>
      <c r="AD14" s="247"/>
      <c r="AE14" s="247"/>
      <c r="AF14" s="247">
        <f t="shared" si="3"/>
        <v>284720824</v>
      </c>
      <c r="AH14" s="253"/>
      <c r="AI14" s="251"/>
      <c r="AK14" s="252"/>
      <c r="AL14" s="247"/>
      <c r="AM14" s="247"/>
      <c r="AN14" s="247">
        <f t="shared" si="4"/>
        <v>161000000</v>
      </c>
      <c r="AP14" s="253"/>
      <c r="AQ14" s="251"/>
      <c r="AS14" s="252"/>
      <c r="AT14" s="247"/>
      <c r="AU14" s="247"/>
      <c r="AV14" s="247">
        <f t="shared" si="5"/>
        <v>0</v>
      </c>
      <c r="AX14" s="253"/>
      <c r="AY14" s="251"/>
      <c r="BA14" s="252"/>
      <c r="BB14" s="247"/>
      <c r="BC14" s="247"/>
      <c r="BD14" s="247">
        <f t="shared" si="6"/>
        <v>249000000</v>
      </c>
    </row>
    <row r="15" spans="2:56">
      <c r="B15" s="255">
        <v>46142</v>
      </c>
      <c r="C15" s="211" t="s">
        <v>493</v>
      </c>
      <c r="D15" s="229" t="s">
        <v>2073</v>
      </c>
      <c r="E15" s="242">
        <v>0</v>
      </c>
      <c r="F15" s="216">
        <v>70000000</v>
      </c>
      <c r="G15" s="216">
        <v>0</v>
      </c>
      <c r="H15" s="267">
        <f t="shared" si="0"/>
        <v>2000000000</v>
      </c>
      <c r="J15" s="214"/>
      <c r="N15" s="216"/>
      <c r="O15" s="216"/>
      <c r="P15" s="216">
        <f t="shared" si="1"/>
        <v>514400000</v>
      </c>
      <c r="R15" s="214"/>
      <c r="V15" s="216"/>
      <c r="W15" s="216"/>
      <c r="X15" s="216"/>
      <c r="Z15" s="214"/>
      <c r="AD15" s="216"/>
      <c r="AE15" s="216"/>
      <c r="AF15" s="216"/>
      <c r="AH15" s="214"/>
      <c r="AL15" s="216"/>
      <c r="AM15" s="216"/>
      <c r="AN15" s="216"/>
      <c r="AP15" s="214"/>
      <c r="AT15" s="216"/>
      <c r="AU15" s="216"/>
      <c r="AV15" s="216"/>
      <c r="AX15" s="214"/>
      <c r="BB15" s="216"/>
      <c r="BC15" s="216"/>
      <c r="BD15" s="216"/>
    </row>
    <row r="16" spans="2:56" s="248" customFormat="1">
      <c r="B16" s="253">
        <v>46146</v>
      </c>
      <c r="C16" s="251" t="s">
        <v>501</v>
      </c>
      <c r="D16" s="248" t="s">
        <v>518</v>
      </c>
      <c r="E16" s="252">
        <v>0</v>
      </c>
      <c r="F16" s="247">
        <v>0</v>
      </c>
      <c r="G16" s="247">
        <v>1800000000</v>
      </c>
      <c r="H16" s="247">
        <f t="shared" si="0"/>
        <v>3800000000</v>
      </c>
      <c r="J16" s="250"/>
      <c r="K16" s="251"/>
      <c r="M16" s="252"/>
      <c r="N16" s="247"/>
      <c r="O16" s="247"/>
      <c r="P16" s="247">
        <f t="shared" si="1"/>
        <v>514400000</v>
      </c>
      <c r="R16" s="250"/>
      <c r="S16" s="251"/>
      <c r="U16" s="252"/>
      <c r="V16" s="247"/>
      <c r="W16" s="247"/>
      <c r="X16" s="247"/>
      <c r="Z16" s="250"/>
      <c r="AA16" s="251"/>
      <c r="AC16" s="252"/>
      <c r="AD16" s="247"/>
      <c r="AE16" s="247"/>
      <c r="AF16" s="247"/>
      <c r="AH16" s="250"/>
      <c r="AI16" s="251"/>
      <c r="AK16" s="252"/>
      <c r="AL16" s="247"/>
      <c r="AM16" s="247"/>
      <c r="AN16" s="247"/>
      <c r="AP16" s="250"/>
      <c r="AQ16" s="251"/>
      <c r="AS16" s="252"/>
      <c r="AT16" s="247"/>
      <c r="AU16" s="247"/>
      <c r="AV16" s="247"/>
      <c r="AX16" s="250"/>
      <c r="AY16" s="251"/>
      <c r="BA16" s="252"/>
      <c r="BB16" s="247"/>
      <c r="BC16" s="247"/>
      <c r="BD16" s="247"/>
    </row>
    <row r="17" spans="2:56">
      <c r="B17" s="214">
        <v>46148</v>
      </c>
      <c r="C17" s="211" t="s">
        <v>506</v>
      </c>
      <c r="D17" t="s">
        <v>521</v>
      </c>
      <c r="E17" s="242">
        <v>0</v>
      </c>
      <c r="F17" s="216">
        <v>70000000</v>
      </c>
      <c r="G17" s="216">
        <v>0</v>
      </c>
      <c r="H17" s="267">
        <f t="shared" si="0"/>
        <v>3730000000</v>
      </c>
      <c r="N17" s="216"/>
      <c r="O17" s="216"/>
      <c r="P17" s="216"/>
      <c r="V17" s="216"/>
      <c r="W17" s="216"/>
      <c r="X17" s="216"/>
      <c r="AD17" s="216"/>
      <c r="AE17" s="216"/>
      <c r="AF17" s="216"/>
      <c r="AL17" s="216"/>
      <c r="AM17" s="216"/>
      <c r="AN17" s="216"/>
      <c r="AT17" s="216"/>
      <c r="AU17" s="216"/>
      <c r="AV17" s="216"/>
      <c r="BB17" s="216"/>
      <c r="BC17" s="216"/>
      <c r="BD17" s="216"/>
    </row>
    <row r="18" spans="2:56" s="248" customFormat="1">
      <c r="B18" s="253">
        <v>46153</v>
      </c>
      <c r="C18" s="251" t="s">
        <v>515</v>
      </c>
      <c r="D18" s="248" t="s">
        <v>523</v>
      </c>
      <c r="E18" s="252">
        <v>0</v>
      </c>
      <c r="F18" s="247">
        <v>70000000</v>
      </c>
      <c r="G18" s="247">
        <v>0</v>
      </c>
      <c r="H18" s="247">
        <f t="shared" si="0"/>
        <v>3660000000</v>
      </c>
      <c r="J18" s="250"/>
      <c r="K18" s="251"/>
      <c r="M18" s="252"/>
      <c r="N18" s="247"/>
      <c r="O18" s="247"/>
      <c r="P18" s="247"/>
      <c r="R18" s="250"/>
      <c r="S18" s="251"/>
      <c r="U18" s="252"/>
      <c r="V18" s="247"/>
      <c r="W18" s="247"/>
      <c r="X18" s="247"/>
      <c r="Z18" s="250"/>
      <c r="AA18" s="251"/>
      <c r="AC18" s="252"/>
      <c r="AD18" s="247"/>
      <c r="AE18" s="247"/>
      <c r="AF18" s="247"/>
      <c r="AH18" s="250"/>
      <c r="AI18" s="251"/>
      <c r="AK18" s="252"/>
      <c r="AL18" s="247"/>
      <c r="AM18" s="247"/>
      <c r="AN18" s="247"/>
      <c r="AP18" s="250"/>
      <c r="AQ18" s="251"/>
      <c r="AS18" s="252"/>
      <c r="AT18" s="247"/>
      <c r="AU18" s="247"/>
      <c r="AV18" s="247"/>
      <c r="AX18" s="250"/>
      <c r="AY18" s="251"/>
      <c r="BA18" s="252"/>
      <c r="BB18" s="247"/>
      <c r="BC18" s="247"/>
      <c r="BD18" s="247"/>
    </row>
    <row r="19" spans="2:56">
      <c r="B19" s="214">
        <v>46153</v>
      </c>
      <c r="C19" s="211" t="s">
        <v>1936</v>
      </c>
      <c r="D19" s="229" t="s">
        <v>2287</v>
      </c>
      <c r="E19" s="242">
        <v>0</v>
      </c>
      <c r="F19" s="216">
        <v>140000000</v>
      </c>
      <c r="G19" s="216">
        <v>0</v>
      </c>
      <c r="H19" s="267">
        <f t="shared" si="0"/>
        <v>3520000000</v>
      </c>
      <c r="N19" s="216"/>
      <c r="O19" s="216"/>
      <c r="P19" s="216"/>
      <c r="V19" s="216"/>
      <c r="W19" s="216"/>
      <c r="X19" s="216"/>
      <c r="AD19" s="216"/>
      <c r="AE19" s="216"/>
      <c r="AF19" s="216"/>
      <c r="AL19" s="216"/>
      <c r="AM19" s="216"/>
      <c r="AN19" s="216"/>
      <c r="AT19" s="216"/>
      <c r="AU19" s="216"/>
      <c r="AV19" s="216"/>
      <c r="BB19" s="216"/>
      <c r="BC19" s="216"/>
      <c r="BD19" s="216"/>
    </row>
    <row r="20" spans="2:56" s="248" customFormat="1">
      <c r="B20" s="253">
        <v>46153</v>
      </c>
      <c r="C20" s="251" t="s">
        <v>1938</v>
      </c>
      <c r="D20" s="248" t="s">
        <v>2171</v>
      </c>
      <c r="E20" s="252">
        <v>0</v>
      </c>
      <c r="F20" s="247">
        <v>70000000</v>
      </c>
      <c r="G20" s="247">
        <v>0</v>
      </c>
      <c r="H20" s="247">
        <f t="shared" si="0"/>
        <v>3450000000</v>
      </c>
      <c r="J20" s="250"/>
      <c r="K20" s="251"/>
      <c r="M20" s="252"/>
      <c r="N20" s="247"/>
      <c r="O20" s="247"/>
      <c r="P20" s="247"/>
      <c r="R20" s="250"/>
      <c r="S20" s="251"/>
      <c r="U20" s="252"/>
      <c r="V20" s="247"/>
      <c r="W20" s="247"/>
      <c r="X20" s="247"/>
      <c r="Z20" s="250"/>
      <c r="AA20" s="251"/>
      <c r="AC20" s="252"/>
      <c r="AD20" s="247"/>
      <c r="AE20" s="247"/>
      <c r="AF20" s="247"/>
      <c r="AH20" s="250"/>
      <c r="AI20" s="251"/>
      <c r="AK20" s="252"/>
      <c r="AL20" s="247"/>
      <c r="AM20" s="247"/>
      <c r="AN20" s="247"/>
      <c r="AP20" s="250"/>
      <c r="AQ20" s="251"/>
      <c r="AS20" s="252"/>
      <c r="AT20" s="247"/>
      <c r="AU20" s="247"/>
      <c r="AV20" s="247"/>
      <c r="AX20" s="250"/>
      <c r="AY20" s="251"/>
      <c r="BA20" s="252"/>
      <c r="BB20" s="247"/>
      <c r="BC20" s="247"/>
      <c r="BD20" s="247"/>
    </row>
    <row r="21" spans="2:56">
      <c r="B21" s="214">
        <v>46161</v>
      </c>
      <c r="C21" s="211" t="s">
        <v>1996</v>
      </c>
      <c r="D21" t="s">
        <v>2235</v>
      </c>
      <c r="E21" s="242">
        <v>0</v>
      </c>
      <c r="F21" s="216">
        <v>70000000</v>
      </c>
      <c r="G21" s="216">
        <v>0</v>
      </c>
      <c r="H21" s="267">
        <f t="shared" si="0"/>
        <v>3380000000</v>
      </c>
      <c r="N21" s="216"/>
      <c r="O21" s="216"/>
      <c r="P21" s="216"/>
      <c r="V21" s="216"/>
      <c r="W21" s="216"/>
      <c r="X21" s="216"/>
      <c r="AD21" s="216"/>
      <c r="AE21" s="216"/>
      <c r="AF21" s="216"/>
      <c r="AL21" s="216"/>
      <c r="AM21" s="216"/>
      <c r="AN21" s="216"/>
      <c r="AT21" s="216"/>
      <c r="AU21" s="216"/>
      <c r="AV21" s="216"/>
      <c r="BB21" s="216"/>
      <c r="BC21" s="216"/>
      <c r="BD21" s="216"/>
    </row>
    <row r="22" spans="2:56" s="248" customFormat="1">
      <c r="B22" s="250">
        <v>46167</v>
      </c>
      <c r="C22" s="251" t="s">
        <v>2410</v>
      </c>
      <c r="D22" s="248" t="s">
        <v>2532</v>
      </c>
      <c r="E22" s="252"/>
      <c r="F22" s="247">
        <v>350000000</v>
      </c>
      <c r="G22" s="247">
        <v>0</v>
      </c>
      <c r="H22" s="247">
        <f t="shared" si="0"/>
        <v>3030000000</v>
      </c>
      <c r="J22" s="250"/>
      <c r="K22" s="251"/>
      <c r="M22" s="252"/>
      <c r="N22" s="247"/>
      <c r="O22" s="247"/>
      <c r="P22" s="247"/>
      <c r="R22" s="250"/>
      <c r="S22" s="251"/>
      <c r="U22" s="252"/>
      <c r="V22" s="247"/>
      <c r="W22" s="247"/>
      <c r="X22" s="247"/>
      <c r="Z22" s="250"/>
      <c r="AA22" s="251"/>
      <c r="AC22" s="252"/>
      <c r="AD22" s="247"/>
      <c r="AE22" s="247"/>
      <c r="AF22" s="247"/>
      <c r="AH22" s="250"/>
      <c r="AI22" s="251"/>
      <c r="AK22" s="252"/>
      <c r="AL22" s="247"/>
      <c r="AM22" s="247"/>
      <c r="AN22" s="247"/>
      <c r="AP22" s="250"/>
      <c r="AQ22" s="251"/>
      <c r="AS22" s="252"/>
      <c r="AT22" s="247"/>
      <c r="AU22" s="247"/>
      <c r="AV22" s="247"/>
      <c r="AX22" s="250"/>
      <c r="AY22" s="251"/>
      <c r="BA22" s="252"/>
      <c r="BB22" s="247"/>
      <c r="BC22" s="247"/>
      <c r="BD22" s="247"/>
    </row>
    <row r="23" spans="2:56">
      <c r="F23" s="216"/>
      <c r="G23" s="216"/>
      <c r="H23" s="216"/>
      <c r="N23" s="216"/>
      <c r="O23" s="216"/>
      <c r="P23" s="216"/>
      <c r="V23" s="216"/>
      <c r="W23" s="216"/>
      <c r="X23" s="216"/>
      <c r="AD23" s="216"/>
      <c r="AE23" s="216"/>
      <c r="AF23" s="216"/>
      <c r="AL23" s="216"/>
      <c r="AM23" s="216"/>
      <c r="AN23" s="216"/>
      <c r="AT23" s="216"/>
      <c r="AU23" s="216"/>
      <c r="AV23" s="216"/>
      <c r="BB23" s="216"/>
      <c r="BC23" s="216"/>
      <c r="BD23" s="216"/>
    </row>
    <row r="24" spans="2:56">
      <c r="F24" s="216"/>
      <c r="G24" s="216"/>
      <c r="H24" s="216"/>
      <c r="N24" s="216"/>
      <c r="O24" s="216"/>
      <c r="P24" s="216"/>
      <c r="V24" s="216"/>
      <c r="W24" s="216"/>
      <c r="X24" s="216"/>
      <c r="AD24" s="216"/>
      <c r="AE24" s="216"/>
      <c r="AF24" s="216"/>
      <c r="AL24" s="216"/>
      <c r="AM24" s="216"/>
      <c r="AN24" s="216"/>
      <c r="AT24" s="216"/>
      <c r="AU24" s="216"/>
      <c r="AV24" s="216"/>
      <c r="BB24" s="216"/>
      <c r="BC24" s="216"/>
      <c r="BD24" s="216"/>
    </row>
    <row r="25" spans="2:56">
      <c r="F25" s="216"/>
      <c r="G25" s="216"/>
      <c r="H25" s="216"/>
      <c r="N25" s="216"/>
      <c r="O25" s="216"/>
      <c r="P25" s="216"/>
      <c r="V25" s="216"/>
      <c r="W25" s="216"/>
      <c r="X25" s="216"/>
      <c r="AD25" s="216"/>
      <c r="AE25" s="216"/>
      <c r="AF25" s="216"/>
      <c r="AL25" s="216"/>
      <c r="AM25" s="216"/>
      <c r="AN25" s="216"/>
      <c r="AT25" s="216"/>
      <c r="AU25" s="216"/>
      <c r="AV25" s="216"/>
      <c r="BB25" s="216"/>
      <c r="BC25" s="216"/>
      <c r="BD25" s="216"/>
    </row>
    <row r="26" spans="2:56">
      <c r="F26" s="216"/>
      <c r="G26" s="216"/>
      <c r="H26" s="216"/>
      <c r="N26" s="216"/>
      <c r="O26" s="216"/>
      <c r="P26" s="216"/>
      <c r="V26" s="216"/>
      <c r="W26" s="216"/>
      <c r="X26" s="216"/>
      <c r="AD26" s="216"/>
      <c r="AE26" s="216"/>
      <c r="AF26" s="216"/>
      <c r="AL26" s="216"/>
      <c r="AM26" s="216"/>
      <c r="AN26" s="216"/>
      <c r="AT26" s="216"/>
      <c r="AU26" s="216"/>
      <c r="AV26" s="216"/>
      <c r="BB26" s="216"/>
      <c r="BC26" s="216"/>
      <c r="BD26" s="216"/>
    </row>
    <row r="27" spans="2:56">
      <c r="F27" s="216"/>
      <c r="G27" s="216"/>
      <c r="H27" s="216"/>
      <c r="N27" s="216"/>
      <c r="O27" s="216"/>
      <c r="P27" s="216"/>
      <c r="V27" s="216"/>
      <c r="W27" s="216"/>
      <c r="X27" s="216"/>
      <c r="AD27" s="216"/>
      <c r="AE27" s="216"/>
      <c r="AF27" s="216"/>
      <c r="AL27" s="216"/>
      <c r="AM27" s="216"/>
      <c r="AN27" s="216"/>
      <c r="AT27" s="216"/>
      <c r="AU27" s="216"/>
      <c r="AV27" s="216"/>
      <c r="BB27" s="216"/>
      <c r="BC27" s="216"/>
      <c r="BD27" s="216"/>
    </row>
    <row r="28" spans="2:56">
      <c r="F28" s="216"/>
      <c r="G28" s="216"/>
      <c r="H28" s="216"/>
      <c r="N28" s="216"/>
      <c r="O28" s="216"/>
      <c r="P28" s="216"/>
      <c r="V28" s="216"/>
      <c r="W28" s="216"/>
      <c r="X28" s="216"/>
      <c r="AD28" s="216"/>
      <c r="AE28" s="216"/>
      <c r="AF28" s="216"/>
      <c r="AL28" s="216"/>
      <c r="AM28" s="216"/>
      <c r="AN28" s="216"/>
      <c r="AT28" s="216"/>
      <c r="AU28" s="216"/>
      <c r="AV28" s="216"/>
      <c r="BB28" s="216"/>
      <c r="BC28" s="216"/>
      <c r="BD28" s="216"/>
    </row>
    <row r="29" spans="2:56">
      <c r="F29" s="216"/>
      <c r="G29" s="216"/>
      <c r="H29" s="216"/>
      <c r="N29" s="216"/>
      <c r="O29" s="216"/>
      <c r="P29" s="216"/>
      <c r="V29" s="216"/>
      <c r="W29" s="216"/>
      <c r="X29" s="216"/>
      <c r="AD29" s="216"/>
      <c r="AE29" s="216"/>
      <c r="AF29" s="216"/>
      <c r="AL29" s="216"/>
      <c r="AM29" s="216"/>
      <c r="AN29" s="216"/>
      <c r="AT29" s="216"/>
      <c r="AU29" s="216"/>
      <c r="AV29" s="216"/>
      <c r="BB29" s="216"/>
      <c r="BC29" s="216"/>
      <c r="BD29" s="216"/>
    </row>
    <row r="30" spans="2:56">
      <c r="F30" s="216"/>
      <c r="G30" s="216"/>
      <c r="H30" s="216"/>
      <c r="N30" s="216"/>
      <c r="O30" s="216"/>
      <c r="P30" s="216"/>
      <c r="V30" s="216"/>
      <c r="W30" s="216"/>
      <c r="X30" s="216"/>
      <c r="AD30" s="216"/>
      <c r="AE30" s="216"/>
      <c r="AF30" s="216"/>
      <c r="AL30" s="216"/>
      <c r="AM30" s="216"/>
      <c r="AN30" s="216"/>
      <c r="AT30" s="216"/>
      <c r="AU30" s="216"/>
      <c r="AV30" s="216"/>
      <c r="BB30" s="216"/>
      <c r="BC30" s="216"/>
      <c r="BD30" s="216"/>
    </row>
    <row r="31" spans="2:56">
      <c r="F31" s="216"/>
      <c r="G31" s="216"/>
      <c r="H31" s="216"/>
      <c r="N31" s="216"/>
      <c r="O31" s="216"/>
      <c r="P31" s="216"/>
      <c r="V31" s="216"/>
      <c r="W31" s="216"/>
      <c r="X31" s="216"/>
      <c r="AD31" s="216"/>
      <c r="AE31" s="216"/>
      <c r="AF31" s="216"/>
      <c r="AL31" s="216"/>
      <c r="AM31" s="216"/>
      <c r="AN31" s="216"/>
      <c r="AT31" s="216"/>
      <c r="AU31" s="216"/>
      <c r="AV31" s="216"/>
      <c r="BB31" s="216"/>
      <c r="BC31" s="216"/>
      <c r="BD31" s="216"/>
    </row>
    <row r="32" spans="2:56">
      <c r="F32" s="216"/>
      <c r="G32" s="216"/>
      <c r="H32" s="216"/>
      <c r="N32" s="216"/>
      <c r="O32" s="216"/>
      <c r="P32" s="216"/>
      <c r="V32" s="216"/>
      <c r="W32" s="216"/>
      <c r="X32" s="216"/>
      <c r="AD32" s="216"/>
      <c r="AE32" s="216"/>
      <c r="AF32" s="216"/>
      <c r="AL32" s="216"/>
      <c r="AM32" s="216"/>
      <c r="AN32" s="216"/>
      <c r="AT32" s="216"/>
      <c r="AU32" s="216"/>
      <c r="AV32" s="216"/>
      <c r="BB32" s="216"/>
      <c r="BC32" s="216"/>
      <c r="BD32" s="216"/>
    </row>
    <row r="33" spans="6:56">
      <c r="F33" s="216"/>
      <c r="G33" s="216"/>
      <c r="H33" s="216"/>
      <c r="N33" s="216"/>
      <c r="O33" s="216"/>
      <c r="P33" s="216"/>
      <c r="V33" s="216"/>
      <c r="W33" s="216"/>
      <c r="X33" s="216"/>
      <c r="AD33" s="216"/>
      <c r="AE33" s="216"/>
      <c r="AF33" s="216"/>
      <c r="AL33" s="216"/>
      <c r="AM33" s="216"/>
      <c r="AN33" s="216"/>
      <c r="AT33" s="216"/>
      <c r="AU33" s="216"/>
      <c r="AV33" s="216"/>
      <c r="BB33" s="216"/>
      <c r="BC33" s="216"/>
      <c r="BD33" s="216"/>
    </row>
    <row r="34" spans="6:56">
      <c r="F34" s="216"/>
      <c r="G34" s="216"/>
      <c r="H34" s="216"/>
      <c r="N34" s="216"/>
      <c r="O34" s="216"/>
      <c r="P34" s="216"/>
      <c r="V34" s="216"/>
      <c r="W34" s="216"/>
      <c r="X34" s="216"/>
      <c r="AD34" s="216"/>
      <c r="AE34" s="216"/>
      <c r="AF34" s="216"/>
      <c r="AL34" s="216"/>
      <c r="AM34" s="216"/>
      <c r="AN34" s="216"/>
      <c r="AT34" s="216"/>
      <c r="AU34" s="216"/>
      <c r="AV34" s="216"/>
      <c r="BB34" s="216"/>
      <c r="BC34" s="216"/>
      <c r="BD34" s="216"/>
    </row>
    <row r="35" spans="6:56">
      <c r="F35" s="216"/>
      <c r="G35" s="216"/>
      <c r="H35" s="216"/>
      <c r="N35" s="216"/>
      <c r="O35" s="216"/>
      <c r="P35" s="216"/>
      <c r="V35" s="216"/>
      <c r="W35" s="216"/>
      <c r="X35" s="216"/>
      <c r="AD35" s="216"/>
      <c r="AE35" s="216"/>
      <c r="AF35" s="216"/>
      <c r="AL35" s="216"/>
      <c r="AM35" s="216"/>
      <c r="AN35" s="216"/>
      <c r="AT35" s="216"/>
      <c r="AU35" s="216"/>
      <c r="AV35" s="216"/>
      <c r="BB35" s="216"/>
      <c r="BC35" s="216"/>
      <c r="BD35" s="216"/>
    </row>
    <row r="36" spans="6:56">
      <c r="F36" s="216"/>
      <c r="G36" s="216"/>
      <c r="H36" s="216"/>
      <c r="N36" s="216"/>
      <c r="O36" s="216"/>
      <c r="P36" s="216"/>
      <c r="V36" s="216"/>
      <c r="W36" s="216"/>
      <c r="X36" s="216"/>
      <c r="AD36" s="216"/>
      <c r="AE36" s="216"/>
      <c r="AF36" s="216"/>
      <c r="AL36" s="216"/>
      <c r="AM36" s="216"/>
      <c r="AN36" s="216"/>
      <c r="AT36" s="216"/>
      <c r="AU36" s="216"/>
      <c r="AV36" s="216"/>
      <c r="BB36" s="216"/>
      <c r="BC36" s="216"/>
      <c r="BD36" s="216"/>
    </row>
    <row r="37" spans="6:56">
      <c r="F37" s="216"/>
      <c r="G37" s="216"/>
      <c r="H37" s="216"/>
      <c r="N37" s="216"/>
      <c r="O37" s="216"/>
      <c r="P37" s="216"/>
      <c r="V37" s="216"/>
      <c r="W37" s="216"/>
      <c r="X37" s="216"/>
      <c r="AD37" s="216"/>
      <c r="AE37" s="216"/>
      <c r="AF37" s="216"/>
      <c r="AL37" s="216"/>
      <c r="AM37" s="216"/>
      <c r="AN37" s="216"/>
      <c r="AT37" s="216"/>
      <c r="AU37" s="216"/>
      <c r="AV37" s="216"/>
      <c r="BB37" s="216"/>
      <c r="BC37" s="216"/>
      <c r="BD37" s="216"/>
    </row>
    <row r="38" spans="6:56">
      <c r="F38" s="216"/>
      <c r="G38" s="216"/>
      <c r="H38" s="216"/>
      <c r="N38" s="216"/>
      <c r="O38" s="216"/>
      <c r="P38" s="216"/>
      <c r="V38" s="216"/>
      <c r="W38" s="216"/>
      <c r="X38" s="216"/>
      <c r="AD38" s="216"/>
      <c r="AE38" s="216"/>
      <c r="AF38" s="216"/>
      <c r="AL38" s="216"/>
      <c r="AM38" s="216"/>
      <c r="AN38" s="216"/>
      <c r="AT38" s="216"/>
      <c r="AU38" s="216"/>
      <c r="AV38" s="216"/>
      <c r="BB38" s="216"/>
      <c r="BC38" s="216"/>
      <c r="BD38" s="216"/>
    </row>
    <row r="39" spans="6:56">
      <c r="F39" s="216"/>
      <c r="G39" s="216"/>
      <c r="H39" s="216"/>
      <c r="N39" s="216"/>
      <c r="O39" s="216"/>
      <c r="P39" s="216"/>
      <c r="V39" s="216"/>
      <c r="W39" s="216"/>
      <c r="X39" s="216"/>
      <c r="AD39" s="216"/>
      <c r="AE39" s="216"/>
      <c r="AF39" s="216"/>
      <c r="AL39" s="216"/>
      <c r="AM39" s="216"/>
      <c r="AN39" s="216"/>
      <c r="AT39" s="216"/>
      <c r="AU39" s="216"/>
      <c r="AV39" s="216"/>
      <c r="BB39" s="216"/>
      <c r="BC39" s="216"/>
      <c r="BD39" s="216"/>
    </row>
    <row r="40" spans="6:56">
      <c r="F40" s="216"/>
      <c r="G40" s="216"/>
      <c r="H40" s="216"/>
      <c r="N40" s="216"/>
      <c r="O40" s="216"/>
      <c r="P40" s="216"/>
      <c r="V40" s="216"/>
      <c r="W40" s="216"/>
      <c r="X40" s="216"/>
      <c r="AD40" s="216"/>
      <c r="AE40" s="216"/>
      <c r="AF40" s="216"/>
      <c r="AL40" s="216"/>
      <c r="AM40" s="216"/>
      <c r="AN40" s="216"/>
      <c r="AT40" s="216"/>
      <c r="AU40" s="216"/>
      <c r="AV40" s="216"/>
      <c r="BB40" s="216"/>
      <c r="BC40" s="216"/>
      <c r="BD40" s="216"/>
    </row>
    <row r="41" spans="6:56">
      <c r="F41" s="216"/>
      <c r="G41" s="216"/>
      <c r="H41" s="216"/>
      <c r="N41" s="216"/>
      <c r="O41" s="216"/>
      <c r="P41" s="216"/>
      <c r="V41" s="216"/>
      <c r="W41" s="216"/>
      <c r="X41" s="216"/>
      <c r="AD41" s="216"/>
      <c r="AE41" s="216"/>
      <c r="AF41" s="216"/>
      <c r="AL41" s="216"/>
      <c r="AM41" s="216"/>
      <c r="AN41" s="216"/>
      <c r="AT41" s="216"/>
      <c r="AU41" s="216"/>
      <c r="AV41" s="216"/>
      <c r="BB41" s="216"/>
      <c r="BC41" s="216"/>
      <c r="BD41" s="216"/>
    </row>
    <row r="42" spans="6:56">
      <c r="F42" s="216"/>
      <c r="G42" s="216"/>
      <c r="H42" s="216"/>
      <c r="N42" s="216"/>
      <c r="O42" s="216"/>
      <c r="P42" s="216"/>
      <c r="V42" s="216"/>
      <c r="W42" s="216"/>
      <c r="X42" s="216"/>
      <c r="AD42" s="216"/>
      <c r="AE42" s="216"/>
      <c r="AF42" s="216"/>
      <c r="AL42" s="216"/>
      <c r="AM42" s="216"/>
      <c r="AN42" s="216"/>
      <c r="AT42" s="216"/>
      <c r="AU42" s="216"/>
      <c r="AV42" s="216"/>
      <c r="BB42" s="216"/>
      <c r="BC42" s="216"/>
      <c r="BD42" s="216"/>
    </row>
    <row r="43" spans="6:56">
      <c r="F43" s="216"/>
      <c r="G43" s="216"/>
      <c r="H43" s="216"/>
      <c r="N43" s="216"/>
      <c r="O43" s="216"/>
      <c r="P43" s="216"/>
      <c r="V43" s="216"/>
      <c r="W43" s="216"/>
      <c r="X43" s="216"/>
      <c r="AD43" s="216"/>
      <c r="AE43" s="216"/>
      <c r="AF43" s="216"/>
      <c r="AL43" s="216"/>
      <c r="AM43" s="216"/>
      <c r="AN43" s="216"/>
      <c r="AT43" s="216"/>
      <c r="AU43" s="216"/>
      <c r="AV43" s="216"/>
      <c r="BB43" s="216"/>
      <c r="BC43" s="216"/>
      <c r="BD43" s="216"/>
    </row>
    <row r="44" spans="6:56">
      <c r="F44" s="216"/>
      <c r="G44" s="216"/>
      <c r="H44" s="216"/>
      <c r="N44" s="216"/>
      <c r="O44" s="216"/>
      <c r="P44" s="216"/>
      <c r="V44" s="216"/>
      <c r="W44" s="216"/>
      <c r="X44" s="216"/>
      <c r="AD44" s="216"/>
      <c r="AE44" s="216"/>
      <c r="AF44" s="216"/>
      <c r="AL44" s="216"/>
      <c r="AM44" s="216"/>
      <c r="AN44" s="216"/>
      <c r="AT44" s="216"/>
      <c r="AU44" s="216"/>
      <c r="AV44" s="216"/>
      <c r="BB44" s="216"/>
      <c r="BC44" s="216"/>
      <c r="BD44" s="216"/>
    </row>
    <row r="45" spans="6:56">
      <c r="F45" s="216"/>
      <c r="G45" s="216"/>
      <c r="H45" s="216"/>
      <c r="N45" s="216"/>
      <c r="O45" s="216"/>
      <c r="P45" s="216"/>
      <c r="V45" s="216"/>
      <c r="W45" s="216"/>
      <c r="X45" s="216"/>
      <c r="AD45" s="216"/>
      <c r="AE45" s="216"/>
      <c r="AF45" s="216"/>
      <c r="AL45" s="216"/>
      <c r="AM45" s="216"/>
      <c r="AN45" s="216"/>
      <c r="AT45" s="216"/>
      <c r="AU45" s="216"/>
      <c r="AV45" s="216"/>
      <c r="BB45" s="216"/>
      <c r="BC45" s="216"/>
      <c r="BD45" s="216"/>
    </row>
    <row r="46" spans="6:56">
      <c r="F46" s="216"/>
      <c r="G46" s="216"/>
      <c r="H46" s="216"/>
      <c r="N46" s="216"/>
      <c r="O46" s="216"/>
      <c r="P46" s="216"/>
      <c r="V46" s="216"/>
      <c r="W46" s="216"/>
      <c r="X46" s="216"/>
      <c r="AD46" s="216"/>
      <c r="AE46" s="216"/>
      <c r="AF46" s="216"/>
      <c r="AL46" s="216"/>
      <c r="AM46" s="216"/>
      <c r="AN46" s="216"/>
      <c r="AT46" s="216"/>
      <c r="AU46" s="216"/>
      <c r="AV46" s="216"/>
      <c r="BB46" s="216"/>
      <c r="BC46" s="216"/>
      <c r="BD46" s="216"/>
    </row>
    <row r="47" spans="6:56">
      <c r="F47" s="216"/>
      <c r="G47" s="216"/>
      <c r="H47" s="216"/>
      <c r="N47" s="216"/>
      <c r="O47" s="216"/>
      <c r="P47" s="216"/>
      <c r="V47" s="216"/>
      <c r="W47" s="216"/>
      <c r="X47" s="216"/>
      <c r="AD47" s="216"/>
      <c r="AE47" s="216"/>
      <c r="AF47" s="216"/>
      <c r="AL47" s="216"/>
      <c r="AM47" s="216"/>
      <c r="AN47" s="216"/>
      <c r="AT47" s="216"/>
      <c r="AU47" s="216"/>
      <c r="AV47" s="216"/>
      <c r="BB47" s="216"/>
      <c r="BC47" s="216"/>
      <c r="BD47" s="216"/>
    </row>
    <row r="48" spans="6:56">
      <c r="F48" s="216"/>
      <c r="G48" s="216"/>
      <c r="H48" s="216"/>
      <c r="N48" s="216"/>
      <c r="O48" s="216"/>
      <c r="P48" s="216"/>
      <c r="V48" s="216"/>
      <c r="W48" s="216"/>
      <c r="X48" s="216"/>
      <c r="AD48" s="216"/>
      <c r="AE48" s="216"/>
      <c r="AF48" s="216"/>
      <c r="AL48" s="216"/>
      <c r="AM48" s="216"/>
      <c r="AN48" s="216"/>
      <c r="AT48" s="216"/>
      <c r="AU48" s="216"/>
      <c r="AV48" s="216"/>
      <c r="BB48" s="216"/>
      <c r="BC48" s="216"/>
      <c r="BD48" s="216"/>
    </row>
    <row r="49" spans="6:56">
      <c r="F49" s="216"/>
      <c r="G49" s="216"/>
      <c r="H49" s="216"/>
      <c r="N49" s="216"/>
      <c r="O49" s="216"/>
      <c r="P49" s="216"/>
      <c r="V49" s="216"/>
      <c r="W49" s="216"/>
      <c r="X49" s="216"/>
      <c r="AD49" s="216"/>
      <c r="AE49" s="216"/>
      <c r="AF49" s="216"/>
      <c r="AL49" s="216"/>
      <c r="AM49" s="216"/>
      <c r="AN49" s="216"/>
      <c r="AT49" s="216"/>
      <c r="AU49" s="216"/>
      <c r="AV49" s="216"/>
      <c r="BB49" s="216"/>
      <c r="BC49" s="216"/>
      <c r="BD49" s="216"/>
    </row>
    <row r="50" spans="6:56">
      <c r="F50" s="216"/>
      <c r="G50" s="216"/>
      <c r="H50" s="216"/>
      <c r="N50" s="216"/>
      <c r="O50" s="216"/>
      <c r="P50" s="216"/>
      <c r="V50" s="216"/>
      <c r="W50" s="216"/>
      <c r="X50" s="216"/>
      <c r="AD50" s="216"/>
      <c r="AE50" s="216"/>
      <c r="AF50" s="216"/>
      <c r="AL50" s="216"/>
      <c r="AM50" s="216"/>
      <c r="AN50" s="216"/>
      <c r="AT50" s="216"/>
      <c r="AU50" s="216"/>
      <c r="AV50" s="216"/>
      <c r="BB50" s="216"/>
      <c r="BC50" s="216"/>
      <c r="BD50" s="216"/>
    </row>
    <row r="51" spans="6:56">
      <c r="F51" s="216"/>
      <c r="G51" s="216"/>
      <c r="H51" s="216"/>
      <c r="N51" s="216"/>
      <c r="O51" s="216"/>
      <c r="P51" s="216"/>
      <c r="V51" s="216"/>
      <c r="W51" s="216"/>
      <c r="X51" s="216"/>
      <c r="AD51" s="216"/>
      <c r="AE51" s="216"/>
      <c r="AF51" s="216"/>
      <c r="AL51" s="216"/>
      <c r="AM51" s="216"/>
      <c r="AN51" s="216"/>
      <c r="AT51" s="216"/>
      <c r="AU51" s="216"/>
      <c r="AV51" s="216"/>
      <c r="BB51" s="216"/>
      <c r="BC51" s="216"/>
      <c r="BD51" s="216"/>
    </row>
    <row r="52" spans="6:56">
      <c r="F52" s="216"/>
      <c r="G52" s="216"/>
      <c r="H52" s="216"/>
      <c r="N52" s="216"/>
      <c r="O52" s="216"/>
      <c r="P52" s="216"/>
      <c r="V52" s="216"/>
      <c r="W52" s="216"/>
      <c r="X52" s="216"/>
      <c r="AD52" s="216"/>
      <c r="AE52" s="216"/>
      <c r="AF52" s="216"/>
      <c r="AL52" s="216"/>
      <c r="AM52" s="216"/>
      <c r="AN52" s="216"/>
      <c r="AT52" s="216"/>
      <c r="AU52" s="216"/>
      <c r="AV52" s="216"/>
      <c r="BB52" s="216"/>
      <c r="BC52" s="216"/>
      <c r="BD52" s="216"/>
    </row>
    <row r="53" spans="6:56">
      <c r="F53" s="216"/>
      <c r="G53" s="216"/>
      <c r="H53" s="216"/>
      <c r="N53" s="216"/>
      <c r="O53" s="216"/>
      <c r="P53" s="216"/>
      <c r="V53" s="216"/>
      <c r="W53" s="216"/>
      <c r="X53" s="216"/>
      <c r="AD53" s="216"/>
      <c r="AE53" s="216"/>
      <c r="AF53" s="216"/>
      <c r="AL53" s="216"/>
      <c r="AM53" s="216"/>
      <c r="AN53" s="216"/>
      <c r="AT53" s="216"/>
      <c r="AU53" s="216"/>
      <c r="AV53" s="216"/>
      <c r="BB53" s="216"/>
      <c r="BC53" s="216"/>
      <c r="BD53" s="216"/>
    </row>
    <row r="54" spans="6:56">
      <c r="F54" s="216"/>
      <c r="G54" s="216"/>
      <c r="H54" s="216"/>
      <c r="N54" s="216"/>
      <c r="O54" s="216"/>
      <c r="P54" s="216"/>
      <c r="V54" s="216"/>
      <c r="W54" s="216"/>
      <c r="X54" s="216"/>
      <c r="AD54" s="216"/>
      <c r="AE54" s="216"/>
      <c r="AF54" s="216"/>
      <c r="AL54" s="216"/>
      <c r="AM54" s="216"/>
      <c r="AN54" s="216"/>
      <c r="AT54" s="216"/>
      <c r="AU54" s="216"/>
      <c r="AV54" s="216"/>
      <c r="BB54" s="216"/>
      <c r="BC54" s="216"/>
      <c r="BD54" s="216"/>
    </row>
    <row r="55" spans="6:56">
      <c r="F55" s="216"/>
      <c r="G55" s="216"/>
      <c r="H55" s="216"/>
      <c r="N55" s="216"/>
      <c r="O55" s="216"/>
      <c r="P55" s="216"/>
      <c r="V55" s="216"/>
      <c r="W55" s="216"/>
      <c r="X55" s="216"/>
      <c r="AD55" s="216"/>
      <c r="AE55" s="216"/>
      <c r="AF55" s="216"/>
      <c r="AL55" s="216"/>
      <c r="AM55" s="216"/>
      <c r="AN55" s="216"/>
      <c r="AT55" s="216"/>
      <c r="AU55" s="216"/>
      <c r="AV55" s="216"/>
      <c r="BB55" s="216"/>
      <c r="BC55" s="216"/>
      <c r="BD55" s="216"/>
    </row>
    <row r="56" spans="6:56">
      <c r="F56" s="216"/>
      <c r="G56" s="216"/>
      <c r="H56" s="216"/>
      <c r="N56" s="216"/>
      <c r="O56" s="216"/>
      <c r="P56" s="216"/>
      <c r="V56" s="216"/>
      <c r="W56" s="216"/>
      <c r="X56" s="216"/>
      <c r="AD56" s="216"/>
      <c r="AE56" s="216"/>
      <c r="AF56" s="216"/>
      <c r="AL56" s="216"/>
      <c r="AM56" s="216"/>
      <c r="AN56" s="216"/>
      <c r="AT56" s="216"/>
      <c r="AU56" s="216"/>
      <c r="AV56" s="216"/>
      <c r="BB56" s="216"/>
      <c r="BC56" s="216"/>
      <c r="BD56" s="216"/>
    </row>
    <row r="57" spans="6:56">
      <c r="F57" s="216"/>
      <c r="G57" s="216"/>
      <c r="H57" s="216"/>
      <c r="N57" s="216"/>
      <c r="O57" s="216"/>
      <c r="P57" s="216"/>
      <c r="V57" s="216"/>
      <c r="W57" s="216"/>
      <c r="X57" s="216"/>
      <c r="AD57" s="216"/>
      <c r="AE57" s="216"/>
      <c r="AF57" s="216"/>
      <c r="AL57" s="216"/>
      <c r="AM57" s="216"/>
      <c r="AN57" s="216"/>
      <c r="AT57" s="216"/>
      <c r="AU57" s="216"/>
      <c r="AV57" s="216"/>
      <c r="BB57" s="216"/>
      <c r="BC57" s="216"/>
      <c r="BD57" s="216"/>
    </row>
    <row r="58" spans="6:56">
      <c r="F58" s="216"/>
      <c r="G58" s="216"/>
      <c r="H58" s="216"/>
      <c r="N58" s="216"/>
      <c r="O58" s="216"/>
      <c r="P58" s="216"/>
      <c r="V58" s="216"/>
      <c r="W58" s="216"/>
      <c r="X58" s="216"/>
      <c r="AD58" s="216"/>
      <c r="AE58" s="216"/>
      <c r="AF58" s="216"/>
      <c r="AL58" s="216"/>
      <c r="AM58" s="216"/>
      <c r="AN58" s="216"/>
      <c r="AT58" s="216"/>
      <c r="AU58" s="216"/>
      <c r="AV58" s="216"/>
      <c r="BB58" s="216"/>
      <c r="BC58" s="216"/>
      <c r="BD58" s="216"/>
    </row>
    <row r="59" spans="6:56">
      <c r="F59" s="216"/>
      <c r="G59" s="216"/>
      <c r="H59" s="216"/>
      <c r="N59" s="216"/>
      <c r="O59" s="216"/>
      <c r="P59" s="216"/>
      <c r="V59" s="216"/>
      <c r="W59" s="216"/>
      <c r="X59" s="216"/>
      <c r="AD59" s="216"/>
      <c r="AE59" s="216"/>
      <c r="AF59" s="216"/>
      <c r="AL59" s="216"/>
      <c r="AM59" s="216"/>
      <c r="AN59" s="216"/>
      <c r="AT59" s="216"/>
      <c r="AU59" s="216"/>
      <c r="AV59" s="216"/>
      <c r="BB59" s="216"/>
      <c r="BC59" s="216"/>
      <c r="BD59" s="216"/>
    </row>
    <row r="60" spans="6:56">
      <c r="F60" s="216"/>
      <c r="G60" s="216"/>
      <c r="H60" s="216"/>
      <c r="N60" s="216"/>
      <c r="O60" s="216"/>
      <c r="P60" s="216"/>
      <c r="V60" s="216"/>
      <c r="W60" s="216"/>
      <c r="X60" s="216"/>
      <c r="AD60" s="216"/>
      <c r="AE60" s="216"/>
      <c r="AF60" s="216"/>
      <c r="AL60" s="216"/>
      <c r="AM60" s="216"/>
      <c r="AN60" s="216"/>
      <c r="AT60" s="216"/>
      <c r="AU60" s="216"/>
      <c r="AV60" s="216"/>
      <c r="BB60" s="216"/>
      <c r="BC60" s="216"/>
      <c r="BD60" s="216"/>
    </row>
    <row r="61" spans="6:56">
      <c r="F61" s="216"/>
      <c r="G61" s="216"/>
      <c r="H61" s="216"/>
      <c r="N61" s="216"/>
      <c r="O61" s="216"/>
      <c r="P61" s="216"/>
      <c r="V61" s="216"/>
      <c r="W61" s="216"/>
      <c r="X61" s="216"/>
      <c r="AD61" s="216"/>
      <c r="AE61" s="216"/>
      <c r="AF61" s="216"/>
      <c r="AL61" s="216"/>
      <c r="AM61" s="216"/>
      <c r="AN61" s="216"/>
      <c r="AT61" s="216"/>
      <c r="AU61" s="216"/>
      <c r="AV61" s="216"/>
      <c r="BB61" s="216"/>
      <c r="BC61" s="216"/>
      <c r="BD61" s="216"/>
    </row>
    <row r="62" spans="6:56">
      <c r="F62" s="216"/>
      <c r="G62" s="216"/>
      <c r="H62" s="216"/>
      <c r="N62" s="216"/>
      <c r="O62" s="216"/>
      <c r="P62" s="216"/>
      <c r="V62" s="216"/>
      <c r="W62" s="216"/>
      <c r="X62" s="216"/>
      <c r="AD62" s="216"/>
      <c r="AE62" s="216"/>
      <c r="AF62" s="216"/>
      <c r="AL62" s="216"/>
      <c r="AM62" s="216"/>
      <c r="AN62" s="216"/>
      <c r="AT62" s="216"/>
      <c r="AU62" s="216"/>
      <c r="AV62" s="216"/>
      <c r="BB62" s="216"/>
      <c r="BC62" s="216"/>
      <c r="BD62" s="216"/>
    </row>
    <row r="63" spans="6:56">
      <c r="F63" s="216"/>
      <c r="G63" s="216"/>
      <c r="H63" s="216"/>
      <c r="N63" s="216"/>
      <c r="O63" s="216"/>
      <c r="P63" s="216"/>
      <c r="V63" s="216"/>
      <c r="W63" s="216"/>
      <c r="X63" s="216"/>
      <c r="AD63" s="216"/>
      <c r="AE63" s="216"/>
      <c r="AF63" s="216"/>
      <c r="AL63" s="216"/>
      <c r="AM63" s="216"/>
      <c r="AN63" s="216"/>
      <c r="AT63" s="216"/>
      <c r="AU63" s="216"/>
      <c r="AV63" s="216"/>
      <c r="BB63" s="216"/>
      <c r="BC63" s="216"/>
      <c r="BD63" s="216"/>
    </row>
    <row r="64" spans="6:56">
      <c r="F64" s="216"/>
      <c r="G64" s="216"/>
      <c r="H64" s="216"/>
      <c r="N64" s="216"/>
      <c r="O64" s="216"/>
      <c r="P64" s="216"/>
      <c r="V64" s="216"/>
      <c r="W64" s="216"/>
      <c r="X64" s="216"/>
      <c r="AD64" s="216"/>
      <c r="AE64" s="216"/>
      <c r="AF64" s="216"/>
      <c r="AL64" s="216"/>
      <c r="AM64" s="216"/>
      <c r="AN64" s="216"/>
      <c r="AT64" s="216"/>
      <c r="AU64" s="216"/>
      <c r="AV64" s="216"/>
      <c r="BB64" s="216"/>
      <c r="BC64" s="216"/>
      <c r="BD64" s="216"/>
    </row>
    <row r="65" spans="6:56">
      <c r="F65" s="216"/>
      <c r="G65" s="216"/>
      <c r="H65" s="216"/>
      <c r="N65" s="216"/>
      <c r="O65" s="216"/>
      <c r="P65" s="216"/>
      <c r="V65" s="216"/>
      <c r="W65" s="216"/>
      <c r="X65" s="216"/>
      <c r="AD65" s="216"/>
      <c r="AE65" s="216"/>
      <c r="AF65" s="216"/>
      <c r="AL65" s="216"/>
      <c r="AM65" s="216"/>
      <c r="AN65" s="216"/>
      <c r="AT65" s="216"/>
      <c r="AU65" s="216"/>
      <c r="AV65" s="216"/>
      <c r="BB65" s="216"/>
      <c r="BC65" s="216"/>
      <c r="BD65" s="216"/>
    </row>
    <row r="66" spans="6:56">
      <c r="F66" s="216"/>
      <c r="G66" s="216"/>
      <c r="H66" s="216"/>
      <c r="N66" s="216"/>
      <c r="O66" s="216"/>
      <c r="P66" s="216"/>
      <c r="V66" s="216"/>
      <c r="W66" s="216"/>
      <c r="X66" s="216"/>
      <c r="AD66" s="216"/>
      <c r="AE66" s="216"/>
      <c r="AF66" s="216"/>
      <c r="AL66" s="216"/>
      <c r="AM66" s="216"/>
      <c r="AN66" s="216"/>
      <c r="AT66" s="216"/>
      <c r="AU66" s="216"/>
      <c r="AV66" s="216"/>
      <c r="BB66" s="216"/>
      <c r="BC66" s="216"/>
      <c r="BD66" s="216"/>
    </row>
    <row r="67" spans="6:56">
      <c r="F67" s="216"/>
      <c r="G67" s="216"/>
      <c r="H67" s="216"/>
      <c r="N67" s="216"/>
      <c r="O67" s="216"/>
      <c r="P67" s="216"/>
      <c r="V67" s="216"/>
      <c r="W67" s="216"/>
      <c r="X67" s="216"/>
      <c r="AD67" s="216"/>
      <c r="AE67" s="216"/>
      <c r="AF67" s="216"/>
      <c r="AL67" s="216"/>
      <c r="AM67" s="216"/>
      <c r="AN67" s="216"/>
      <c r="AT67" s="216"/>
      <c r="AU67" s="216"/>
      <c r="AV67" s="216"/>
      <c r="BB67" s="216"/>
      <c r="BC67" s="216"/>
      <c r="BD67" s="216"/>
    </row>
    <row r="68" spans="6:56">
      <c r="F68" s="216"/>
      <c r="G68" s="216"/>
      <c r="H68" s="216"/>
      <c r="N68" s="216"/>
      <c r="O68" s="216"/>
      <c r="P68" s="216"/>
      <c r="V68" s="216"/>
      <c r="W68" s="216"/>
      <c r="X68" s="216"/>
      <c r="AD68" s="216"/>
      <c r="AE68" s="216"/>
      <c r="AF68" s="216"/>
      <c r="AL68" s="216"/>
      <c r="AM68" s="216"/>
      <c r="AN68" s="216"/>
      <c r="AT68" s="216"/>
      <c r="AU68" s="216"/>
      <c r="AV68" s="216"/>
      <c r="BB68" s="216"/>
      <c r="BC68" s="216"/>
      <c r="BD68" s="216"/>
    </row>
    <row r="69" spans="6:56">
      <c r="F69" s="216"/>
      <c r="G69" s="216"/>
      <c r="H69" s="216"/>
      <c r="N69" s="216"/>
      <c r="O69" s="216"/>
      <c r="P69" s="216"/>
      <c r="V69" s="216"/>
      <c r="W69" s="216"/>
      <c r="X69" s="216"/>
      <c r="AD69" s="216"/>
      <c r="AE69" s="216"/>
      <c r="AF69" s="216"/>
      <c r="AL69" s="216"/>
      <c r="AM69" s="216"/>
      <c r="AN69" s="216"/>
      <c r="AT69" s="216"/>
      <c r="AU69" s="216"/>
      <c r="AV69" s="216"/>
      <c r="BB69" s="216"/>
      <c r="BC69" s="216"/>
      <c r="BD69" s="216"/>
    </row>
    <row r="70" spans="6:56">
      <c r="F70" s="216"/>
      <c r="G70" s="216"/>
      <c r="H70" s="216"/>
      <c r="N70" s="216"/>
      <c r="O70" s="216"/>
      <c r="P70" s="216"/>
      <c r="V70" s="216"/>
      <c r="W70" s="216"/>
      <c r="X70" s="216"/>
      <c r="AD70" s="216"/>
      <c r="AE70" s="216"/>
      <c r="AF70" s="216"/>
      <c r="AL70" s="216"/>
      <c r="AM70" s="216"/>
      <c r="AN70" s="216"/>
      <c r="AT70" s="216"/>
      <c r="AU70" s="216"/>
      <c r="AV70" s="216"/>
      <c r="BB70" s="216"/>
      <c r="BC70" s="216"/>
      <c r="BD70" s="216"/>
    </row>
    <row r="71" spans="6:56">
      <c r="F71" s="216"/>
      <c r="G71" s="216"/>
      <c r="H71" s="216"/>
      <c r="N71" s="216"/>
      <c r="O71" s="216"/>
      <c r="P71" s="216"/>
      <c r="V71" s="216"/>
      <c r="W71" s="216"/>
      <c r="X71" s="216"/>
      <c r="AD71" s="216"/>
      <c r="AE71" s="216"/>
      <c r="AF71" s="216"/>
      <c r="AL71" s="216"/>
      <c r="AM71" s="216"/>
      <c r="AN71" s="216"/>
      <c r="AT71" s="216"/>
      <c r="AU71" s="216"/>
      <c r="AV71" s="216"/>
      <c r="BB71" s="216"/>
      <c r="BC71" s="216"/>
      <c r="BD71" s="216"/>
    </row>
    <row r="72" spans="6:56">
      <c r="F72" s="216"/>
      <c r="G72" s="216"/>
      <c r="H72" s="216"/>
      <c r="N72" s="216"/>
      <c r="O72" s="216"/>
      <c r="P72" s="216"/>
      <c r="V72" s="216"/>
      <c r="W72" s="216"/>
      <c r="X72" s="216"/>
      <c r="AD72" s="216"/>
      <c r="AE72" s="216"/>
      <c r="AF72" s="216"/>
      <c r="AL72" s="216"/>
      <c r="AM72" s="216"/>
      <c r="AN72" s="216"/>
      <c r="AT72" s="216"/>
      <c r="AU72" s="216"/>
      <c r="AV72" s="216"/>
      <c r="BB72" s="216"/>
      <c r="BC72" s="216"/>
      <c r="BD72" s="216"/>
    </row>
    <row r="73" spans="6:56">
      <c r="F73" s="216"/>
      <c r="G73" s="216"/>
      <c r="H73" s="216"/>
      <c r="N73" s="216"/>
      <c r="O73" s="216"/>
      <c r="P73" s="216"/>
      <c r="V73" s="216"/>
      <c r="W73" s="216"/>
      <c r="X73" s="216"/>
      <c r="AD73" s="216"/>
      <c r="AE73" s="216"/>
      <c r="AF73" s="216"/>
      <c r="AL73" s="216"/>
      <c r="AM73" s="216"/>
      <c r="AN73" s="216"/>
      <c r="AT73" s="216"/>
      <c r="AU73" s="216"/>
      <c r="AV73" s="216"/>
      <c r="BB73" s="216"/>
      <c r="BC73" s="216"/>
      <c r="BD73" s="216"/>
    </row>
    <row r="74" spans="6:56">
      <c r="F74" s="216"/>
      <c r="G74" s="216"/>
      <c r="H74" s="216"/>
      <c r="N74" s="216"/>
      <c r="O74" s="216"/>
      <c r="P74" s="216"/>
      <c r="V74" s="216"/>
      <c r="W74" s="216"/>
      <c r="X74" s="216"/>
      <c r="AD74" s="216"/>
      <c r="AE74" s="216"/>
      <c r="AF74" s="216"/>
      <c r="AL74" s="216"/>
      <c r="AM74" s="216"/>
      <c r="AN74" s="216"/>
      <c r="AT74" s="216"/>
      <c r="AU74" s="216"/>
      <c r="AV74" s="216"/>
      <c r="BB74" s="216"/>
      <c r="BC74" s="216"/>
      <c r="BD74" s="216"/>
    </row>
    <row r="75" spans="6:56">
      <c r="F75" s="216"/>
      <c r="G75" s="216"/>
      <c r="H75" s="216"/>
      <c r="N75" s="216"/>
      <c r="O75" s="216"/>
      <c r="P75" s="216"/>
      <c r="V75" s="216"/>
      <c r="W75" s="216"/>
      <c r="X75" s="216"/>
      <c r="AD75" s="216"/>
      <c r="AE75" s="216"/>
      <c r="AF75" s="216"/>
      <c r="AL75" s="216"/>
      <c r="AM75" s="216"/>
      <c r="AN75" s="216"/>
      <c r="AT75" s="216"/>
      <c r="AU75" s="216"/>
      <c r="AV75" s="216"/>
      <c r="BB75" s="216"/>
      <c r="BC75" s="216"/>
      <c r="BD75" s="216"/>
    </row>
    <row r="76" spans="6:56">
      <c r="F76" s="216"/>
      <c r="G76" s="216"/>
      <c r="H76" s="216"/>
      <c r="N76" s="216"/>
      <c r="O76" s="216"/>
      <c r="P76" s="216"/>
      <c r="V76" s="216"/>
      <c r="W76" s="216"/>
      <c r="X76" s="216"/>
      <c r="AD76" s="216"/>
      <c r="AE76" s="216"/>
      <c r="AF76" s="216"/>
      <c r="AL76" s="216"/>
      <c r="AM76" s="216"/>
      <c r="AN76" s="216"/>
      <c r="AT76" s="216"/>
      <c r="AU76" s="216"/>
      <c r="AV76" s="216"/>
      <c r="BB76" s="216"/>
      <c r="BC76" s="216"/>
      <c r="BD76" s="216"/>
    </row>
    <row r="77" spans="6:56">
      <c r="F77" s="216"/>
      <c r="G77" s="216"/>
      <c r="H77" s="216"/>
      <c r="N77" s="216"/>
      <c r="O77" s="216"/>
      <c r="P77" s="216"/>
      <c r="V77" s="216"/>
      <c r="W77" s="216"/>
      <c r="X77" s="216"/>
      <c r="AD77" s="216"/>
      <c r="AE77" s="216"/>
      <c r="AF77" s="216"/>
      <c r="AL77" s="216"/>
      <c r="AM77" s="216"/>
      <c r="AN77" s="216"/>
      <c r="AT77" s="216"/>
      <c r="AU77" s="216"/>
      <c r="AV77" s="216"/>
      <c r="BB77" s="216"/>
      <c r="BC77" s="216"/>
      <c r="BD77" s="216"/>
    </row>
    <row r="78" spans="6:56">
      <c r="F78" s="216"/>
      <c r="G78" s="216"/>
      <c r="H78" s="216"/>
      <c r="N78" s="216"/>
      <c r="O78" s="216"/>
      <c r="P78" s="216"/>
      <c r="V78" s="216"/>
      <c r="W78" s="216"/>
      <c r="X78" s="216"/>
      <c r="AD78" s="216"/>
      <c r="AE78" s="216"/>
      <c r="AF78" s="216"/>
      <c r="AL78" s="216"/>
      <c r="AM78" s="216"/>
      <c r="AN78" s="216"/>
      <c r="AT78" s="216"/>
      <c r="AU78" s="216"/>
      <c r="AV78" s="216"/>
      <c r="BB78" s="216"/>
      <c r="BC78" s="216"/>
      <c r="BD78" s="216"/>
    </row>
    <row r="79" spans="6:56">
      <c r="F79" s="216"/>
      <c r="G79" s="216"/>
      <c r="H79" s="216"/>
      <c r="N79" s="216"/>
      <c r="O79" s="216"/>
      <c r="P79" s="216"/>
      <c r="V79" s="216"/>
      <c r="W79" s="216"/>
      <c r="X79" s="216"/>
      <c r="AD79" s="216"/>
      <c r="AE79" s="216"/>
      <c r="AF79" s="216"/>
      <c r="AL79" s="216"/>
      <c r="AM79" s="216"/>
      <c r="AN79" s="216"/>
      <c r="AT79" s="216"/>
      <c r="AU79" s="216"/>
      <c r="AV79" s="216"/>
      <c r="BB79" s="216"/>
      <c r="BC79" s="216"/>
      <c r="BD79" s="216"/>
    </row>
    <row r="80" spans="6:56">
      <c r="F80" s="216"/>
      <c r="G80" s="216"/>
      <c r="H80" s="216"/>
      <c r="N80" s="216"/>
      <c r="O80" s="216"/>
      <c r="P80" s="216"/>
      <c r="V80" s="216"/>
      <c r="W80" s="216"/>
      <c r="X80" s="216"/>
      <c r="AD80" s="216"/>
      <c r="AE80" s="216"/>
      <c r="AF80" s="216"/>
      <c r="AL80" s="216"/>
      <c r="AM80" s="216"/>
      <c r="AN80" s="216"/>
      <c r="AT80" s="216"/>
      <c r="AU80" s="216"/>
      <c r="AV80" s="216"/>
      <c r="BB80" s="216"/>
      <c r="BC80" s="216"/>
      <c r="BD80" s="216"/>
    </row>
    <row r="81" spans="6:56">
      <c r="F81" s="216"/>
      <c r="G81" s="216"/>
      <c r="H81" s="216"/>
      <c r="N81" s="216"/>
      <c r="O81" s="216"/>
      <c r="P81" s="216"/>
      <c r="V81" s="216"/>
      <c r="W81" s="216"/>
      <c r="X81" s="216"/>
      <c r="AD81" s="216"/>
      <c r="AE81" s="216"/>
      <c r="AF81" s="216"/>
      <c r="AL81" s="216"/>
      <c r="AM81" s="216"/>
      <c r="AN81" s="216"/>
      <c r="AT81" s="216"/>
      <c r="AU81" s="216"/>
      <c r="AV81" s="216"/>
      <c r="BB81" s="216"/>
      <c r="BC81" s="216"/>
      <c r="BD81" s="216"/>
    </row>
    <row r="82" spans="6:56">
      <c r="F82" s="216"/>
      <c r="G82" s="216"/>
      <c r="H82" s="216"/>
      <c r="N82" s="216"/>
      <c r="O82" s="216"/>
      <c r="P82" s="216"/>
      <c r="V82" s="216"/>
      <c r="W82" s="216"/>
      <c r="X82" s="216"/>
      <c r="AD82" s="216"/>
      <c r="AE82" s="216"/>
      <c r="AF82" s="216"/>
      <c r="AL82" s="216"/>
      <c r="AM82" s="216"/>
      <c r="AN82" s="216"/>
      <c r="AT82" s="216"/>
      <c r="AU82" s="216"/>
      <c r="AV82" s="216"/>
      <c r="BB82" s="216"/>
      <c r="BC82" s="216"/>
      <c r="BD82" s="216"/>
    </row>
    <row r="83" spans="6:56">
      <c r="F83" s="216"/>
      <c r="G83" s="216"/>
      <c r="H83" s="216"/>
      <c r="N83" s="216"/>
      <c r="O83" s="216"/>
      <c r="P83" s="216"/>
      <c r="V83" s="216"/>
      <c r="W83" s="216"/>
      <c r="X83" s="216"/>
      <c r="AD83" s="216"/>
      <c r="AE83" s="216"/>
      <c r="AF83" s="216"/>
      <c r="AL83" s="216"/>
      <c r="AM83" s="216"/>
      <c r="AN83" s="216"/>
      <c r="AT83" s="216"/>
      <c r="AU83" s="216"/>
      <c r="AV83" s="216"/>
      <c r="BB83" s="216"/>
      <c r="BC83" s="216"/>
      <c r="BD83" s="216"/>
    </row>
    <row r="84" spans="6:56">
      <c r="F84" s="216"/>
      <c r="G84" s="216"/>
      <c r="H84" s="216"/>
      <c r="N84" s="216"/>
      <c r="O84" s="216"/>
      <c r="P84" s="216"/>
      <c r="V84" s="216"/>
      <c r="W84" s="216"/>
      <c r="X84" s="216"/>
      <c r="AD84" s="216"/>
      <c r="AE84" s="216"/>
      <c r="AF84" s="216"/>
      <c r="AL84" s="216"/>
      <c r="AM84" s="216"/>
      <c r="AN84" s="216"/>
      <c r="AT84" s="216"/>
      <c r="AU84" s="216"/>
      <c r="AV84" s="216"/>
      <c r="BB84" s="216"/>
      <c r="BC84" s="216"/>
      <c r="BD84" s="216"/>
    </row>
    <row r="85" spans="6:56">
      <c r="F85" s="216"/>
      <c r="G85" s="216"/>
      <c r="H85" s="216"/>
      <c r="N85" s="216"/>
      <c r="O85" s="216"/>
      <c r="P85" s="216"/>
      <c r="V85" s="216"/>
      <c r="W85" s="216"/>
      <c r="X85" s="216"/>
      <c r="AD85" s="216"/>
      <c r="AE85" s="216"/>
      <c r="AF85" s="216"/>
      <c r="AL85" s="216"/>
      <c r="AM85" s="216"/>
      <c r="AN85" s="216"/>
      <c r="AT85" s="216"/>
      <c r="AU85" s="216"/>
      <c r="AV85" s="216"/>
      <c r="BB85" s="216"/>
      <c r="BC85" s="216"/>
      <c r="BD85" s="216"/>
    </row>
    <row r="86" spans="6:56">
      <c r="F86" s="216"/>
      <c r="G86" s="216"/>
      <c r="H86" s="216"/>
      <c r="N86" s="216"/>
      <c r="O86" s="216"/>
      <c r="P86" s="216"/>
      <c r="V86" s="216"/>
      <c r="W86" s="216"/>
      <c r="X86" s="216"/>
      <c r="AD86" s="216"/>
      <c r="AE86" s="216"/>
      <c r="AF86" s="216"/>
      <c r="AL86" s="216"/>
      <c r="AM86" s="216"/>
      <c r="AN86" s="216"/>
      <c r="AT86" s="216"/>
      <c r="AU86" s="216"/>
      <c r="AV86" s="216"/>
      <c r="BB86" s="216"/>
      <c r="BC86" s="216"/>
      <c r="BD86" s="216"/>
    </row>
    <row r="87" spans="6:56">
      <c r="F87" s="216"/>
      <c r="G87" s="216"/>
      <c r="H87" s="216"/>
      <c r="N87" s="216"/>
      <c r="O87" s="216"/>
      <c r="P87" s="216"/>
      <c r="V87" s="216"/>
      <c r="W87" s="216"/>
      <c r="X87" s="216"/>
      <c r="AD87" s="216"/>
      <c r="AE87" s="216"/>
      <c r="AF87" s="216"/>
      <c r="AL87" s="216"/>
      <c r="AM87" s="216"/>
      <c r="AN87" s="216"/>
      <c r="AT87" s="216"/>
      <c r="AU87" s="216"/>
      <c r="AV87" s="216"/>
      <c r="BB87" s="216"/>
      <c r="BC87" s="216"/>
      <c r="BD87" s="216"/>
    </row>
    <row r="88" spans="6:56">
      <c r="F88" s="216"/>
      <c r="G88" s="216"/>
      <c r="H88" s="216"/>
      <c r="N88" s="216"/>
      <c r="O88" s="216"/>
      <c r="P88" s="216"/>
      <c r="V88" s="216"/>
      <c r="W88" s="216"/>
      <c r="X88" s="216"/>
      <c r="AD88" s="216"/>
      <c r="AE88" s="216"/>
      <c r="AF88" s="216"/>
      <c r="AL88" s="216"/>
      <c r="AM88" s="216"/>
      <c r="AN88" s="216"/>
      <c r="AT88" s="216"/>
      <c r="AU88" s="216"/>
      <c r="AV88" s="216"/>
      <c r="BB88" s="216"/>
      <c r="BC88" s="216"/>
      <c r="BD88" s="216"/>
    </row>
    <row r="89" spans="6:56">
      <c r="F89" s="216"/>
      <c r="G89" s="216"/>
      <c r="H89" s="216"/>
      <c r="N89" s="216"/>
      <c r="O89" s="216"/>
      <c r="P89" s="216"/>
      <c r="V89" s="216"/>
      <c r="W89" s="216"/>
      <c r="X89" s="216"/>
      <c r="AD89" s="216"/>
      <c r="AE89" s="216"/>
      <c r="AF89" s="216"/>
      <c r="AL89" s="216"/>
      <c r="AM89" s="216"/>
      <c r="AN89" s="216"/>
      <c r="AT89" s="216"/>
      <c r="AU89" s="216"/>
      <c r="AV89" s="216"/>
      <c r="BB89" s="216"/>
      <c r="BC89" s="216"/>
      <c r="BD89" s="216"/>
    </row>
    <row r="90" spans="6:56">
      <c r="F90" s="216"/>
      <c r="G90" s="216"/>
      <c r="H90" s="216"/>
      <c r="N90" s="216"/>
      <c r="O90" s="216"/>
      <c r="P90" s="216"/>
      <c r="V90" s="216"/>
      <c r="W90" s="216"/>
      <c r="X90" s="216"/>
      <c r="AD90" s="216"/>
      <c r="AE90" s="216"/>
      <c r="AF90" s="216"/>
      <c r="AL90" s="216"/>
      <c r="AM90" s="216"/>
      <c r="AN90" s="216"/>
      <c r="AT90" s="216"/>
      <c r="AU90" s="216"/>
      <c r="AV90" s="216"/>
      <c r="BB90" s="216"/>
      <c r="BC90" s="216"/>
      <c r="BD90" s="216"/>
    </row>
    <row r="91" spans="6:56">
      <c r="F91" s="216"/>
      <c r="G91" s="216"/>
      <c r="H91" s="216"/>
      <c r="N91" s="216"/>
      <c r="O91" s="216"/>
      <c r="P91" s="216"/>
      <c r="V91" s="216"/>
      <c r="W91" s="216"/>
      <c r="X91" s="216"/>
      <c r="AD91" s="216"/>
      <c r="AE91" s="216"/>
      <c r="AF91" s="216"/>
      <c r="AL91" s="216"/>
      <c r="AM91" s="216"/>
      <c r="AN91" s="216"/>
      <c r="AT91" s="216"/>
      <c r="AU91" s="216"/>
      <c r="AV91" s="216"/>
      <c r="BB91" s="216"/>
      <c r="BC91" s="216"/>
      <c r="BD91" s="216"/>
    </row>
    <row r="92" spans="6:56">
      <c r="F92" s="216"/>
      <c r="G92" s="216"/>
      <c r="H92" s="216"/>
      <c r="N92" s="216"/>
      <c r="O92" s="216"/>
      <c r="P92" s="216"/>
      <c r="V92" s="216"/>
      <c r="W92" s="216"/>
      <c r="X92" s="216"/>
      <c r="AD92" s="216"/>
      <c r="AE92" s="216"/>
      <c r="AF92" s="216"/>
      <c r="AL92" s="216"/>
      <c r="AM92" s="216"/>
      <c r="AN92" s="216"/>
      <c r="AT92" s="216"/>
      <c r="AU92" s="216"/>
      <c r="AV92" s="216"/>
      <c r="BB92" s="216"/>
      <c r="BC92" s="216"/>
      <c r="BD92" s="216"/>
    </row>
    <row r="93" spans="6:56">
      <c r="F93" s="216"/>
      <c r="G93" s="216"/>
      <c r="H93" s="216"/>
      <c r="N93" s="216"/>
      <c r="O93" s="216"/>
      <c r="P93" s="216"/>
      <c r="V93" s="216"/>
      <c r="W93" s="216"/>
      <c r="X93" s="216"/>
      <c r="AD93" s="216"/>
      <c r="AE93" s="216"/>
      <c r="AF93" s="216"/>
      <c r="AL93" s="216"/>
      <c r="AM93" s="216"/>
      <c r="AN93" s="216"/>
      <c r="AT93" s="216"/>
      <c r="AU93" s="216"/>
      <c r="AV93" s="216"/>
      <c r="BB93" s="216"/>
      <c r="BC93" s="216"/>
      <c r="BD93" s="216"/>
    </row>
    <row r="94" spans="6:56">
      <c r="F94" s="216"/>
      <c r="G94" s="216"/>
      <c r="H94" s="216"/>
      <c r="N94" s="216"/>
      <c r="O94" s="216"/>
      <c r="P94" s="216"/>
      <c r="V94" s="216"/>
      <c r="W94" s="216"/>
      <c r="X94" s="216"/>
      <c r="AD94" s="216"/>
      <c r="AE94" s="216"/>
      <c r="AF94" s="216"/>
      <c r="AL94" s="216"/>
      <c r="AM94" s="216"/>
      <c r="AN94" s="216"/>
      <c r="AT94" s="216"/>
      <c r="AU94" s="216"/>
      <c r="AV94" s="216"/>
      <c r="BB94" s="216"/>
      <c r="BC94" s="216"/>
      <c r="BD94" s="216"/>
    </row>
    <row r="95" spans="6:56">
      <c r="F95" s="216"/>
      <c r="G95" s="216"/>
      <c r="H95" s="216"/>
      <c r="N95" s="216"/>
      <c r="O95" s="216"/>
      <c r="P95" s="216"/>
      <c r="V95" s="216"/>
      <c r="W95" s="216"/>
      <c r="X95" s="216"/>
      <c r="AD95" s="216"/>
      <c r="AE95" s="216"/>
      <c r="AF95" s="216"/>
      <c r="AL95" s="216"/>
      <c r="AM95" s="216"/>
      <c r="AN95" s="216"/>
      <c r="AT95" s="216"/>
      <c r="AU95" s="216"/>
      <c r="AV95" s="216"/>
      <c r="BB95" s="216"/>
      <c r="BC95" s="216"/>
      <c r="BD95" s="216"/>
    </row>
    <row r="96" spans="6:56">
      <c r="F96" s="216"/>
      <c r="G96" s="216"/>
      <c r="H96" s="216"/>
      <c r="N96" s="216"/>
      <c r="O96" s="216"/>
      <c r="P96" s="216"/>
      <c r="V96" s="216"/>
      <c r="W96" s="216"/>
      <c r="X96" s="216"/>
      <c r="AD96" s="216"/>
      <c r="AE96" s="216"/>
      <c r="AF96" s="216"/>
      <c r="AL96" s="216"/>
      <c r="AM96" s="216"/>
      <c r="AN96" s="216"/>
      <c r="AT96" s="216"/>
      <c r="AU96" s="216"/>
      <c r="AV96" s="216"/>
      <c r="BB96" s="216"/>
      <c r="BC96" s="216"/>
      <c r="BD96" s="216"/>
    </row>
    <row r="97" spans="6:56">
      <c r="F97" s="216"/>
      <c r="G97" s="216"/>
      <c r="H97" s="216"/>
      <c r="N97" s="216"/>
      <c r="O97" s="216"/>
      <c r="P97" s="216"/>
      <c r="V97" s="216"/>
      <c r="W97" s="216"/>
      <c r="X97" s="216"/>
      <c r="AD97" s="216"/>
      <c r="AE97" s="216"/>
      <c r="AF97" s="216"/>
      <c r="AL97" s="216"/>
      <c r="AM97" s="216"/>
      <c r="AN97" s="216"/>
      <c r="AT97" s="216"/>
      <c r="AU97" s="216"/>
      <c r="AV97" s="216"/>
      <c r="BB97" s="216"/>
      <c r="BC97" s="216"/>
      <c r="BD97" s="216"/>
    </row>
    <row r="98" spans="6:56">
      <c r="F98" s="216"/>
      <c r="G98" s="216"/>
      <c r="H98" s="216"/>
      <c r="N98" s="216"/>
      <c r="O98" s="216"/>
      <c r="P98" s="216"/>
      <c r="V98" s="216"/>
      <c r="W98" s="216"/>
      <c r="X98" s="216"/>
      <c r="AD98" s="216"/>
      <c r="AE98" s="216"/>
      <c r="AF98" s="216"/>
      <c r="AL98" s="216"/>
      <c r="AM98" s="216"/>
      <c r="AN98" s="216"/>
      <c r="AT98" s="216"/>
      <c r="AU98" s="216"/>
      <c r="AV98" s="216"/>
      <c r="BB98" s="216"/>
      <c r="BC98" s="216"/>
      <c r="BD98" s="216"/>
    </row>
    <row r="99" spans="6:56">
      <c r="F99" s="216"/>
      <c r="G99" s="216"/>
      <c r="H99" s="216"/>
      <c r="N99" s="216"/>
      <c r="O99" s="216"/>
      <c r="P99" s="216"/>
      <c r="V99" s="216"/>
      <c r="W99" s="216"/>
      <c r="X99" s="216"/>
      <c r="AD99" s="216"/>
      <c r="AE99" s="216"/>
      <c r="AF99" s="216"/>
      <c r="AL99" s="216"/>
      <c r="AM99" s="216"/>
      <c r="AN99" s="216"/>
      <c r="AT99" s="216"/>
      <c r="AU99" s="216"/>
      <c r="AV99" s="216"/>
      <c r="BB99" s="216"/>
      <c r="BC99" s="216"/>
      <c r="BD99" s="216"/>
    </row>
    <row r="100" spans="6:56">
      <c r="F100" s="216"/>
      <c r="G100" s="216"/>
      <c r="H100" s="216"/>
    </row>
    <row r="101" spans="6:56">
      <c r="F101" s="216"/>
      <c r="G101" s="216"/>
      <c r="H101" s="216"/>
    </row>
    <row r="102" spans="6:56">
      <c r="F102" s="216"/>
      <c r="G102" s="216"/>
      <c r="H102" s="216"/>
    </row>
    <row r="103" spans="6:56">
      <c r="F103" s="216"/>
      <c r="G103" s="216"/>
      <c r="H103" s="216"/>
    </row>
    <row r="104" spans="6:56">
      <c r="F104" s="216"/>
      <c r="G104" s="216"/>
      <c r="H104" s="216"/>
    </row>
  </sheetData>
  <protectedRanges>
    <protectedRange sqref="B3:H3 J3:P3 R3:X3 Z3:AF3 AH3:AN3 AP3:AV3 AX3:BD3" name="Range5"/>
  </protectedRanges>
  <mergeCells count="7">
    <mergeCell ref="AP1:AV1"/>
    <mergeCell ref="AX1:BD1"/>
    <mergeCell ref="B1:H1"/>
    <mergeCell ref="J1:P1"/>
    <mergeCell ref="R1:X1"/>
    <mergeCell ref="Z1:AF1"/>
    <mergeCell ref="AH1:AN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1A46-668F-4FB3-BF00-0F15B1308249}">
  <dimension ref="A1:X292"/>
  <sheetViews>
    <sheetView showGridLines="0" zoomScale="83" workbookViewId="0">
      <pane xSplit="2" ySplit="3" topLeftCell="D24" activePane="bottomRight" state="frozen"/>
      <selection pane="topRight" activeCell="C1" sqref="C1"/>
      <selection pane="bottomLeft" activeCell="A7" sqref="A7"/>
      <selection pane="bottomRight"/>
    </sheetView>
  </sheetViews>
  <sheetFormatPr defaultRowHeight="14.5"/>
  <cols>
    <col min="1" max="1" width="26.1796875" customWidth="1"/>
    <col min="2" max="2" width="15.08984375" customWidth="1"/>
    <col min="3" max="14" width="14.6328125" customWidth="1"/>
  </cols>
  <sheetData>
    <row r="1" spans="1:24">
      <c r="C1" s="237">
        <f>SUM(C5:C64)</f>
        <v>616675000</v>
      </c>
      <c r="D1" s="237">
        <f t="shared" ref="D1:N1" si="0">SUM(D5:D64)</f>
        <v>645675000</v>
      </c>
      <c r="E1" s="237">
        <f t="shared" si="0"/>
        <v>300675000</v>
      </c>
      <c r="F1" s="237">
        <f t="shared" si="0"/>
        <v>1663015000</v>
      </c>
      <c r="G1" s="237">
        <f t="shared" si="0"/>
        <v>733492530</v>
      </c>
      <c r="H1" s="237">
        <f t="shared" si="0"/>
        <v>1221017530</v>
      </c>
      <c r="I1" s="237">
        <f t="shared" si="0"/>
        <v>306057530</v>
      </c>
      <c r="J1" s="237">
        <f t="shared" si="0"/>
        <v>530492530</v>
      </c>
      <c r="K1" s="237">
        <f t="shared" si="0"/>
        <v>441794062.07999998</v>
      </c>
      <c r="L1" s="237">
        <f t="shared" si="0"/>
        <v>286057530</v>
      </c>
      <c r="M1" s="237">
        <f t="shared" si="0"/>
        <v>68817530</v>
      </c>
      <c r="N1" s="237">
        <f t="shared" si="0"/>
        <v>598817530</v>
      </c>
    </row>
    <row r="2" spans="1:24">
      <c r="B2" s="238" t="s">
        <v>532</v>
      </c>
      <c r="C2" s="238" t="s">
        <v>259</v>
      </c>
      <c r="D2" s="238" t="s">
        <v>260</v>
      </c>
      <c r="E2" s="238" t="s">
        <v>261</v>
      </c>
      <c r="F2" s="238" t="s">
        <v>262</v>
      </c>
      <c r="G2" s="238" t="s">
        <v>529</v>
      </c>
      <c r="H2" s="238" t="s">
        <v>263</v>
      </c>
      <c r="I2" s="238" t="s">
        <v>264</v>
      </c>
      <c r="J2" s="238" t="s">
        <v>265</v>
      </c>
      <c r="K2" s="238" t="s">
        <v>530</v>
      </c>
      <c r="L2" s="238" t="s">
        <v>274</v>
      </c>
      <c r="M2" s="238" t="s">
        <v>267</v>
      </c>
      <c r="N2" s="238" t="s">
        <v>275</v>
      </c>
    </row>
    <row r="3" spans="1:24" ht="4.5" customHeight="1">
      <c r="B3" s="245"/>
      <c r="C3" s="243"/>
      <c r="D3" s="243"/>
      <c r="E3" s="243"/>
      <c r="F3" s="243"/>
      <c r="G3" s="243"/>
      <c r="H3" s="243"/>
      <c r="I3" s="243"/>
      <c r="J3" s="243"/>
      <c r="K3" s="243"/>
      <c r="L3" s="243"/>
      <c r="M3" s="243"/>
      <c r="N3" s="243"/>
    </row>
    <row r="4" spans="1:24">
      <c r="A4" s="278" t="s">
        <v>531</v>
      </c>
      <c r="B4" s="279"/>
      <c r="C4" s="244"/>
      <c r="D4" s="244"/>
      <c r="E4" s="244"/>
      <c r="F4" s="244"/>
      <c r="G4" s="244"/>
      <c r="H4" s="244"/>
      <c r="I4" s="244"/>
      <c r="J4" s="244"/>
      <c r="K4" s="244"/>
      <c r="L4" s="244"/>
      <c r="M4" s="244"/>
      <c r="N4" s="244"/>
    </row>
    <row r="5" spans="1:24" s="248" customFormat="1">
      <c r="A5" s="246" t="s">
        <v>2354</v>
      </c>
      <c r="B5" s="216">
        <f>SUM(C5:N5)</f>
        <v>288000000</v>
      </c>
      <c r="C5" s="247">
        <v>24000000</v>
      </c>
      <c r="D5" s="247">
        <v>24000000</v>
      </c>
      <c r="E5" s="247">
        <v>24000000</v>
      </c>
      <c r="F5" s="247">
        <v>24000000</v>
      </c>
      <c r="G5" s="247">
        <v>24000000</v>
      </c>
      <c r="H5" s="249">
        <v>24000000</v>
      </c>
      <c r="I5" s="249">
        <v>24000000</v>
      </c>
      <c r="J5" s="249">
        <v>24000000</v>
      </c>
      <c r="K5" s="249">
        <v>24000000</v>
      </c>
      <c r="L5" s="249">
        <v>24000000</v>
      </c>
      <c r="M5" s="249">
        <v>24000000</v>
      </c>
      <c r="N5" s="249">
        <v>24000000</v>
      </c>
    </row>
    <row r="6" spans="1:24">
      <c r="A6" s="246" t="s">
        <v>2348</v>
      </c>
      <c r="B6" s="216">
        <f t="shared" ref="B6" si="1">SUM(C6:N6)</f>
        <v>100164624</v>
      </c>
      <c r="C6" s="216"/>
      <c r="D6" s="216"/>
      <c r="E6" s="216"/>
      <c r="F6" s="216"/>
      <c r="G6" s="216">
        <v>12520578</v>
      </c>
      <c r="H6" s="226">
        <v>12520578</v>
      </c>
      <c r="I6" s="226">
        <v>12520578</v>
      </c>
      <c r="J6" s="226">
        <v>12520578</v>
      </c>
      <c r="K6" s="226">
        <v>12520578</v>
      </c>
      <c r="L6" s="226">
        <v>12520578</v>
      </c>
      <c r="M6" s="226">
        <v>12520578</v>
      </c>
      <c r="N6" s="226">
        <v>12520578</v>
      </c>
    </row>
    <row r="7" spans="1:24" s="248" customFormat="1">
      <c r="A7" s="248" t="s">
        <v>2349</v>
      </c>
      <c r="B7" s="216">
        <f>I7*36+F7+G7</f>
        <v>326787224</v>
      </c>
      <c r="C7" s="247"/>
      <c r="D7" s="247"/>
      <c r="E7" s="247"/>
      <c r="F7" s="216">
        <v>22000000</v>
      </c>
      <c r="G7" s="247">
        <f>20000000+(3848476*2)</f>
        <v>27696952</v>
      </c>
      <c r="H7" s="249">
        <f t="shared" ref="H7:N7" si="2">3848476*2</f>
        <v>7696952</v>
      </c>
      <c r="I7" s="249">
        <f t="shared" si="2"/>
        <v>7696952</v>
      </c>
      <c r="J7" s="249">
        <f t="shared" si="2"/>
        <v>7696952</v>
      </c>
      <c r="K7" s="249">
        <f t="shared" si="2"/>
        <v>7696952</v>
      </c>
      <c r="L7" s="249">
        <f t="shared" si="2"/>
        <v>7696952</v>
      </c>
      <c r="M7" s="249">
        <f t="shared" si="2"/>
        <v>7696952</v>
      </c>
      <c r="N7" s="249">
        <f t="shared" si="2"/>
        <v>7696952</v>
      </c>
    </row>
    <row r="8" spans="1:24">
      <c r="A8" s="246" t="s">
        <v>2350</v>
      </c>
      <c r="B8" s="216">
        <f>F8*36</f>
        <v>165600000</v>
      </c>
      <c r="C8" s="216"/>
      <c r="D8" s="216"/>
      <c r="E8" s="216"/>
      <c r="F8" s="216">
        <v>4600000</v>
      </c>
      <c r="G8" s="216">
        <v>4600000</v>
      </c>
      <c r="H8" s="226">
        <v>4600000</v>
      </c>
      <c r="I8" s="226">
        <v>4600000</v>
      </c>
      <c r="J8" s="226">
        <v>4600000</v>
      </c>
      <c r="K8" s="226">
        <v>4600000</v>
      </c>
      <c r="L8" s="226">
        <v>4600000</v>
      </c>
      <c r="M8" s="226">
        <v>4600000</v>
      </c>
      <c r="N8" s="226">
        <v>4600000</v>
      </c>
    </row>
    <row r="9" spans="1:24">
      <c r="A9" s="248" t="s">
        <v>2351</v>
      </c>
      <c r="B9" s="237">
        <f>E9*6</f>
        <v>10050000</v>
      </c>
      <c r="C9" s="216">
        <v>1675000</v>
      </c>
      <c r="D9" s="216">
        <v>1675000</v>
      </c>
      <c r="E9" s="216">
        <v>1675000</v>
      </c>
      <c r="F9" s="216">
        <v>1675000</v>
      </c>
      <c r="G9" s="216">
        <v>1675000</v>
      </c>
      <c r="H9" s="226">
        <v>1675000</v>
      </c>
      <c r="I9" s="226">
        <v>1675000</v>
      </c>
      <c r="J9" s="226">
        <v>1675000</v>
      </c>
      <c r="K9" s="226">
        <v>1675000</v>
      </c>
      <c r="L9" s="226">
        <v>1675000</v>
      </c>
      <c r="M9" s="226"/>
      <c r="N9" s="226"/>
    </row>
    <row r="10" spans="1:24">
      <c r="A10" s="246" t="s">
        <v>2353</v>
      </c>
      <c r="B10" s="237">
        <f>K10</f>
        <v>48981532.079999998</v>
      </c>
      <c r="C10" s="216"/>
      <c r="D10" s="216"/>
      <c r="E10" s="216"/>
      <c r="F10" s="216"/>
      <c r="G10" s="226"/>
      <c r="H10" s="226"/>
      <c r="I10" s="226"/>
      <c r="J10" s="226"/>
      <c r="K10" s="226">
        <f>104%*47097627</f>
        <v>48981532.079999998</v>
      </c>
      <c r="L10" s="226"/>
      <c r="M10" s="226"/>
      <c r="N10" s="226"/>
    </row>
    <row r="11" spans="1:24">
      <c r="A11" s="246" t="s">
        <v>2352</v>
      </c>
      <c r="B11" s="237">
        <f>H11+K11</f>
        <v>284320000</v>
      </c>
      <c r="C11" s="216"/>
      <c r="D11" s="216"/>
      <c r="E11" s="216"/>
      <c r="F11" s="216"/>
      <c r="G11" s="216"/>
      <c r="H11" s="216">
        <v>42000000</v>
      </c>
      <c r="I11" s="226"/>
      <c r="J11" s="226"/>
      <c r="K11" s="226">
        <f>104%*233000000</f>
        <v>242320000</v>
      </c>
      <c r="L11" s="223"/>
      <c r="M11" s="226"/>
      <c r="N11" s="226"/>
    </row>
    <row r="12" spans="1:24">
      <c r="A12" s="246" t="s">
        <v>2355</v>
      </c>
      <c r="B12" s="237">
        <f>500000000+60000000+140000000</f>
        <v>700000000</v>
      </c>
      <c r="C12" s="216"/>
      <c r="D12" s="216"/>
      <c r="E12" s="216"/>
      <c r="F12" s="216"/>
      <c r="G12" s="216"/>
      <c r="H12" s="226"/>
      <c r="I12" s="226">
        <v>20000000</v>
      </c>
      <c r="J12" s="226"/>
      <c r="K12" s="226"/>
      <c r="L12" s="226"/>
      <c r="M12" s="226">
        <v>20000000</v>
      </c>
      <c r="N12" s="226"/>
    </row>
    <row r="13" spans="1:24">
      <c r="C13" s="216"/>
      <c r="D13" s="216"/>
      <c r="E13" s="216"/>
      <c r="F13" s="216"/>
      <c r="G13" s="216"/>
      <c r="H13" s="226"/>
      <c r="I13" s="226"/>
      <c r="J13" s="226"/>
      <c r="K13" s="226"/>
      <c r="L13" s="226"/>
      <c r="M13" s="226"/>
      <c r="N13" s="226"/>
    </row>
    <row r="14" spans="1:24">
      <c r="A14" s="276" t="s">
        <v>533</v>
      </c>
      <c r="B14" s="277"/>
      <c r="C14" s="216"/>
      <c r="D14" s="216"/>
      <c r="E14" s="216"/>
      <c r="F14" s="216"/>
      <c r="G14" s="216"/>
      <c r="H14" s="226"/>
      <c r="I14" s="226"/>
      <c r="J14" s="226"/>
      <c r="K14" s="226"/>
      <c r="L14" s="226"/>
      <c r="M14" s="226"/>
      <c r="N14" s="226"/>
    </row>
    <row r="15" spans="1:24" s="248" customFormat="1">
      <c r="A15" s="246" t="s">
        <v>538</v>
      </c>
      <c r="B15" s="247">
        <f>500000000+569000000</f>
        <v>1069000000</v>
      </c>
      <c r="C15" s="247">
        <v>431000000</v>
      </c>
      <c r="D15" s="247">
        <v>500000000</v>
      </c>
      <c r="E15" s="247"/>
      <c r="F15" s="247"/>
      <c r="G15" s="247"/>
      <c r="H15" s="249"/>
      <c r="I15" s="249"/>
      <c r="J15" s="249"/>
      <c r="K15" s="249"/>
      <c r="L15" s="249"/>
      <c r="M15" s="249"/>
      <c r="N15" s="249">
        <v>550000000</v>
      </c>
      <c r="O15" s="247"/>
      <c r="P15" s="247"/>
      <c r="Q15" s="247"/>
      <c r="R15" s="247"/>
      <c r="S15" s="247"/>
      <c r="T15" s="247"/>
      <c r="U15" s="247"/>
      <c r="V15" s="247"/>
      <c r="W15" s="247"/>
      <c r="X15" s="247"/>
    </row>
    <row r="16" spans="1:24">
      <c r="A16" t="s">
        <v>534</v>
      </c>
      <c r="B16" s="216">
        <v>682275000</v>
      </c>
      <c r="C16" s="216"/>
      <c r="D16" s="216"/>
      <c r="E16" s="216"/>
      <c r="F16" s="216">
        <v>340000000</v>
      </c>
      <c r="G16" s="216"/>
      <c r="H16" s="226"/>
      <c r="I16" s="226"/>
      <c r="J16" s="226"/>
      <c r="K16" s="226"/>
      <c r="L16" s="226"/>
      <c r="M16" s="226"/>
      <c r="N16" s="226"/>
      <c r="O16" s="216"/>
      <c r="P16" s="216"/>
      <c r="Q16" s="216"/>
      <c r="R16" s="216"/>
      <c r="S16" s="216"/>
      <c r="T16" s="216"/>
      <c r="U16" s="216"/>
      <c r="V16" s="216"/>
      <c r="W16" s="216"/>
      <c r="X16" s="216"/>
    </row>
    <row r="17" spans="1:24">
      <c r="B17" s="216"/>
      <c r="C17" s="216"/>
      <c r="D17" s="216"/>
      <c r="E17" s="216"/>
      <c r="F17" s="216"/>
      <c r="G17" s="216"/>
      <c r="H17" s="226"/>
      <c r="I17" s="226"/>
      <c r="J17" s="226"/>
      <c r="K17" s="226"/>
      <c r="L17" s="226"/>
      <c r="M17" s="226"/>
      <c r="N17" s="226"/>
      <c r="O17" s="216"/>
      <c r="P17" s="216"/>
      <c r="Q17" s="216"/>
      <c r="R17" s="216"/>
      <c r="S17" s="216"/>
      <c r="T17" s="216"/>
      <c r="U17" s="216"/>
      <c r="V17" s="216"/>
      <c r="W17" s="216"/>
      <c r="X17" s="216"/>
    </row>
    <row r="18" spans="1:24">
      <c r="A18" s="276" t="s">
        <v>539</v>
      </c>
      <c r="B18" s="277"/>
      <c r="C18" s="216"/>
      <c r="D18" s="216"/>
      <c r="E18" s="216"/>
      <c r="F18" s="216"/>
      <c r="G18" s="216"/>
      <c r="H18" s="226"/>
      <c r="I18" s="226"/>
      <c r="J18" s="226"/>
      <c r="K18" s="226"/>
      <c r="L18" s="226"/>
      <c r="M18" s="226"/>
      <c r="N18" s="226"/>
      <c r="O18" s="216"/>
      <c r="P18" s="216"/>
      <c r="Q18" s="216"/>
      <c r="R18" s="216"/>
      <c r="S18" s="216"/>
      <c r="T18" s="216"/>
      <c r="U18" s="216"/>
      <c r="V18" s="216"/>
      <c r="W18" s="216"/>
      <c r="X18" s="216"/>
    </row>
    <row r="19" spans="1:24" s="248" customFormat="1">
      <c r="A19" s="248" t="s">
        <v>2314</v>
      </c>
      <c r="B19" s="273">
        <v>90000000</v>
      </c>
      <c r="C19" s="247"/>
      <c r="D19" s="247"/>
      <c r="E19" s="247">
        <f>10000000+80000000</f>
        <v>90000000</v>
      </c>
      <c r="F19" s="247"/>
      <c r="G19" s="247"/>
      <c r="H19" s="249"/>
      <c r="I19" s="249"/>
      <c r="J19" s="249"/>
      <c r="K19" s="249"/>
      <c r="L19" s="249"/>
      <c r="M19" s="249"/>
      <c r="N19" s="249"/>
      <c r="O19" s="247"/>
      <c r="P19" s="247"/>
      <c r="Q19" s="247"/>
      <c r="R19" s="247"/>
      <c r="S19" s="247"/>
      <c r="T19" s="247"/>
      <c r="U19" s="247"/>
      <c r="V19" s="247"/>
      <c r="W19" s="247"/>
      <c r="X19" s="247"/>
    </row>
    <row r="20" spans="1:24">
      <c r="A20" t="s">
        <v>2315</v>
      </c>
      <c r="B20" s="273">
        <v>300000000</v>
      </c>
      <c r="C20" s="216"/>
      <c r="D20" s="216"/>
      <c r="E20" s="216">
        <v>10000000</v>
      </c>
      <c r="F20" s="231">
        <v>140000000</v>
      </c>
      <c r="G20" s="216">
        <v>150000000</v>
      </c>
      <c r="H20" s="226"/>
      <c r="I20" s="226"/>
      <c r="J20" s="226"/>
      <c r="K20" s="226"/>
      <c r="L20" s="226"/>
      <c r="M20" s="226"/>
      <c r="N20" s="226"/>
      <c r="O20" s="216"/>
      <c r="P20" s="216"/>
      <c r="Q20" s="216"/>
      <c r="R20" s="216"/>
      <c r="S20" s="216"/>
      <c r="T20" s="216"/>
      <c r="U20" s="216"/>
      <c r="V20" s="216"/>
      <c r="W20" s="216"/>
      <c r="X20" s="216"/>
    </row>
    <row r="21" spans="1:24" s="248" customFormat="1">
      <c r="A21" s="248" t="s">
        <v>535</v>
      </c>
      <c r="B21" s="247">
        <v>650000000</v>
      </c>
      <c r="C21" s="247"/>
      <c r="D21" s="247"/>
      <c r="E21" s="247">
        <v>20000000</v>
      </c>
      <c r="F21" s="247">
        <v>350000000</v>
      </c>
      <c r="G21" s="247"/>
      <c r="H21" s="249"/>
      <c r="I21" s="249"/>
      <c r="J21" s="249">
        <v>280000000</v>
      </c>
      <c r="K21" s="249"/>
      <c r="L21" s="249"/>
      <c r="M21" s="249"/>
      <c r="N21" s="249"/>
      <c r="O21" s="247"/>
      <c r="P21" s="247"/>
      <c r="Q21" s="247"/>
      <c r="R21" s="247"/>
      <c r="S21" s="247"/>
      <c r="T21" s="247"/>
      <c r="U21" s="247"/>
      <c r="V21" s="247"/>
      <c r="W21" s="247"/>
      <c r="X21" s="247"/>
    </row>
    <row r="22" spans="1:24" s="248" customFormat="1">
      <c r="A22" s="246" t="s">
        <v>2316</v>
      </c>
      <c r="B22" s="247">
        <v>150000000</v>
      </c>
      <c r="C22" s="247"/>
      <c r="D22" s="247"/>
      <c r="E22" s="247"/>
      <c r="F22" s="247"/>
      <c r="G22" s="247">
        <v>20000000</v>
      </c>
      <c r="H22" s="249"/>
      <c r="I22" s="249"/>
      <c r="J22" s="249"/>
      <c r="K22" s="249"/>
      <c r="L22" s="249"/>
      <c r="M22" s="249"/>
      <c r="N22" s="249"/>
      <c r="O22" s="247"/>
      <c r="P22" s="247"/>
      <c r="Q22" s="247"/>
      <c r="R22" s="247"/>
      <c r="S22" s="247"/>
      <c r="T22" s="247"/>
      <c r="U22" s="247"/>
      <c r="V22" s="247"/>
      <c r="W22" s="247"/>
      <c r="X22" s="247"/>
    </row>
    <row r="23" spans="1:24">
      <c r="A23" s="246" t="s">
        <v>2310</v>
      </c>
      <c r="B23" s="273">
        <v>300000000</v>
      </c>
      <c r="C23" s="216"/>
      <c r="D23" s="216"/>
      <c r="E23" s="216"/>
      <c r="F23" s="216">
        <v>285000000</v>
      </c>
      <c r="G23" s="216">
        <v>15000000</v>
      </c>
      <c r="H23" s="226"/>
      <c r="I23" s="226"/>
      <c r="J23" s="226"/>
      <c r="K23" s="226"/>
      <c r="L23" s="226"/>
      <c r="M23" s="226"/>
      <c r="N23" s="226"/>
      <c r="O23" s="216"/>
      <c r="P23" s="216"/>
      <c r="Q23" s="216"/>
      <c r="R23" s="216"/>
      <c r="S23" s="216"/>
      <c r="T23" s="216"/>
      <c r="U23" s="216"/>
      <c r="V23" s="216"/>
      <c r="W23" s="216"/>
      <c r="X23" s="216"/>
    </row>
    <row r="24" spans="1:24">
      <c r="A24" s="246" t="s">
        <v>2343</v>
      </c>
      <c r="B24" s="216">
        <v>128000000</v>
      </c>
      <c r="C24" s="216"/>
      <c r="D24" s="216"/>
      <c r="E24" s="216"/>
      <c r="F24" s="216"/>
      <c r="G24" s="216">
        <v>18000000</v>
      </c>
      <c r="H24" s="226"/>
      <c r="I24" s="226"/>
      <c r="J24" s="226"/>
      <c r="K24" s="226"/>
      <c r="L24" s="226"/>
      <c r="M24" s="226"/>
      <c r="N24" s="226"/>
      <c r="O24" s="216"/>
      <c r="P24" s="216"/>
      <c r="Q24" s="216"/>
      <c r="R24" s="216"/>
      <c r="S24" s="216"/>
      <c r="T24" s="216"/>
      <c r="U24" s="216"/>
      <c r="V24" s="216"/>
      <c r="W24" s="216"/>
      <c r="X24" s="216"/>
    </row>
    <row r="25" spans="1:24">
      <c r="B25" s="216"/>
      <c r="C25" s="216"/>
      <c r="D25" s="216"/>
      <c r="E25" s="216"/>
      <c r="F25" s="216"/>
      <c r="G25" s="216"/>
      <c r="H25" s="226"/>
      <c r="I25" s="226"/>
      <c r="J25" s="226"/>
      <c r="K25" s="226"/>
      <c r="L25" s="226"/>
      <c r="M25" s="226"/>
      <c r="N25" s="226"/>
      <c r="O25" s="216"/>
      <c r="P25" s="216"/>
      <c r="Q25" s="216"/>
      <c r="R25" s="216"/>
      <c r="S25" s="216"/>
      <c r="T25" s="216"/>
      <c r="U25" s="216"/>
      <c r="V25" s="216"/>
      <c r="W25" s="216"/>
      <c r="X25" s="216"/>
    </row>
    <row r="26" spans="1:24">
      <c r="A26" s="276" t="s">
        <v>540</v>
      </c>
      <c r="B26" s="277"/>
      <c r="C26" s="216"/>
      <c r="D26" s="216"/>
      <c r="E26" s="216"/>
      <c r="F26" s="216"/>
      <c r="G26" s="216"/>
      <c r="H26" s="226"/>
      <c r="I26" s="226"/>
      <c r="J26" s="226"/>
      <c r="K26" s="226"/>
      <c r="L26" s="226"/>
      <c r="M26" s="226"/>
      <c r="N26" s="226"/>
      <c r="O26" s="216"/>
      <c r="P26" s="216"/>
      <c r="Q26" s="216"/>
      <c r="R26" s="216"/>
      <c r="S26" s="216"/>
      <c r="T26" s="216"/>
      <c r="U26" s="216"/>
      <c r="V26" s="216"/>
      <c r="W26" s="216"/>
      <c r="X26" s="216"/>
    </row>
    <row r="27" spans="1:24" s="248" customFormat="1">
      <c r="A27" s="248" t="s">
        <v>2330</v>
      </c>
      <c r="B27" s="247">
        <v>630000000</v>
      </c>
      <c r="C27" s="247"/>
      <c r="D27" s="247">
        <v>30000000</v>
      </c>
      <c r="E27" s="247">
        <v>25000000</v>
      </c>
      <c r="F27" s="272">
        <f>10000000+25000000</f>
        <v>35000000</v>
      </c>
      <c r="G27" s="216">
        <f>19000000+1000000+25000000+195000000</f>
        <v>240000000</v>
      </c>
      <c r="H27" s="249">
        <v>300000000</v>
      </c>
      <c r="I27" s="249"/>
      <c r="J27" s="249"/>
      <c r="K27" s="249"/>
      <c r="L27" s="249"/>
      <c r="M27" s="249"/>
      <c r="N27" s="249"/>
      <c r="O27" s="247"/>
      <c r="P27" s="247"/>
      <c r="Q27" s="247"/>
      <c r="R27" s="247"/>
      <c r="S27" s="247"/>
      <c r="T27" s="247"/>
      <c r="U27" s="247"/>
      <c r="V27" s="247"/>
      <c r="W27" s="247"/>
      <c r="X27" s="247"/>
    </row>
    <row r="28" spans="1:24">
      <c r="A28" t="s">
        <v>536</v>
      </c>
      <c r="B28" s="273">
        <v>313740000</v>
      </c>
      <c r="C28" s="216"/>
      <c r="D28" s="216"/>
      <c r="E28" s="216"/>
      <c r="F28" s="216">
        <f>230000+229770000+83740000</f>
        <v>313740000</v>
      </c>
      <c r="G28" s="216"/>
      <c r="H28" s="226"/>
      <c r="I28" s="226"/>
      <c r="J28" s="226"/>
      <c r="K28" s="226"/>
      <c r="L28" s="226"/>
      <c r="M28" s="226"/>
      <c r="N28" s="226"/>
      <c r="O28" s="216"/>
      <c r="P28" s="216"/>
      <c r="Q28" s="216"/>
      <c r="R28" s="216"/>
      <c r="S28" s="216"/>
      <c r="T28" s="216"/>
      <c r="U28" s="216"/>
      <c r="V28" s="216"/>
      <c r="W28" s="216"/>
      <c r="X28" s="216"/>
    </row>
    <row r="29" spans="1:24" s="248" customFormat="1">
      <c r="A29" s="248" t="s">
        <v>537</v>
      </c>
      <c r="B29" s="247">
        <v>393525000</v>
      </c>
      <c r="C29" s="247"/>
      <c r="D29" s="247"/>
      <c r="E29" s="247"/>
      <c r="F29" s="272">
        <v>20000000</v>
      </c>
      <c r="G29" s="272">
        <v>100000000</v>
      </c>
      <c r="H29" s="249">
        <v>273525000</v>
      </c>
      <c r="I29" s="249"/>
      <c r="J29" s="249"/>
      <c r="K29" s="249"/>
      <c r="L29" s="249"/>
      <c r="M29" s="249"/>
      <c r="N29" s="249"/>
      <c r="O29" s="247"/>
      <c r="P29" s="247"/>
      <c r="Q29" s="247"/>
      <c r="R29" s="247"/>
      <c r="S29" s="247"/>
      <c r="T29" s="247"/>
      <c r="U29" s="247"/>
      <c r="V29" s="247"/>
      <c r="W29" s="247"/>
      <c r="X29" s="247"/>
    </row>
    <row r="30" spans="1:24">
      <c r="A30" t="s">
        <v>2346</v>
      </c>
      <c r="B30" s="270">
        <v>162405000</v>
      </c>
      <c r="C30" s="216"/>
      <c r="D30" s="216"/>
      <c r="E30" s="216"/>
      <c r="F30" s="216"/>
      <c r="G30" s="216"/>
      <c r="H30" s="226"/>
      <c r="I30" s="226"/>
      <c r="J30" s="226"/>
      <c r="K30" s="226"/>
      <c r="L30" s="226"/>
      <c r="M30" s="226"/>
      <c r="N30" s="226"/>
      <c r="O30" s="216"/>
      <c r="P30" s="216"/>
      <c r="Q30" s="216"/>
      <c r="R30" s="216"/>
      <c r="S30" s="216"/>
      <c r="T30" s="216"/>
      <c r="U30" s="216"/>
      <c r="V30" s="216"/>
      <c r="W30" s="216"/>
      <c r="X30" s="216"/>
    </row>
    <row r="31" spans="1:24" s="248" customFormat="1">
      <c r="A31" s="248" t="s">
        <v>2344</v>
      </c>
      <c r="B31" s="247">
        <v>491130000</v>
      </c>
      <c r="C31" s="247"/>
      <c r="D31" s="247"/>
      <c r="E31" s="247"/>
      <c r="F31" s="247"/>
      <c r="G31" s="247">
        <v>20000000</v>
      </c>
      <c r="H31" s="249"/>
      <c r="I31" s="249">
        <f>(B31-G31)/2</f>
        <v>235565000</v>
      </c>
      <c r="J31" s="249"/>
      <c r="K31" s="249"/>
      <c r="L31" s="249">
        <v>235565000</v>
      </c>
      <c r="M31" s="249"/>
      <c r="N31" s="249"/>
      <c r="O31" s="247"/>
      <c r="P31" s="247"/>
      <c r="Q31" s="247"/>
      <c r="R31" s="247"/>
      <c r="S31" s="247"/>
      <c r="T31" s="247"/>
      <c r="U31" s="247"/>
      <c r="V31" s="247"/>
      <c r="W31" s="247"/>
      <c r="X31" s="247"/>
    </row>
    <row r="32" spans="1:24">
      <c r="A32" t="s">
        <v>2345</v>
      </c>
      <c r="B32" s="270">
        <v>70740000</v>
      </c>
      <c r="C32" s="216"/>
      <c r="D32" s="216"/>
      <c r="E32" s="216"/>
      <c r="F32" s="216"/>
      <c r="G32" s="216"/>
      <c r="H32" s="226"/>
      <c r="I32" s="226"/>
      <c r="J32" s="226"/>
      <c r="K32" s="226"/>
      <c r="L32" s="226"/>
      <c r="M32" s="226"/>
      <c r="N32" s="226"/>
      <c r="O32" s="216"/>
      <c r="P32" s="216"/>
      <c r="Q32" s="216"/>
      <c r="R32" s="216"/>
      <c r="S32" s="216"/>
      <c r="T32" s="216"/>
      <c r="U32" s="216"/>
      <c r="V32" s="216"/>
      <c r="W32" s="216"/>
      <c r="X32" s="216"/>
    </row>
    <row r="33" spans="1:24" s="248" customFormat="1">
      <c r="A33" s="248" t="s">
        <v>2347</v>
      </c>
      <c r="B33" s="271">
        <v>201825000</v>
      </c>
      <c r="C33" s="247"/>
      <c r="D33" s="247"/>
      <c r="E33" s="247"/>
      <c r="F33" s="247"/>
      <c r="G33" s="247"/>
      <c r="H33" s="249"/>
      <c r="I33" s="249"/>
      <c r="J33" s="249"/>
      <c r="K33" s="249"/>
      <c r="L33" s="249"/>
      <c r="M33" s="249"/>
      <c r="N33" s="249"/>
      <c r="O33" s="247"/>
      <c r="P33" s="247"/>
      <c r="Q33" s="247"/>
      <c r="R33" s="247"/>
      <c r="S33" s="247"/>
      <c r="T33" s="247"/>
      <c r="U33" s="247"/>
      <c r="V33" s="247"/>
      <c r="W33" s="247"/>
      <c r="X33" s="247"/>
    </row>
    <row r="34" spans="1:24">
      <c r="B34" s="216"/>
      <c r="C34" s="216"/>
      <c r="D34" s="216"/>
      <c r="E34" s="216"/>
      <c r="F34" s="216"/>
      <c r="G34" s="216"/>
      <c r="H34" s="226"/>
      <c r="I34" s="226"/>
      <c r="J34" s="226"/>
      <c r="K34" s="226"/>
      <c r="L34" s="226"/>
      <c r="M34" s="226"/>
      <c r="N34" s="226"/>
      <c r="O34" s="216"/>
      <c r="P34" s="216"/>
      <c r="Q34" s="216"/>
      <c r="R34" s="216"/>
      <c r="S34" s="216"/>
      <c r="T34" s="216"/>
      <c r="U34" s="216"/>
      <c r="V34" s="216"/>
      <c r="W34" s="216"/>
      <c r="X34" s="216"/>
    </row>
    <row r="35" spans="1:24">
      <c r="A35" s="276" t="s">
        <v>543</v>
      </c>
      <c r="B35" s="277"/>
      <c r="C35" s="216"/>
      <c r="D35" s="216"/>
      <c r="E35" s="216"/>
      <c r="F35" s="216"/>
      <c r="G35" s="216"/>
      <c r="H35" s="226"/>
      <c r="I35" s="226"/>
      <c r="J35" s="226"/>
      <c r="K35" s="226"/>
      <c r="L35" s="226"/>
      <c r="M35" s="226"/>
      <c r="N35" s="226"/>
      <c r="O35" s="216"/>
      <c r="P35" s="216"/>
      <c r="Q35" s="216"/>
      <c r="R35" s="216"/>
      <c r="S35" s="216"/>
      <c r="T35" s="216"/>
      <c r="U35" s="216"/>
      <c r="V35" s="216"/>
      <c r="W35" s="216"/>
      <c r="X35" s="216"/>
    </row>
    <row r="36" spans="1:24" s="248" customFormat="1">
      <c r="A36" s="246" t="s">
        <v>541</v>
      </c>
      <c r="B36" s="247">
        <v>577000000</v>
      </c>
      <c r="C36" s="247">
        <v>150000000</v>
      </c>
      <c r="D36" s="247">
        <v>90000000</v>
      </c>
      <c r="E36" s="247">
        <v>110000000</v>
      </c>
      <c r="F36" s="247">
        <v>127000000</v>
      </c>
      <c r="H36" s="249"/>
      <c r="I36" s="249"/>
      <c r="J36" s="249"/>
      <c r="K36" s="272">
        <v>100000000</v>
      </c>
      <c r="L36" s="249"/>
      <c r="M36" s="249"/>
      <c r="N36" s="249"/>
      <c r="O36" s="247"/>
      <c r="P36" s="247"/>
      <c r="Q36" s="247"/>
      <c r="R36" s="247"/>
      <c r="S36" s="247"/>
      <c r="T36" s="247"/>
      <c r="U36" s="247"/>
      <c r="V36" s="247"/>
      <c r="W36" s="247"/>
      <c r="X36" s="247"/>
    </row>
    <row r="37" spans="1:24">
      <c r="A37" s="229" t="s">
        <v>542</v>
      </c>
      <c r="B37" s="216">
        <v>220000000</v>
      </c>
      <c r="C37" s="216"/>
      <c r="D37" s="216"/>
      <c r="E37" s="216">
        <v>20000000</v>
      </c>
      <c r="F37" s="216"/>
      <c r="G37" s="216"/>
      <c r="H37" s="226"/>
      <c r="I37" s="226"/>
      <c r="J37" s="226">
        <v>200000000</v>
      </c>
      <c r="K37" s="226"/>
      <c r="L37" s="226"/>
      <c r="M37" s="226"/>
      <c r="N37" s="226"/>
      <c r="O37" s="216"/>
      <c r="P37" s="216"/>
      <c r="Q37" s="216"/>
      <c r="R37" s="216"/>
      <c r="S37" s="216"/>
      <c r="T37" s="216"/>
      <c r="U37" s="216"/>
      <c r="V37" s="216"/>
      <c r="W37" s="216"/>
      <c r="X37" s="216"/>
    </row>
    <row r="38" spans="1:24">
      <c r="A38" s="229" t="s">
        <v>2339</v>
      </c>
      <c r="B38" s="216">
        <v>95000000</v>
      </c>
      <c r="C38" s="216">
        <v>10000000</v>
      </c>
      <c r="D38" s="216"/>
      <c r="E38" s="216"/>
      <c r="F38" s="216"/>
      <c r="G38" s="216"/>
      <c r="H38" s="226"/>
      <c r="I38" s="226"/>
      <c r="J38" s="226"/>
      <c r="K38" s="226"/>
      <c r="L38" s="226"/>
      <c r="M38" s="226"/>
      <c r="N38" s="226"/>
      <c r="O38" s="216"/>
      <c r="P38" s="216"/>
      <c r="Q38" s="216"/>
      <c r="R38" s="216"/>
      <c r="S38" s="216"/>
      <c r="T38" s="216"/>
      <c r="U38" s="216"/>
      <c r="V38" s="216"/>
      <c r="W38" s="216"/>
      <c r="X38" s="216"/>
    </row>
    <row r="39" spans="1:24">
      <c r="A39" s="229" t="s">
        <v>2327</v>
      </c>
      <c r="B39" s="216"/>
      <c r="C39" s="216"/>
      <c r="D39" s="216"/>
      <c r="E39" s="216"/>
      <c r="F39" s="216"/>
      <c r="G39" s="231">
        <v>100000000</v>
      </c>
      <c r="H39" s="226">
        <v>200000000</v>
      </c>
      <c r="I39" s="226"/>
      <c r="J39" s="226"/>
      <c r="K39" s="226"/>
      <c r="L39" s="226"/>
      <c r="M39" s="226"/>
      <c r="N39" s="226"/>
      <c r="O39" s="216"/>
      <c r="P39" s="216"/>
      <c r="Q39" s="216"/>
      <c r="R39" s="216"/>
      <c r="S39" s="216"/>
      <c r="T39" s="216"/>
      <c r="U39" s="216"/>
      <c r="V39" s="216"/>
      <c r="W39" s="216"/>
      <c r="X39" s="216"/>
    </row>
    <row r="40" spans="1:24">
      <c r="A40" s="229" t="s">
        <v>2328</v>
      </c>
      <c r="B40" s="216"/>
      <c r="C40" s="216"/>
      <c r="D40" s="216"/>
      <c r="E40" s="216"/>
      <c r="F40" s="216"/>
      <c r="G40" s="216"/>
      <c r="H40" s="226">
        <v>100000000</v>
      </c>
      <c r="I40" s="226"/>
      <c r="J40" s="226"/>
      <c r="K40" s="226"/>
      <c r="L40" s="226"/>
      <c r="M40" s="226"/>
      <c r="N40" s="226"/>
      <c r="O40" s="216"/>
      <c r="P40" s="216"/>
      <c r="Q40" s="216"/>
      <c r="R40" s="216"/>
      <c r="S40" s="216"/>
      <c r="T40" s="216"/>
      <c r="U40" s="216"/>
      <c r="V40" s="216"/>
      <c r="W40" s="216"/>
      <c r="X40" s="216"/>
    </row>
    <row r="41" spans="1:24">
      <c r="A41" s="229" t="s">
        <v>2329</v>
      </c>
      <c r="B41" s="216"/>
      <c r="C41" s="216"/>
      <c r="D41" s="216"/>
      <c r="E41" s="216"/>
      <c r="F41" s="216"/>
      <c r="G41" s="216"/>
      <c r="H41" s="226">
        <f>160000000+80000000</f>
        <v>240000000</v>
      </c>
      <c r="I41" s="226"/>
      <c r="J41" s="226"/>
      <c r="K41" s="226"/>
      <c r="L41" s="226"/>
      <c r="M41" s="226"/>
      <c r="N41" s="226"/>
      <c r="O41" s="216"/>
      <c r="P41" s="216"/>
      <c r="Q41" s="216"/>
      <c r="R41" s="216"/>
      <c r="S41" s="216"/>
      <c r="T41" s="216"/>
      <c r="U41" s="216"/>
      <c r="V41" s="216"/>
      <c r="W41" s="216"/>
      <c r="X41" s="216"/>
    </row>
    <row r="42" spans="1:24">
      <c r="A42" s="229" t="s">
        <v>166</v>
      </c>
      <c r="B42" s="216"/>
      <c r="C42" s="216"/>
      <c r="D42" s="216"/>
      <c r="E42" s="216"/>
      <c r="F42" s="216"/>
      <c r="G42" s="216"/>
      <c r="H42" s="226"/>
      <c r="I42" s="226"/>
      <c r="J42" s="226"/>
      <c r="K42" s="226"/>
      <c r="L42" s="226"/>
      <c r="M42" s="226"/>
      <c r="N42" s="226"/>
      <c r="O42" s="216"/>
      <c r="P42" s="216"/>
      <c r="Q42" s="216"/>
      <c r="R42" s="216"/>
      <c r="S42" s="216"/>
      <c r="T42" s="216"/>
      <c r="U42" s="216"/>
      <c r="V42" s="216"/>
      <c r="W42" s="216"/>
      <c r="X42" s="216"/>
    </row>
    <row r="43" spans="1:24">
      <c r="A43" s="229" t="s">
        <v>165</v>
      </c>
      <c r="B43" s="216"/>
      <c r="C43" s="216"/>
      <c r="D43" s="216"/>
      <c r="E43" s="216"/>
      <c r="F43" s="216"/>
      <c r="G43" s="216"/>
      <c r="H43" s="226">
        <v>15000000</v>
      </c>
      <c r="I43" s="226"/>
      <c r="J43" s="226"/>
      <c r="K43" s="226"/>
      <c r="L43" s="226"/>
      <c r="M43" s="226"/>
      <c r="N43" s="226"/>
      <c r="O43" s="216"/>
      <c r="P43" s="216"/>
      <c r="Q43" s="216"/>
      <c r="R43" s="216"/>
      <c r="S43" s="216"/>
      <c r="T43" s="216"/>
      <c r="U43" s="216"/>
      <c r="V43" s="216"/>
      <c r="W43" s="216"/>
      <c r="X43" s="216"/>
    </row>
    <row r="44" spans="1:24">
      <c r="B44" s="216"/>
      <c r="C44" s="216"/>
      <c r="D44" s="216"/>
      <c r="E44" s="216"/>
      <c r="F44" s="216"/>
      <c r="G44" s="216"/>
      <c r="H44" s="216"/>
      <c r="I44" s="216"/>
      <c r="J44" s="216"/>
      <c r="K44" s="216"/>
      <c r="L44" s="216"/>
      <c r="M44" s="216"/>
      <c r="N44" s="216"/>
      <c r="O44" s="216"/>
      <c r="P44" s="216"/>
      <c r="Q44" s="216"/>
      <c r="R44" s="216"/>
      <c r="S44" s="216"/>
      <c r="T44" s="216"/>
      <c r="U44" s="216"/>
      <c r="V44" s="216"/>
      <c r="W44" s="216"/>
      <c r="X44" s="216"/>
    </row>
    <row r="45" spans="1:24">
      <c r="B45" s="216"/>
      <c r="C45" s="216"/>
      <c r="D45" s="216"/>
      <c r="E45" s="216"/>
      <c r="F45" s="216"/>
      <c r="G45" s="216"/>
      <c r="H45" s="216"/>
      <c r="I45" s="216"/>
      <c r="J45" s="216"/>
      <c r="K45" s="216"/>
      <c r="L45" s="216"/>
      <c r="M45" s="216"/>
      <c r="N45" s="216"/>
      <c r="O45" s="216"/>
      <c r="P45" s="216"/>
      <c r="Q45" s="216"/>
      <c r="R45" s="216"/>
      <c r="S45" s="216"/>
      <c r="T45" s="216"/>
      <c r="U45" s="216"/>
      <c r="V45" s="216"/>
      <c r="W45" s="216"/>
      <c r="X45" s="216"/>
    </row>
    <row r="46" spans="1:24">
      <c r="B46" s="216"/>
      <c r="C46" s="216"/>
      <c r="D46" s="216"/>
      <c r="E46" s="216"/>
      <c r="F46" s="216"/>
      <c r="G46" s="216"/>
      <c r="H46" s="216"/>
      <c r="I46" s="216"/>
      <c r="J46" s="216"/>
      <c r="K46" s="216"/>
      <c r="L46" s="216"/>
      <c r="M46" s="216"/>
      <c r="N46" s="216"/>
      <c r="O46" s="216"/>
      <c r="P46" s="216"/>
      <c r="Q46" s="216"/>
      <c r="R46" s="216"/>
      <c r="S46" s="216"/>
      <c r="T46" s="216"/>
      <c r="U46" s="216"/>
      <c r="V46" s="216"/>
      <c r="W46" s="216"/>
      <c r="X46" s="216"/>
    </row>
    <row r="47" spans="1:24">
      <c r="B47" s="216"/>
      <c r="C47" s="216"/>
      <c r="D47" s="216"/>
      <c r="E47" s="216"/>
      <c r="F47" s="216"/>
      <c r="G47" s="216"/>
      <c r="H47" s="216"/>
      <c r="I47" s="216"/>
      <c r="J47" s="216"/>
      <c r="K47" s="216"/>
      <c r="L47" s="216"/>
      <c r="M47" s="216"/>
      <c r="N47" s="216"/>
      <c r="O47" s="216"/>
      <c r="P47" s="216"/>
      <c r="Q47" s="216"/>
      <c r="R47" s="216"/>
      <c r="S47" s="216"/>
      <c r="T47" s="216"/>
      <c r="U47" s="216"/>
      <c r="V47" s="216"/>
      <c r="W47" s="216"/>
      <c r="X47" s="216"/>
    </row>
    <row r="48" spans="1:24">
      <c r="B48" s="216"/>
      <c r="C48" s="216"/>
      <c r="D48" s="216"/>
      <c r="E48" s="216"/>
      <c r="F48" s="216"/>
      <c r="H48" s="216"/>
      <c r="I48" s="216"/>
      <c r="J48" s="216"/>
      <c r="K48" s="216"/>
      <c r="L48" s="216"/>
      <c r="M48" s="216"/>
      <c r="N48" s="216"/>
      <c r="O48" s="216"/>
      <c r="P48" s="216"/>
      <c r="Q48" s="216"/>
      <c r="R48" s="216"/>
      <c r="S48" s="216"/>
      <c r="T48" s="216"/>
      <c r="U48" s="216"/>
      <c r="V48" s="216"/>
      <c r="W48" s="216"/>
      <c r="X48" s="216"/>
    </row>
    <row r="49" spans="2:24">
      <c r="B49" s="216"/>
      <c r="C49" s="216"/>
      <c r="D49" s="216"/>
      <c r="E49" s="216"/>
      <c r="F49" s="216"/>
      <c r="G49" s="216"/>
      <c r="H49" s="216"/>
      <c r="I49" s="216"/>
      <c r="J49" s="216"/>
      <c r="K49" s="216"/>
      <c r="L49" s="216"/>
      <c r="M49" s="216"/>
      <c r="N49" s="216"/>
      <c r="O49" s="216"/>
      <c r="P49" s="216"/>
      <c r="Q49" s="216"/>
      <c r="R49" s="216"/>
      <c r="S49" s="216"/>
      <c r="T49" s="216"/>
      <c r="U49" s="216"/>
      <c r="V49" s="216"/>
      <c r="W49" s="216"/>
      <c r="X49" s="216"/>
    </row>
    <row r="50" spans="2:24">
      <c r="B50" s="216"/>
      <c r="C50" s="216"/>
      <c r="D50" s="216"/>
      <c r="E50" s="216"/>
      <c r="F50" s="216"/>
      <c r="G50" s="216"/>
      <c r="H50" s="216"/>
      <c r="I50" s="216"/>
      <c r="J50" s="216"/>
      <c r="K50" s="216"/>
      <c r="L50" s="216"/>
      <c r="M50" s="216"/>
      <c r="N50" s="216"/>
      <c r="O50" s="216"/>
      <c r="P50" s="216"/>
      <c r="Q50" s="216"/>
      <c r="R50" s="216"/>
      <c r="S50" s="216"/>
      <c r="T50" s="216"/>
      <c r="U50" s="216"/>
      <c r="V50" s="216"/>
      <c r="W50" s="216"/>
      <c r="X50" s="216"/>
    </row>
    <row r="51" spans="2:24">
      <c r="B51" s="216"/>
      <c r="C51" s="216"/>
      <c r="D51" s="216"/>
      <c r="E51" s="216"/>
      <c r="F51" s="216"/>
      <c r="G51" s="216"/>
      <c r="H51" s="216"/>
      <c r="I51" s="216"/>
      <c r="J51" s="216"/>
      <c r="K51" s="216"/>
      <c r="L51" s="216"/>
      <c r="M51" s="216"/>
      <c r="N51" s="216"/>
      <c r="O51" s="216"/>
      <c r="P51" s="216"/>
      <c r="Q51" s="216"/>
      <c r="R51" s="216"/>
      <c r="S51" s="216"/>
      <c r="T51" s="216"/>
      <c r="U51" s="216"/>
      <c r="V51" s="216"/>
      <c r="W51" s="216"/>
      <c r="X51" s="216"/>
    </row>
    <row r="52" spans="2:24">
      <c r="B52" s="216"/>
      <c r="C52" s="216"/>
      <c r="D52" s="216"/>
      <c r="E52" s="216"/>
      <c r="F52" s="216"/>
      <c r="G52" s="216"/>
      <c r="H52" s="216"/>
      <c r="I52" s="216"/>
      <c r="J52" s="216"/>
      <c r="K52" s="216"/>
      <c r="L52" s="216"/>
      <c r="M52" s="216"/>
      <c r="N52" s="216"/>
      <c r="O52" s="216"/>
      <c r="P52" s="216"/>
      <c r="Q52" s="216"/>
      <c r="R52" s="216"/>
      <c r="S52" s="216"/>
      <c r="T52" s="216"/>
      <c r="U52" s="216"/>
      <c r="V52" s="216"/>
      <c r="W52" s="216"/>
      <c r="X52" s="216"/>
    </row>
    <row r="53" spans="2:24">
      <c r="B53" s="216"/>
      <c r="C53" s="216"/>
      <c r="D53" s="216"/>
      <c r="E53" s="216"/>
      <c r="F53" s="216"/>
      <c r="G53" s="216"/>
      <c r="H53" s="216"/>
      <c r="I53" s="216"/>
      <c r="J53" s="216"/>
      <c r="K53" s="216"/>
      <c r="L53" s="216"/>
      <c r="M53" s="216"/>
      <c r="N53" s="216"/>
      <c r="O53" s="216"/>
      <c r="P53" s="216"/>
      <c r="Q53" s="216"/>
      <c r="R53" s="216"/>
      <c r="S53" s="216"/>
      <c r="T53" s="216"/>
      <c r="U53" s="216"/>
      <c r="V53" s="216"/>
      <c r="W53" s="216"/>
      <c r="X53" s="216"/>
    </row>
    <row r="54" spans="2:24">
      <c r="B54" s="216"/>
      <c r="C54" s="216"/>
      <c r="D54" s="216"/>
      <c r="E54" s="216"/>
      <c r="F54" s="216"/>
      <c r="G54" s="216"/>
      <c r="H54" s="216"/>
      <c r="I54" s="216"/>
      <c r="J54" s="216"/>
      <c r="K54" s="216"/>
      <c r="L54" s="216"/>
      <c r="M54" s="216"/>
      <c r="N54" s="216"/>
      <c r="O54" s="216"/>
      <c r="P54" s="216"/>
      <c r="Q54" s="216"/>
      <c r="R54" s="216"/>
      <c r="S54" s="216"/>
      <c r="T54" s="216"/>
      <c r="U54" s="216"/>
      <c r="V54" s="216"/>
      <c r="W54" s="216"/>
      <c r="X54" s="216"/>
    </row>
    <row r="55" spans="2:24">
      <c r="B55" s="216"/>
      <c r="C55" s="216"/>
      <c r="D55" s="216"/>
      <c r="E55" s="216"/>
      <c r="F55" s="216"/>
      <c r="G55" s="216"/>
      <c r="H55" s="216"/>
      <c r="I55" s="216"/>
      <c r="J55" s="216"/>
      <c r="K55" s="216"/>
      <c r="L55" s="216"/>
      <c r="M55" s="216"/>
      <c r="N55" s="216"/>
      <c r="O55" s="216"/>
      <c r="P55" s="216"/>
      <c r="Q55" s="216"/>
      <c r="R55" s="216"/>
      <c r="S55" s="216"/>
      <c r="T55" s="216"/>
      <c r="U55" s="216"/>
      <c r="V55" s="216"/>
      <c r="W55" s="216"/>
      <c r="X55" s="216"/>
    </row>
    <row r="56" spans="2:24">
      <c r="B56" s="216"/>
      <c r="C56" s="216"/>
      <c r="D56" s="216"/>
      <c r="E56" s="216"/>
      <c r="F56" s="216"/>
      <c r="G56" s="216"/>
      <c r="H56" s="216"/>
      <c r="I56" s="216"/>
      <c r="J56" s="216"/>
      <c r="K56" s="216"/>
      <c r="L56" s="216"/>
      <c r="M56" s="216"/>
      <c r="N56" s="216"/>
      <c r="O56" s="216"/>
      <c r="P56" s="216"/>
      <c r="Q56" s="216"/>
      <c r="R56" s="216"/>
      <c r="S56" s="216"/>
      <c r="T56" s="216"/>
      <c r="U56" s="216"/>
      <c r="V56" s="216"/>
      <c r="W56" s="216"/>
      <c r="X56" s="216"/>
    </row>
    <row r="57" spans="2:24">
      <c r="B57" s="216"/>
      <c r="C57" s="216"/>
      <c r="D57" s="216"/>
      <c r="E57" s="216"/>
      <c r="F57" s="216"/>
      <c r="G57" s="216"/>
      <c r="H57" s="216"/>
      <c r="I57" s="216"/>
      <c r="J57" s="216"/>
      <c r="K57" s="216"/>
      <c r="L57" s="216"/>
      <c r="M57" s="216"/>
      <c r="N57" s="216"/>
      <c r="O57" s="216"/>
      <c r="P57" s="216"/>
      <c r="Q57" s="216"/>
      <c r="R57" s="216"/>
      <c r="S57" s="216"/>
      <c r="T57" s="216"/>
      <c r="U57" s="216"/>
      <c r="V57" s="216"/>
      <c r="W57" s="216"/>
      <c r="X57" s="216"/>
    </row>
    <row r="58" spans="2:24">
      <c r="B58" s="216"/>
      <c r="C58" s="216"/>
      <c r="D58" s="216"/>
      <c r="E58" s="216"/>
      <c r="F58" s="216"/>
      <c r="G58" s="216"/>
      <c r="H58" s="216"/>
      <c r="I58" s="216"/>
      <c r="J58" s="216"/>
      <c r="K58" s="216"/>
      <c r="L58" s="216"/>
      <c r="M58" s="216"/>
      <c r="N58" s="216"/>
      <c r="O58" s="216"/>
      <c r="P58" s="216"/>
      <c r="Q58" s="216"/>
      <c r="R58" s="216"/>
      <c r="S58" s="216"/>
      <c r="T58" s="216"/>
      <c r="U58" s="216"/>
      <c r="V58" s="216"/>
      <c r="W58" s="216"/>
      <c r="X58" s="216"/>
    </row>
    <row r="59" spans="2:24">
      <c r="B59" s="216"/>
      <c r="C59" s="216"/>
      <c r="D59" s="216"/>
      <c r="E59" s="216"/>
      <c r="F59" s="216"/>
      <c r="G59" s="216"/>
      <c r="H59" s="216"/>
      <c r="I59" s="216"/>
      <c r="J59" s="216"/>
      <c r="K59" s="216"/>
      <c r="L59" s="216"/>
      <c r="M59" s="216"/>
      <c r="N59" s="216"/>
      <c r="O59" s="216"/>
      <c r="P59" s="216"/>
      <c r="Q59" s="216"/>
      <c r="R59" s="216"/>
      <c r="S59" s="216"/>
      <c r="T59" s="216"/>
      <c r="U59" s="216"/>
      <c r="V59" s="216"/>
      <c r="W59" s="216"/>
      <c r="X59" s="216"/>
    </row>
    <row r="60" spans="2:24">
      <c r="B60" s="216"/>
      <c r="C60" s="216"/>
      <c r="D60" s="216"/>
      <c r="E60" s="216"/>
      <c r="F60" s="216"/>
      <c r="G60" s="216"/>
      <c r="H60" s="216"/>
      <c r="I60" s="216"/>
      <c r="J60" s="216"/>
      <c r="K60" s="216"/>
      <c r="L60" s="216"/>
      <c r="M60" s="216"/>
      <c r="N60" s="216"/>
      <c r="O60" s="216"/>
      <c r="P60" s="216"/>
      <c r="Q60" s="216"/>
      <c r="R60" s="216"/>
      <c r="S60" s="216"/>
      <c r="T60" s="216"/>
      <c r="U60" s="216"/>
      <c r="V60" s="216"/>
      <c r="W60" s="216"/>
      <c r="X60" s="216"/>
    </row>
    <row r="61" spans="2:24">
      <c r="B61" s="216"/>
      <c r="C61" s="216"/>
      <c r="D61" s="216"/>
      <c r="E61" s="216"/>
      <c r="F61" s="216"/>
      <c r="G61" s="216"/>
      <c r="H61" s="216"/>
      <c r="I61" s="216"/>
      <c r="J61" s="216"/>
      <c r="K61" s="216"/>
      <c r="L61" s="216"/>
      <c r="M61" s="216"/>
      <c r="N61" s="216"/>
      <c r="O61" s="216"/>
      <c r="P61" s="216"/>
      <c r="Q61" s="216"/>
      <c r="R61" s="216"/>
      <c r="S61" s="216"/>
      <c r="T61" s="216"/>
      <c r="U61" s="216"/>
      <c r="V61" s="216"/>
      <c r="W61" s="216"/>
      <c r="X61" s="216"/>
    </row>
    <row r="62" spans="2:24">
      <c r="B62" s="216"/>
      <c r="C62" s="216"/>
      <c r="D62" s="216"/>
      <c r="E62" s="216"/>
      <c r="F62" s="216"/>
      <c r="G62" s="216"/>
      <c r="H62" s="216"/>
      <c r="I62" s="216"/>
      <c r="J62" s="216"/>
      <c r="K62" s="216"/>
      <c r="L62" s="216"/>
      <c r="M62" s="216"/>
      <c r="N62" s="216"/>
      <c r="O62" s="216"/>
      <c r="P62" s="216"/>
      <c r="Q62" s="216"/>
      <c r="R62" s="216"/>
      <c r="S62" s="216"/>
      <c r="T62" s="216"/>
      <c r="U62" s="216"/>
      <c r="V62" s="216"/>
      <c r="W62" s="216"/>
      <c r="X62" s="216"/>
    </row>
    <row r="63" spans="2:24">
      <c r="B63" s="216"/>
      <c r="C63" s="216"/>
      <c r="D63" s="216"/>
      <c r="E63" s="216"/>
      <c r="F63" s="216"/>
      <c r="G63" s="216"/>
      <c r="H63" s="216"/>
      <c r="I63" s="216"/>
      <c r="J63" s="216"/>
      <c r="K63" s="216"/>
      <c r="L63" s="216"/>
      <c r="M63" s="216"/>
      <c r="N63" s="216"/>
      <c r="O63" s="216"/>
      <c r="P63" s="216"/>
      <c r="Q63" s="216"/>
      <c r="R63" s="216"/>
      <c r="S63" s="216"/>
      <c r="T63" s="216"/>
      <c r="U63" s="216"/>
      <c r="V63" s="216"/>
      <c r="W63" s="216"/>
      <c r="X63" s="216"/>
    </row>
    <row r="64" spans="2:24">
      <c r="B64" s="216"/>
      <c r="C64" s="216"/>
      <c r="D64" s="216"/>
      <c r="E64" s="216"/>
      <c r="F64" s="216"/>
      <c r="G64" s="216"/>
      <c r="H64" s="216"/>
      <c r="I64" s="216"/>
      <c r="J64" s="216"/>
      <c r="K64" s="216"/>
      <c r="L64" s="216"/>
      <c r="M64" s="216"/>
      <c r="N64" s="216"/>
      <c r="O64" s="216"/>
      <c r="P64" s="216"/>
      <c r="Q64" s="216"/>
      <c r="R64" s="216"/>
      <c r="S64" s="216"/>
      <c r="T64" s="216"/>
      <c r="U64" s="216"/>
      <c r="V64" s="216"/>
      <c r="W64" s="216"/>
      <c r="X64" s="216"/>
    </row>
    <row r="65" spans="2:24">
      <c r="B65" s="216"/>
      <c r="C65" s="216"/>
      <c r="D65" s="216"/>
      <c r="E65" s="216"/>
      <c r="F65" s="216"/>
      <c r="G65" s="216"/>
      <c r="H65" s="216"/>
      <c r="I65" s="216"/>
      <c r="J65" s="216"/>
      <c r="K65" s="216"/>
      <c r="L65" s="216"/>
      <c r="M65" s="216"/>
      <c r="N65" s="216"/>
      <c r="O65" s="216"/>
      <c r="P65" s="216"/>
      <c r="Q65" s="216"/>
      <c r="R65" s="216"/>
      <c r="S65" s="216"/>
      <c r="T65" s="216"/>
      <c r="U65" s="216"/>
      <c r="V65" s="216"/>
      <c r="W65" s="216"/>
      <c r="X65" s="216"/>
    </row>
    <row r="66" spans="2:24">
      <c r="B66" s="216"/>
      <c r="C66" s="216"/>
      <c r="D66" s="216"/>
      <c r="E66" s="216"/>
      <c r="F66" s="216"/>
      <c r="G66" s="216"/>
      <c r="H66" s="216"/>
      <c r="I66" s="216"/>
      <c r="J66" s="216"/>
      <c r="K66" s="216"/>
      <c r="L66" s="216"/>
      <c r="M66" s="216"/>
      <c r="N66" s="216"/>
      <c r="O66" s="216"/>
      <c r="P66" s="216"/>
      <c r="Q66" s="216"/>
      <c r="R66" s="216"/>
      <c r="S66" s="216"/>
      <c r="T66" s="216"/>
      <c r="U66" s="216"/>
      <c r="V66" s="216"/>
      <c r="W66" s="216"/>
      <c r="X66" s="216"/>
    </row>
    <row r="67" spans="2:24">
      <c r="B67" s="216"/>
      <c r="C67" s="216"/>
      <c r="D67" s="216"/>
      <c r="E67" s="216"/>
      <c r="F67" s="216"/>
      <c r="G67" s="216"/>
      <c r="H67" s="216"/>
      <c r="I67" s="216"/>
      <c r="J67" s="216"/>
      <c r="K67" s="216"/>
      <c r="L67" s="216"/>
      <c r="M67" s="216"/>
      <c r="N67" s="216"/>
      <c r="O67" s="216"/>
      <c r="P67" s="216"/>
      <c r="Q67" s="216"/>
      <c r="R67" s="216"/>
      <c r="S67" s="216"/>
      <c r="T67" s="216"/>
      <c r="U67" s="216"/>
      <c r="V67" s="216"/>
      <c r="W67" s="216"/>
      <c r="X67" s="216"/>
    </row>
    <row r="68" spans="2:24">
      <c r="B68" s="216"/>
      <c r="C68" s="216"/>
      <c r="D68" s="216"/>
      <c r="E68" s="216"/>
      <c r="F68" s="216"/>
      <c r="G68" s="216"/>
      <c r="H68" s="216"/>
      <c r="I68" s="216"/>
      <c r="J68" s="216"/>
      <c r="K68" s="216"/>
      <c r="L68" s="216"/>
      <c r="M68" s="216"/>
      <c r="N68" s="216"/>
      <c r="O68" s="216"/>
      <c r="P68" s="216"/>
      <c r="Q68" s="216"/>
      <c r="R68" s="216"/>
      <c r="S68" s="216"/>
      <c r="T68" s="216"/>
      <c r="U68" s="216"/>
      <c r="V68" s="216"/>
      <c r="W68" s="216"/>
      <c r="X68" s="216"/>
    </row>
    <row r="69" spans="2:24">
      <c r="B69" s="216"/>
      <c r="C69" s="216"/>
      <c r="D69" s="216"/>
      <c r="E69" s="216"/>
      <c r="F69" s="216"/>
      <c r="G69" s="216"/>
      <c r="H69" s="216"/>
      <c r="I69" s="216"/>
      <c r="J69" s="216"/>
      <c r="K69" s="216"/>
      <c r="L69" s="216"/>
      <c r="M69" s="216"/>
      <c r="N69" s="216"/>
      <c r="O69" s="216"/>
      <c r="P69" s="216"/>
      <c r="Q69" s="216"/>
      <c r="R69" s="216"/>
      <c r="S69" s="216"/>
      <c r="T69" s="216"/>
      <c r="U69" s="216"/>
      <c r="V69" s="216"/>
      <c r="W69" s="216"/>
      <c r="X69" s="216"/>
    </row>
    <row r="70" spans="2:24">
      <c r="B70" s="216"/>
      <c r="C70" s="216"/>
      <c r="D70" s="216"/>
      <c r="E70" s="216"/>
      <c r="F70" s="216"/>
      <c r="G70" s="216"/>
      <c r="H70" s="216"/>
      <c r="I70" s="216"/>
      <c r="J70" s="216"/>
      <c r="K70" s="216"/>
      <c r="L70" s="216"/>
      <c r="M70" s="216"/>
      <c r="N70" s="216"/>
      <c r="O70" s="216"/>
      <c r="P70" s="216"/>
      <c r="Q70" s="216"/>
      <c r="R70" s="216"/>
      <c r="S70" s="216"/>
      <c r="T70" s="216"/>
      <c r="U70" s="216"/>
      <c r="V70" s="216"/>
      <c r="W70" s="216"/>
      <c r="X70" s="216"/>
    </row>
    <row r="71" spans="2:24">
      <c r="B71" s="216"/>
      <c r="C71" s="216"/>
      <c r="D71" s="216"/>
      <c r="E71" s="216"/>
      <c r="F71" s="216"/>
      <c r="G71" s="216"/>
      <c r="H71" s="216"/>
      <c r="I71" s="216"/>
      <c r="J71" s="216"/>
      <c r="K71" s="216"/>
      <c r="L71" s="216"/>
      <c r="M71" s="216"/>
      <c r="N71" s="216"/>
      <c r="O71" s="216"/>
      <c r="P71" s="216"/>
      <c r="Q71" s="216"/>
      <c r="R71" s="216"/>
      <c r="S71" s="216"/>
      <c r="T71" s="216"/>
      <c r="U71" s="216"/>
      <c r="V71" s="216"/>
      <c r="W71" s="216"/>
      <c r="X71" s="216"/>
    </row>
    <row r="72" spans="2:24">
      <c r="B72" s="216"/>
      <c r="C72" s="216"/>
      <c r="D72" s="216"/>
      <c r="E72" s="216"/>
      <c r="F72" s="216"/>
      <c r="G72" s="216"/>
      <c r="H72" s="216"/>
      <c r="I72" s="216"/>
      <c r="J72" s="216"/>
      <c r="K72" s="216"/>
      <c r="L72" s="216"/>
      <c r="M72" s="216"/>
      <c r="N72" s="216"/>
      <c r="O72" s="216"/>
      <c r="P72" s="216"/>
      <c r="Q72" s="216"/>
      <c r="R72" s="216"/>
      <c r="S72" s="216"/>
      <c r="T72" s="216"/>
      <c r="U72" s="216"/>
      <c r="V72" s="216"/>
      <c r="W72" s="216"/>
      <c r="X72" s="216"/>
    </row>
    <row r="73" spans="2:24">
      <c r="B73" s="216"/>
      <c r="C73" s="216"/>
      <c r="D73" s="216"/>
      <c r="E73" s="216"/>
      <c r="F73" s="216"/>
      <c r="G73" s="216"/>
      <c r="H73" s="216"/>
      <c r="I73" s="216"/>
      <c r="J73" s="216"/>
      <c r="K73" s="216"/>
      <c r="L73" s="216"/>
      <c r="M73" s="216"/>
      <c r="N73" s="216"/>
      <c r="O73" s="216"/>
      <c r="P73" s="216"/>
      <c r="Q73" s="216"/>
      <c r="R73" s="216"/>
      <c r="S73" s="216"/>
      <c r="T73" s="216"/>
      <c r="U73" s="216"/>
      <c r="V73" s="216"/>
      <c r="W73" s="216"/>
      <c r="X73" s="216"/>
    </row>
    <row r="74" spans="2:24">
      <c r="B74" s="216"/>
      <c r="C74" s="216"/>
      <c r="D74" s="216"/>
      <c r="E74" s="216"/>
      <c r="F74" s="216"/>
      <c r="G74" s="216"/>
      <c r="H74" s="216"/>
      <c r="I74" s="216"/>
      <c r="J74" s="216"/>
      <c r="K74" s="216"/>
      <c r="L74" s="216"/>
      <c r="M74" s="216"/>
      <c r="N74" s="216"/>
      <c r="O74" s="216"/>
      <c r="P74" s="216"/>
      <c r="Q74" s="216"/>
      <c r="R74" s="216"/>
      <c r="S74" s="216"/>
      <c r="T74" s="216"/>
      <c r="U74" s="216"/>
      <c r="V74" s="216"/>
      <c r="W74" s="216"/>
      <c r="X74" s="216"/>
    </row>
    <row r="75" spans="2:24">
      <c r="B75" s="216"/>
      <c r="C75" s="216"/>
      <c r="D75" s="216"/>
      <c r="E75" s="216"/>
      <c r="F75" s="216"/>
      <c r="G75" s="216"/>
      <c r="H75" s="216"/>
      <c r="I75" s="216"/>
      <c r="J75" s="216"/>
      <c r="K75" s="216"/>
      <c r="L75" s="216"/>
      <c r="M75" s="216"/>
      <c r="N75" s="216"/>
      <c r="O75" s="216"/>
      <c r="P75" s="216"/>
      <c r="Q75" s="216"/>
      <c r="R75" s="216"/>
      <c r="S75" s="216"/>
      <c r="T75" s="216"/>
      <c r="U75" s="216"/>
      <c r="V75" s="216"/>
      <c r="W75" s="216"/>
      <c r="X75" s="216"/>
    </row>
    <row r="76" spans="2:24">
      <c r="B76" s="216"/>
      <c r="C76" s="216"/>
      <c r="D76" s="216"/>
      <c r="E76" s="216"/>
      <c r="F76" s="216"/>
      <c r="G76" s="216"/>
      <c r="H76" s="216"/>
      <c r="I76" s="216"/>
      <c r="J76" s="216"/>
      <c r="K76" s="216"/>
      <c r="L76" s="216"/>
      <c r="M76" s="216"/>
      <c r="N76" s="216"/>
      <c r="O76" s="216"/>
      <c r="P76" s="216"/>
      <c r="Q76" s="216"/>
      <c r="R76" s="216"/>
      <c r="S76" s="216"/>
      <c r="T76" s="216"/>
      <c r="U76" s="216"/>
      <c r="V76" s="216"/>
      <c r="W76" s="216"/>
      <c r="X76" s="216"/>
    </row>
    <row r="77" spans="2:24">
      <c r="B77" s="216"/>
      <c r="C77" s="216"/>
      <c r="D77" s="216"/>
      <c r="E77" s="216"/>
      <c r="F77" s="216"/>
      <c r="G77" s="216"/>
      <c r="H77" s="216"/>
      <c r="I77" s="216"/>
      <c r="J77" s="216"/>
      <c r="K77" s="216"/>
      <c r="L77" s="216"/>
      <c r="M77" s="216"/>
      <c r="N77" s="216"/>
      <c r="O77" s="216"/>
      <c r="P77" s="216"/>
      <c r="Q77" s="216"/>
      <c r="R77" s="216"/>
      <c r="S77" s="216"/>
      <c r="T77" s="216"/>
      <c r="U77" s="216"/>
      <c r="V77" s="216"/>
      <c r="W77" s="216"/>
      <c r="X77" s="216"/>
    </row>
    <row r="78" spans="2:24">
      <c r="B78" s="216"/>
      <c r="C78" s="216"/>
      <c r="D78" s="216"/>
      <c r="E78" s="216"/>
      <c r="F78" s="216"/>
      <c r="G78" s="216"/>
      <c r="H78" s="216"/>
      <c r="I78" s="216"/>
      <c r="J78" s="216"/>
      <c r="K78" s="216"/>
      <c r="L78" s="216"/>
      <c r="M78" s="216"/>
      <c r="N78" s="216"/>
      <c r="O78" s="216"/>
      <c r="P78" s="216"/>
      <c r="Q78" s="216"/>
      <c r="R78" s="216"/>
      <c r="S78" s="216"/>
      <c r="T78" s="216"/>
      <c r="U78" s="216"/>
      <c r="V78" s="216"/>
      <c r="W78" s="216"/>
      <c r="X78" s="216"/>
    </row>
    <row r="79" spans="2:24">
      <c r="B79" s="216"/>
      <c r="C79" s="216"/>
      <c r="D79" s="216"/>
      <c r="E79" s="216"/>
      <c r="F79" s="216"/>
      <c r="G79" s="216"/>
      <c r="H79" s="216"/>
      <c r="I79" s="216"/>
      <c r="J79" s="216"/>
      <c r="K79" s="216"/>
      <c r="L79" s="216"/>
      <c r="M79" s="216"/>
      <c r="N79" s="216"/>
      <c r="O79" s="216"/>
      <c r="P79" s="216"/>
      <c r="Q79" s="216"/>
      <c r="R79" s="216"/>
      <c r="S79" s="216"/>
      <c r="T79" s="216"/>
      <c r="U79" s="216"/>
      <c r="V79" s="216"/>
      <c r="W79" s="216"/>
      <c r="X79" s="216"/>
    </row>
    <row r="80" spans="2:24">
      <c r="B80" s="216"/>
      <c r="C80" s="216"/>
      <c r="D80" s="216"/>
      <c r="E80" s="216"/>
      <c r="F80" s="216"/>
      <c r="G80" s="216"/>
      <c r="H80" s="216"/>
      <c r="I80" s="216"/>
      <c r="J80" s="216"/>
      <c r="K80" s="216"/>
      <c r="L80" s="216"/>
      <c r="M80" s="216"/>
      <c r="N80" s="216"/>
      <c r="O80" s="216"/>
      <c r="P80" s="216"/>
      <c r="Q80" s="216"/>
      <c r="R80" s="216"/>
      <c r="S80" s="216"/>
      <c r="T80" s="216"/>
      <c r="U80" s="216"/>
      <c r="V80" s="216"/>
      <c r="W80" s="216"/>
      <c r="X80" s="216"/>
    </row>
    <row r="81" spans="2:24">
      <c r="B81" s="216"/>
      <c r="C81" s="216"/>
      <c r="D81" s="216"/>
      <c r="E81" s="216"/>
      <c r="F81" s="216"/>
      <c r="G81" s="216"/>
      <c r="H81" s="216"/>
      <c r="I81" s="216"/>
      <c r="J81" s="216"/>
      <c r="K81" s="216"/>
      <c r="L81" s="216"/>
      <c r="M81" s="216"/>
      <c r="N81" s="216"/>
      <c r="O81" s="216"/>
      <c r="P81" s="216"/>
      <c r="Q81" s="216"/>
      <c r="R81" s="216"/>
      <c r="S81" s="216"/>
      <c r="T81" s="216"/>
      <c r="U81" s="216"/>
      <c r="V81" s="216"/>
      <c r="W81" s="216"/>
      <c r="X81" s="216"/>
    </row>
    <row r="82" spans="2:24">
      <c r="B82" s="216"/>
      <c r="C82" s="216"/>
      <c r="D82" s="216"/>
      <c r="E82" s="216"/>
      <c r="F82" s="216"/>
      <c r="G82" s="216"/>
      <c r="H82" s="216"/>
      <c r="I82" s="216"/>
      <c r="J82" s="216"/>
      <c r="K82" s="216"/>
      <c r="L82" s="216"/>
      <c r="M82" s="216"/>
      <c r="N82" s="216"/>
      <c r="O82" s="216"/>
      <c r="P82" s="216"/>
      <c r="Q82" s="216"/>
      <c r="R82" s="216"/>
      <c r="S82" s="216"/>
      <c r="T82" s="216"/>
      <c r="U82" s="216"/>
      <c r="V82" s="216"/>
      <c r="W82" s="216"/>
      <c r="X82" s="216"/>
    </row>
    <row r="83" spans="2:24">
      <c r="B83" s="216"/>
      <c r="C83" s="216"/>
      <c r="D83" s="216"/>
      <c r="E83" s="216"/>
      <c r="F83" s="216"/>
      <c r="G83" s="216"/>
      <c r="H83" s="216"/>
      <c r="I83" s="216"/>
      <c r="J83" s="216"/>
      <c r="K83" s="216"/>
      <c r="L83" s="216"/>
      <c r="M83" s="216"/>
      <c r="N83" s="216"/>
      <c r="O83" s="216"/>
      <c r="P83" s="216"/>
      <c r="Q83" s="216"/>
      <c r="R83" s="216"/>
      <c r="S83" s="216"/>
      <c r="T83" s="216"/>
      <c r="U83" s="216"/>
      <c r="V83" s="216"/>
      <c r="W83" s="216"/>
      <c r="X83" s="216"/>
    </row>
    <row r="84" spans="2:24">
      <c r="B84" s="216"/>
      <c r="C84" s="216"/>
      <c r="D84" s="216"/>
      <c r="E84" s="216"/>
      <c r="F84" s="216"/>
      <c r="G84" s="216"/>
      <c r="H84" s="216"/>
      <c r="I84" s="216"/>
      <c r="J84" s="216"/>
      <c r="K84" s="216"/>
      <c r="L84" s="216"/>
      <c r="M84" s="216"/>
      <c r="N84" s="216"/>
      <c r="O84" s="216"/>
      <c r="P84" s="216"/>
      <c r="Q84" s="216"/>
      <c r="R84" s="216"/>
      <c r="S84" s="216"/>
      <c r="T84" s="216"/>
      <c r="U84" s="216"/>
      <c r="V84" s="216"/>
      <c r="W84" s="216"/>
      <c r="X84" s="216"/>
    </row>
    <row r="85" spans="2:24">
      <c r="B85" s="216"/>
      <c r="C85" s="216"/>
      <c r="D85" s="216"/>
      <c r="E85" s="216"/>
      <c r="F85" s="216"/>
      <c r="G85" s="216"/>
      <c r="H85" s="216"/>
      <c r="I85" s="216"/>
      <c r="J85" s="216"/>
      <c r="K85" s="216"/>
      <c r="L85" s="216"/>
      <c r="M85" s="216"/>
      <c r="N85" s="216"/>
      <c r="O85" s="216"/>
      <c r="P85" s="216"/>
      <c r="Q85" s="216"/>
      <c r="R85" s="216"/>
      <c r="S85" s="216"/>
      <c r="T85" s="216"/>
      <c r="U85" s="216"/>
      <c r="V85" s="216"/>
      <c r="W85" s="216"/>
      <c r="X85" s="216"/>
    </row>
    <row r="86" spans="2:24">
      <c r="B86" s="216"/>
      <c r="C86" s="216"/>
      <c r="D86" s="216"/>
      <c r="E86" s="216"/>
      <c r="F86" s="216"/>
      <c r="G86" s="216"/>
      <c r="H86" s="216"/>
      <c r="I86" s="216"/>
      <c r="J86" s="216"/>
      <c r="K86" s="216"/>
      <c r="L86" s="216"/>
      <c r="M86" s="216"/>
      <c r="N86" s="216"/>
      <c r="O86" s="216"/>
      <c r="P86" s="216"/>
      <c r="Q86" s="216"/>
      <c r="R86" s="216"/>
      <c r="S86" s="216"/>
      <c r="T86" s="216"/>
      <c r="U86" s="216"/>
      <c r="V86" s="216"/>
      <c r="W86" s="216"/>
      <c r="X86" s="216"/>
    </row>
    <row r="87" spans="2:24">
      <c r="B87" s="216"/>
      <c r="C87" s="216"/>
      <c r="D87" s="216"/>
      <c r="E87" s="216"/>
      <c r="F87" s="216"/>
      <c r="G87" s="216"/>
      <c r="H87" s="216"/>
      <c r="I87" s="216"/>
      <c r="J87" s="216"/>
      <c r="K87" s="216"/>
      <c r="L87" s="216"/>
      <c r="M87" s="216"/>
      <c r="N87" s="216"/>
      <c r="O87" s="216"/>
      <c r="P87" s="216"/>
      <c r="Q87" s="216"/>
      <c r="R87" s="216"/>
      <c r="S87" s="216"/>
      <c r="T87" s="216"/>
      <c r="U87" s="216"/>
      <c r="V87" s="216"/>
      <c r="W87" s="216"/>
      <c r="X87" s="216"/>
    </row>
    <row r="88" spans="2:24">
      <c r="B88" s="216"/>
      <c r="C88" s="216"/>
      <c r="D88" s="216"/>
      <c r="E88" s="216"/>
      <c r="F88" s="216"/>
      <c r="G88" s="216"/>
      <c r="H88" s="216"/>
      <c r="I88" s="216"/>
      <c r="J88" s="216"/>
      <c r="K88" s="216"/>
      <c r="L88" s="216"/>
      <c r="M88" s="216"/>
      <c r="N88" s="216"/>
      <c r="O88" s="216"/>
      <c r="P88" s="216"/>
      <c r="Q88" s="216"/>
      <c r="R88" s="216"/>
      <c r="S88" s="216"/>
      <c r="T88" s="216"/>
      <c r="U88" s="216"/>
      <c r="V88" s="216"/>
      <c r="W88" s="216"/>
      <c r="X88" s="216"/>
    </row>
    <row r="89" spans="2:24">
      <c r="B89" s="216"/>
      <c r="C89" s="216"/>
      <c r="D89" s="216"/>
      <c r="E89" s="216"/>
      <c r="F89" s="216"/>
      <c r="G89" s="216"/>
      <c r="H89" s="216"/>
      <c r="I89" s="216"/>
      <c r="J89" s="216"/>
      <c r="K89" s="216"/>
      <c r="L89" s="216"/>
      <c r="M89" s="216"/>
      <c r="N89" s="216"/>
      <c r="O89" s="216"/>
      <c r="P89" s="216"/>
      <c r="Q89" s="216"/>
      <c r="R89" s="216"/>
      <c r="S89" s="216"/>
      <c r="T89" s="216"/>
      <c r="U89" s="216"/>
      <c r="V89" s="216"/>
      <c r="W89" s="216"/>
      <c r="X89" s="216"/>
    </row>
    <row r="90" spans="2:24">
      <c r="B90" s="216"/>
      <c r="C90" s="216"/>
      <c r="D90" s="216"/>
      <c r="E90" s="216"/>
      <c r="F90" s="216"/>
      <c r="G90" s="216"/>
      <c r="H90" s="216"/>
      <c r="I90" s="216"/>
      <c r="J90" s="216"/>
      <c r="K90" s="216"/>
      <c r="L90" s="216"/>
      <c r="M90" s="216"/>
      <c r="N90" s="216"/>
      <c r="O90" s="216"/>
      <c r="P90" s="216"/>
      <c r="Q90" s="216"/>
      <c r="R90" s="216"/>
      <c r="S90" s="216"/>
      <c r="T90" s="216"/>
      <c r="U90" s="216"/>
      <c r="V90" s="216"/>
      <c r="W90" s="216"/>
      <c r="X90" s="216"/>
    </row>
    <row r="91" spans="2:24">
      <c r="B91" s="216"/>
      <c r="C91" s="216"/>
      <c r="D91" s="216"/>
      <c r="E91" s="216"/>
      <c r="F91" s="216"/>
      <c r="G91" s="216"/>
      <c r="H91" s="216"/>
      <c r="I91" s="216"/>
      <c r="J91" s="216"/>
      <c r="K91" s="216"/>
      <c r="L91" s="216"/>
      <c r="M91" s="216"/>
      <c r="N91" s="216"/>
      <c r="O91" s="216"/>
      <c r="P91" s="216"/>
      <c r="Q91" s="216"/>
      <c r="R91" s="216"/>
      <c r="S91" s="216"/>
      <c r="T91" s="216"/>
      <c r="U91" s="216"/>
      <c r="V91" s="216"/>
      <c r="W91" s="216"/>
      <c r="X91" s="216"/>
    </row>
    <row r="92" spans="2:24">
      <c r="B92" s="216"/>
      <c r="C92" s="216"/>
      <c r="D92" s="216"/>
      <c r="E92" s="216"/>
      <c r="F92" s="216"/>
      <c r="G92" s="216"/>
      <c r="H92" s="216"/>
      <c r="I92" s="216"/>
      <c r="J92" s="216"/>
      <c r="K92" s="216"/>
      <c r="L92" s="216"/>
      <c r="M92" s="216"/>
      <c r="N92" s="216"/>
      <c r="O92" s="216"/>
      <c r="P92" s="216"/>
      <c r="Q92" s="216"/>
      <c r="R92" s="216"/>
      <c r="S92" s="216"/>
      <c r="T92" s="216"/>
      <c r="U92" s="216"/>
      <c r="V92" s="216"/>
      <c r="W92" s="216"/>
      <c r="X92" s="216"/>
    </row>
    <row r="93" spans="2:24">
      <c r="B93" s="216"/>
      <c r="C93" s="216"/>
      <c r="D93" s="216"/>
      <c r="E93" s="216"/>
      <c r="F93" s="216"/>
      <c r="G93" s="216"/>
      <c r="H93" s="216"/>
      <c r="I93" s="216"/>
      <c r="J93" s="216"/>
      <c r="K93" s="216"/>
      <c r="L93" s="216"/>
      <c r="M93" s="216"/>
      <c r="N93" s="216"/>
      <c r="O93" s="216"/>
      <c r="P93" s="216"/>
      <c r="Q93" s="216"/>
      <c r="R93" s="216"/>
      <c r="S93" s="216"/>
      <c r="T93" s="216"/>
      <c r="U93" s="216"/>
      <c r="V93" s="216"/>
      <c r="W93" s="216"/>
      <c r="X93" s="216"/>
    </row>
    <row r="94" spans="2:24">
      <c r="B94" s="216"/>
      <c r="C94" s="216"/>
      <c r="D94" s="216"/>
      <c r="E94" s="216"/>
      <c r="F94" s="216"/>
      <c r="G94" s="216"/>
      <c r="H94" s="216"/>
      <c r="I94" s="216"/>
      <c r="J94" s="216"/>
      <c r="K94" s="216"/>
      <c r="L94" s="216"/>
      <c r="M94" s="216"/>
      <c r="N94" s="216"/>
      <c r="O94" s="216"/>
      <c r="P94" s="216"/>
      <c r="Q94" s="216"/>
      <c r="R94" s="216"/>
      <c r="S94" s="216"/>
      <c r="T94" s="216"/>
      <c r="U94" s="216"/>
      <c r="V94" s="216"/>
      <c r="W94" s="216"/>
      <c r="X94" s="216"/>
    </row>
    <row r="95" spans="2:24">
      <c r="B95" s="216"/>
      <c r="C95" s="216"/>
      <c r="D95" s="216"/>
      <c r="E95" s="216"/>
      <c r="F95" s="216"/>
      <c r="G95" s="216"/>
      <c r="H95" s="216"/>
      <c r="I95" s="216"/>
      <c r="J95" s="216"/>
      <c r="K95" s="216"/>
      <c r="L95" s="216"/>
      <c r="M95" s="216"/>
      <c r="N95" s="216"/>
      <c r="O95" s="216"/>
      <c r="P95" s="216"/>
      <c r="Q95" s="216"/>
      <c r="R95" s="216"/>
      <c r="S95" s="216"/>
      <c r="T95" s="216"/>
      <c r="U95" s="216"/>
      <c r="V95" s="216"/>
      <c r="W95" s="216"/>
      <c r="X95" s="216"/>
    </row>
    <row r="96" spans="2:24">
      <c r="B96" s="216"/>
      <c r="C96" s="216"/>
      <c r="D96" s="216"/>
      <c r="E96" s="216"/>
      <c r="F96" s="216"/>
      <c r="G96" s="216"/>
      <c r="H96" s="216"/>
      <c r="I96" s="216"/>
      <c r="J96" s="216"/>
      <c r="K96" s="216"/>
      <c r="L96" s="216"/>
      <c r="M96" s="216"/>
      <c r="N96" s="216"/>
      <c r="O96" s="216"/>
      <c r="P96" s="216"/>
      <c r="Q96" s="216"/>
      <c r="R96" s="216"/>
      <c r="S96" s="216"/>
      <c r="T96" s="216"/>
      <c r="U96" s="216"/>
      <c r="V96" s="216"/>
      <c r="W96" s="216"/>
      <c r="X96" s="216"/>
    </row>
    <row r="97" spans="2:24">
      <c r="B97" s="216"/>
      <c r="C97" s="216"/>
      <c r="D97" s="216"/>
      <c r="E97" s="216"/>
      <c r="F97" s="216"/>
      <c r="G97" s="216"/>
      <c r="H97" s="216"/>
      <c r="I97" s="216"/>
      <c r="J97" s="216"/>
      <c r="K97" s="216"/>
      <c r="L97" s="216"/>
      <c r="M97" s="216"/>
      <c r="N97" s="216"/>
      <c r="O97" s="216"/>
      <c r="P97" s="216"/>
      <c r="Q97" s="216"/>
      <c r="R97" s="216"/>
      <c r="S97" s="216"/>
      <c r="T97" s="216"/>
      <c r="U97" s="216"/>
      <c r="V97" s="216"/>
      <c r="W97" s="216"/>
      <c r="X97" s="216"/>
    </row>
    <row r="98" spans="2:24">
      <c r="B98" s="216"/>
      <c r="C98" s="216"/>
      <c r="D98" s="216"/>
      <c r="E98" s="216"/>
      <c r="F98" s="216"/>
      <c r="G98" s="216"/>
      <c r="H98" s="216"/>
      <c r="I98" s="216"/>
      <c r="J98" s="216"/>
      <c r="K98" s="216"/>
      <c r="L98" s="216"/>
      <c r="M98" s="216"/>
      <c r="N98" s="216"/>
      <c r="O98" s="216"/>
      <c r="P98" s="216"/>
      <c r="Q98" s="216"/>
      <c r="R98" s="216"/>
      <c r="S98" s="216"/>
      <c r="T98" s="216"/>
      <c r="U98" s="216"/>
      <c r="V98" s="216"/>
      <c r="W98" s="216"/>
      <c r="X98" s="216"/>
    </row>
    <row r="99" spans="2:24">
      <c r="B99" s="216"/>
      <c r="C99" s="216"/>
      <c r="D99" s="216"/>
      <c r="E99" s="216"/>
      <c r="F99" s="216"/>
      <c r="G99" s="216"/>
      <c r="H99" s="216"/>
      <c r="I99" s="216"/>
      <c r="J99" s="216"/>
      <c r="K99" s="216"/>
      <c r="L99" s="216"/>
      <c r="M99" s="216"/>
      <c r="N99" s="216"/>
      <c r="O99" s="216"/>
      <c r="P99" s="216"/>
      <c r="Q99" s="216"/>
      <c r="R99" s="216"/>
      <c r="S99" s="216"/>
      <c r="T99" s="216"/>
      <c r="U99" s="216"/>
      <c r="V99" s="216"/>
      <c r="W99" s="216"/>
      <c r="X99" s="216"/>
    </row>
    <row r="100" spans="2:24">
      <c r="B100" s="216"/>
      <c r="C100" s="216"/>
      <c r="D100" s="216"/>
      <c r="E100" s="216"/>
      <c r="F100" s="216"/>
      <c r="G100" s="216"/>
      <c r="H100" s="216"/>
      <c r="I100" s="216"/>
      <c r="J100" s="216"/>
      <c r="K100" s="216"/>
      <c r="L100" s="216"/>
      <c r="M100" s="216"/>
      <c r="N100" s="216"/>
      <c r="O100" s="216"/>
      <c r="P100" s="216"/>
      <c r="Q100" s="216"/>
      <c r="R100" s="216"/>
      <c r="S100" s="216"/>
      <c r="T100" s="216"/>
      <c r="U100" s="216"/>
      <c r="V100" s="216"/>
      <c r="W100" s="216"/>
      <c r="X100" s="216"/>
    </row>
    <row r="101" spans="2:24">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row>
    <row r="102" spans="2:24">
      <c r="B102" s="216"/>
      <c r="C102" s="216"/>
      <c r="D102" s="216"/>
      <c r="E102" s="216"/>
      <c r="F102" s="216"/>
      <c r="G102" s="216"/>
      <c r="H102" s="216"/>
      <c r="I102" s="216"/>
      <c r="J102" s="216"/>
      <c r="K102" s="216"/>
      <c r="L102" s="216"/>
      <c r="M102" s="216"/>
      <c r="N102" s="216"/>
      <c r="O102" s="216"/>
      <c r="P102" s="216"/>
      <c r="Q102" s="216"/>
      <c r="R102" s="216"/>
      <c r="S102" s="216"/>
      <c r="T102" s="216"/>
      <c r="U102" s="216"/>
      <c r="V102" s="216"/>
      <c r="W102" s="216"/>
      <c r="X102" s="216"/>
    </row>
    <row r="103" spans="2:24">
      <c r="B103" s="216"/>
      <c r="C103" s="216"/>
      <c r="D103" s="216"/>
      <c r="E103" s="216"/>
      <c r="F103" s="216"/>
      <c r="G103" s="216"/>
      <c r="H103" s="216"/>
      <c r="I103" s="216"/>
      <c r="J103" s="216"/>
      <c r="K103" s="216"/>
      <c r="L103" s="216"/>
      <c r="M103" s="216"/>
      <c r="N103" s="216"/>
      <c r="O103" s="216"/>
      <c r="P103" s="216"/>
      <c r="Q103" s="216"/>
      <c r="R103" s="216"/>
      <c r="S103" s="216"/>
      <c r="T103" s="216"/>
      <c r="U103" s="216"/>
      <c r="V103" s="216"/>
      <c r="W103" s="216"/>
      <c r="X103" s="216"/>
    </row>
    <row r="104" spans="2:24">
      <c r="B104" s="216"/>
      <c r="C104" s="216"/>
      <c r="D104" s="216"/>
      <c r="E104" s="216"/>
      <c r="F104" s="216"/>
      <c r="G104" s="216"/>
      <c r="H104" s="216"/>
      <c r="I104" s="216"/>
      <c r="J104" s="216"/>
      <c r="K104" s="216"/>
      <c r="L104" s="216"/>
      <c r="M104" s="216"/>
      <c r="N104" s="216"/>
      <c r="O104" s="216"/>
      <c r="P104" s="216"/>
      <c r="Q104" s="216"/>
      <c r="R104" s="216"/>
      <c r="S104" s="216"/>
      <c r="T104" s="216"/>
      <c r="U104" s="216"/>
      <c r="V104" s="216"/>
      <c r="W104" s="216"/>
      <c r="X104" s="216"/>
    </row>
    <row r="105" spans="2:24">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row>
    <row r="106" spans="2:24">
      <c r="B106" s="216"/>
      <c r="C106" s="216"/>
      <c r="D106" s="216"/>
      <c r="E106" s="216"/>
      <c r="F106" s="216"/>
      <c r="G106" s="216"/>
      <c r="H106" s="216"/>
      <c r="I106" s="216"/>
      <c r="J106" s="216"/>
      <c r="K106" s="216"/>
      <c r="L106" s="216"/>
      <c r="M106" s="216"/>
      <c r="N106" s="216"/>
      <c r="O106" s="216"/>
      <c r="P106" s="216"/>
      <c r="Q106" s="216"/>
      <c r="R106" s="216"/>
      <c r="S106" s="216"/>
      <c r="T106" s="216"/>
      <c r="U106" s="216"/>
      <c r="V106" s="216"/>
      <c r="W106" s="216"/>
      <c r="X106" s="216"/>
    </row>
    <row r="107" spans="2:24">
      <c r="B107" s="216"/>
      <c r="C107" s="216"/>
      <c r="D107" s="216"/>
      <c r="E107" s="216"/>
      <c r="F107" s="216"/>
      <c r="G107" s="216"/>
      <c r="H107" s="216"/>
      <c r="I107" s="216"/>
      <c r="J107" s="216"/>
      <c r="K107" s="216"/>
      <c r="L107" s="216"/>
      <c r="M107" s="216"/>
      <c r="N107" s="216"/>
      <c r="O107" s="216"/>
      <c r="P107" s="216"/>
      <c r="Q107" s="216"/>
      <c r="R107" s="216"/>
      <c r="S107" s="216"/>
      <c r="T107" s="216"/>
      <c r="U107" s="216"/>
      <c r="V107" s="216"/>
      <c r="W107" s="216"/>
      <c r="X107" s="216"/>
    </row>
    <row r="108" spans="2:24">
      <c r="B108" s="216"/>
      <c r="C108" s="216"/>
      <c r="D108" s="216"/>
      <c r="E108" s="216"/>
      <c r="F108" s="216"/>
      <c r="G108" s="216"/>
      <c r="H108" s="216"/>
      <c r="I108" s="216"/>
      <c r="J108" s="216"/>
      <c r="K108" s="216"/>
      <c r="L108" s="216"/>
      <c r="M108" s="216"/>
      <c r="N108" s="216"/>
      <c r="O108" s="216"/>
      <c r="P108" s="216"/>
      <c r="Q108" s="216"/>
      <c r="R108" s="216"/>
      <c r="S108" s="216"/>
      <c r="T108" s="216"/>
      <c r="U108" s="216"/>
      <c r="V108" s="216"/>
      <c r="W108" s="216"/>
      <c r="X108" s="216"/>
    </row>
    <row r="109" spans="2:24">
      <c r="B109" s="216"/>
      <c r="C109" s="216"/>
      <c r="D109" s="216"/>
      <c r="E109" s="216"/>
      <c r="F109" s="216"/>
      <c r="G109" s="216"/>
      <c r="H109" s="216"/>
      <c r="I109" s="216"/>
      <c r="J109" s="216"/>
      <c r="K109" s="216"/>
      <c r="L109" s="216"/>
      <c r="M109" s="216"/>
      <c r="N109" s="216"/>
      <c r="O109" s="216"/>
      <c r="P109" s="216"/>
      <c r="Q109" s="216"/>
      <c r="R109" s="216"/>
      <c r="S109" s="216"/>
      <c r="T109" s="216"/>
      <c r="U109" s="216"/>
      <c r="V109" s="216"/>
      <c r="W109" s="216"/>
      <c r="X109" s="216"/>
    </row>
    <row r="110" spans="2:24">
      <c r="B110" s="216"/>
      <c r="C110" s="216"/>
      <c r="D110" s="216"/>
      <c r="E110" s="216"/>
      <c r="F110" s="216"/>
      <c r="G110" s="216"/>
      <c r="H110" s="216"/>
      <c r="I110" s="216"/>
      <c r="J110" s="216"/>
      <c r="K110" s="216"/>
      <c r="L110" s="216"/>
      <c r="M110" s="216"/>
      <c r="N110" s="216"/>
      <c r="O110" s="216"/>
      <c r="P110" s="216"/>
      <c r="Q110" s="216"/>
      <c r="R110" s="216"/>
      <c r="S110" s="216"/>
      <c r="T110" s="216"/>
      <c r="U110" s="216"/>
      <c r="V110" s="216"/>
      <c r="W110" s="216"/>
      <c r="X110" s="216"/>
    </row>
    <row r="111" spans="2:24">
      <c r="B111" s="216"/>
      <c r="C111" s="216"/>
      <c r="D111" s="216"/>
      <c r="E111" s="216"/>
      <c r="F111" s="216"/>
      <c r="G111" s="216"/>
      <c r="H111" s="216"/>
      <c r="I111" s="216"/>
      <c r="J111" s="216"/>
      <c r="K111" s="216"/>
      <c r="L111" s="216"/>
      <c r="M111" s="216"/>
      <c r="N111" s="216"/>
      <c r="O111" s="216"/>
      <c r="P111" s="216"/>
      <c r="Q111" s="216"/>
      <c r="R111" s="216"/>
      <c r="S111" s="216"/>
      <c r="T111" s="216"/>
      <c r="U111" s="216"/>
      <c r="V111" s="216"/>
      <c r="W111" s="216"/>
      <c r="X111" s="216"/>
    </row>
    <row r="112" spans="2:24">
      <c r="B112" s="216"/>
      <c r="C112" s="216"/>
      <c r="D112" s="216"/>
      <c r="E112" s="216"/>
      <c r="F112" s="216"/>
      <c r="G112" s="216"/>
      <c r="H112" s="216"/>
      <c r="I112" s="216"/>
      <c r="J112" s="216"/>
      <c r="K112" s="216"/>
      <c r="L112" s="216"/>
      <c r="M112" s="216"/>
      <c r="N112" s="216"/>
      <c r="O112" s="216"/>
      <c r="P112" s="216"/>
      <c r="Q112" s="216"/>
      <c r="R112" s="216"/>
      <c r="S112" s="216"/>
      <c r="T112" s="216"/>
      <c r="U112" s="216"/>
      <c r="V112" s="216"/>
      <c r="W112" s="216"/>
      <c r="X112" s="216"/>
    </row>
    <row r="113" spans="2:24">
      <c r="B113" s="216"/>
      <c r="C113" s="216"/>
      <c r="D113" s="216"/>
      <c r="E113" s="216"/>
      <c r="F113" s="216"/>
      <c r="G113" s="216"/>
      <c r="H113" s="216"/>
      <c r="I113" s="216"/>
      <c r="J113" s="216"/>
      <c r="K113" s="216"/>
      <c r="L113" s="216"/>
      <c r="M113" s="216"/>
      <c r="N113" s="216"/>
      <c r="O113" s="216"/>
      <c r="P113" s="216"/>
      <c r="Q113" s="216"/>
      <c r="R113" s="216"/>
      <c r="S113" s="216"/>
      <c r="T113" s="216"/>
      <c r="U113" s="216"/>
      <c r="V113" s="216"/>
      <c r="W113" s="216"/>
      <c r="X113" s="216"/>
    </row>
    <row r="114" spans="2:24">
      <c r="B114" s="216"/>
      <c r="C114" s="216"/>
      <c r="D114" s="216"/>
      <c r="E114" s="216"/>
      <c r="F114" s="216"/>
      <c r="G114" s="216"/>
      <c r="H114" s="216"/>
      <c r="I114" s="216"/>
      <c r="J114" s="216"/>
      <c r="K114" s="216"/>
      <c r="L114" s="216"/>
      <c r="M114" s="216"/>
      <c r="N114" s="216"/>
      <c r="O114" s="216"/>
      <c r="P114" s="216"/>
      <c r="Q114" s="216"/>
      <c r="R114" s="216"/>
      <c r="S114" s="216"/>
      <c r="T114" s="216"/>
      <c r="U114" s="216"/>
      <c r="V114" s="216"/>
      <c r="W114" s="216"/>
      <c r="X114" s="216"/>
    </row>
    <row r="115" spans="2:24">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row>
    <row r="116" spans="2:24">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row>
    <row r="117" spans="2:24">
      <c r="B117" s="216"/>
      <c r="C117" s="216"/>
      <c r="D117" s="216"/>
      <c r="E117" s="216"/>
      <c r="F117" s="216"/>
      <c r="G117" s="216"/>
      <c r="H117" s="216"/>
      <c r="I117" s="216"/>
      <c r="J117" s="216"/>
      <c r="K117" s="216"/>
      <c r="L117" s="216"/>
      <c r="M117" s="216"/>
      <c r="N117" s="216"/>
      <c r="O117" s="216"/>
      <c r="P117" s="216"/>
      <c r="Q117" s="216"/>
      <c r="R117" s="216"/>
      <c r="S117" s="216"/>
      <c r="T117" s="216"/>
      <c r="U117" s="216"/>
      <c r="V117" s="216"/>
      <c r="W117" s="216"/>
      <c r="X117" s="216"/>
    </row>
    <row r="118" spans="2:24">
      <c r="B118" s="216"/>
      <c r="C118" s="216"/>
      <c r="D118" s="216"/>
      <c r="E118" s="216"/>
      <c r="F118" s="216"/>
      <c r="G118" s="216"/>
      <c r="H118" s="216"/>
      <c r="I118" s="216"/>
      <c r="J118" s="216"/>
      <c r="K118" s="216"/>
      <c r="L118" s="216"/>
      <c r="M118" s="216"/>
      <c r="N118" s="216"/>
      <c r="O118" s="216"/>
      <c r="P118" s="216"/>
      <c r="Q118" s="216"/>
      <c r="R118" s="216"/>
      <c r="S118" s="216"/>
      <c r="T118" s="216"/>
      <c r="U118" s="216"/>
      <c r="V118" s="216"/>
      <c r="W118" s="216"/>
      <c r="X118" s="216"/>
    </row>
    <row r="119" spans="2:24">
      <c r="B119" s="216"/>
      <c r="C119" s="216"/>
      <c r="D119" s="216"/>
      <c r="E119" s="216"/>
      <c r="F119" s="216"/>
      <c r="G119" s="216"/>
      <c r="H119" s="216"/>
      <c r="I119" s="216"/>
      <c r="J119" s="216"/>
      <c r="K119" s="216"/>
      <c r="L119" s="216"/>
      <c r="M119" s="216"/>
      <c r="N119" s="216"/>
      <c r="O119" s="216"/>
      <c r="P119" s="216"/>
      <c r="Q119" s="216"/>
      <c r="R119" s="216"/>
      <c r="S119" s="216"/>
      <c r="T119" s="216"/>
      <c r="U119" s="216"/>
      <c r="V119" s="216"/>
      <c r="W119" s="216"/>
      <c r="X119" s="216"/>
    </row>
    <row r="120" spans="2:24">
      <c r="B120" s="216"/>
      <c r="C120" s="216"/>
      <c r="D120" s="216"/>
      <c r="E120" s="216"/>
      <c r="F120" s="216"/>
      <c r="G120" s="216"/>
      <c r="H120" s="216"/>
      <c r="I120" s="216"/>
      <c r="J120" s="216"/>
      <c r="K120" s="216"/>
      <c r="L120" s="216"/>
      <c r="M120" s="216"/>
      <c r="N120" s="216"/>
      <c r="O120" s="216"/>
      <c r="P120" s="216"/>
      <c r="Q120" s="216"/>
      <c r="R120" s="216"/>
      <c r="S120" s="216"/>
      <c r="T120" s="216"/>
      <c r="U120" s="216"/>
      <c r="V120" s="216"/>
      <c r="W120" s="216"/>
      <c r="X120" s="216"/>
    </row>
    <row r="121" spans="2:24">
      <c r="B121" s="216"/>
      <c r="C121" s="216"/>
      <c r="D121" s="216"/>
      <c r="E121" s="216"/>
      <c r="F121" s="216"/>
      <c r="G121" s="216"/>
      <c r="H121" s="216"/>
      <c r="I121" s="216"/>
      <c r="J121" s="216"/>
      <c r="K121" s="216"/>
      <c r="L121" s="216"/>
      <c r="M121" s="216"/>
      <c r="N121" s="216"/>
      <c r="O121" s="216"/>
      <c r="P121" s="216"/>
      <c r="Q121" s="216"/>
      <c r="R121" s="216"/>
      <c r="S121" s="216"/>
      <c r="T121" s="216"/>
      <c r="U121" s="216"/>
      <c r="V121" s="216"/>
      <c r="W121" s="216"/>
      <c r="X121" s="216"/>
    </row>
    <row r="122" spans="2:24">
      <c r="B122" s="216"/>
      <c r="C122" s="216"/>
      <c r="D122" s="216"/>
      <c r="E122" s="216"/>
      <c r="F122" s="216"/>
      <c r="G122" s="216"/>
      <c r="H122" s="216"/>
      <c r="I122" s="216"/>
      <c r="J122" s="216"/>
      <c r="K122" s="216"/>
      <c r="L122" s="216"/>
      <c r="M122" s="216"/>
      <c r="N122" s="216"/>
      <c r="O122" s="216"/>
      <c r="P122" s="216"/>
      <c r="Q122" s="216"/>
      <c r="R122" s="216"/>
      <c r="S122" s="216"/>
      <c r="T122" s="216"/>
      <c r="U122" s="216"/>
      <c r="V122" s="216"/>
      <c r="W122" s="216"/>
      <c r="X122" s="216"/>
    </row>
    <row r="123" spans="2:24">
      <c r="B123" s="216"/>
      <c r="C123" s="216"/>
      <c r="D123" s="216"/>
      <c r="E123" s="216"/>
      <c r="F123" s="216"/>
      <c r="G123" s="216"/>
      <c r="H123" s="216"/>
      <c r="I123" s="216"/>
      <c r="J123" s="216"/>
      <c r="K123" s="216"/>
      <c r="L123" s="216"/>
      <c r="M123" s="216"/>
      <c r="N123" s="216"/>
      <c r="O123" s="216"/>
      <c r="P123" s="216"/>
      <c r="Q123" s="216"/>
      <c r="R123" s="216"/>
      <c r="S123" s="216"/>
      <c r="T123" s="216"/>
      <c r="U123" s="216"/>
      <c r="V123" s="216"/>
      <c r="W123" s="216"/>
      <c r="X123" s="216"/>
    </row>
    <row r="124" spans="2:24">
      <c r="B124" s="216"/>
      <c r="C124" s="216"/>
      <c r="D124" s="216"/>
      <c r="E124" s="216"/>
      <c r="F124" s="216"/>
      <c r="G124" s="216"/>
      <c r="H124" s="216"/>
      <c r="I124" s="216"/>
      <c r="J124" s="216"/>
      <c r="K124" s="216"/>
      <c r="L124" s="216"/>
      <c r="M124" s="216"/>
      <c r="N124" s="216"/>
      <c r="O124" s="216"/>
      <c r="P124" s="216"/>
      <c r="Q124" s="216"/>
      <c r="R124" s="216"/>
      <c r="S124" s="216"/>
      <c r="T124" s="216"/>
      <c r="U124" s="216"/>
      <c r="V124" s="216"/>
      <c r="W124" s="216"/>
      <c r="X124" s="216"/>
    </row>
    <row r="125" spans="2:24">
      <c r="B125" s="216"/>
      <c r="C125" s="216"/>
      <c r="D125" s="216"/>
      <c r="E125" s="216"/>
      <c r="F125" s="216"/>
      <c r="G125" s="216"/>
      <c r="H125" s="216"/>
      <c r="I125" s="216"/>
      <c r="J125" s="216"/>
      <c r="K125" s="216"/>
      <c r="L125" s="216"/>
      <c r="M125" s="216"/>
      <c r="N125" s="216"/>
      <c r="O125" s="216"/>
      <c r="P125" s="216"/>
      <c r="Q125" s="216"/>
      <c r="R125" s="216"/>
      <c r="S125" s="216"/>
      <c r="T125" s="216"/>
      <c r="U125" s="216"/>
      <c r="V125" s="216"/>
      <c r="W125" s="216"/>
      <c r="X125" s="216"/>
    </row>
    <row r="126" spans="2:24">
      <c r="B126" s="216"/>
      <c r="C126" s="216"/>
      <c r="D126" s="216"/>
      <c r="E126" s="216"/>
      <c r="F126" s="216"/>
      <c r="G126" s="216"/>
      <c r="H126" s="216"/>
      <c r="I126" s="216"/>
      <c r="J126" s="216"/>
      <c r="K126" s="216"/>
      <c r="L126" s="216"/>
      <c r="M126" s="216"/>
      <c r="N126" s="216"/>
      <c r="O126" s="216"/>
      <c r="P126" s="216"/>
      <c r="Q126" s="216"/>
      <c r="R126" s="216"/>
      <c r="S126" s="216"/>
      <c r="T126" s="216"/>
      <c r="U126" s="216"/>
      <c r="V126" s="216"/>
      <c r="W126" s="216"/>
      <c r="X126" s="216"/>
    </row>
    <row r="127" spans="2:24">
      <c r="B127" s="216"/>
      <c r="C127" s="216"/>
      <c r="D127" s="216"/>
      <c r="E127" s="216"/>
      <c r="F127" s="216"/>
      <c r="G127" s="216"/>
      <c r="H127" s="216"/>
      <c r="I127" s="216"/>
      <c r="J127" s="216"/>
      <c r="K127" s="216"/>
      <c r="L127" s="216"/>
      <c r="M127" s="216"/>
      <c r="N127" s="216"/>
      <c r="O127" s="216"/>
      <c r="P127" s="216"/>
      <c r="Q127" s="216"/>
      <c r="R127" s="216"/>
      <c r="S127" s="216"/>
      <c r="T127" s="216"/>
      <c r="U127" s="216"/>
      <c r="V127" s="216"/>
      <c r="W127" s="216"/>
      <c r="X127" s="216"/>
    </row>
    <row r="128" spans="2:24">
      <c r="B128" s="216"/>
      <c r="C128" s="216"/>
      <c r="D128" s="216"/>
      <c r="E128" s="216"/>
      <c r="F128" s="216"/>
      <c r="G128" s="216"/>
      <c r="H128" s="216"/>
      <c r="I128" s="216"/>
      <c r="J128" s="216"/>
      <c r="K128" s="216"/>
      <c r="L128" s="216"/>
      <c r="M128" s="216"/>
      <c r="N128" s="216"/>
      <c r="O128" s="216"/>
      <c r="P128" s="216"/>
      <c r="Q128" s="216"/>
      <c r="R128" s="216"/>
      <c r="S128" s="216"/>
      <c r="T128" s="216"/>
      <c r="U128" s="216"/>
      <c r="V128" s="216"/>
      <c r="W128" s="216"/>
      <c r="X128" s="216"/>
    </row>
    <row r="129" spans="2:24">
      <c r="B129" s="216"/>
      <c r="C129" s="216"/>
      <c r="D129" s="216"/>
      <c r="E129" s="216"/>
      <c r="F129" s="216"/>
      <c r="G129" s="216"/>
      <c r="H129" s="216"/>
      <c r="I129" s="216"/>
      <c r="J129" s="216"/>
      <c r="K129" s="216"/>
      <c r="L129" s="216"/>
      <c r="M129" s="216"/>
      <c r="N129" s="216"/>
      <c r="O129" s="216"/>
      <c r="P129" s="216"/>
      <c r="Q129" s="216"/>
      <c r="R129" s="216"/>
      <c r="S129" s="216"/>
      <c r="T129" s="216"/>
      <c r="U129" s="216"/>
      <c r="V129" s="216"/>
      <c r="W129" s="216"/>
      <c r="X129" s="216"/>
    </row>
    <row r="130" spans="2:24">
      <c r="B130" s="216"/>
      <c r="C130" s="216"/>
      <c r="D130" s="216"/>
      <c r="E130" s="216"/>
      <c r="F130" s="216"/>
      <c r="G130" s="216"/>
      <c r="H130" s="216"/>
      <c r="I130" s="216"/>
      <c r="J130" s="216"/>
      <c r="K130" s="216"/>
      <c r="L130" s="216"/>
      <c r="M130" s="216"/>
      <c r="N130" s="216"/>
      <c r="O130" s="216"/>
      <c r="P130" s="216"/>
      <c r="Q130" s="216"/>
      <c r="R130" s="216"/>
      <c r="S130" s="216"/>
      <c r="T130" s="216"/>
      <c r="U130" s="216"/>
      <c r="V130" s="216"/>
      <c r="W130" s="216"/>
      <c r="X130" s="216"/>
    </row>
    <row r="131" spans="2:24">
      <c r="B131" s="216"/>
      <c r="C131" s="216"/>
      <c r="D131" s="216"/>
      <c r="E131" s="216"/>
      <c r="F131" s="216"/>
      <c r="G131" s="216"/>
      <c r="H131" s="216"/>
      <c r="I131" s="216"/>
      <c r="J131" s="216"/>
      <c r="K131" s="216"/>
      <c r="L131" s="216"/>
      <c r="M131" s="216"/>
      <c r="N131" s="216"/>
      <c r="O131" s="216"/>
      <c r="P131" s="216"/>
      <c r="Q131" s="216"/>
      <c r="R131" s="216"/>
      <c r="S131" s="216"/>
      <c r="T131" s="216"/>
      <c r="U131" s="216"/>
      <c r="V131" s="216"/>
      <c r="W131" s="216"/>
      <c r="X131" s="216"/>
    </row>
    <row r="132" spans="2:24">
      <c r="B132" s="216"/>
      <c r="C132" s="216"/>
      <c r="D132" s="216"/>
      <c r="E132" s="216"/>
      <c r="F132" s="216"/>
      <c r="G132" s="216"/>
      <c r="H132" s="216"/>
      <c r="I132" s="216"/>
      <c r="J132" s="216"/>
      <c r="K132" s="216"/>
      <c r="L132" s="216"/>
      <c r="M132" s="216"/>
      <c r="N132" s="216"/>
      <c r="O132" s="216"/>
      <c r="P132" s="216"/>
      <c r="Q132" s="216"/>
      <c r="R132" s="216"/>
      <c r="S132" s="216"/>
      <c r="T132" s="216"/>
      <c r="U132" s="216"/>
      <c r="V132" s="216"/>
      <c r="W132" s="216"/>
      <c r="X132" s="216"/>
    </row>
    <row r="133" spans="2:24">
      <c r="B133" s="216"/>
      <c r="C133" s="216"/>
      <c r="D133" s="216"/>
      <c r="E133" s="216"/>
      <c r="F133" s="216"/>
      <c r="G133" s="216"/>
      <c r="H133" s="216"/>
      <c r="I133" s="216"/>
      <c r="J133" s="216"/>
      <c r="K133" s="216"/>
      <c r="L133" s="216"/>
      <c r="M133" s="216"/>
      <c r="N133" s="216"/>
      <c r="O133" s="216"/>
      <c r="P133" s="216"/>
      <c r="Q133" s="216"/>
      <c r="R133" s="216"/>
      <c r="S133" s="216"/>
      <c r="T133" s="216"/>
      <c r="U133" s="216"/>
      <c r="V133" s="216"/>
      <c r="W133" s="216"/>
      <c r="X133" s="216"/>
    </row>
    <row r="134" spans="2:24">
      <c r="B134" s="216"/>
      <c r="C134" s="216"/>
      <c r="D134" s="216"/>
      <c r="E134" s="216"/>
      <c r="F134" s="216"/>
      <c r="G134" s="216"/>
      <c r="H134" s="216"/>
      <c r="I134" s="216"/>
      <c r="J134" s="216"/>
      <c r="K134" s="216"/>
      <c r="L134" s="216"/>
      <c r="M134" s="216"/>
      <c r="N134" s="216"/>
      <c r="O134" s="216"/>
      <c r="P134" s="216"/>
      <c r="Q134" s="216"/>
      <c r="R134" s="216"/>
      <c r="S134" s="216"/>
      <c r="T134" s="216"/>
      <c r="U134" s="216"/>
      <c r="V134" s="216"/>
      <c r="W134" s="216"/>
      <c r="X134" s="216"/>
    </row>
    <row r="135" spans="2:24">
      <c r="B135" s="216"/>
      <c r="C135" s="216"/>
      <c r="D135" s="216"/>
      <c r="E135" s="216"/>
      <c r="F135" s="216"/>
      <c r="G135" s="216"/>
      <c r="H135" s="216"/>
      <c r="I135" s="216"/>
      <c r="J135" s="216"/>
      <c r="K135" s="216"/>
      <c r="L135" s="216"/>
      <c r="M135" s="216"/>
      <c r="N135" s="216"/>
      <c r="O135" s="216"/>
      <c r="P135" s="216"/>
      <c r="Q135" s="216"/>
      <c r="R135" s="216"/>
      <c r="S135" s="216"/>
      <c r="T135" s="216"/>
      <c r="U135" s="216"/>
      <c r="V135" s="216"/>
      <c r="W135" s="216"/>
      <c r="X135" s="216"/>
    </row>
    <row r="136" spans="2:24">
      <c r="B136" s="216"/>
      <c r="C136" s="216"/>
      <c r="D136" s="216"/>
      <c r="E136" s="216"/>
      <c r="F136" s="216"/>
      <c r="G136" s="216"/>
      <c r="H136" s="216"/>
      <c r="I136" s="216"/>
      <c r="J136" s="216"/>
      <c r="K136" s="216"/>
      <c r="L136" s="216"/>
      <c r="M136" s="216"/>
      <c r="N136" s="216"/>
      <c r="O136" s="216"/>
      <c r="P136" s="216"/>
      <c r="Q136" s="216"/>
      <c r="R136" s="216"/>
      <c r="S136" s="216"/>
      <c r="T136" s="216"/>
      <c r="U136" s="216"/>
      <c r="V136" s="216"/>
      <c r="W136" s="216"/>
      <c r="X136" s="216"/>
    </row>
    <row r="137" spans="2:24">
      <c r="B137" s="216"/>
      <c r="C137" s="216"/>
      <c r="D137" s="216"/>
      <c r="E137" s="216"/>
      <c r="F137" s="216"/>
      <c r="G137" s="216"/>
      <c r="H137" s="216"/>
      <c r="I137" s="216"/>
      <c r="J137" s="216"/>
      <c r="K137" s="216"/>
      <c r="L137" s="216"/>
      <c r="M137" s="216"/>
      <c r="N137" s="216"/>
      <c r="O137" s="216"/>
      <c r="P137" s="216"/>
      <c r="Q137" s="216"/>
      <c r="R137" s="216"/>
      <c r="S137" s="216"/>
      <c r="T137" s="216"/>
      <c r="U137" s="216"/>
      <c r="V137" s="216"/>
      <c r="W137" s="216"/>
      <c r="X137" s="216"/>
    </row>
    <row r="138" spans="2:24">
      <c r="B138" s="216"/>
      <c r="C138" s="216"/>
      <c r="D138" s="216"/>
      <c r="E138" s="216"/>
      <c r="F138" s="216"/>
      <c r="G138" s="216"/>
      <c r="H138" s="216"/>
      <c r="I138" s="216"/>
      <c r="J138" s="216"/>
      <c r="K138" s="216"/>
      <c r="L138" s="216"/>
      <c r="M138" s="216"/>
      <c r="N138" s="216"/>
      <c r="O138" s="216"/>
      <c r="P138" s="216"/>
      <c r="Q138" s="216"/>
      <c r="R138" s="216"/>
      <c r="S138" s="216"/>
      <c r="T138" s="216"/>
      <c r="U138" s="216"/>
      <c r="V138" s="216"/>
      <c r="W138" s="216"/>
      <c r="X138" s="216"/>
    </row>
    <row r="139" spans="2:24">
      <c r="B139" s="216"/>
      <c r="C139" s="216"/>
      <c r="D139" s="216"/>
      <c r="E139" s="216"/>
      <c r="F139" s="216"/>
      <c r="G139" s="216"/>
      <c r="H139" s="216"/>
      <c r="I139" s="216"/>
      <c r="J139" s="216"/>
      <c r="K139" s="216"/>
      <c r="L139" s="216"/>
      <c r="M139" s="216"/>
      <c r="N139" s="216"/>
      <c r="O139" s="216"/>
      <c r="P139" s="216"/>
      <c r="Q139" s="216"/>
      <c r="R139" s="216"/>
      <c r="S139" s="216"/>
      <c r="T139" s="216"/>
      <c r="U139" s="216"/>
      <c r="V139" s="216"/>
      <c r="W139" s="216"/>
      <c r="X139" s="216"/>
    </row>
    <row r="140" spans="2:24">
      <c r="B140" s="216"/>
      <c r="C140" s="216"/>
      <c r="D140" s="216"/>
      <c r="E140" s="216"/>
      <c r="F140" s="216"/>
      <c r="G140" s="216"/>
      <c r="H140" s="216"/>
      <c r="I140" s="216"/>
      <c r="J140" s="216"/>
      <c r="K140" s="216"/>
      <c r="L140" s="216"/>
      <c r="M140" s="216"/>
      <c r="N140" s="216"/>
      <c r="O140" s="216"/>
      <c r="P140" s="216"/>
      <c r="Q140" s="216"/>
      <c r="R140" s="216"/>
      <c r="S140" s="216"/>
      <c r="T140" s="216"/>
      <c r="U140" s="216"/>
      <c r="V140" s="216"/>
      <c r="W140" s="216"/>
      <c r="X140" s="216"/>
    </row>
    <row r="141" spans="2:24">
      <c r="B141" s="216"/>
      <c r="C141" s="216"/>
      <c r="D141" s="216"/>
      <c r="E141" s="216"/>
      <c r="F141" s="216"/>
      <c r="G141" s="216"/>
      <c r="H141" s="216"/>
      <c r="I141" s="216"/>
      <c r="J141" s="216"/>
      <c r="K141" s="216"/>
      <c r="L141" s="216"/>
      <c r="M141" s="216"/>
      <c r="N141" s="216"/>
      <c r="O141" s="216"/>
      <c r="P141" s="216"/>
      <c r="Q141" s="216"/>
      <c r="R141" s="216"/>
      <c r="S141" s="216"/>
      <c r="T141" s="216"/>
      <c r="U141" s="216"/>
      <c r="V141" s="216"/>
      <c r="W141" s="216"/>
      <c r="X141" s="216"/>
    </row>
    <row r="142" spans="2:24">
      <c r="B142" s="216"/>
      <c r="C142" s="216"/>
      <c r="D142" s="216"/>
      <c r="E142" s="216"/>
      <c r="F142" s="216"/>
      <c r="G142" s="216"/>
      <c r="H142" s="216"/>
      <c r="I142" s="216"/>
      <c r="J142" s="216"/>
      <c r="K142" s="216"/>
      <c r="L142" s="216"/>
      <c r="M142" s="216"/>
      <c r="N142" s="216"/>
      <c r="O142" s="216"/>
      <c r="P142" s="216"/>
      <c r="Q142" s="216"/>
      <c r="R142" s="216"/>
      <c r="S142" s="216"/>
      <c r="T142" s="216"/>
      <c r="U142" s="216"/>
      <c r="V142" s="216"/>
      <c r="W142" s="216"/>
      <c r="X142" s="216"/>
    </row>
    <row r="143" spans="2:24">
      <c r="B143" s="216"/>
      <c r="C143" s="216"/>
      <c r="D143" s="216"/>
      <c r="E143" s="216"/>
      <c r="F143" s="216"/>
      <c r="G143" s="216"/>
      <c r="H143" s="216"/>
      <c r="I143" s="216"/>
      <c r="J143" s="216"/>
      <c r="K143" s="216"/>
      <c r="L143" s="216"/>
      <c r="M143" s="216"/>
      <c r="N143" s="216"/>
      <c r="O143" s="216"/>
      <c r="P143" s="216"/>
      <c r="Q143" s="216"/>
      <c r="R143" s="216"/>
      <c r="S143" s="216"/>
      <c r="T143" s="216"/>
      <c r="U143" s="216"/>
      <c r="V143" s="216"/>
      <c r="W143" s="216"/>
      <c r="X143" s="216"/>
    </row>
    <row r="144" spans="2:24">
      <c r="B144" s="216"/>
      <c r="C144" s="216"/>
      <c r="D144" s="216"/>
      <c r="E144" s="216"/>
      <c r="F144" s="216"/>
      <c r="G144" s="216"/>
      <c r="H144" s="216"/>
      <c r="I144" s="216"/>
      <c r="J144" s="216"/>
      <c r="K144" s="216"/>
      <c r="L144" s="216"/>
      <c r="M144" s="216"/>
      <c r="N144" s="216"/>
      <c r="O144" s="216"/>
      <c r="P144" s="216"/>
      <c r="Q144" s="216"/>
      <c r="R144" s="216"/>
      <c r="S144" s="216"/>
      <c r="T144" s="216"/>
      <c r="U144" s="216"/>
      <c r="V144" s="216"/>
      <c r="W144" s="216"/>
      <c r="X144" s="216"/>
    </row>
    <row r="145" spans="2:24">
      <c r="B145" s="216"/>
      <c r="C145" s="216"/>
      <c r="D145" s="216"/>
      <c r="E145" s="216"/>
      <c r="F145" s="216"/>
      <c r="G145" s="216"/>
      <c r="H145" s="216"/>
      <c r="I145" s="216"/>
      <c r="J145" s="216"/>
      <c r="K145" s="216"/>
      <c r="L145" s="216"/>
      <c r="M145" s="216"/>
      <c r="N145" s="216"/>
      <c r="O145" s="216"/>
      <c r="P145" s="216"/>
      <c r="Q145" s="216"/>
      <c r="R145" s="216"/>
      <c r="S145" s="216"/>
      <c r="T145" s="216"/>
      <c r="U145" s="216"/>
      <c r="V145" s="216"/>
      <c r="W145" s="216"/>
      <c r="X145" s="216"/>
    </row>
    <row r="146" spans="2:24">
      <c r="B146" s="216"/>
      <c r="C146" s="216"/>
      <c r="D146" s="216"/>
      <c r="E146" s="216"/>
      <c r="F146" s="216"/>
      <c r="G146" s="216"/>
      <c r="H146" s="216"/>
      <c r="I146" s="216"/>
      <c r="J146" s="216"/>
      <c r="K146" s="216"/>
      <c r="L146" s="216"/>
      <c r="M146" s="216"/>
      <c r="N146" s="216"/>
      <c r="O146" s="216"/>
      <c r="P146" s="216"/>
      <c r="Q146" s="216"/>
      <c r="R146" s="216"/>
      <c r="S146" s="216"/>
      <c r="T146" s="216"/>
      <c r="U146" s="216"/>
      <c r="V146" s="216"/>
      <c r="W146" s="216"/>
      <c r="X146" s="216"/>
    </row>
    <row r="147" spans="2:24">
      <c r="B147" s="216"/>
      <c r="C147" s="216"/>
      <c r="D147" s="216"/>
      <c r="E147" s="216"/>
      <c r="F147" s="216"/>
      <c r="G147" s="216"/>
      <c r="H147" s="216"/>
      <c r="I147" s="216"/>
      <c r="J147" s="216"/>
      <c r="K147" s="216"/>
      <c r="L147" s="216"/>
      <c r="M147" s="216"/>
      <c r="N147" s="216"/>
      <c r="O147" s="216"/>
      <c r="P147" s="216"/>
      <c r="Q147" s="216"/>
      <c r="R147" s="216"/>
      <c r="S147" s="216"/>
      <c r="T147" s="216"/>
      <c r="U147" s="216"/>
      <c r="V147" s="216"/>
      <c r="W147" s="216"/>
      <c r="X147" s="216"/>
    </row>
    <row r="148" spans="2:24">
      <c r="B148" s="216"/>
      <c r="C148" s="216"/>
      <c r="D148" s="216"/>
      <c r="E148" s="216"/>
      <c r="F148" s="216"/>
      <c r="G148" s="216"/>
      <c r="H148" s="216"/>
      <c r="I148" s="216"/>
      <c r="J148" s="216"/>
      <c r="K148" s="216"/>
      <c r="L148" s="216"/>
      <c r="M148" s="216"/>
      <c r="N148" s="216"/>
      <c r="O148" s="216"/>
      <c r="P148" s="216"/>
      <c r="Q148" s="216"/>
      <c r="R148" s="216"/>
      <c r="S148" s="216"/>
      <c r="T148" s="216"/>
      <c r="U148" s="216"/>
      <c r="V148" s="216"/>
      <c r="W148" s="216"/>
      <c r="X148" s="216"/>
    </row>
    <row r="149" spans="2:24">
      <c r="B149" s="216"/>
      <c r="C149" s="216"/>
      <c r="D149" s="216"/>
      <c r="E149" s="216"/>
      <c r="F149" s="216"/>
      <c r="G149" s="216"/>
      <c r="H149" s="216"/>
      <c r="I149" s="216"/>
      <c r="J149" s="216"/>
      <c r="K149" s="216"/>
      <c r="L149" s="216"/>
      <c r="M149" s="216"/>
      <c r="N149" s="216"/>
      <c r="O149" s="216"/>
      <c r="P149" s="216"/>
      <c r="Q149" s="216"/>
      <c r="R149" s="216"/>
      <c r="S149" s="216"/>
      <c r="T149" s="216"/>
      <c r="U149" s="216"/>
      <c r="V149" s="216"/>
      <c r="W149" s="216"/>
      <c r="X149" s="216"/>
    </row>
    <row r="150" spans="2:24">
      <c r="B150" s="216"/>
      <c r="C150" s="216"/>
      <c r="D150" s="216"/>
      <c r="E150" s="216"/>
      <c r="F150" s="216"/>
      <c r="G150" s="216"/>
      <c r="H150" s="216"/>
      <c r="I150" s="216"/>
      <c r="J150" s="216"/>
      <c r="K150" s="216"/>
      <c r="L150" s="216"/>
      <c r="M150" s="216"/>
      <c r="N150" s="216"/>
      <c r="O150" s="216"/>
      <c r="P150" s="216"/>
      <c r="Q150" s="216"/>
      <c r="R150" s="216"/>
      <c r="S150" s="216"/>
      <c r="T150" s="216"/>
      <c r="U150" s="216"/>
      <c r="V150" s="216"/>
      <c r="W150" s="216"/>
      <c r="X150" s="216"/>
    </row>
    <row r="151" spans="2:24">
      <c r="B151" s="216"/>
      <c r="C151" s="216"/>
      <c r="D151" s="216"/>
      <c r="E151" s="216"/>
      <c r="F151" s="216"/>
      <c r="G151" s="216"/>
      <c r="H151" s="216"/>
      <c r="I151" s="216"/>
      <c r="J151" s="216"/>
      <c r="K151" s="216"/>
      <c r="L151" s="216"/>
      <c r="M151" s="216"/>
      <c r="N151" s="216"/>
      <c r="O151" s="216"/>
      <c r="P151" s="216"/>
      <c r="Q151" s="216"/>
      <c r="R151" s="216"/>
      <c r="S151" s="216"/>
      <c r="T151" s="216"/>
      <c r="U151" s="216"/>
      <c r="V151" s="216"/>
      <c r="W151" s="216"/>
      <c r="X151" s="216"/>
    </row>
    <row r="152" spans="2:24">
      <c r="B152" s="216"/>
      <c r="C152" s="216"/>
      <c r="D152" s="216"/>
      <c r="E152" s="216"/>
      <c r="F152" s="216"/>
      <c r="G152" s="216"/>
      <c r="H152" s="216"/>
      <c r="I152" s="216"/>
      <c r="J152" s="216"/>
      <c r="K152" s="216"/>
      <c r="L152" s="216"/>
      <c r="M152" s="216"/>
      <c r="N152" s="216"/>
      <c r="O152" s="216"/>
      <c r="P152" s="216"/>
      <c r="Q152" s="216"/>
      <c r="R152" s="216"/>
      <c r="S152" s="216"/>
      <c r="T152" s="216"/>
      <c r="U152" s="216"/>
      <c r="V152" s="216"/>
      <c r="W152" s="216"/>
      <c r="X152" s="216"/>
    </row>
    <row r="153" spans="2:24">
      <c r="B153" s="216"/>
      <c r="C153" s="216"/>
      <c r="D153" s="216"/>
      <c r="E153" s="216"/>
      <c r="F153" s="216"/>
      <c r="G153" s="216"/>
      <c r="H153" s="216"/>
      <c r="I153" s="216"/>
      <c r="J153" s="216"/>
      <c r="K153" s="216"/>
      <c r="L153" s="216"/>
      <c r="M153" s="216"/>
      <c r="N153" s="216"/>
      <c r="O153" s="216"/>
      <c r="P153" s="216"/>
      <c r="Q153" s="216"/>
      <c r="R153" s="216"/>
      <c r="S153" s="216"/>
      <c r="T153" s="216"/>
      <c r="U153" s="216"/>
      <c r="V153" s="216"/>
      <c r="W153" s="216"/>
      <c r="X153" s="216"/>
    </row>
    <row r="154" spans="2:24">
      <c r="B154" s="216"/>
      <c r="C154" s="216"/>
      <c r="D154" s="216"/>
      <c r="E154" s="216"/>
      <c r="F154" s="216"/>
      <c r="G154" s="216"/>
      <c r="H154" s="216"/>
      <c r="I154" s="216"/>
      <c r="J154" s="216"/>
      <c r="K154" s="216"/>
      <c r="L154" s="216"/>
      <c r="M154" s="216"/>
      <c r="N154" s="216"/>
      <c r="O154" s="216"/>
      <c r="P154" s="216"/>
      <c r="Q154" s="216"/>
      <c r="R154" s="216"/>
      <c r="S154" s="216"/>
      <c r="T154" s="216"/>
      <c r="U154" s="216"/>
      <c r="V154" s="216"/>
      <c r="W154" s="216"/>
      <c r="X154" s="216"/>
    </row>
    <row r="155" spans="2:24">
      <c r="B155" s="216"/>
      <c r="C155" s="216"/>
      <c r="D155" s="216"/>
      <c r="E155" s="216"/>
      <c r="F155" s="216"/>
      <c r="G155" s="216"/>
      <c r="H155" s="216"/>
      <c r="I155" s="216"/>
      <c r="J155" s="216"/>
      <c r="K155" s="216"/>
      <c r="L155" s="216"/>
      <c r="M155" s="216"/>
      <c r="N155" s="216"/>
      <c r="O155" s="216"/>
      <c r="P155" s="216"/>
      <c r="Q155" s="216"/>
      <c r="R155" s="216"/>
      <c r="S155" s="216"/>
      <c r="T155" s="216"/>
      <c r="U155" s="216"/>
      <c r="V155" s="216"/>
      <c r="W155" s="216"/>
      <c r="X155" s="216"/>
    </row>
    <row r="156" spans="2:24">
      <c r="B156" s="216"/>
      <c r="C156" s="216"/>
      <c r="D156" s="216"/>
      <c r="E156" s="216"/>
      <c r="F156" s="216"/>
      <c r="G156" s="216"/>
      <c r="H156" s="216"/>
      <c r="I156" s="216"/>
      <c r="J156" s="216"/>
      <c r="K156" s="216"/>
      <c r="L156" s="216"/>
      <c r="M156" s="216"/>
      <c r="N156" s="216"/>
      <c r="O156" s="216"/>
      <c r="P156" s="216"/>
      <c r="Q156" s="216"/>
      <c r="R156" s="216"/>
      <c r="S156" s="216"/>
      <c r="T156" s="216"/>
      <c r="U156" s="216"/>
      <c r="V156" s="216"/>
      <c r="W156" s="216"/>
      <c r="X156" s="216"/>
    </row>
    <row r="157" spans="2:24">
      <c r="B157" s="216"/>
      <c r="C157" s="216"/>
      <c r="D157" s="216"/>
      <c r="E157" s="216"/>
      <c r="F157" s="216"/>
      <c r="G157" s="216"/>
      <c r="H157" s="216"/>
      <c r="I157" s="216"/>
      <c r="J157" s="216"/>
      <c r="K157" s="216"/>
      <c r="L157" s="216"/>
      <c r="M157" s="216"/>
      <c r="N157" s="216"/>
      <c r="O157" s="216"/>
      <c r="P157" s="216"/>
      <c r="Q157" s="216"/>
      <c r="R157" s="216"/>
      <c r="S157" s="216"/>
      <c r="T157" s="216"/>
      <c r="U157" s="216"/>
      <c r="V157" s="216"/>
      <c r="W157" s="216"/>
      <c r="X157" s="216"/>
    </row>
    <row r="158" spans="2:24">
      <c r="B158" s="216"/>
      <c r="C158" s="216"/>
      <c r="D158" s="216"/>
      <c r="E158" s="216"/>
      <c r="F158" s="216"/>
      <c r="G158" s="216"/>
      <c r="H158" s="216"/>
      <c r="I158" s="216"/>
      <c r="J158" s="216"/>
      <c r="K158" s="216"/>
      <c r="L158" s="216"/>
      <c r="M158" s="216"/>
      <c r="N158" s="216"/>
      <c r="O158" s="216"/>
      <c r="P158" s="216"/>
      <c r="Q158" s="216"/>
      <c r="R158" s="216"/>
      <c r="S158" s="216"/>
      <c r="T158" s="216"/>
      <c r="U158" s="216"/>
      <c r="V158" s="216"/>
      <c r="W158" s="216"/>
      <c r="X158" s="216"/>
    </row>
    <row r="159" spans="2:24">
      <c r="B159" s="216"/>
      <c r="C159" s="216"/>
      <c r="D159" s="216"/>
      <c r="E159" s="216"/>
      <c r="F159" s="216"/>
      <c r="G159" s="216"/>
      <c r="H159" s="216"/>
      <c r="I159" s="216"/>
      <c r="J159" s="216"/>
      <c r="K159" s="216"/>
      <c r="L159" s="216"/>
      <c r="M159" s="216"/>
      <c r="N159" s="216"/>
      <c r="O159" s="216"/>
      <c r="P159" s="216"/>
      <c r="Q159" s="216"/>
      <c r="R159" s="216"/>
      <c r="S159" s="216"/>
      <c r="T159" s="216"/>
      <c r="U159" s="216"/>
      <c r="V159" s="216"/>
      <c r="W159" s="216"/>
      <c r="X159" s="216"/>
    </row>
    <row r="160" spans="2:24">
      <c r="B160" s="216"/>
      <c r="C160" s="216"/>
      <c r="D160" s="216"/>
      <c r="E160" s="216"/>
      <c r="F160" s="216"/>
      <c r="G160" s="216"/>
      <c r="H160" s="216"/>
      <c r="I160" s="216"/>
      <c r="J160" s="216"/>
      <c r="K160" s="216"/>
      <c r="L160" s="216"/>
      <c r="M160" s="216"/>
      <c r="N160" s="216"/>
      <c r="O160" s="216"/>
      <c r="P160" s="216"/>
      <c r="Q160" s="216"/>
      <c r="R160" s="216"/>
      <c r="S160" s="216"/>
      <c r="T160" s="216"/>
      <c r="U160" s="216"/>
      <c r="V160" s="216"/>
      <c r="W160" s="216"/>
      <c r="X160" s="216"/>
    </row>
    <row r="161" spans="2:24">
      <c r="B161" s="216"/>
      <c r="C161" s="216"/>
      <c r="D161" s="216"/>
      <c r="E161" s="216"/>
      <c r="F161" s="216"/>
      <c r="G161" s="216"/>
      <c r="H161" s="216"/>
      <c r="I161" s="216"/>
      <c r="J161" s="216"/>
      <c r="K161" s="216"/>
      <c r="L161" s="216"/>
      <c r="M161" s="216"/>
      <c r="N161" s="216"/>
      <c r="O161" s="216"/>
      <c r="P161" s="216"/>
      <c r="Q161" s="216"/>
      <c r="R161" s="216"/>
      <c r="S161" s="216"/>
      <c r="T161" s="216"/>
      <c r="U161" s="216"/>
      <c r="V161" s="216"/>
      <c r="W161" s="216"/>
      <c r="X161" s="216"/>
    </row>
    <row r="162" spans="2:24">
      <c r="B162" s="216"/>
      <c r="C162" s="216"/>
      <c r="D162" s="216"/>
      <c r="E162" s="216"/>
      <c r="F162" s="216"/>
      <c r="G162" s="216"/>
      <c r="H162" s="216"/>
      <c r="I162" s="216"/>
      <c r="J162" s="216"/>
      <c r="K162" s="216"/>
      <c r="L162" s="216"/>
      <c r="M162" s="216"/>
      <c r="N162" s="216"/>
      <c r="O162" s="216"/>
      <c r="P162" s="216"/>
      <c r="Q162" s="216"/>
      <c r="R162" s="216"/>
      <c r="S162" s="216"/>
      <c r="T162" s="216"/>
      <c r="U162" s="216"/>
      <c r="V162" s="216"/>
      <c r="W162" s="216"/>
      <c r="X162" s="216"/>
    </row>
    <row r="163" spans="2:24">
      <c r="B163" s="216"/>
      <c r="C163" s="216"/>
      <c r="D163" s="216"/>
      <c r="E163" s="216"/>
      <c r="F163" s="216"/>
      <c r="G163" s="216"/>
      <c r="H163" s="216"/>
      <c r="I163" s="216"/>
      <c r="J163" s="216"/>
      <c r="K163" s="216"/>
      <c r="L163" s="216"/>
      <c r="M163" s="216"/>
      <c r="N163" s="216"/>
      <c r="O163" s="216"/>
      <c r="P163" s="216"/>
      <c r="Q163" s="216"/>
      <c r="R163" s="216"/>
      <c r="S163" s="216"/>
      <c r="T163" s="216"/>
      <c r="U163" s="216"/>
      <c r="V163" s="216"/>
      <c r="W163" s="216"/>
      <c r="X163" s="216"/>
    </row>
    <row r="164" spans="2:24">
      <c r="B164" s="216"/>
      <c r="C164" s="216"/>
      <c r="D164" s="216"/>
      <c r="E164" s="216"/>
      <c r="F164" s="216"/>
      <c r="G164" s="216"/>
      <c r="H164" s="216"/>
      <c r="I164" s="216"/>
      <c r="J164" s="216"/>
      <c r="K164" s="216"/>
      <c r="L164" s="216"/>
      <c r="M164" s="216"/>
      <c r="N164" s="216"/>
      <c r="O164" s="216"/>
      <c r="P164" s="216"/>
      <c r="Q164" s="216"/>
      <c r="R164" s="216"/>
      <c r="S164" s="216"/>
      <c r="T164" s="216"/>
      <c r="U164" s="216"/>
      <c r="V164" s="216"/>
      <c r="W164" s="216"/>
      <c r="X164" s="216"/>
    </row>
    <row r="165" spans="2:24">
      <c r="B165" s="216"/>
      <c r="C165" s="216"/>
      <c r="D165" s="216"/>
      <c r="E165" s="216"/>
      <c r="F165" s="216"/>
      <c r="G165" s="216"/>
      <c r="H165" s="216"/>
      <c r="I165" s="216"/>
      <c r="J165" s="216"/>
      <c r="K165" s="216"/>
      <c r="L165" s="216"/>
      <c r="M165" s="216"/>
      <c r="N165" s="216"/>
      <c r="O165" s="216"/>
      <c r="P165" s="216"/>
      <c r="Q165" s="216"/>
      <c r="R165" s="216"/>
      <c r="S165" s="216"/>
      <c r="T165" s="216"/>
      <c r="U165" s="216"/>
      <c r="V165" s="216"/>
      <c r="W165" s="216"/>
      <c r="X165" s="216"/>
    </row>
    <row r="166" spans="2:24">
      <c r="B166" s="216"/>
      <c r="C166" s="216"/>
      <c r="D166" s="216"/>
      <c r="E166" s="216"/>
      <c r="F166" s="216"/>
      <c r="G166" s="216"/>
      <c r="H166" s="216"/>
      <c r="I166" s="216"/>
      <c r="J166" s="216"/>
      <c r="K166" s="216"/>
      <c r="L166" s="216"/>
      <c r="M166" s="216"/>
      <c r="N166" s="216"/>
      <c r="O166" s="216"/>
      <c r="P166" s="216"/>
      <c r="Q166" s="216"/>
      <c r="R166" s="216"/>
      <c r="S166" s="216"/>
      <c r="T166" s="216"/>
      <c r="U166" s="216"/>
      <c r="V166" s="216"/>
      <c r="W166" s="216"/>
      <c r="X166" s="216"/>
    </row>
    <row r="167" spans="2:24">
      <c r="B167" s="216"/>
      <c r="C167" s="216"/>
      <c r="D167" s="216"/>
      <c r="E167" s="216"/>
      <c r="F167" s="216"/>
      <c r="G167" s="216"/>
      <c r="H167" s="216"/>
      <c r="I167" s="216"/>
      <c r="J167" s="216"/>
      <c r="K167" s="216"/>
      <c r="L167" s="216"/>
      <c r="M167" s="216"/>
      <c r="N167" s="216"/>
      <c r="O167" s="216"/>
      <c r="P167" s="216"/>
      <c r="Q167" s="216"/>
      <c r="R167" s="216"/>
      <c r="S167" s="216"/>
      <c r="T167" s="216"/>
      <c r="U167" s="216"/>
      <c r="V167" s="216"/>
      <c r="W167" s="216"/>
      <c r="X167" s="216"/>
    </row>
    <row r="168" spans="2:24">
      <c r="B168" s="216"/>
      <c r="C168" s="216"/>
      <c r="D168" s="216"/>
      <c r="E168" s="216"/>
      <c r="F168" s="216"/>
      <c r="G168" s="216"/>
      <c r="H168" s="216"/>
      <c r="I168" s="216"/>
      <c r="J168" s="216"/>
      <c r="K168" s="216"/>
      <c r="L168" s="216"/>
      <c r="M168" s="216"/>
      <c r="N168" s="216"/>
      <c r="O168" s="216"/>
      <c r="P168" s="216"/>
      <c r="Q168" s="216"/>
      <c r="R168" s="216"/>
      <c r="S168" s="216"/>
      <c r="T168" s="216"/>
      <c r="U168" s="216"/>
      <c r="V168" s="216"/>
      <c r="W168" s="216"/>
      <c r="X168" s="216"/>
    </row>
    <row r="169" spans="2:24">
      <c r="B169" s="216"/>
      <c r="C169" s="216"/>
      <c r="D169" s="216"/>
      <c r="E169" s="216"/>
      <c r="F169" s="216"/>
      <c r="G169" s="216"/>
      <c r="H169" s="216"/>
      <c r="I169" s="216"/>
      <c r="J169" s="216"/>
      <c r="K169" s="216"/>
      <c r="L169" s="216"/>
      <c r="M169" s="216"/>
      <c r="N169" s="216"/>
      <c r="O169" s="216"/>
      <c r="P169" s="216"/>
      <c r="Q169" s="216"/>
      <c r="R169" s="216"/>
      <c r="S169" s="216"/>
      <c r="T169" s="216"/>
      <c r="U169" s="216"/>
      <c r="V169" s="216"/>
      <c r="W169" s="216"/>
      <c r="X169" s="216"/>
    </row>
    <row r="170" spans="2:24">
      <c r="B170" s="216"/>
      <c r="C170" s="216"/>
      <c r="D170" s="216"/>
      <c r="E170" s="216"/>
      <c r="F170" s="216"/>
      <c r="G170" s="216"/>
      <c r="H170" s="216"/>
      <c r="I170" s="216"/>
      <c r="J170" s="216"/>
      <c r="K170" s="216"/>
      <c r="L170" s="216"/>
      <c r="M170" s="216"/>
      <c r="N170" s="216"/>
      <c r="O170" s="216"/>
      <c r="P170" s="216"/>
      <c r="Q170" s="216"/>
      <c r="R170" s="216"/>
      <c r="S170" s="216"/>
      <c r="T170" s="216"/>
      <c r="U170" s="216"/>
      <c r="V170" s="216"/>
      <c r="W170" s="216"/>
      <c r="X170" s="216"/>
    </row>
    <row r="171" spans="2:24">
      <c r="B171" s="216"/>
      <c r="C171" s="216"/>
      <c r="D171" s="216"/>
      <c r="E171" s="216"/>
      <c r="F171" s="216"/>
      <c r="G171" s="216"/>
      <c r="H171" s="216"/>
      <c r="I171" s="216"/>
      <c r="J171" s="216"/>
      <c r="K171" s="216"/>
      <c r="L171" s="216"/>
      <c r="M171" s="216"/>
      <c r="N171" s="216"/>
      <c r="O171" s="216"/>
      <c r="P171" s="216"/>
      <c r="Q171" s="216"/>
      <c r="R171" s="216"/>
      <c r="S171" s="216"/>
      <c r="T171" s="216"/>
      <c r="U171" s="216"/>
      <c r="V171" s="216"/>
      <c r="W171" s="216"/>
      <c r="X171" s="216"/>
    </row>
    <row r="172" spans="2:24">
      <c r="B172" s="216"/>
      <c r="C172" s="216"/>
      <c r="D172" s="216"/>
      <c r="E172" s="216"/>
      <c r="F172" s="216"/>
      <c r="G172" s="216"/>
      <c r="H172" s="216"/>
      <c r="I172" s="216"/>
      <c r="J172" s="216"/>
      <c r="K172" s="216"/>
      <c r="L172" s="216"/>
      <c r="M172" s="216"/>
      <c r="N172" s="216"/>
      <c r="O172" s="216"/>
      <c r="P172" s="216"/>
      <c r="Q172" s="216"/>
      <c r="R172" s="216"/>
      <c r="S172" s="216"/>
      <c r="T172" s="216"/>
      <c r="U172" s="216"/>
      <c r="V172" s="216"/>
      <c r="W172" s="216"/>
      <c r="X172" s="216"/>
    </row>
    <row r="173" spans="2:24">
      <c r="B173" s="216"/>
      <c r="C173" s="216"/>
      <c r="D173" s="216"/>
      <c r="E173" s="216"/>
      <c r="F173" s="216"/>
      <c r="G173" s="216"/>
      <c r="H173" s="216"/>
      <c r="I173" s="216"/>
      <c r="J173" s="216"/>
      <c r="K173" s="216"/>
      <c r="L173" s="216"/>
      <c r="M173" s="216"/>
      <c r="N173" s="216"/>
      <c r="O173" s="216"/>
      <c r="P173" s="216"/>
      <c r="Q173" s="216"/>
      <c r="R173" s="216"/>
      <c r="S173" s="216"/>
      <c r="T173" s="216"/>
      <c r="U173" s="216"/>
      <c r="V173" s="216"/>
      <c r="W173" s="216"/>
      <c r="X173" s="216"/>
    </row>
    <row r="174" spans="2:24">
      <c r="B174" s="216"/>
      <c r="C174" s="216"/>
      <c r="D174" s="216"/>
      <c r="E174" s="216"/>
      <c r="F174" s="216"/>
      <c r="G174" s="216"/>
      <c r="H174" s="216"/>
      <c r="I174" s="216"/>
      <c r="J174" s="216"/>
      <c r="K174" s="216"/>
      <c r="L174" s="216"/>
      <c r="M174" s="216"/>
      <c r="N174" s="216"/>
      <c r="O174" s="216"/>
      <c r="P174" s="216"/>
      <c r="Q174" s="216"/>
      <c r="R174" s="216"/>
      <c r="S174" s="216"/>
      <c r="T174" s="216"/>
      <c r="U174" s="216"/>
      <c r="V174" s="216"/>
      <c r="W174" s="216"/>
      <c r="X174" s="216"/>
    </row>
    <row r="175" spans="2:24">
      <c r="B175" s="216"/>
      <c r="C175" s="216"/>
      <c r="D175" s="216"/>
      <c r="E175" s="216"/>
      <c r="F175" s="216"/>
      <c r="G175" s="216"/>
      <c r="H175" s="216"/>
      <c r="I175" s="216"/>
      <c r="J175" s="216"/>
      <c r="K175" s="216"/>
      <c r="L175" s="216"/>
      <c r="M175" s="216"/>
      <c r="N175" s="216"/>
      <c r="O175" s="216"/>
      <c r="P175" s="216"/>
      <c r="Q175" s="216"/>
      <c r="R175" s="216"/>
      <c r="S175" s="216"/>
      <c r="T175" s="216"/>
      <c r="U175" s="216"/>
      <c r="V175" s="216"/>
      <c r="W175" s="216"/>
      <c r="X175" s="216"/>
    </row>
    <row r="176" spans="2:24">
      <c r="B176" s="216"/>
      <c r="C176" s="216"/>
      <c r="D176" s="216"/>
      <c r="E176" s="216"/>
      <c r="F176" s="216"/>
      <c r="G176" s="216"/>
      <c r="H176" s="216"/>
      <c r="I176" s="216"/>
      <c r="J176" s="216"/>
      <c r="K176" s="216"/>
      <c r="L176" s="216"/>
      <c r="M176" s="216"/>
      <c r="N176" s="216"/>
      <c r="O176" s="216"/>
      <c r="P176" s="216"/>
      <c r="Q176" s="216"/>
      <c r="R176" s="216"/>
      <c r="S176" s="216"/>
      <c r="T176" s="216"/>
      <c r="U176" s="216"/>
      <c r="V176" s="216"/>
      <c r="W176" s="216"/>
      <c r="X176" s="216"/>
    </row>
    <row r="177" spans="2:24">
      <c r="B177" s="216"/>
      <c r="C177" s="216"/>
      <c r="D177" s="216"/>
      <c r="E177" s="216"/>
      <c r="F177" s="216"/>
      <c r="G177" s="216"/>
      <c r="H177" s="216"/>
      <c r="I177" s="216"/>
      <c r="J177" s="216"/>
      <c r="K177" s="216"/>
      <c r="L177" s="216"/>
      <c r="M177" s="216"/>
      <c r="N177" s="216"/>
      <c r="O177" s="216"/>
      <c r="P177" s="216"/>
      <c r="Q177" s="216"/>
      <c r="R177" s="216"/>
      <c r="S177" s="216"/>
      <c r="T177" s="216"/>
      <c r="U177" s="216"/>
      <c r="V177" s="216"/>
      <c r="W177" s="216"/>
      <c r="X177" s="216"/>
    </row>
    <row r="178" spans="2:24">
      <c r="B178" s="216"/>
      <c r="C178" s="216"/>
      <c r="D178" s="216"/>
      <c r="E178" s="216"/>
      <c r="F178" s="216"/>
      <c r="G178" s="216"/>
      <c r="H178" s="216"/>
      <c r="I178" s="216"/>
      <c r="J178" s="216"/>
      <c r="K178" s="216"/>
      <c r="L178" s="216"/>
      <c r="M178" s="216"/>
      <c r="N178" s="216"/>
      <c r="O178" s="216"/>
      <c r="P178" s="216"/>
      <c r="Q178" s="216"/>
      <c r="R178" s="216"/>
      <c r="S178" s="216"/>
      <c r="T178" s="216"/>
      <c r="U178" s="216"/>
      <c r="V178" s="216"/>
      <c r="W178" s="216"/>
      <c r="X178" s="216"/>
    </row>
    <row r="179" spans="2:24">
      <c r="B179" s="216"/>
      <c r="C179" s="216"/>
      <c r="D179" s="216"/>
      <c r="E179" s="216"/>
      <c r="F179" s="216"/>
      <c r="G179" s="216"/>
      <c r="H179" s="216"/>
      <c r="I179" s="216"/>
      <c r="J179" s="216"/>
      <c r="K179" s="216"/>
      <c r="L179" s="216"/>
      <c r="M179" s="216"/>
      <c r="N179" s="216"/>
      <c r="O179" s="216"/>
      <c r="P179" s="216"/>
      <c r="Q179" s="216"/>
      <c r="R179" s="216"/>
      <c r="S179" s="216"/>
      <c r="T179" s="216"/>
      <c r="U179" s="216"/>
      <c r="V179" s="216"/>
      <c r="W179" s="216"/>
      <c r="X179" s="216"/>
    </row>
    <row r="180" spans="2:24">
      <c r="B180" s="216"/>
      <c r="C180" s="216"/>
      <c r="D180" s="216"/>
      <c r="E180" s="216"/>
      <c r="F180" s="216"/>
      <c r="G180" s="216"/>
      <c r="H180" s="216"/>
      <c r="I180" s="216"/>
      <c r="J180" s="216"/>
      <c r="K180" s="216"/>
      <c r="L180" s="216"/>
      <c r="M180" s="216"/>
      <c r="N180" s="216"/>
      <c r="O180" s="216"/>
      <c r="P180" s="216"/>
      <c r="Q180" s="216"/>
      <c r="R180" s="216"/>
      <c r="S180" s="216"/>
      <c r="T180" s="216"/>
      <c r="U180" s="216"/>
      <c r="V180" s="216"/>
      <c r="W180" s="216"/>
      <c r="X180" s="216"/>
    </row>
    <row r="181" spans="2:24">
      <c r="B181" s="216"/>
      <c r="C181" s="216"/>
      <c r="D181" s="216"/>
      <c r="E181" s="216"/>
      <c r="F181" s="216"/>
      <c r="G181" s="216"/>
      <c r="H181" s="216"/>
      <c r="I181" s="216"/>
      <c r="J181" s="216"/>
      <c r="K181" s="216"/>
      <c r="L181" s="216"/>
      <c r="M181" s="216"/>
      <c r="N181" s="216"/>
      <c r="O181" s="216"/>
      <c r="P181" s="216"/>
      <c r="Q181" s="216"/>
      <c r="R181" s="216"/>
      <c r="S181" s="216"/>
      <c r="T181" s="216"/>
      <c r="U181" s="216"/>
      <c r="V181" s="216"/>
      <c r="W181" s="216"/>
      <c r="X181" s="216"/>
    </row>
    <row r="182" spans="2:24">
      <c r="B182" s="216"/>
      <c r="C182" s="216"/>
      <c r="D182" s="216"/>
      <c r="E182" s="216"/>
      <c r="F182" s="216"/>
      <c r="G182" s="216"/>
      <c r="H182" s="216"/>
      <c r="I182" s="216"/>
      <c r="J182" s="216"/>
      <c r="K182" s="216"/>
      <c r="L182" s="216"/>
      <c r="M182" s="216"/>
      <c r="N182" s="216"/>
      <c r="O182" s="216"/>
      <c r="P182" s="216"/>
      <c r="Q182" s="216"/>
      <c r="R182" s="216"/>
      <c r="S182" s="216"/>
      <c r="T182" s="216"/>
      <c r="U182" s="216"/>
      <c r="V182" s="216"/>
      <c r="W182" s="216"/>
      <c r="X182" s="216"/>
    </row>
    <row r="183" spans="2:24">
      <c r="B183" s="216"/>
      <c r="C183" s="216"/>
      <c r="D183" s="216"/>
      <c r="E183" s="216"/>
      <c r="F183" s="216"/>
      <c r="G183" s="216"/>
      <c r="H183" s="216"/>
      <c r="I183" s="216"/>
      <c r="J183" s="216"/>
      <c r="K183" s="216"/>
      <c r="L183" s="216"/>
      <c r="M183" s="216"/>
      <c r="N183" s="216"/>
      <c r="O183" s="216"/>
      <c r="P183" s="216"/>
      <c r="Q183" s="216"/>
      <c r="R183" s="216"/>
      <c r="S183" s="216"/>
      <c r="T183" s="216"/>
      <c r="U183" s="216"/>
      <c r="V183" s="216"/>
      <c r="W183" s="216"/>
      <c r="X183" s="216"/>
    </row>
    <row r="184" spans="2:24">
      <c r="B184" s="216"/>
      <c r="C184" s="216"/>
      <c r="D184" s="216"/>
      <c r="E184" s="216"/>
      <c r="F184" s="216"/>
      <c r="G184" s="216"/>
      <c r="H184" s="216"/>
      <c r="I184" s="216"/>
      <c r="J184" s="216"/>
      <c r="K184" s="216"/>
      <c r="L184" s="216"/>
      <c r="M184" s="216"/>
      <c r="N184" s="216"/>
      <c r="O184" s="216"/>
      <c r="P184" s="216"/>
      <c r="Q184" s="216"/>
      <c r="R184" s="216"/>
      <c r="S184" s="216"/>
      <c r="T184" s="216"/>
      <c r="U184" s="216"/>
      <c r="V184" s="216"/>
      <c r="W184" s="216"/>
      <c r="X184" s="216"/>
    </row>
    <row r="185" spans="2:24">
      <c r="B185" s="216"/>
      <c r="C185" s="216"/>
      <c r="D185" s="216"/>
      <c r="E185" s="216"/>
      <c r="F185" s="216"/>
      <c r="G185" s="216"/>
      <c r="H185" s="216"/>
      <c r="I185" s="216"/>
      <c r="J185" s="216"/>
      <c r="K185" s="216"/>
      <c r="L185" s="216"/>
      <c r="M185" s="216"/>
      <c r="N185" s="216"/>
      <c r="O185" s="216"/>
      <c r="P185" s="216"/>
      <c r="Q185" s="216"/>
      <c r="R185" s="216"/>
      <c r="S185" s="216"/>
      <c r="T185" s="216"/>
      <c r="U185" s="216"/>
      <c r="V185" s="216"/>
      <c r="W185" s="216"/>
      <c r="X185" s="216"/>
    </row>
    <row r="186" spans="2:24">
      <c r="B186" s="216"/>
      <c r="C186" s="216"/>
      <c r="D186" s="216"/>
      <c r="E186" s="216"/>
      <c r="F186" s="216"/>
      <c r="G186" s="216"/>
      <c r="H186" s="216"/>
      <c r="I186" s="216"/>
      <c r="J186" s="216"/>
      <c r="K186" s="216"/>
      <c r="L186" s="216"/>
      <c r="M186" s="216"/>
      <c r="N186" s="216"/>
      <c r="O186" s="216"/>
      <c r="P186" s="216"/>
      <c r="Q186" s="216"/>
      <c r="R186" s="216"/>
      <c r="S186" s="216"/>
      <c r="T186" s="216"/>
      <c r="U186" s="216"/>
      <c r="V186" s="216"/>
      <c r="W186" s="216"/>
      <c r="X186" s="216"/>
    </row>
    <row r="187" spans="2:24">
      <c r="B187" s="216"/>
      <c r="C187" s="216"/>
      <c r="D187" s="216"/>
      <c r="E187" s="216"/>
      <c r="F187" s="216"/>
      <c r="G187" s="216"/>
      <c r="H187" s="216"/>
      <c r="I187" s="216"/>
      <c r="J187" s="216"/>
      <c r="K187" s="216"/>
      <c r="L187" s="216"/>
      <c r="M187" s="216"/>
      <c r="N187" s="216"/>
      <c r="O187" s="216"/>
      <c r="P187" s="216"/>
      <c r="Q187" s="216"/>
      <c r="R187" s="216"/>
      <c r="S187" s="216"/>
      <c r="T187" s="216"/>
      <c r="U187" s="216"/>
      <c r="V187" s="216"/>
      <c r="W187" s="216"/>
      <c r="X187" s="216"/>
    </row>
    <row r="188" spans="2:24">
      <c r="B188" s="216"/>
      <c r="C188" s="216"/>
      <c r="D188" s="216"/>
      <c r="E188" s="216"/>
      <c r="F188" s="216"/>
      <c r="G188" s="216"/>
      <c r="H188" s="216"/>
      <c r="I188" s="216"/>
      <c r="J188" s="216"/>
      <c r="K188" s="216"/>
      <c r="L188" s="216"/>
      <c r="M188" s="216"/>
      <c r="N188" s="216"/>
      <c r="O188" s="216"/>
      <c r="P188" s="216"/>
      <c r="Q188" s="216"/>
      <c r="R188" s="216"/>
      <c r="S188" s="216"/>
      <c r="T188" s="216"/>
      <c r="U188" s="216"/>
      <c r="V188" s="216"/>
      <c r="W188" s="216"/>
      <c r="X188" s="216"/>
    </row>
    <row r="189" spans="2:24">
      <c r="B189" s="216"/>
      <c r="C189" s="216"/>
      <c r="D189" s="216"/>
      <c r="E189" s="216"/>
      <c r="F189" s="216"/>
      <c r="G189" s="216"/>
      <c r="H189" s="216"/>
      <c r="I189" s="216"/>
      <c r="J189" s="216"/>
      <c r="K189" s="216"/>
      <c r="L189" s="216"/>
      <c r="M189" s="216"/>
      <c r="N189" s="216"/>
      <c r="O189" s="216"/>
      <c r="P189" s="216"/>
      <c r="Q189" s="216"/>
      <c r="R189" s="216"/>
      <c r="S189" s="216"/>
      <c r="T189" s="216"/>
      <c r="U189" s="216"/>
      <c r="V189" s="216"/>
      <c r="W189" s="216"/>
      <c r="X189" s="216"/>
    </row>
    <row r="190" spans="2:24">
      <c r="B190" s="216"/>
      <c r="C190" s="216"/>
      <c r="D190" s="216"/>
      <c r="E190" s="216"/>
      <c r="F190" s="216"/>
      <c r="G190" s="216"/>
      <c r="H190" s="216"/>
      <c r="I190" s="216"/>
      <c r="J190" s="216"/>
      <c r="K190" s="216"/>
      <c r="L190" s="216"/>
      <c r="M190" s="216"/>
      <c r="N190" s="216"/>
      <c r="O190" s="216"/>
      <c r="P190" s="216"/>
      <c r="Q190" s="216"/>
      <c r="R190" s="216"/>
      <c r="S190" s="216"/>
      <c r="T190" s="216"/>
      <c r="U190" s="216"/>
      <c r="V190" s="216"/>
      <c r="W190" s="216"/>
      <c r="X190" s="216"/>
    </row>
    <row r="191" spans="2:24">
      <c r="B191" s="216"/>
      <c r="C191" s="216"/>
      <c r="D191" s="216"/>
      <c r="E191" s="216"/>
      <c r="F191" s="216"/>
      <c r="G191" s="216"/>
      <c r="H191" s="216"/>
      <c r="I191" s="216"/>
      <c r="J191" s="216"/>
      <c r="K191" s="216"/>
      <c r="L191" s="216"/>
      <c r="M191" s="216"/>
      <c r="N191" s="216"/>
      <c r="O191" s="216"/>
      <c r="P191" s="216"/>
      <c r="Q191" s="216"/>
      <c r="R191" s="216"/>
      <c r="S191" s="216"/>
      <c r="T191" s="216"/>
      <c r="U191" s="216"/>
      <c r="V191" s="216"/>
      <c r="W191" s="216"/>
      <c r="X191" s="216"/>
    </row>
    <row r="192" spans="2:24">
      <c r="B192" s="216"/>
      <c r="C192" s="216"/>
      <c r="D192" s="216"/>
      <c r="E192" s="216"/>
      <c r="F192" s="216"/>
      <c r="G192" s="216"/>
      <c r="H192" s="216"/>
      <c r="I192" s="216"/>
      <c r="J192" s="216"/>
      <c r="K192" s="216"/>
      <c r="L192" s="216"/>
      <c r="M192" s="216"/>
      <c r="N192" s="216"/>
      <c r="O192" s="216"/>
      <c r="P192" s="216"/>
      <c r="Q192" s="216"/>
      <c r="R192" s="216"/>
      <c r="S192" s="216"/>
      <c r="T192" s="216"/>
      <c r="U192" s="216"/>
      <c r="V192" s="216"/>
      <c r="W192" s="216"/>
      <c r="X192" s="216"/>
    </row>
    <row r="193" spans="2:24">
      <c r="B193" s="216"/>
      <c r="C193" s="216"/>
      <c r="D193" s="216"/>
      <c r="E193" s="216"/>
      <c r="F193" s="216"/>
      <c r="G193" s="216"/>
      <c r="H193" s="216"/>
      <c r="I193" s="216"/>
      <c r="J193" s="216"/>
      <c r="K193" s="216"/>
      <c r="L193" s="216"/>
      <c r="M193" s="216"/>
      <c r="N193" s="216"/>
      <c r="O193" s="216"/>
      <c r="P193" s="216"/>
      <c r="Q193" s="216"/>
      <c r="R193" s="216"/>
      <c r="S193" s="216"/>
      <c r="T193" s="216"/>
      <c r="U193" s="216"/>
      <c r="V193" s="216"/>
      <c r="W193" s="216"/>
      <c r="X193" s="216"/>
    </row>
    <row r="194" spans="2:24">
      <c r="B194" s="216"/>
      <c r="C194" s="216"/>
      <c r="D194" s="216"/>
      <c r="E194" s="216"/>
      <c r="F194" s="216"/>
      <c r="G194" s="216"/>
      <c r="H194" s="216"/>
      <c r="I194" s="216"/>
      <c r="J194" s="216"/>
      <c r="K194" s="216"/>
      <c r="L194" s="216"/>
      <c r="M194" s="216"/>
      <c r="N194" s="216"/>
      <c r="O194" s="216"/>
      <c r="P194" s="216"/>
      <c r="Q194" s="216"/>
      <c r="R194" s="216"/>
      <c r="S194" s="216"/>
      <c r="T194" s="216"/>
      <c r="U194" s="216"/>
      <c r="V194" s="216"/>
      <c r="W194" s="216"/>
      <c r="X194" s="216"/>
    </row>
    <row r="195" spans="2:24">
      <c r="B195" s="216"/>
      <c r="C195" s="216"/>
      <c r="D195" s="216"/>
      <c r="E195" s="216"/>
      <c r="F195" s="216"/>
      <c r="G195" s="216"/>
      <c r="H195" s="216"/>
      <c r="I195" s="216"/>
      <c r="J195" s="216"/>
      <c r="K195" s="216"/>
      <c r="L195" s="216"/>
      <c r="M195" s="216"/>
      <c r="N195" s="216"/>
      <c r="O195" s="216"/>
      <c r="P195" s="216"/>
      <c r="Q195" s="216"/>
      <c r="R195" s="216"/>
      <c r="S195" s="216"/>
      <c r="T195" s="216"/>
      <c r="U195" s="216"/>
      <c r="V195" s="216"/>
      <c r="W195" s="216"/>
      <c r="X195" s="216"/>
    </row>
    <row r="196" spans="2:24">
      <c r="B196" s="216"/>
      <c r="C196" s="216"/>
      <c r="D196" s="216"/>
      <c r="E196" s="216"/>
      <c r="F196" s="216"/>
      <c r="G196" s="216"/>
      <c r="H196" s="216"/>
      <c r="I196" s="216"/>
      <c r="J196" s="216"/>
      <c r="K196" s="216"/>
      <c r="L196" s="216"/>
      <c r="M196" s="216"/>
      <c r="N196" s="216"/>
      <c r="O196" s="216"/>
      <c r="P196" s="216"/>
      <c r="Q196" s="216"/>
      <c r="R196" s="216"/>
      <c r="S196" s="216"/>
      <c r="T196" s="216"/>
      <c r="U196" s="216"/>
      <c r="V196" s="216"/>
      <c r="W196" s="216"/>
      <c r="X196" s="216"/>
    </row>
    <row r="197" spans="2:24">
      <c r="B197" s="216"/>
      <c r="C197" s="216"/>
      <c r="D197" s="216"/>
      <c r="E197" s="216"/>
      <c r="F197" s="216"/>
      <c r="G197" s="216"/>
      <c r="H197" s="216"/>
      <c r="I197" s="216"/>
      <c r="J197" s="216"/>
      <c r="K197" s="216"/>
      <c r="L197" s="216"/>
      <c r="M197" s="216"/>
      <c r="N197" s="216"/>
      <c r="O197" s="216"/>
      <c r="P197" s="216"/>
      <c r="Q197" s="216"/>
      <c r="R197" s="216"/>
      <c r="S197" s="216"/>
      <c r="T197" s="216"/>
      <c r="U197" s="216"/>
      <c r="V197" s="216"/>
      <c r="W197" s="216"/>
      <c r="X197" s="216"/>
    </row>
    <row r="198" spans="2:24">
      <c r="B198" s="216"/>
      <c r="C198" s="216"/>
      <c r="D198" s="216"/>
      <c r="E198" s="216"/>
      <c r="F198" s="216"/>
      <c r="G198" s="216"/>
      <c r="H198" s="216"/>
      <c r="I198" s="216"/>
      <c r="J198" s="216"/>
      <c r="K198" s="216"/>
      <c r="L198" s="216"/>
      <c r="M198" s="216"/>
      <c r="N198" s="216"/>
      <c r="O198" s="216"/>
      <c r="P198" s="216"/>
      <c r="Q198" s="216"/>
      <c r="R198" s="216"/>
      <c r="S198" s="216"/>
      <c r="T198" s="216"/>
      <c r="U198" s="216"/>
      <c r="V198" s="216"/>
      <c r="W198" s="216"/>
      <c r="X198" s="216"/>
    </row>
    <row r="199" spans="2:24">
      <c r="B199" s="216"/>
      <c r="C199" s="216"/>
      <c r="D199" s="216"/>
      <c r="E199" s="216"/>
      <c r="F199" s="216"/>
      <c r="G199" s="216"/>
      <c r="H199" s="216"/>
      <c r="I199" s="216"/>
      <c r="J199" s="216"/>
      <c r="K199" s="216"/>
      <c r="L199" s="216"/>
      <c r="M199" s="216"/>
      <c r="N199" s="216"/>
      <c r="O199" s="216"/>
      <c r="P199" s="216"/>
      <c r="Q199" s="216"/>
      <c r="R199" s="216"/>
      <c r="S199" s="216"/>
      <c r="T199" s="216"/>
      <c r="U199" s="216"/>
      <c r="V199" s="216"/>
      <c r="W199" s="216"/>
      <c r="X199" s="216"/>
    </row>
    <row r="200" spans="2:24">
      <c r="B200" s="216"/>
      <c r="C200" s="216"/>
      <c r="D200" s="216"/>
      <c r="E200" s="216"/>
      <c r="F200" s="216"/>
      <c r="G200" s="216"/>
      <c r="H200" s="216"/>
      <c r="I200" s="216"/>
      <c r="J200" s="216"/>
      <c r="K200" s="216"/>
      <c r="L200" s="216"/>
      <c r="M200" s="216"/>
      <c r="N200" s="216"/>
      <c r="O200" s="216"/>
      <c r="P200" s="216"/>
      <c r="Q200" s="216"/>
      <c r="R200" s="216"/>
      <c r="S200" s="216"/>
      <c r="T200" s="216"/>
      <c r="U200" s="216"/>
      <c r="V200" s="216"/>
      <c r="W200" s="216"/>
      <c r="X200" s="216"/>
    </row>
    <row r="201" spans="2:24">
      <c r="B201" s="216"/>
      <c r="C201" s="216"/>
      <c r="D201" s="216"/>
      <c r="E201" s="216"/>
      <c r="F201" s="216"/>
      <c r="G201" s="216"/>
      <c r="H201" s="216"/>
      <c r="I201" s="216"/>
      <c r="J201" s="216"/>
      <c r="K201" s="216"/>
      <c r="L201" s="216"/>
      <c r="M201" s="216"/>
      <c r="N201" s="216"/>
      <c r="O201" s="216"/>
      <c r="P201" s="216"/>
      <c r="Q201" s="216"/>
      <c r="R201" s="216"/>
      <c r="S201" s="216"/>
      <c r="T201" s="216"/>
      <c r="U201" s="216"/>
      <c r="V201" s="216"/>
      <c r="W201" s="216"/>
      <c r="X201" s="216"/>
    </row>
    <row r="202" spans="2:24">
      <c r="B202" s="216"/>
      <c r="C202" s="216"/>
      <c r="D202" s="216"/>
      <c r="E202" s="216"/>
      <c r="F202" s="216"/>
      <c r="G202" s="216"/>
      <c r="H202" s="216"/>
      <c r="I202" s="216"/>
      <c r="J202" s="216"/>
      <c r="K202" s="216"/>
      <c r="L202" s="216"/>
      <c r="M202" s="216"/>
      <c r="N202" s="216"/>
      <c r="O202" s="216"/>
      <c r="P202" s="216"/>
      <c r="Q202" s="216"/>
      <c r="R202" s="216"/>
      <c r="S202" s="216"/>
      <c r="T202" s="216"/>
      <c r="U202" s="216"/>
      <c r="V202" s="216"/>
      <c r="W202" s="216"/>
      <c r="X202" s="216"/>
    </row>
    <row r="203" spans="2:24">
      <c r="B203" s="216"/>
      <c r="C203" s="216"/>
      <c r="D203" s="216"/>
      <c r="E203" s="216"/>
      <c r="F203" s="216"/>
      <c r="G203" s="216"/>
      <c r="H203" s="216"/>
      <c r="I203" s="216"/>
      <c r="J203" s="216"/>
      <c r="K203" s="216"/>
      <c r="L203" s="216"/>
      <c r="M203" s="216"/>
      <c r="N203" s="216"/>
      <c r="O203" s="216"/>
      <c r="P203" s="216"/>
      <c r="Q203" s="216"/>
      <c r="R203" s="216"/>
      <c r="S203" s="216"/>
      <c r="T203" s="216"/>
      <c r="U203" s="216"/>
      <c r="V203" s="216"/>
      <c r="W203" s="216"/>
      <c r="X203" s="216"/>
    </row>
    <row r="204" spans="2:24">
      <c r="B204" s="216"/>
      <c r="C204" s="216"/>
      <c r="D204" s="216"/>
      <c r="E204" s="216"/>
      <c r="F204" s="216"/>
      <c r="G204" s="216"/>
      <c r="H204" s="216"/>
      <c r="I204" s="216"/>
      <c r="J204" s="216"/>
      <c r="K204" s="216"/>
      <c r="L204" s="216"/>
      <c r="M204" s="216"/>
      <c r="N204" s="216"/>
      <c r="O204" s="216"/>
      <c r="P204" s="216"/>
      <c r="Q204" s="216"/>
      <c r="R204" s="216"/>
      <c r="S204" s="216"/>
      <c r="T204" s="216"/>
      <c r="U204" s="216"/>
      <c r="V204" s="216"/>
      <c r="W204" s="216"/>
      <c r="X204" s="216"/>
    </row>
    <row r="205" spans="2:24">
      <c r="B205" s="216"/>
      <c r="C205" s="216"/>
      <c r="D205" s="216"/>
      <c r="E205" s="216"/>
      <c r="F205" s="216"/>
      <c r="G205" s="216"/>
      <c r="H205" s="216"/>
      <c r="I205" s="216"/>
      <c r="J205" s="216"/>
      <c r="K205" s="216"/>
      <c r="L205" s="216"/>
      <c r="M205" s="216"/>
      <c r="N205" s="216"/>
      <c r="O205" s="216"/>
      <c r="P205" s="216"/>
      <c r="Q205" s="216"/>
      <c r="R205" s="216"/>
      <c r="S205" s="216"/>
      <c r="T205" s="216"/>
      <c r="U205" s="216"/>
      <c r="V205" s="216"/>
      <c r="W205" s="216"/>
      <c r="X205" s="216"/>
    </row>
    <row r="206" spans="2:24">
      <c r="B206" s="216"/>
      <c r="C206" s="216"/>
      <c r="D206" s="216"/>
      <c r="E206" s="216"/>
      <c r="F206" s="216"/>
      <c r="G206" s="216"/>
      <c r="H206" s="216"/>
      <c r="I206" s="216"/>
      <c r="J206" s="216"/>
      <c r="K206" s="216"/>
      <c r="L206" s="216"/>
      <c r="M206" s="216"/>
      <c r="N206" s="216"/>
      <c r="O206" s="216"/>
      <c r="P206" s="216"/>
      <c r="Q206" s="216"/>
      <c r="R206" s="216"/>
      <c r="S206" s="216"/>
      <c r="T206" s="216"/>
      <c r="U206" s="216"/>
      <c r="V206" s="216"/>
      <c r="W206" s="216"/>
      <c r="X206" s="216"/>
    </row>
    <row r="207" spans="2:24">
      <c r="B207" s="216"/>
      <c r="C207" s="216"/>
      <c r="D207" s="216"/>
      <c r="E207" s="216"/>
      <c r="F207" s="216"/>
      <c r="G207" s="216"/>
      <c r="H207" s="216"/>
      <c r="I207" s="216"/>
      <c r="J207" s="216"/>
      <c r="K207" s="216"/>
      <c r="L207" s="216"/>
      <c r="M207" s="216"/>
      <c r="N207" s="216"/>
      <c r="O207" s="216"/>
      <c r="P207" s="216"/>
      <c r="Q207" s="216"/>
      <c r="R207" s="216"/>
      <c r="S207" s="216"/>
      <c r="T207" s="216"/>
      <c r="U207" s="216"/>
      <c r="V207" s="216"/>
      <c r="W207" s="216"/>
      <c r="X207" s="216"/>
    </row>
    <row r="208" spans="2:24">
      <c r="B208" s="216"/>
      <c r="C208" s="216"/>
      <c r="D208" s="216"/>
      <c r="E208" s="216"/>
      <c r="F208" s="216"/>
      <c r="G208" s="216"/>
      <c r="H208" s="216"/>
      <c r="I208" s="216"/>
      <c r="J208" s="216"/>
      <c r="K208" s="216"/>
      <c r="L208" s="216"/>
      <c r="M208" s="216"/>
      <c r="N208" s="216"/>
      <c r="O208" s="216"/>
      <c r="P208" s="216"/>
      <c r="Q208" s="216"/>
      <c r="R208" s="216"/>
      <c r="S208" s="216"/>
      <c r="T208" s="216"/>
      <c r="U208" s="216"/>
      <c r="V208" s="216"/>
      <c r="W208" s="216"/>
      <c r="X208" s="216"/>
    </row>
    <row r="209" spans="2:24">
      <c r="B209" s="216"/>
      <c r="C209" s="216"/>
      <c r="D209" s="216"/>
      <c r="E209" s="216"/>
      <c r="F209" s="216"/>
      <c r="G209" s="216"/>
      <c r="H209" s="216"/>
      <c r="I209" s="216"/>
      <c r="J209" s="216"/>
      <c r="K209" s="216"/>
      <c r="L209" s="216"/>
      <c r="M209" s="216"/>
      <c r="N209" s="216"/>
      <c r="O209" s="216"/>
      <c r="P209" s="216"/>
      <c r="Q209" s="216"/>
      <c r="R209" s="216"/>
      <c r="S209" s="216"/>
      <c r="T209" s="216"/>
      <c r="U209" s="216"/>
      <c r="V209" s="216"/>
      <c r="W209" s="216"/>
      <c r="X209" s="216"/>
    </row>
    <row r="210" spans="2:24">
      <c r="B210" s="216"/>
      <c r="C210" s="216"/>
      <c r="D210" s="216"/>
      <c r="E210" s="216"/>
      <c r="F210" s="216"/>
      <c r="G210" s="216"/>
      <c r="H210" s="216"/>
      <c r="I210" s="216"/>
      <c r="J210" s="216"/>
      <c r="K210" s="216"/>
      <c r="L210" s="216"/>
      <c r="M210" s="216"/>
      <c r="N210" s="216"/>
      <c r="O210" s="216"/>
      <c r="P210" s="216"/>
      <c r="Q210" s="216"/>
      <c r="R210" s="216"/>
      <c r="S210" s="216"/>
      <c r="T210" s="216"/>
      <c r="U210" s="216"/>
      <c r="V210" s="216"/>
      <c r="W210" s="216"/>
      <c r="X210" s="216"/>
    </row>
    <row r="211" spans="2:24">
      <c r="B211" s="216"/>
      <c r="C211" s="216"/>
      <c r="D211" s="216"/>
      <c r="E211" s="216"/>
      <c r="F211" s="216"/>
      <c r="G211" s="216"/>
      <c r="H211" s="216"/>
      <c r="I211" s="216"/>
      <c r="J211" s="216"/>
      <c r="K211" s="216"/>
      <c r="L211" s="216"/>
      <c r="M211" s="216"/>
      <c r="N211" s="216"/>
      <c r="O211" s="216"/>
      <c r="P211" s="216"/>
      <c r="Q211" s="216"/>
      <c r="R211" s="216"/>
      <c r="S211" s="216"/>
      <c r="T211" s="216"/>
      <c r="U211" s="216"/>
      <c r="V211" s="216"/>
      <c r="W211" s="216"/>
      <c r="X211" s="216"/>
    </row>
    <row r="212" spans="2:24">
      <c r="B212" s="216"/>
      <c r="C212" s="216"/>
      <c r="D212" s="216"/>
      <c r="E212" s="216"/>
      <c r="F212" s="216"/>
      <c r="G212" s="216"/>
      <c r="H212" s="216"/>
      <c r="I212" s="216"/>
      <c r="J212" s="216"/>
      <c r="K212" s="216"/>
      <c r="L212" s="216"/>
      <c r="M212" s="216"/>
      <c r="N212" s="216"/>
      <c r="O212" s="216"/>
      <c r="P212" s="216"/>
      <c r="Q212" s="216"/>
      <c r="R212" s="216"/>
      <c r="S212" s="216"/>
      <c r="T212" s="216"/>
      <c r="U212" s="216"/>
      <c r="V212" s="216"/>
      <c r="W212" s="216"/>
      <c r="X212" s="216"/>
    </row>
    <row r="213" spans="2:24">
      <c r="B213" s="216"/>
      <c r="C213" s="216"/>
      <c r="D213" s="216"/>
      <c r="E213" s="216"/>
      <c r="F213" s="216"/>
      <c r="G213" s="216"/>
      <c r="H213" s="216"/>
      <c r="I213" s="216"/>
      <c r="J213" s="216"/>
      <c r="K213" s="216"/>
      <c r="L213" s="216"/>
      <c r="M213" s="216"/>
      <c r="N213" s="216"/>
      <c r="O213" s="216"/>
      <c r="P213" s="216"/>
      <c r="Q213" s="216"/>
      <c r="R213" s="216"/>
      <c r="S213" s="216"/>
      <c r="T213" s="216"/>
      <c r="U213" s="216"/>
      <c r="V213" s="216"/>
      <c r="W213" s="216"/>
      <c r="X213" s="216"/>
    </row>
    <row r="214" spans="2:24">
      <c r="B214" s="216"/>
      <c r="C214" s="216"/>
      <c r="D214" s="216"/>
      <c r="E214" s="216"/>
      <c r="F214" s="216"/>
      <c r="G214" s="216"/>
      <c r="H214" s="216"/>
      <c r="I214" s="216"/>
      <c r="J214" s="216"/>
      <c r="K214" s="216"/>
      <c r="L214" s="216"/>
      <c r="M214" s="216"/>
      <c r="N214" s="216"/>
      <c r="O214" s="216"/>
      <c r="P214" s="216"/>
      <c r="Q214" s="216"/>
      <c r="R214" s="216"/>
      <c r="S214" s="216"/>
      <c r="T214" s="216"/>
      <c r="U214" s="216"/>
      <c r="V214" s="216"/>
      <c r="W214" s="216"/>
      <c r="X214" s="216"/>
    </row>
    <row r="215" spans="2:24">
      <c r="B215" s="216"/>
      <c r="C215" s="216"/>
      <c r="D215" s="216"/>
      <c r="E215" s="216"/>
      <c r="F215" s="216"/>
      <c r="G215" s="216"/>
      <c r="H215" s="216"/>
      <c r="I215" s="216"/>
      <c r="J215" s="216"/>
      <c r="K215" s="216"/>
      <c r="L215" s="216"/>
      <c r="M215" s="216"/>
      <c r="N215" s="216"/>
      <c r="O215" s="216"/>
      <c r="P215" s="216"/>
      <c r="Q215" s="216"/>
      <c r="R215" s="216"/>
      <c r="S215" s="216"/>
      <c r="T215" s="216"/>
      <c r="U215" s="216"/>
      <c r="V215" s="216"/>
      <c r="W215" s="216"/>
      <c r="X215" s="216"/>
    </row>
    <row r="216" spans="2:24">
      <c r="B216" s="216"/>
      <c r="C216" s="216"/>
      <c r="D216" s="216"/>
      <c r="E216" s="216"/>
      <c r="F216" s="216"/>
      <c r="G216" s="216"/>
      <c r="H216" s="216"/>
      <c r="I216" s="216"/>
      <c r="J216" s="216"/>
      <c r="K216" s="216"/>
      <c r="L216" s="216"/>
      <c r="M216" s="216"/>
      <c r="N216" s="216"/>
      <c r="O216" s="216"/>
      <c r="P216" s="216"/>
      <c r="Q216" s="216"/>
      <c r="R216" s="216"/>
      <c r="S216" s="216"/>
      <c r="T216" s="216"/>
      <c r="U216" s="216"/>
      <c r="V216" s="216"/>
      <c r="W216" s="216"/>
      <c r="X216" s="216"/>
    </row>
    <row r="217" spans="2:24">
      <c r="B217" s="216"/>
      <c r="C217" s="216"/>
      <c r="D217" s="216"/>
      <c r="E217" s="216"/>
      <c r="F217" s="216"/>
      <c r="G217" s="216"/>
      <c r="H217" s="216"/>
      <c r="I217" s="216"/>
      <c r="J217" s="216"/>
      <c r="K217" s="216"/>
      <c r="L217" s="216"/>
      <c r="M217" s="216"/>
      <c r="N217" s="216"/>
      <c r="O217" s="216"/>
      <c r="P217" s="216"/>
      <c r="Q217" s="216"/>
      <c r="R217" s="216"/>
      <c r="S217" s="216"/>
      <c r="T217" s="216"/>
      <c r="U217" s="216"/>
      <c r="V217" s="216"/>
      <c r="W217" s="216"/>
      <c r="X217" s="216"/>
    </row>
    <row r="218" spans="2:24">
      <c r="B218" s="216"/>
      <c r="C218" s="216"/>
      <c r="D218" s="216"/>
      <c r="E218" s="216"/>
      <c r="F218" s="216"/>
      <c r="G218" s="216"/>
      <c r="H218" s="216"/>
      <c r="I218" s="216"/>
      <c r="J218" s="216"/>
      <c r="K218" s="216"/>
      <c r="L218" s="216"/>
      <c r="M218" s="216"/>
      <c r="N218" s="216"/>
      <c r="O218" s="216"/>
      <c r="P218" s="216"/>
      <c r="Q218" s="216"/>
      <c r="R218" s="216"/>
      <c r="S218" s="216"/>
      <c r="T218" s="216"/>
      <c r="U218" s="216"/>
      <c r="V218" s="216"/>
      <c r="W218" s="216"/>
      <c r="X218" s="216"/>
    </row>
    <row r="219" spans="2:24">
      <c r="B219" s="216"/>
      <c r="C219" s="216"/>
      <c r="D219" s="216"/>
      <c r="E219" s="216"/>
      <c r="F219" s="216"/>
      <c r="G219" s="216"/>
      <c r="H219" s="216"/>
      <c r="I219" s="216"/>
      <c r="J219" s="216"/>
      <c r="K219" s="216"/>
      <c r="L219" s="216"/>
      <c r="M219" s="216"/>
      <c r="N219" s="216"/>
      <c r="O219" s="216"/>
      <c r="P219" s="216"/>
      <c r="Q219" s="216"/>
      <c r="R219" s="216"/>
      <c r="S219" s="216"/>
      <c r="T219" s="216"/>
      <c r="U219" s="216"/>
      <c r="V219" s="216"/>
      <c r="W219" s="216"/>
      <c r="X219" s="216"/>
    </row>
    <row r="220" spans="2:24">
      <c r="B220" s="216"/>
      <c r="C220" s="216"/>
      <c r="D220" s="216"/>
      <c r="E220" s="216"/>
      <c r="F220" s="216"/>
      <c r="G220" s="216"/>
      <c r="H220" s="216"/>
      <c r="I220" s="216"/>
      <c r="J220" s="216"/>
      <c r="K220" s="216"/>
      <c r="L220" s="216"/>
      <c r="M220" s="216"/>
      <c r="N220" s="216"/>
      <c r="O220" s="216"/>
      <c r="P220" s="216"/>
      <c r="Q220" s="216"/>
      <c r="R220" s="216"/>
      <c r="S220" s="216"/>
      <c r="T220" s="216"/>
      <c r="U220" s="216"/>
      <c r="V220" s="216"/>
      <c r="W220" s="216"/>
      <c r="X220" s="216"/>
    </row>
    <row r="221" spans="2:24">
      <c r="B221" s="216"/>
      <c r="C221" s="216"/>
      <c r="D221" s="216"/>
      <c r="E221" s="216"/>
      <c r="F221" s="216"/>
      <c r="G221" s="216"/>
      <c r="H221" s="216"/>
      <c r="I221" s="216"/>
      <c r="J221" s="216"/>
      <c r="K221" s="216"/>
      <c r="L221" s="216"/>
      <c r="M221" s="216"/>
      <c r="N221" s="216"/>
      <c r="O221" s="216"/>
      <c r="P221" s="216"/>
      <c r="Q221" s="216"/>
      <c r="R221" s="216"/>
      <c r="S221" s="216"/>
      <c r="T221" s="216"/>
      <c r="U221" s="216"/>
      <c r="V221" s="216"/>
      <c r="W221" s="216"/>
      <c r="X221" s="216"/>
    </row>
    <row r="222" spans="2:24">
      <c r="B222" s="216"/>
      <c r="C222" s="216"/>
      <c r="D222" s="216"/>
      <c r="E222" s="216"/>
      <c r="F222" s="216"/>
      <c r="G222" s="216"/>
      <c r="H222" s="216"/>
      <c r="I222" s="216"/>
      <c r="J222" s="216"/>
      <c r="K222" s="216"/>
      <c r="L222" s="216"/>
      <c r="M222" s="216"/>
      <c r="N222" s="216"/>
      <c r="O222" s="216"/>
      <c r="P222" s="216"/>
      <c r="Q222" s="216"/>
      <c r="R222" s="216"/>
      <c r="S222" s="216"/>
      <c r="T222" s="216"/>
      <c r="U222" s="216"/>
      <c r="V222" s="216"/>
      <c r="W222" s="216"/>
      <c r="X222" s="216"/>
    </row>
    <row r="223" spans="2:24">
      <c r="B223" s="216"/>
      <c r="C223" s="216"/>
      <c r="D223" s="216"/>
      <c r="E223" s="216"/>
      <c r="F223" s="216"/>
      <c r="G223" s="216"/>
      <c r="H223" s="216"/>
      <c r="I223" s="216"/>
      <c r="J223" s="216"/>
      <c r="K223" s="216"/>
      <c r="L223" s="216"/>
      <c r="M223" s="216"/>
      <c r="N223" s="216"/>
      <c r="O223" s="216"/>
      <c r="P223" s="216"/>
      <c r="Q223" s="216"/>
      <c r="R223" s="216"/>
      <c r="S223" s="216"/>
      <c r="T223" s="216"/>
      <c r="U223" s="216"/>
      <c r="V223" s="216"/>
      <c r="W223" s="216"/>
      <c r="X223" s="216"/>
    </row>
    <row r="224" spans="2:24">
      <c r="B224" s="216"/>
      <c r="C224" s="216"/>
      <c r="D224" s="216"/>
      <c r="E224" s="216"/>
      <c r="F224" s="216"/>
      <c r="G224" s="216"/>
      <c r="H224" s="216"/>
      <c r="I224" s="216"/>
      <c r="J224" s="216"/>
      <c r="K224" s="216"/>
      <c r="L224" s="216"/>
      <c r="M224" s="216"/>
      <c r="N224" s="216"/>
      <c r="O224" s="216"/>
      <c r="P224" s="216"/>
      <c r="Q224" s="216"/>
      <c r="R224" s="216"/>
      <c r="S224" s="216"/>
      <c r="T224" s="216"/>
      <c r="U224" s="216"/>
      <c r="V224" s="216"/>
      <c r="W224" s="216"/>
      <c r="X224" s="216"/>
    </row>
    <row r="225" spans="2:24">
      <c r="B225" s="216"/>
      <c r="C225" s="216"/>
      <c r="D225" s="216"/>
      <c r="E225" s="216"/>
      <c r="F225" s="216"/>
      <c r="G225" s="216"/>
      <c r="H225" s="216"/>
      <c r="I225" s="216"/>
      <c r="J225" s="216"/>
      <c r="K225" s="216"/>
      <c r="L225" s="216"/>
      <c r="M225" s="216"/>
      <c r="N225" s="216"/>
      <c r="O225" s="216"/>
      <c r="P225" s="216"/>
      <c r="Q225" s="216"/>
      <c r="R225" s="216"/>
      <c r="S225" s="216"/>
      <c r="T225" s="216"/>
      <c r="U225" s="216"/>
      <c r="V225" s="216"/>
      <c r="W225" s="216"/>
      <c r="X225" s="216"/>
    </row>
    <row r="226" spans="2:24">
      <c r="B226" s="216"/>
      <c r="C226" s="216"/>
      <c r="D226" s="216"/>
      <c r="E226" s="216"/>
      <c r="F226" s="216"/>
      <c r="G226" s="216"/>
      <c r="H226" s="216"/>
      <c r="I226" s="216"/>
      <c r="J226" s="216"/>
      <c r="K226" s="216"/>
      <c r="L226" s="216"/>
      <c r="M226" s="216"/>
      <c r="N226" s="216"/>
      <c r="O226" s="216"/>
      <c r="P226" s="216"/>
      <c r="Q226" s="216"/>
      <c r="R226" s="216"/>
      <c r="S226" s="216"/>
      <c r="T226" s="216"/>
      <c r="U226" s="216"/>
      <c r="V226" s="216"/>
      <c r="W226" s="216"/>
      <c r="X226" s="216"/>
    </row>
    <row r="227" spans="2:24">
      <c r="B227" s="216"/>
      <c r="C227" s="216"/>
      <c r="D227" s="216"/>
      <c r="E227" s="216"/>
      <c r="F227" s="216"/>
      <c r="G227" s="216"/>
      <c r="H227" s="216"/>
      <c r="I227" s="216"/>
      <c r="J227" s="216"/>
      <c r="K227" s="216"/>
      <c r="L227" s="216"/>
      <c r="M227" s="216"/>
      <c r="N227" s="216"/>
      <c r="O227" s="216"/>
      <c r="P227" s="216"/>
      <c r="Q227" s="216"/>
      <c r="R227" s="216"/>
      <c r="S227" s="216"/>
      <c r="T227" s="216"/>
      <c r="U227" s="216"/>
      <c r="V227" s="216"/>
      <c r="W227" s="216"/>
      <c r="X227" s="216"/>
    </row>
    <row r="228" spans="2:24">
      <c r="B228" s="216"/>
      <c r="C228" s="216"/>
      <c r="D228" s="216"/>
      <c r="E228" s="216"/>
      <c r="F228" s="216"/>
      <c r="G228" s="216"/>
      <c r="H228" s="216"/>
      <c r="I228" s="216"/>
      <c r="J228" s="216"/>
      <c r="K228" s="216"/>
      <c r="L228" s="216"/>
      <c r="M228" s="216"/>
      <c r="N228" s="216"/>
      <c r="O228" s="216"/>
      <c r="P228" s="216"/>
      <c r="Q228" s="216"/>
      <c r="R228" s="216"/>
      <c r="S228" s="216"/>
      <c r="T228" s="216"/>
      <c r="U228" s="216"/>
      <c r="V228" s="216"/>
      <c r="W228" s="216"/>
      <c r="X228" s="216"/>
    </row>
    <row r="229" spans="2:24">
      <c r="B229" s="216"/>
      <c r="C229" s="216"/>
      <c r="D229" s="216"/>
      <c r="E229" s="216"/>
      <c r="F229" s="216"/>
      <c r="G229" s="216"/>
      <c r="H229" s="216"/>
      <c r="I229" s="216"/>
      <c r="J229" s="216"/>
      <c r="K229" s="216"/>
      <c r="L229" s="216"/>
      <c r="M229" s="216"/>
      <c r="N229" s="216"/>
      <c r="O229" s="216"/>
      <c r="P229" s="216"/>
      <c r="Q229" s="216"/>
      <c r="R229" s="216"/>
      <c r="S229" s="216"/>
      <c r="T229" s="216"/>
      <c r="U229" s="216"/>
      <c r="V229" s="216"/>
      <c r="W229" s="216"/>
      <c r="X229" s="216"/>
    </row>
    <row r="230" spans="2:24">
      <c r="B230" s="216"/>
      <c r="C230" s="216"/>
      <c r="D230" s="216"/>
      <c r="E230" s="216"/>
      <c r="F230" s="216"/>
      <c r="G230" s="216"/>
      <c r="H230" s="216"/>
      <c r="I230" s="216"/>
      <c r="J230" s="216"/>
      <c r="K230" s="216"/>
      <c r="L230" s="216"/>
      <c r="M230" s="216"/>
      <c r="N230" s="216"/>
      <c r="O230" s="216"/>
      <c r="P230" s="216"/>
      <c r="Q230" s="216"/>
      <c r="R230" s="216"/>
      <c r="S230" s="216"/>
      <c r="T230" s="216"/>
      <c r="U230" s="216"/>
      <c r="V230" s="216"/>
      <c r="W230" s="216"/>
      <c r="X230" s="216"/>
    </row>
    <row r="231" spans="2:24">
      <c r="B231" s="216"/>
      <c r="C231" s="216"/>
      <c r="D231" s="216"/>
      <c r="E231" s="216"/>
      <c r="F231" s="216"/>
      <c r="G231" s="216"/>
      <c r="H231" s="216"/>
      <c r="I231" s="216"/>
      <c r="J231" s="216"/>
      <c r="K231" s="216"/>
      <c r="L231" s="216"/>
      <c r="M231" s="216"/>
      <c r="N231" s="216"/>
      <c r="O231" s="216"/>
      <c r="P231" s="216"/>
      <c r="Q231" s="216"/>
      <c r="R231" s="216"/>
      <c r="S231" s="216"/>
      <c r="T231" s="216"/>
      <c r="U231" s="216"/>
      <c r="V231" s="216"/>
      <c r="W231" s="216"/>
      <c r="X231" s="216"/>
    </row>
    <row r="232" spans="2:24">
      <c r="B232" s="216"/>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row>
    <row r="233" spans="2:24">
      <c r="B233" s="216"/>
      <c r="C233" s="216"/>
      <c r="D233" s="216"/>
      <c r="E233" s="216"/>
      <c r="F233" s="216"/>
      <c r="G233" s="216"/>
      <c r="H233" s="216"/>
      <c r="I233" s="216"/>
      <c r="J233" s="216"/>
      <c r="K233" s="216"/>
      <c r="L233" s="216"/>
      <c r="M233" s="216"/>
      <c r="N233" s="216"/>
      <c r="O233" s="216"/>
      <c r="P233" s="216"/>
      <c r="Q233" s="216"/>
      <c r="R233" s="216"/>
      <c r="S233" s="216"/>
      <c r="T233" s="216"/>
      <c r="U233" s="216"/>
      <c r="V233" s="216"/>
      <c r="W233" s="216"/>
      <c r="X233" s="216"/>
    </row>
    <row r="234" spans="2:24">
      <c r="B234" s="216"/>
      <c r="C234" s="216"/>
      <c r="D234" s="216"/>
      <c r="E234" s="216"/>
      <c r="F234" s="216"/>
      <c r="G234" s="216"/>
      <c r="H234" s="216"/>
      <c r="I234" s="216"/>
      <c r="J234" s="216"/>
      <c r="K234" s="216"/>
      <c r="L234" s="216"/>
      <c r="M234" s="216"/>
      <c r="N234" s="216"/>
      <c r="O234" s="216"/>
      <c r="P234" s="216"/>
      <c r="Q234" s="216"/>
      <c r="R234" s="216"/>
      <c r="S234" s="216"/>
      <c r="T234" s="216"/>
      <c r="U234" s="216"/>
      <c r="V234" s="216"/>
      <c r="W234" s="216"/>
      <c r="X234" s="216"/>
    </row>
    <row r="235" spans="2:24">
      <c r="B235" s="216"/>
      <c r="C235" s="216"/>
      <c r="D235" s="216"/>
      <c r="E235" s="216"/>
      <c r="F235" s="216"/>
      <c r="G235" s="216"/>
      <c r="H235" s="216"/>
      <c r="I235" s="216"/>
      <c r="J235" s="216"/>
      <c r="K235" s="216"/>
      <c r="L235" s="216"/>
      <c r="M235" s="216"/>
      <c r="N235" s="216"/>
      <c r="O235" s="216"/>
      <c r="P235" s="216"/>
      <c r="Q235" s="216"/>
      <c r="R235" s="216"/>
      <c r="S235" s="216"/>
      <c r="T235" s="216"/>
      <c r="U235" s="216"/>
      <c r="V235" s="216"/>
      <c r="W235" s="216"/>
      <c r="X235" s="216"/>
    </row>
    <row r="236" spans="2:24">
      <c r="B236" s="216"/>
      <c r="C236" s="216"/>
      <c r="D236" s="216"/>
      <c r="E236" s="216"/>
      <c r="F236" s="216"/>
      <c r="G236" s="216"/>
      <c r="H236" s="216"/>
      <c r="I236" s="216"/>
      <c r="J236" s="216"/>
      <c r="K236" s="216"/>
      <c r="L236" s="216"/>
      <c r="M236" s="216"/>
      <c r="N236" s="216"/>
      <c r="O236" s="216"/>
      <c r="P236" s="216"/>
      <c r="Q236" s="216"/>
      <c r="R236" s="216"/>
      <c r="S236" s="216"/>
      <c r="T236" s="216"/>
      <c r="U236" s="216"/>
      <c r="V236" s="216"/>
      <c r="W236" s="216"/>
      <c r="X236" s="216"/>
    </row>
    <row r="237" spans="2:24">
      <c r="B237" s="216"/>
      <c r="C237" s="216"/>
      <c r="D237" s="216"/>
      <c r="E237" s="216"/>
      <c r="F237" s="216"/>
      <c r="G237" s="216"/>
      <c r="H237" s="216"/>
      <c r="I237" s="216"/>
      <c r="J237" s="216"/>
      <c r="K237" s="216"/>
      <c r="L237" s="216"/>
      <c r="M237" s="216"/>
      <c r="N237" s="216"/>
      <c r="O237" s="216"/>
      <c r="P237" s="216"/>
      <c r="Q237" s="216"/>
      <c r="R237" s="216"/>
      <c r="S237" s="216"/>
      <c r="T237" s="216"/>
      <c r="U237" s="216"/>
      <c r="V237" s="216"/>
      <c r="W237" s="216"/>
      <c r="X237" s="216"/>
    </row>
    <row r="238" spans="2:24">
      <c r="B238" s="216"/>
      <c r="C238" s="216"/>
      <c r="D238" s="216"/>
      <c r="E238" s="216"/>
      <c r="F238" s="216"/>
      <c r="G238" s="216"/>
      <c r="H238" s="216"/>
      <c r="I238" s="216"/>
      <c r="J238" s="216"/>
      <c r="K238" s="216"/>
      <c r="L238" s="216"/>
      <c r="M238" s="216"/>
      <c r="N238" s="216"/>
      <c r="O238" s="216"/>
      <c r="P238" s="216"/>
      <c r="Q238" s="216"/>
      <c r="R238" s="216"/>
      <c r="S238" s="216"/>
      <c r="T238" s="216"/>
      <c r="U238" s="216"/>
      <c r="V238" s="216"/>
      <c r="W238" s="216"/>
      <c r="X238" s="216"/>
    </row>
    <row r="239" spans="2:24">
      <c r="B239" s="216"/>
      <c r="C239" s="216"/>
      <c r="D239" s="216"/>
      <c r="E239" s="216"/>
      <c r="F239" s="216"/>
      <c r="G239" s="216"/>
      <c r="H239" s="216"/>
      <c r="I239" s="216"/>
      <c r="J239" s="216"/>
      <c r="K239" s="216"/>
      <c r="L239" s="216"/>
      <c r="M239" s="216"/>
      <c r="N239" s="216"/>
      <c r="O239" s="216"/>
      <c r="P239" s="216"/>
      <c r="Q239" s="216"/>
      <c r="R239" s="216"/>
      <c r="S239" s="216"/>
      <c r="T239" s="216"/>
      <c r="U239" s="216"/>
      <c r="V239" s="216"/>
      <c r="W239" s="216"/>
      <c r="X239" s="216"/>
    </row>
    <row r="240" spans="2:24">
      <c r="B240" s="216"/>
      <c r="C240" s="216"/>
      <c r="D240" s="216"/>
      <c r="E240" s="216"/>
      <c r="F240" s="216"/>
      <c r="G240" s="216"/>
      <c r="H240" s="216"/>
      <c r="I240" s="216"/>
      <c r="J240" s="216"/>
      <c r="K240" s="216"/>
      <c r="L240" s="216"/>
      <c r="M240" s="216"/>
      <c r="N240" s="216"/>
      <c r="O240" s="216"/>
      <c r="P240" s="216"/>
      <c r="Q240" s="216"/>
      <c r="R240" s="216"/>
      <c r="S240" s="216"/>
      <c r="T240" s="216"/>
      <c r="U240" s="216"/>
      <c r="V240" s="216"/>
      <c r="W240" s="216"/>
      <c r="X240" s="216"/>
    </row>
    <row r="241" spans="2:24">
      <c r="B241" s="216"/>
      <c r="C241" s="216"/>
      <c r="D241" s="216"/>
      <c r="E241" s="216"/>
      <c r="F241" s="216"/>
      <c r="G241" s="216"/>
      <c r="H241" s="216"/>
      <c r="I241" s="216"/>
      <c r="J241" s="216"/>
      <c r="K241" s="216"/>
      <c r="L241" s="216"/>
      <c r="M241" s="216"/>
      <c r="N241" s="216"/>
      <c r="O241" s="216"/>
      <c r="P241" s="216"/>
      <c r="Q241" s="216"/>
      <c r="R241" s="216"/>
      <c r="S241" s="216"/>
      <c r="T241" s="216"/>
      <c r="U241" s="216"/>
      <c r="V241" s="216"/>
      <c r="W241" s="216"/>
      <c r="X241" s="216"/>
    </row>
    <row r="242" spans="2:24">
      <c r="B242" s="216"/>
      <c r="C242" s="216"/>
      <c r="D242" s="216"/>
      <c r="E242" s="216"/>
      <c r="F242" s="216"/>
      <c r="G242" s="216"/>
      <c r="H242" s="216"/>
      <c r="I242" s="216"/>
      <c r="J242" s="216"/>
      <c r="K242" s="216"/>
      <c r="L242" s="216"/>
      <c r="M242" s="216"/>
      <c r="N242" s="216"/>
      <c r="O242" s="216"/>
      <c r="P242" s="216"/>
      <c r="Q242" s="216"/>
      <c r="R242" s="216"/>
      <c r="S242" s="216"/>
      <c r="T242" s="216"/>
      <c r="U242" s="216"/>
      <c r="V242" s="216"/>
      <c r="W242" s="216"/>
      <c r="X242" s="216"/>
    </row>
    <row r="243" spans="2:24">
      <c r="B243" s="216"/>
      <c r="C243" s="216"/>
      <c r="D243" s="216"/>
      <c r="E243" s="216"/>
      <c r="F243" s="216"/>
      <c r="G243" s="216"/>
      <c r="H243" s="216"/>
      <c r="I243" s="216"/>
      <c r="J243" s="216"/>
      <c r="K243" s="216"/>
      <c r="L243" s="216"/>
      <c r="M243" s="216"/>
      <c r="N243" s="216"/>
      <c r="O243" s="216"/>
      <c r="P243" s="216"/>
      <c r="Q243" s="216"/>
      <c r="R243" s="216"/>
      <c r="S243" s="216"/>
      <c r="T243" s="216"/>
      <c r="U243" s="216"/>
      <c r="V243" s="216"/>
      <c r="W243" s="216"/>
      <c r="X243" s="216"/>
    </row>
    <row r="244" spans="2:24">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row>
    <row r="245" spans="2:24">
      <c r="B245" s="216"/>
      <c r="C245" s="216"/>
      <c r="D245" s="216"/>
      <c r="E245" s="216"/>
      <c r="F245" s="216"/>
      <c r="G245" s="216"/>
      <c r="H245" s="216"/>
      <c r="I245" s="216"/>
      <c r="J245" s="216"/>
      <c r="K245" s="216"/>
      <c r="L245" s="216"/>
      <c r="M245" s="216"/>
      <c r="N245" s="216"/>
      <c r="O245" s="216"/>
      <c r="P245" s="216"/>
      <c r="Q245" s="216"/>
      <c r="R245" s="216"/>
      <c r="S245" s="216"/>
      <c r="T245" s="216"/>
      <c r="U245" s="216"/>
      <c r="V245" s="216"/>
      <c r="W245" s="216"/>
      <c r="X245" s="216"/>
    </row>
    <row r="246" spans="2:24">
      <c r="B246" s="216"/>
      <c r="C246" s="216"/>
      <c r="D246" s="216"/>
      <c r="E246" s="216"/>
      <c r="F246" s="216"/>
      <c r="G246" s="216"/>
      <c r="H246" s="216"/>
      <c r="I246" s="216"/>
      <c r="J246" s="216"/>
      <c r="K246" s="216"/>
      <c r="L246" s="216"/>
      <c r="M246" s="216"/>
      <c r="N246" s="216"/>
      <c r="O246" s="216"/>
      <c r="P246" s="216"/>
      <c r="Q246" s="216"/>
      <c r="R246" s="216"/>
      <c r="S246" s="216"/>
      <c r="T246" s="216"/>
      <c r="U246" s="216"/>
      <c r="V246" s="216"/>
      <c r="W246" s="216"/>
      <c r="X246" s="216"/>
    </row>
    <row r="247" spans="2:24">
      <c r="B247" s="216"/>
      <c r="C247" s="216"/>
      <c r="D247" s="216"/>
      <c r="E247" s="216"/>
      <c r="F247" s="216"/>
      <c r="G247" s="216"/>
      <c r="H247" s="216"/>
      <c r="I247" s="216"/>
      <c r="J247" s="216"/>
      <c r="K247" s="216"/>
      <c r="L247" s="216"/>
      <c r="M247" s="216"/>
      <c r="N247" s="216"/>
      <c r="O247" s="216"/>
      <c r="P247" s="216"/>
      <c r="Q247" s="216"/>
      <c r="R247" s="216"/>
      <c r="S247" s="216"/>
      <c r="T247" s="216"/>
      <c r="U247" s="216"/>
      <c r="V247" s="216"/>
      <c r="W247" s="216"/>
      <c r="X247" s="216"/>
    </row>
    <row r="248" spans="2:24">
      <c r="B248" s="216"/>
      <c r="C248" s="216"/>
      <c r="D248" s="216"/>
      <c r="E248" s="216"/>
      <c r="F248" s="216"/>
      <c r="G248" s="216"/>
      <c r="H248" s="216"/>
      <c r="I248" s="216"/>
      <c r="J248" s="216"/>
      <c r="K248" s="216"/>
      <c r="L248" s="216"/>
      <c r="M248" s="216"/>
      <c r="N248" s="216"/>
      <c r="O248" s="216"/>
      <c r="P248" s="216"/>
      <c r="Q248" s="216"/>
      <c r="R248" s="216"/>
      <c r="S248" s="216"/>
      <c r="T248" s="216"/>
      <c r="U248" s="216"/>
      <c r="V248" s="216"/>
      <c r="W248" s="216"/>
      <c r="X248" s="216"/>
    </row>
    <row r="249" spans="2:24">
      <c r="B249" s="216"/>
      <c r="C249" s="216"/>
      <c r="D249" s="216"/>
      <c r="E249" s="216"/>
      <c r="F249" s="216"/>
      <c r="G249" s="216"/>
      <c r="H249" s="216"/>
      <c r="I249" s="216"/>
      <c r="J249" s="216"/>
      <c r="K249" s="216"/>
      <c r="L249" s="216"/>
      <c r="M249" s="216"/>
      <c r="N249" s="216"/>
      <c r="O249" s="216"/>
      <c r="P249" s="216"/>
      <c r="Q249" s="216"/>
      <c r="R249" s="216"/>
      <c r="S249" s="216"/>
      <c r="T249" s="216"/>
      <c r="U249" s="216"/>
      <c r="V249" s="216"/>
      <c r="W249" s="216"/>
      <c r="X249" s="216"/>
    </row>
    <row r="250" spans="2:24">
      <c r="B250" s="216"/>
      <c r="C250" s="216"/>
      <c r="D250" s="216"/>
      <c r="E250" s="216"/>
      <c r="F250" s="216"/>
      <c r="G250" s="216"/>
      <c r="H250" s="216"/>
      <c r="I250" s="216"/>
      <c r="J250" s="216"/>
      <c r="K250" s="216"/>
      <c r="L250" s="216"/>
      <c r="M250" s="216"/>
      <c r="N250" s="216"/>
      <c r="O250" s="216"/>
      <c r="P250" s="216"/>
      <c r="Q250" s="216"/>
      <c r="R250" s="216"/>
      <c r="S250" s="216"/>
      <c r="T250" s="216"/>
      <c r="U250" s="216"/>
      <c r="V250" s="216"/>
      <c r="W250" s="216"/>
      <c r="X250" s="216"/>
    </row>
    <row r="251" spans="2:24">
      <c r="B251" s="216"/>
      <c r="C251" s="216"/>
      <c r="D251" s="216"/>
      <c r="E251" s="216"/>
      <c r="F251" s="216"/>
      <c r="G251" s="216"/>
      <c r="H251" s="216"/>
      <c r="I251" s="216"/>
      <c r="J251" s="216"/>
      <c r="K251" s="216"/>
      <c r="L251" s="216"/>
      <c r="M251" s="216"/>
      <c r="N251" s="216"/>
      <c r="O251" s="216"/>
      <c r="P251" s="216"/>
      <c r="Q251" s="216"/>
      <c r="R251" s="216"/>
      <c r="S251" s="216"/>
      <c r="T251" s="216"/>
      <c r="U251" s="216"/>
      <c r="V251" s="216"/>
      <c r="W251" s="216"/>
      <c r="X251" s="216"/>
    </row>
    <row r="252" spans="2:24">
      <c r="B252" s="216"/>
      <c r="C252" s="216"/>
      <c r="D252" s="216"/>
      <c r="E252" s="216"/>
      <c r="F252" s="216"/>
      <c r="G252" s="216"/>
      <c r="H252" s="216"/>
      <c r="I252" s="216"/>
      <c r="J252" s="216"/>
      <c r="K252" s="216"/>
      <c r="L252" s="216"/>
      <c r="M252" s="216"/>
      <c r="N252" s="216"/>
      <c r="O252" s="216"/>
      <c r="P252" s="216"/>
      <c r="Q252" s="216"/>
      <c r="R252" s="216"/>
      <c r="S252" s="216"/>
      <c r="T252" s="216"/>
      <c r="U252" s="216"/>
      <c r="V252" s="216"/>
      <c r="W252" s="216"/>
      <c r="X252" s="216"/>
    </row>
    <row r="253" spans="2:24">
      <c r="B253" s="216"/>
      <c r="C253" s="216"/>
      <c r="D253" s="216"/>
      <c r="E253" s="216"/>
      <c r="F253" s="216"/>
      <c r="G253" s="216"/>
      <c r="H253" s="216"/>
      <c r="I253" s="216"/>
      <c r="J253" s="216"/>
      <c r="K253" s="216"/>
      <c r="L253" s="216"/>
      <c r="M253" s="216"/>
      <c r="N253" s="216"/>
      <c r="O253" s="216"/>
      <c r="P253" s="216"/>
      <c r="Q253" s="216"/>
      <c r="R253" s="216"/>
      <c r="S253" s="216"/>
      <c r="T253" s="216"/>
      <c r="U253" s="216"/>
      <c r="V253" s="216"/>
      <c r="W253" s="216"/>
      <c r="X253" s="216"/>
    </row>
    <row r="254" spans="2:24">
      <c r="B254" s="216"/>
      <c r="C254" s="216"/>
      <c r="D254" s="216"/>
      <c r="E254" s="216"/>
      <c r="F254" s="216"/>
      <c r="G254" s="216"/>
      <c r="H254" s="216"/>
      <c r="I254" s="216"/>
      <c r="J254" s="216"/>
      <c r="K254" s="216"/>
      <c r="L254" s="216"/>
      <c r="M254" s="216"/>
      <c r="N254" s="216"/>
      <c r="O254" s="216"/>
      <c r="P254" s="216"/>
      <c r="Q254" s="216"/>
      <c r="R254" s="216"/>
      <c r="S254" s="216"/>
      <c r="T254" s="216"/>
      <c r="U254" s="216"/>
      <c r="V254" s="216"/>
      <c r="W254" s="216"/>
      <c r="X254" s="216"/>
    </row>
    <row r="255" spans="2:24">
      <c r="B255" s="216"/>
      <c r="C255" s="216"/>
      <c r="D255" s="216"/>
      <c r="E255" s="216"/>
      <c r="F255" s="216"/>
      <c r="G255" s="216"/>
      <c r="H255" s="216"/>
      <c r="I255" s="216"/>
      <c r="J255" s="216"/>
      <c r="K255" s="216"/>
      <c r="L255" s="216"/>
      <c r="M255" s="216"/>
      <c r="N255" s="216"/>
      <c r="O255" s="216"/>
      <c r="P255" s="216"/>
      <c r="Q255" s="216"/>
      <c r="R255" s="216"/>
      <c r="S255" s="216"/>
      <c r="T255" s="216"/>
      <c r="U255" s="216"/>
      <c r="V255" s="216"/>
      <c r="W255" s="216"/>
      <c r="X255" s="216"/>
    </row>
    <row r="256" spans="2:24">
      <c r="B256" s="216"/>
      <c r="C256" s="216"/>
      <c r="D256" s="216"/>
      <c r="E256" s="216"/>
      <c r="F256" s="216"/>
      <c r="G256" s="216"/>
      <c r="H256" s="216"/>
      <c r="I256" s="216"/>
      <c r="J256" s="216"/>
      <c r="K256" s="216"/>
      <c r="L256" s="216"/>
      <c r="M256" s="216"/>
      <c r="N256" s="216"/>
      <c r="O256" s="216"/>
      <c r="P256" s="216"/>
      <c r="Q256" s="216"/>
      <c r="R256" s="216"/>
      <c r="S256" s="216"/>
      <c r="T256" s="216"/>
      <c r="U256" s="216"/>
      <c r="V256" s="216"/>
      <c r="W256" s="216"/>
      <c r="X256" s="216"/>
    </row>
    <row r="257" spans="2:24">
      <c r="B257" s="216"/>
      <c r="C257" s="216"/>
      <c r="D257" s="216"/>
      <c r="E257" s="216"/>
      <c r="F257" s="216"/>
      <c r="G257" s="216"/>
      <c r="H257" s="216"/>
      <c r="I257" s="216"/>
      <c r="J257" s="216"/>
      <c r="K257" s="216"/>
      <c r="L257" s="216"/>
      <c r="M257" s="216"/>
      <c r="N257" s="216"/>
      <c r="O257" s="216"/>
      <c r="P257" s="216"/>
      <c r="Q257" s="216"/>
      <c r="R257" s="216"/>
      <c r="S257" s="216"/>
      <c r="T257" s="216"/>
      <c r="U257" s="216"/>
      <c r="V257" s="216"/>
      <c r="W257" s="216"/>
      <c r="X257" s="216"/>
    </row>
    <row r="258" spans="2:24">
      <c r="B258" s="216"/>
      <c r="C258" s="216"/>
      <c r="D258" s="216"/>
      <c r="E258" s="216"/>
      <c r="F258" s="216"/>
      <c r="G258" s="216"/>
      <c r="H258" s="216"/>
      <c r="I258" s="216"/>
      <c r="J258" s="216"/>
      <c r="K258" s="216"/>
      <c r="L258" s="216"/>
      <c r="M258" s="216"/>
      <c r="N258" s="216"/>
      <c r="O258" s="216"/>
      <c r="P258" s="216"/>
      <c r="Q258" s="216"/>
      <c r="R258" s="216"/>
      <c r="S258" s="216"/>
      <c r="T258" s="216"/>
      <c r="U258" s="216"/>
      <c r="V258" s="216"/>
      <c r="W258" s="216"/>
      <c r="X258" s="216"/>
    </row>
    <row r="259" spans="2:24">
      <c r="B259" s="216"/>
      <c r="C259" s="216"/>
      <c r="D259" s="216"/>
      <c r="E259" s="216"/>
      <c r="F259" s="216"/>
      <c r="G259" s="216"/>
      <c r="H259" s="216"/>
      <c r="I259" s="216"/>
      <c r="J259" s="216"/>
      <c r="K259" s="216"/>
      <c r="L259" s="216"/>
      <c r="M259" s="216"/>
      <c r="N259" s="216"/>
      <c r="O259" s="216"/>
      <c r="P259" s="216"/>
      <c r="Q259" s="216"/>
      <c r="R259" s="216"/>
      <c r="S259" s="216"/>
      <c r="T259" s="216"/>
      <c r="U259" s="216"/>
      <c r="V259" s="216"/>
      <c r="W259" s="216"/>
      <c r="X259" s="216"/>
    </row>
    <row r="260" spans="2:24">
      <c r="B260" s="216"/>
      <c r="C260" s="216"/>
      <c r="D260" s="216"/>
      <c r="E260" s="216"/>
      <c r="F260" s="216"/>
      <c r="G260" s="216"/>
      <c r="H260" s="216"/>
      <c r="I260" s="216"/>
      <c r="J260" s="216"/>
      <c r="K260" s="216"/>
      <c r="L260" s="216"/>
      <c r="M260" s="216"/>
      <c r="N260" s="216"/>
      <c r="O260" s="216"/>
      <c r="P260" s="216"/>
      <c r="Q260" s="216"/>
      <c r="R260" s="216"/>
      <c r="S260" s="216"/>
      <c r="T260" s="216"/>
      <c r="U260" s="216"/>
      <c r="V260" s="216"/>
      <c r="W260" s="216"/>
      <c r="X260" s="216"/>
    </row>
    <row r="261" spans="2:24">
      <c r="B261" s="216"/>
      <c r="C261" s="216"/>
      <c r="D261" s="216"/>
      <c r="E261" s="216"/>
      <c r="F261" s="216"/>
      <c r="G261" s="216"/>
      <c r="H261" s="216"/>
      <c r="I261" s="216"/>
      <c r="J261" s="216"/>
      <c r="K261" s="216"/>
      <c r="L261" s="216"/>
      <c r="M261" s="216"/>
      <c r="N261" s="216"/>
      <c r="O261" s="216"/>
      <c r="P261" s="216"/>
      <c r="Q261" s="216"/>
      <c r="R261" s="216"/>
      <c r="S261" s="216"/>
      <c r="T261" s="216"/>
      <c r="U261" s="216"/>
      <c r="V261" s="216"/>
      <c r="W261" s="216"/>
      <c r="X261" s="216"/>
    </row>
    <row r="262" spans="2:24">
      <c r="B262" s="216"/>
      <c r="C262" s="216"/>
      <c r="D262" s="216"/>
      <c r="E262" s="216"/>
      <c r="F262" s="216"/>
      <c r="G262" s="216"/>
      <c r="H262" s="216"/>
      <c r="I262" s="216"/>
      <c r="J262" s="216"/>
      <c r="K262" s="216"/>
      <c r="L262" s="216"/>
      <c r="M262" s="216"/>
      <c r="N262" s="216"/>
      <c r="O262" s="216"/>
      <c r="P262" s="216"/>
      <c r="Q262" s="216"/>
      <c r="R262" s="216"/>
      <c r="S262" s="216"/>
      <c r="T262" s="216"/>
      <c r="U262" s="216"/>
      <c r="V262" s="216"/>
      <c r="W262" s="216"/>
      <c r="X262" s="216"/>
    </row>
    <row r="263" spans="2:24">
      <c r="B263" s="216"/>
      <c r="C263" s="216"/>
      <c r="D263" s="216"/>
      <c r="E263" s="216"/>
      <c r="F263" s="216"/>
      <c r="G263" s="216"/>
      <c r="H263" s="216"/>
      <c r="I263" s="216"/>
      <c r="J263" s="216"/>
      <c r="K263" s="216"/>
      <c r="L263" s="216"/>
      <c r="M263" s="216"/>
      <c r="N263" s="216"/>
      <c r="O263" s="216"/>
      <c r="P263" s="216"/>
      <c r="Q263" s="216"/>
      <c r="R263" s="216"/>
      <c r="S263" s="216"/>
      <c r="T263" s="216"/>
      <c r="U263" s="216"/>
      <c r="V263" s="216"/>
      <c r="W263" s="216"/>
      <c r="X263" s="216"/>
    </row>
    <row r="264" spans="2:24">
      <c r="B264" s="216"/>
      <c r="C264" s="216"/>
      <c r="D264" s="216"/>
      <c r="E264" s="216"/>
      <c r="F264" s="216"/>
      <c r="G264" s="216"/>
      <c r="H264" s="216"/>
      <c r="I264" s="216"/>
      <c r="J264" s="216"/>
      <c r="K264" s="216"/>
      <c r="L264" s="216"/>
      <c r="M264" s="216"/>
      <c r="N264" s="216"/>
      <c r="O264" s="216"/>
      <c r="P264" s="216"/>
      <c r="Q264" s="216"/>
      <c r="R264" s="216"/>
      <c r="S264" s="216"/>
      <c r="T264" s="216"/>
      <c r="U264" s="216"/>
      <c r="V264" s="216"/>
      <c r="W264" s="216"/>
      <c r="X264" s="216"/>
    </row>
    <row r="265" spans="2:24">
      <c r="B265" s="216"/>
      <c r="C265" s="216"/>
      <c r="D265" s="216"/>
      <c r="E265" s="216"/>
      <c r="F265" s="216"/>
      <c r="G265" s="216"/>
      <c r="H265" s="216"/>
      <c r="I265" s="216"/>
      <c r="J265" s="216"/>
      <c r="K265" s="216"/>
      <c r="L265" s="216"/>
      <c r="M265" s="216"/>
      <c r="N265" s="216"/>
      <c r="O265" s="216"/>
      <c r="P265" s="216"/>
      <c r="Q265" s="216"/>
      <c r="R265" s="216"/>
      <c r="S265" s="216"/>
      <c r="T265" s="216"/>
      <c r="U265" s="216"/>
      <c r="V265" s="216"/>
      <c r="W265" s="216"/>
      <c r="X265" s="216"/>
    </row>
    <row r="266" spans="2:24">
      <c r="B266" s="216"/>
      <c r="C266" s="216"/>
      <c r="D266" s="216"/>
      <c r="E266" s="216"/>
      <c r="F266" s="216"/>
      <c r="G266" s="216"/>
      <c r="H266" s="216"/>
      <c r="I266" s="216"/>
      <c r="J266" s="216"/>
      <c r="K266" s="216"/>
      <c r="L266" s="216"/>
      <c r="M266" s="216"/>
      <c r="N266" s="216"/>
      <c r="O266" s="216"/>
      <c r="P266" s="216"/>
      <c r="Q266" s="216"/>
      <c r="R266" s="216"/>
      <c r="S266" s="216"/>
      <c r="T266" s="216"/>
      <c r="U266" s="216"/>
      <c r="V266" s="216"/>
      <c r="W266" s="216"/>
      <c r="X266" s="216"/>
    </row>
    <row r="267" spans="2:24">
      <c r="B267" s="216"/>
      <c r="C267" s="216"/>
      <c r="D267" s="216"/>
      <c r="E267" s="216"/>
      <c r="F267" s="216"/>
      <c r="G267" s="216"/>
      <c r="H267" s="216"/>
      <c r="I267" s="216"/>
      <c r="J267" s="216"/>
      <c r="K267" s="216"/>
      <c r="L267" s="216"/>
      <c r="M267" s="216"/>
      <c r="N267" s="216"/>
      <c r="O267" s="216"/>
      <c r="P267" s="216"/>
      <c r="Q267" s="216"/>
      <c r="R267" s="216"/>
      <c r="S267" s="216"/>
      <c r="T267" s="216"/>
      <c r="U267" s="216"/>
      <c r="V267" s="216"/>
      <c r="W267" s="216"/>
      <c r="X267" s="216"/>
    </row>
    <row r="268" spans="2:24">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row>
    <row r="269" spans="2:24">
      <c r="B269" s="216"/>
      <c r="C269" s="216"/>
      <c r="D269" s="216"/>
      <c r="E269" s="216"/>
      <c r="F269" s="216"/>
      <c r="G269" s="216"/>
      <c r="H269" s="216"/>
      <c r="I269" s="216"/>
      <c r="J269" s="216"/>
      <c r="K269" s="216"/>
      <c r="L269" s="216"/>
      <c r="M269" s="216"/>
      <c r="N269" s="216"/>
      <c r="O269" s="216"/>
      <c r="P269" s="216"/>
      <c r="Q269" s="216"/>
      <c r="R269" s="216"/>
      <c r="S269" s="216"/>
      <c r="T269" s="216"/>
      <c r="U269" s="216"/>
      <c r="V269" s="216"/>
      <c r="W269" s="216"/>
      <c r="X269" s="216"/>
    </row>
    <row r="270" spans="2:24">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row>
    <row r="271" spans="2:24">
      <c r="B271" s="216"/>
      <c r="C271" s="216"/>
      <c r="D271" s="216"/>
      <c r="E271" s="216"/>
      <c r="F271" s="216"/>
      <c r="G271" s="216"/>
      <c r="H271" s="216"/>
      <c r="I271" s="216"/>
      <c r="J271" s="216"/>
      <c r="K271" s="216"/>
      <c r="L271" s="216"/>
      <c r="M271" s="216"/>
      <c r="N271" s="216"/>
      <c r="O271" s="216"/>
      <c r="P271" s="216"/>
      <c r="Q271" s="216"/>
      <c r="R271" s="216"/>
      <c r="S271" s="216"/>
      <c r="T271" s="216"/>
      <c r="U271" s="216"/>
      <c r="V271" s="216"/>
      <c r="W271" s="216"/>
      <c r="X271" s="216"/>
    </row>
    <row r="272" spans="2:24">
      <c r="B272" s="216"/>
      <c r="C272" s="216"/>
      <c r="D272" s="216"/>
      <c r="E272" s="216"/>
      <c r="F272" s="216"/>
      <c r="G272" s="216"/>
      <c r="H272" s="216"/>
      <c r="I272" s="216"/>
      <c r="J272" s="216"/>
      <c r="K272" s="216"/>
      <c r="L272" s="216"/>
      <c r="M272" s="216"/>
      <c r="N272" s="216"/>
      <c r="O272" s="216"/>
      <c r="P272" s="216"/>
      <c r="Q272" s="216"/>
      <c r="R272" s="216"/>
      <c r="S272" s="216"/>
      <c r="T272" s="216"/>
      <c r="U272" s="216"/>
      <c r="V272" s="216"/>
      <c r="W272" s="216"/>
      <c r="X272" s="216"/>
    </row>
    <row r="273" spans="2:24">
      <c r="B273" s="216"/>
      <c r="C273" s="216"/>
      <c r="D273" s="216"/>
      <c r="E273" s="216"/>
      <c r="F273" s="216"/>
      <c r="G273" s="216"/>
      <c r="H273" s="216"/>
      <c r="I273" s="216"/>
      <c r="J273" s="216"/>
      <c r="K273" s="216"/>
      <c r="L273" s="216"/>
      <c r="M273" s="216"/>
      <c r="N273" s="216"/>
      <c r="O273" s="216"/>
      <c r="P273" s="216"/>
      <c r="Q273" s="216"/>
      <c r="R273" s="216"/>
      <c r="S273" s="216"/>
      <c r="T273" s="216"/>
      <c r="U273" s="216"/>
      <c r="V273" s="216"/>
      <c r="W273" s="216"/>
      <c r="X273" s="216"/>
    </row>
    <row r="274" spans="2:24">
      <c r="B274" s="216"/>
      <c r="C274" s="216"/>
      <c r="D274" s="216"/>
      <c r="E274" s="216"/>
      <c r="F274" s="216"/>
      <c r="G274" s="216"/>
      <c r="H274" s="216"/>
      <c r="I274" s="216"/>
      <c r="J274" s="216"/>
      <c r="K274" s="216"/>
      <c r="L274" s="216"/>
      <c r="M274" s="216"/>
      <c r="N274" s="216"/>
      <c r="O274" s="216"/>
      <c r="P274" s="216"/>
      <c r="Q274" s="216"/>
      <c r="R274" s="216"/>
      <c r="S274" s="216"/>
      <c r="T274" s="216"/>
      <c r="U274" s="216"/>
      <c r="V274" s="216"/>
      <c r="W274" s="216"/>
      <c r="X274" s="216"/>
    </row>
    <row r="275" spans="2:24">
      <c r="B275" s="216"/>
      <c r="C275" s="216"/>
      <c r="D275" s="216"/>
      <c r="E275" s="216"/>
      <c r="F275" s="216"/>
      <c r="G275" s="216"/>
      <c r="H275" s="216"/>
      <c r="I275" s="216"/>
      <c r="J275" s="216"/>
      <c r="K275" s="216"/>
      <c r="L275" s="216"/>
      <c r="M275" s="216"/>
      <c r="N275" s="216"/>
      <c r="O275" s="216"/>
      <c r="P275" s="216"/>
      <c r="Q275" s="216"/>
      <c r="R275" s="216"/>
      <c r="S275" s="216"/>
      <c r="T275" s="216"/>
      <c r="U275" s="216"/>
      <c r="V275" s="216"/>
      <c r="W275" s="216"/>
      <c r="X275" s="216"/>
    </row>
    <row r="276" spans="2:24">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row>
    <row r="277" spans="2:24">
      <c r="B277" s="216"/>
      <c r="C277" s="216"/>
      <c r="D277" s="216"/>
      <c r="E277" s="216"/>
      <c r="F277" s="216"/>
      <c r="G277" s="216"/>
      <c r="H277" s="216"/>
      <c r="I277" s="216"/>
      <c r="J277" s="216"/>
      <c r="K277" s="216"/>
      <c r="L277" s="216"/>
      <c r="M277" s="216"/>
      <c r="N277" s="216"/>
      <c r="O277" s="216"/>
      <c r="P277" s="216"/>
      <c r="Q277" s="216"/>
      <c r="R277" s="216"/>
      <c r="S277" s="216"/>
      <c r="T277" s="216"/>
      <c r="U277" s="216"/>
      <c r="V277" s="216"/>
      <c r="W277" s="216"/>
      <c r="X277" s="216"/>
    </row>
    <row r="278" spans="2:24">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row>
    <row r="279" spans="2:24">
      <c r="B279" s="216"/>
      <c r="C279" s="216"/>
      <c r="D279" s="216"/>
      <c r="E279" s="216"/>
      <c r="F279" s="216"/>
      <c r="G279" s="216"/>
      <c r="H279" s="216"/>
      <c r="I279" s="216"/>
      <c r="J279" s="216"/>
      <c r="K279" s="216"/>
      <c r="L279" s="216"/>
      <c r="M279" s="216"/>
      <c r="N279" s="216"/>
      <c r="O279" s="216"/>
      <c r="P279" s="216"/>
      <c r="Q279" s="216"/>
      <c r="R279" s="216"/>
      <c r="S279" s="216"/>
      <c r="T279" s="216"/>
      <c r="U279" s="216"/>
      <c r="V279" s="216"/>
      <c r="W279" s="216"/>
      <c r="X279" s="216"/>
    </row>
    <row r="280" spans="2:24">
      <c r="B280" s="216"/>
      <c r="C280" s="216"/>
      <c r="D280" s="216"/>
      <c r="E280" s="216"/>
      <c r="F280" s="216"/>
      <c r="G280" s="216"/>
      <c r="H280" s="216"/>
      <c r="I280" s="216"/>
      <c r="J280" s="216"/>
      <c r="K280" s="216"/>
      <c r="L280" s="216"/>
      <c r="M280" s="216"/>
      <c r="N280" s="216"/>
      <c r="O280" s="216"/>
      <c r="P280" s="216"/>
      <c r="Q280" s="216"/>
      <c r="R280" s="216"/>
      <c r="S280" s="216"/>
      <c r="T280" s="216"/>
      <c r="U280" s="216"/>
      <c r="V280" s="216"/>
      <c r="W280" s="216"/>
      <c r="X280" s="216"/>
    </row>
    <row r="281" spans="2:24">
      <c r="B281" s="216"/>
      <c r="C281" s="216"/>
      <c r="D281" s="216"/>
      <c r="E281" s="216"/>
      <c r="F281" s="216"/>
      <c r="G281" s="216"/>
      <c r="H281" s="216"/>
      <c r="I281" s="216"/>
      <c r="J281" s="216"/>
      <c r="K281" s="216"/>
      <c r="L281" s="216"/>
      <c r="M281" s="216"/>
      <c r="N281" s="216"/>
      <c r="O281" s="216"/>
      <c r="P281" s="216"/>
      <c r="Q281" s="216"/>
      <c r="R281" s="216"/>
      <c r="S281" s="216"/>
      <c r="T281" s="216"/>
      <c r="U281" s="216"/>
      <c r="V281" s="216"/>
      <c r="W281" s="216"/>
      <c r="X281" s="216"/>
    </row>
    <row r="282" spans="2:24">
      <c r="B282" s="216"/>
      <c r="C282" s="216"/>
      <c r="D282" s="216"/>
      <c r="E282" s="216"/>
      <c r="F282" s="216"/>
      <c r="G282" s="216"/>
      <c r="H282" s="216"/>
      <c r="I282" s="216"/>
      <c r="J282" s="216"/>
      <c r="K282" s="216"/>
      <c r="L282" s="216"/>
      <c r="M282" s="216"/>
      <c r="N282" s="216"/>
      <c r="O282" s="216"/>
      <c r="P282" s="216"/>
      <c r="Q282" s="216"/>
      <c r="R282" s="216"/>
      <c r="S282" s="216"/>
      <c r="T282" s="216"/>
      <c r="U282" s="216"/>
      <c r="V282" s="216"/>
      <c r="W282" s="216"/>
      <c r="X282" s="216"/>
    </row>
    <row r="283" spans="2:24">
      <c r="B283" s="216"/>
      <c r="C283" s="216"/>
      <c r="D283" s="216"/>
      <c r="E283" s="216"/>
      <c r="F283" s="216"/>
      <c r="G283" s="216"/>
      <c r="H283" s="216"/>
      <c r="I283" s="216"/>
      <c r="J283" s="216"/>
      <c r="K283" s="216"/>
      <c r="L283" s="216"/>
      <c r="M283" s="216"/>
      <c r="N283" s="216"/>
      <c r="O283" s="216"/>
      <c r="P283" s="216"/>
      <c r="Q283" s="216"/>
      <c r="R283" s="216"/>
      <c r="S283" s="216"/>
      <c r="T283" s="216"/>
      <c r="U283" s="216"/>
      <c r="V283" s="216"/>
      <c r="W283" s="216"/>
      <c r="X283" s="216"/>
    </row>
    <row r="284" spans="2:24">
      <c r="B284" s="216"/>
      <c r="C284" s="216"/>
      <c r="D284" s="216"/>
      <c r="E284" s="216"/>
      <c r="F284" s="216"/>
      <c r="G284" s="216"/>
      <c r="H284" s="216"/>
      <c r="I284" s="216"/>
      <c r="J284" s="216"/>
      <c r="K284" s="216"/>
      <c r="L284" s="216"/>
      <c r="M284" s="216"/>
      <c r="N284" s="216"/>
      <c r="O284" s="216"/>
      <c r="P284" s="216"/>
      <c r="Q284" s="216"/>
      <c r="R284" s="216"/>
      <c r="S284" s="216"/>
      <c r="T284" s="216"/>
      <c r="U284" s="216"/>
      <c r="V284" s="216"/>
      <c r="W284" s="216"/>
      <c r="X284" s="216"/>
    </row>
    <row r="285" spans="2:24">
      <c r="B285" s="216"/>
      <c r="C285" s="216"/>
      <c r="D285" s="216"/>
      <c r="E285" s="216"/>
      <c r="F285" s="216"/>
      <c r="G285" s="216"/>
      <c r="H285" s="216"/>
      <c r="I285" s="216"/>
      <c r="J285" s="216"/>
      <c r="K285" s="216"/>
      <c r="L285" s="216"/>
      <c r="M285" s="216"/>
      <c r="N285" s="216"/>
      <c r="O285" s="216"/>
      <c r="P285" s="216"/>
      <c r="Q285" s="216"/>
      <c r="R285" s="216"/>
      <c r="S285" s="216"/>
      <c r="T285" s="216"/>
      <c r="U285" s="216"/>
      <c r="V285" s="216"/>
      <c r="W285" s="216"/>
      <c r="X285" s="216"/>
    </row>
    <row r="286" spans="2:24">
      <c r="B286" s="216"/>
      <c r="C286" s="216"/>
      <c r="D286" s="216"/>
      <c r="E286" s="216"/>
      <c r="F286" s="216"/>
      <c r="G286" s="216"/>
      <c r="H286" s="216"/>
      <c r="I286" s="216"/>
      <c r="J286" s="216"/>
      <c r="K286" s="216"/>
      <c r="L286" s="216"/>
      <c r="M286" s="216"/>
      <c r="N286" s="216"/>
      <c r="O286" s="216"/>
      <c r="P286" s="216"/>
      <c r="Q286" s="216"/>
      <c r="R286" s="216"/>
      <c r="S286" s="216"/>
      <c r="T286" s="216"/>
      <c r="U286" s="216"/>
      <c r="V286" s="216"/>
      <c r="W286" s="216"/>
      <c r="X286" s="216"/>
    </row>
    <row r="287" spans="2:24">
      <c r="B287" s="216"/>
      <c r="C287" s="216"/>
      <c r="D287" s="216"/>
      <c r="E287" s="216"/>
      <c r="F287" s="216"/>
      <c r="G287" s="216"/>
      <c r="H287" s="216"/>
      <c r="I287" s="216"/>
      <c r="J287" s="216"/>
      <c r="K287" s="216"/>
      <c r="L287" s="216"/>
      <c r="M287" s="216"/>
      <c r="N287" s="216"/>
      <c r="O287" s="216"/>
      <c r="P287" s="216"/>
      <c r="Q287" s="216"/>
      <c r="R287" s="216"/>
      <c r="S287" s="216"/>
      <c r="T287" s="216"/>
      <c r="U287" s="216"/>
      <c r="V287" s="216"/>
      <c r="W287" s="216"/>
      <c r="X287" s="216"/>
    </row>
    <row r="288" spans="2:24">
      <c r="B288" s="216"/>
      <c r="C288" s="216"/>
      <c r="D288" s="216"/>
      <c r="E288" s="216"/>
      <c r="F288" s="216"/>
      <c r="G288" s="216"/>
      <c r="H288" s="216"/>
      <c r="I288" s="216"/>
      <c r="J288" s="216"/>
      <c r="K288" s="216"/>
      <c r="L288" s="216"/>
      <c r="M288" s="216"/>
      <c r="N288" s="216"/>
      <c r="O288" s="216"/>
      <c r="P288" s="216"/>
      <c r="Q288" s="216"/>
      <c r="R288" s="216"/>
      <c r="S288" s="216"/>
      <c r="T288" s="216"/>
      <c r="U288" s="216"/>
      <c r="V288" s="216"/>
      <c r="W288" s="216"/>
      <c r="X288" s="216"/>
    </row>
    <row r="289" spans="2:24">
      <c r="B289" s="216"/>
      <c r="C289" s="216"/>
      <c r="D289" s="216"/>
      <c r="E289" s="216"/>
      <c r="F289" s="216"/>
      <c r="G289" s="216"/>
      <c r="H289" s="216"/>
      <c r="I289" s="216"/>
      <c r="J289" s="216"/>
      <c r="K289" s="216"/>
      <c r="L289" s="216"/>
      <c r="M289" s="216"/>
      <c r="N289" s="216"/>
      <c r="O289" s="216"/>
      <c r="P289" s="216"/>
      <c r="Q289" s="216"/>
      <c r="R289" s="216"/>
      <c r="S289" s="216"/>
      <c r="T289" s="216"/>
      <c r="U289" s="216"/>
      <c r="V289" s="216"/>
      <c r="W289" s="216"/>
      <c r="X289" s="216"/>
    </row>
    <row r="290" spans="2:24">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row>
    <row r="291" spans="2:24">
      <c r="B291" s="216"/>
      <c r="C291" s="216"/>
      <c r="D291" s="216"/>
      <c r="E291" s="216"/>
      <c r="F291" s="216"/>
      <c r="G291" s="216"/>
      <c r="H291" s="216"/>
      <c r="I291" s="216"/>
      <c r="J291" s="216"/>
      <c r="K291" s="216"/>
      <c r="L291" s="216"/>
      <c r="M291" s="216"/>
      <c r="N291" s="216"/>
      <c r="O291" s="216"/>
      <c r="P291" s="216"/>
      <c r="Q291" s="216"/>
      <c r="R291" s="216"/>
      <c r="S291" s="216"/>
      <c r="T291" s="216"/>
      <c r="U291" s="216"/>
      <c r="V291" s="216"/>
      <c r="W291" s="216"/>
      <c r="X291" s="216"/>
    </row>
    <row r="292" spans="2:24">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row>
  </sheetData>
  <mergeCells count="5">
    <mergeCell ref="A35:B35"/>
    <mergeCell ref="A26:B26"/>
    <mergeCell ref="A18:B18"/>
    <mergeCell ref="A14:B14"/>
    <mergeCell ref="A4:B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B3:I3001"/>
  <sheetViews>
    <sheetView showGridLines="0" zoomScale="63" workbookViewId="0">
      <selection activeCell="B1" sqref="B1"/>
    </sheetView>
  </sheetViews>
  <sheetFormatPr defaultColWidth="10" defaultRowHeight="14.5"/>
  <cols>
    <col min="2" max="2" width="14.1796875" customWidth="1"/>
    <col min="3" max="3" width="10.1796875" customWidth="1"/>
    <col min="4" max="4" width="89.54296875" customWidth="1"/>
    <col min="5" max="5" width="10.1796875" customWidth="1"/>
    <col min="6" max="7" width="14" bestFit="1" customWidth="1"/>
    <col min="8" max="8" width="14.7265625" customWidth="1"/>
    <col min="9" max="9" width="11.1796875" bestFit="1" customWidth="1"/>
    <col min="11" max="11" width="10.36328125" bestFit="1" customWidth="1"/>
  </cols>
  <sheetData>
    <row r="3" spans="2:9">
      <c r="B3" s="56" t="s">
        <v>119</v>
      </c>
      <c r="C3" s="47" t="s">
        <v>120</v>
      </c>
      <c r="D3" s="57">
        <f t="array" ref="D3">INDEX(COA!$A$4:$A$123,MATCH(GL!$D$5,COA!$B$4:$B$123,0))</f>
        <v>5108</v>
      </c>
      <c r="F3" s="58" t="s">
        <v>121</v>
      </c>
      <c r="G3" s="59" t="s">
        <v>120</v>
      </c>
      <c r="H3" s="60">
        <f>SUMIFS(WS!$C$9:$C$147,WS!$A$9:$A$147,GL!D3)</f>
        <v>0</v>
      </c>
    </row>
    <row r="4" spans="2:9" ht="5.15" customHeight="1">
      <c r="B4" s="61"/>
      <c r="C4" s="47"/>
      <c r="D4" s="62"/>
      <c r="G4" s="59"/>
    </row>
    <row r="5" spans="2:9">
      <c r="B5" s="56" t="s">
        <v>1</v>
      </c>
      <c r="C5" s="47" t="s">
        <v>120</v>
      </c>
      <c r="D5" s="63" t="s">
        <v>72</v>
      </c>
      <c r="F5" s="58" t="s">
        <v>122</v>
      </c>
      <c r="G5" s="59" t="s">
        <v>120</v>
      </c>
      <c r="H5" s="60" t="e">
        <f>H3000</f>
        <v>#REF!</v>
      </c>
    </row>
    <row r="6" spans="2:9" ht="4" customHeight="1">
      <c r="G6" s="59"/>
    </row>
    <row r="7" spans="2:9">
      <c r="F7" s="58" t="s">
        <v>123</v>
      </c>
      <c r="G7" s="59" t="s">
        <v>120</v>
      </c>
      <c r="H7" s="60" t="str">
        <f>IF(OR((LEFT(D3,1))="1",(LEFT(D3,1))="5",(LEFT(D3,1))="6",(LEFT(D3,1))="7",(LEFT(D3,1))="8"),"DEBET","KREDIT")</f>
        <v>DEBET</v>
      </c>
    </row>
    <row r="8" spans="2:9" ht="5.5" customHeight="1"/>
    <row r="10" spans="2:9" s="64" customFormat="1">
      <c r="B10" s="65" t="s">
        <v>116</v>
      </c>
      <c r="C10" s="35" t="s">
        <v>117</v>
      </c>
      <c r="D10" s="35" t="s">
        <v>112</v>
      </c>
      <c r="E10" s="66" t="s">
        <v>124</v>
      </c>
      <c r="F10" s="67" t="s">
        <v>114</v>
      </c>
      <c r="G10" s="67" t="s">
        <v>115</v>
      </c>
      <c r="H10" s="67" t="s">
        <v>125</v>
      </c>
    </row>
    <row r="11" spans="2:9">
      <c r="B11" s="68"/>
      <c r="C11" s="6"/>
      <c r="D11" s="69" t="s">
        <v>121</v>
      </c>
      <c r="E11" s="70"/>
      <c r="F11" s="71"/>
      <c r="G11" s="71"/>
      <c r="H11" s="72">
        <f>H3</f>
        <v>0</v>
      </c>
    </row>
    <row r="12" spans="2:9" hidden="1">
      <c r="B12" s="68" t="str">
        <f>IF(OR($D$3=JU!$F5,$D$3=JU!$I5),JU!B5,"")</f>
        <v/>
      </c>
      <c r="C12" s="6" t="str">
        <f>IF(OR($D$3=JU!$F5,$D$3=JU!$I5),JU!C5,"")</f>
        <v/>
      </c>
      <c r="D12" s="73" t="str">
        <f>IF(OR($D$3=JU!$F5,$D$3=JU!$I5),JU!D5,"")</f>
        <v/>
      </c>
      <c r="E12" s="74" t="str">
        <f>IF(OR($D$3=JU!$F5,$D$3=JU!$I5),JU!E5,"")</f>
        <v/>
      </c>
      <c r="F12" s="72">
        <f>IF($D$3=JU!F5,JU!H5,0)</f>
        <v>0</v>
      </c>
      <c r="G12" s="72">
        <f>IF($D$3=JU!I5,JU!K5,0)</f>
        <v>0</v>
      </c>
      <c r="H12" s="72">
        <f>IF($H$7="DEBET",H11+F12-G12,H11+G12-F12)</f>
        <v>0</v>
      </c>
    </row>
    <row r="13" spans="2:9" hidden="1">
      <c r="B13" s="68" t="str">
        <f>IF(OR($D$3=JU!$F6,$D$3=JU!$I6),JU!B6,"")</f>
        <v/>
      </c>
      <c r="C13" s="6" t="str">
        <f>IF(OR($D$3=JU!$F6,$D$3=JU!$I6),JU!C6,"")</f>
        <v/>
      </c>
      <c r="D13" s="73" t="str">
        <f>IF(OR($D$3=JU!$F6,$D$3=JU!$I6),JU!D6,"")</f>
        <v/>
      </c>
      <c r="E13" s="74" t="str">
        <f>IF(OR($D$3=JU!$F6,$D$3=JU!$I6),JU!E6,"")</f>
        <v/>
      </c>
      <c r="F13" s="72">
        <f>IF($D$3=JU!F6,JU!H6,0)</f>
        <v>0</v>
      </c>
      <c r="G13" s="72">
        <f>IF($D$3=JU!I6,JU!K6,0)</f>
        <v>0</v>
      </c>
      <c r="H13" s="72">
        <f t="shared" ref="H13" si="0">IF($H$7="DEBET",H12+F13-G13,H12+G13-F13)</f>
        <v>0</v>
      </c>
    </row>
    <row r="14" spans="2:9" hidden="1">
      <c r="B14" s="68" t="str">
        <f>IF(OR($D$3=JU!$F7,$D$3=JU!$I7),JU!B7,"")</f>
        <v/>
      </c>
      <c r="C14" s="6" t="str">
        <f>IF(OR($D$3=JU!$F7,$D$3=JU!$I7),JU!C7,"")</f>
        <v/>
      </c>
      <c r="D14" s="73" t="str">
        <f>IF(OR($D$3=JU!$F7,$D$3=JU!$I7),JU!D7,"")</f>
        <v/>
      </c>
      <c r="E14" s="74" t="str">
        <f>IF(OR($D$3=JU!$F7,$D$3=JU!$I7),JU!E7,"")</f>
        <v/>
      </c>
      <c r="F14" s="72">
        <f>IF($D$3=JU!F7,JU!H7,0)</f>
        <v>0</v>
      </c>
      <c r="G14" s="72">
        <f>IF($D$3=JU!I7,JU!K7,0)</f>
        <v>0</v>
      </c>
      <c r="H14" s="72">
        <f t="shared" ref="H14:H77" si="1">IF($H$7="DEBET",H13+F14-G14,H13+G14-F14)</f>
        <v>0</v>
      </c>
      <c r="I14" t="s">
        <v>252</v>
      </c>
    </row>
    <row r="15" spans="2:9" hidden="1">
      <c r="B15" s="68" t="str">
        <f>IF(OR($D$3=JU!$F8,$D$3=JU!$I8),JU!B8,"")</f>
        <v/>
      </c>
      <c r="C15" s="6" t="str">
        <f>IF(OR($D$3=JU!$F8,$D$3=JU!$I8),JU!C8,"")</f>
        <v/>
      </c>
      <c r="D15" s="73" t="str">
        <f>IF(OR($D$3=JU!$F8,$D$3=JU!$I8),JU!D8,"")</f>
        <v/>
      </c>
      <c r="E15" s="74" t="str">
        <f>IF(OR($D$3=JU!$F8,$D$3=JU!$I8),JU!E8,"")</f>
        <v/>
      </c>
      <c r="F15" s="72">
        <f>IF($D$3=JU!F8,JU!H8,0)</f>
        <v>0</v>
      </c>
      <c r="G15" s="72">
        <f>IF($D$3=JU!I8,JU!K8,0)</f>
        <v>0</v>
      </c>
      <c r="H15" s="72">
        <f t="shared" si="1"/>
        <v>0</v>
      </c>
    </row>
    <row r="16" spans="2:9" hidden="1">
      <c r="B16" s="68" t="str">
        <f>IF(OR($D$3=JU!$F9,$D$3=JU!$I9),JU!B9,"")</f>
        <v/>
      </c>
      <c r="C16" s="6" t="str">
        <f>IF(OR($D$3=JU!$F9,$D$3=JU!$I9),JU!C9,"")</f>
        <v/>
      </c>
      <c r="D16" s="73" t="str">
        <f>IF(OR($D$3=JU!$F9,$D$3=JU!$I9),JU!D9,"")</f>
        <v/>
      </c>
      <c r="E16" s="74" t="str">
        <f>IF(OR($D$3=JU!$F9,$D$3=JU!$I9),JU!E9,"")</f>
        <v/>
      </c>
      <c r="F16" s="72">
        <f>IF($D$3=JU!F9,JU!H9,0)</f>
        <v>0</v>
      </c>
      <c r="G16" s="72">
        <f>IF($D$3=JU!I9,JU!K9,0)</f>
        <v>0</v>
      </c>
      <c r="H16" s="72">
        <f t="shared" si="1"/>
        <v>0</v>
      </c>
    </row>
    <row r="17" spans="2:8" hidden="1">
      <c r="B17" s="68" t="str">
        <f>IF(OR($D$3=JU!$F10,$D$3=JU!$I10),JU!B10,"")</f>
        <v/>
      </c>
      <c r="C17" s="6" t="str">
        <f>IF(OR($D$3=JU!$F10,$D$3=JU!$I10),JU!C10,"")</f>
        <v/>
      </c>
      <c r="D17" s="73" t="str">
        <f>IF(OR($D$3=JU!$F10,$D$3=JU!$I10),JU!D10,"")</f>
        <v/>
      </c>
      <c r="E17" s="74" t="str">
        <f>IF(OR($D$3=JU!$F10,$D$3=JU!$I10),JU!E10,"")</f>
        <v/>
      </c>
      <c r="F17" s="72">
        <f>IF($D$3=JU!F10,JU!H10,0)</f>
        <v>0</v>
      </c>
      <c r="G17" s="72">
        <f>IF($D$3=JU!I10,JU!K10,0)</f>
        <v>0</v>
      </c>
      <c r="H17" s="72">
        <f t="shared" si="1"/>
        <v>0</v>
      </c>
    </row>
    <row r="18" spans="2:8" hidden="1">
      <c r="B18" s="68" t="str">
        <f>IF(OR($D$3=JU!$F11,$D$3=JU!$I11),JU!B11,"")</f>
        <v/>
      </c>
      <c r="C18" s="6" t="str">
        <f>IF(OR($D$3=JU!$F11,$D$3=JU!$I11),JU!C11,"")</f>
        <v/>
      </c>
      <c r="D18" s="73" t="str">
        <f>IF(OR($D$3=JU!$F11,$D$3=JU!$I11),JU!D11,"")</f>
        <v/>
      </c>
      <c r="E18" s="74" t="str">
        <f>IF(OR($D$3=JU!$F11,$D$3=JU!$I11),JU!E11,"")</f>
        <v/>
      </c>
      <c r="F18" s="72">
        <f>IF($D$3=JU!F11,JU!H11,0)</f>
        <v>0</v>
      </c>
      <c r="G18" s="72">
        <f>IF($D$3=JU!I11,JU!K11,0)</f>
        <v>0</v>
      </c>
      <c r="H18" s="72">
        <f t="shared" si="1"/>
        <v>0</v>
      </c>
    </row>
    <row r="19" spans="2:8" hidden="1">
      <c r="B19" s="68" t="str">
        <f>IF(OR($D$3=JU!$F12,$D$3=JU!$I12),JU!B12,"")</f>
        <v/>
      </c>
      <c r="C19" s="6" t="str">
        <f>IF(OR($D$3=JU!$F12,$D$3=JU!$I12),JU!C12,"")</f>
        <v/>
      </c>
      <c r="D19" s="73" t="str">
        <f>IF(OR($D$3=JU!$F12,$D$3=JU!$I12),JU!D12,"")</f>
        <v/>
      </c>
      <c r="E19" s="74" t="str">
        <f>IF(OR($D$3=JU!$F12,$D$3=JU!$I12),JU!E12,"")</f>
        <v/>
      </c>
      <c r="F19" s="72">
        <f>IF($D$3=JU!F12,JU!H12,0)</f>
        <v>0</v>
      </c>
      <c r="G19" s="72">
        <f>IF($D$3=JU!I12,JU!K12,0)</f>
        <v>0</v>
      </c>
      <c r="H19" s="72">
        <f t="shared" si="1"/>
        <v>0</v>
      </c>
    </row>
    <row r="20" spans="2:8" hidden="1">
      <c r="B20" s="68" t="str">
        <f>IF(OR($D$3=JU!$F13,$D$3=JU!$I13),JU!B13,"")</f>
        <v/>
      </c>
      <c r="C20" s="6" t="str">
        <f>IF(OR($D$3=JU!$F13,$D$3=JU!$I13),JU!C13,"")</f>
        <v/>
      </c>
      <c r="D20" s="73" t="str">
        <f>IF(OR($D$3=JU!$F13,$D$3=JU!$I13),JU!D13,"")</f>
        <v/>
      </c>
      <c r="E20" s="74" t="str">
        <f>IF(OR($D$3=JU!$F13,$D$3=JU!$I13),JU!E13,"")</f>
        <v/>
      </c>
      <c r="F20" s="72">
        <f>IF($D$3=JU!F13,JU!H13,0)</f>
        <v>0</v>
      </c>
      <c r="G20" s="72">
        <f>IF($D$3=JU!I13,JU!K13,0)</f>
        <v>0</v>
      </c>
      <c r="H20" s="72">
        <f t="shared" si="1"/>
        <v>0</v>
      </c>
    </row>
    <row r="21" spans="2:8" hidden="1">
      <c r="B21" s="68" t="str">
        <f>IF(OR($D$3=JU!$F14,$D$3=JU!$I14),JU!B14,"")</f>
        <v/>
      </c>
      <c r="C21" s="6" t="str">
        <f>IF(OR($D$3=JU!$F14,$D$3=JU!$I14),JU!C14,"")</f>
        <v/>
      </c>
      <c r="D21" s="73" t="str">
        <f>IF(OR($D$3=JU!$F14,$D$3=JU!$I14),JU!D14,"")</f>
        <v/>
      </c>
      <c r="E21" s="74" t="str">
        <f>IF(OR($D$3=JU!$F14,$D$3=JU!$I14),JU!E14,"")</f>
        <v/>
      </c>
      <c r="F21" s="72">
        <f>IF($D$3=JU!F14,JU!H14,0)</f>
        <v>0</v>
      </c>
      <c r="G21" s="72">
        <f>IF($D$3=JU!I14,JU!K14,0)</f>
        <v>0</v>
      </c>
      <c r="H21" s="72">
        <f t="shared" si="1"/>
        <v>0</v>
      </c>
    </row>
    <row r="22" spans="2:8" hidden="1">
      <c r="B22" s="68" t="str">
        <f>IF(OR($D$3=JU!$F15,$D$3=JU!$I15),JU!B15,"")</f>
        <v/>
      </c>
      <c r="C22" s="6" t="str">
        <f>IF(OR($D$3=JU!$F15,$D$3=JU!$I15),JU!C15,"")</f>
        <v/>
      </c>
      <c r="D22" s="73" t="str">
        <f>IF(OR($D$3=JU!$F15,$D$3=JU!$I15),JU!D15,"")</f>
        <v/>
      </c>
      <c r="E22" s="74" t="str">
        <f>IF(OR($D$3=JU!$F15,$D$3=JU!$I15),JU!E15,"")</f>
        <v/>
      </c>
      <c r="F22" s="72">
        <f>IF($D$3=JU!F15,JU!H15,0)</f>
        <v>0</v>
      </c>
      <c r="G22" s="72">
        <f>IF($D$3=JU!I15,JU!K15,0)</f>
        <v>0</v>
      </c>
      <c r="H22" s="72">
        <f t="shared" si="1"/>
        <v>0</v>
      </c>
    </row>
    <row r="23" spans="2:8" hidden="1">
      <c r="B23" s="68" t="str">
        <f>IF(OR($D$3=JU!$F16,$D$3=JU!$I16),JU!B16,"")</f>
        <v/>
      </c>
      <c r="C23" s="6" t="str">
        <f>IF(OR($D$3=JU!$F16,$D$3=JU!$I16),JU!C16,"")</f>
        <v/>
      </c>
      <c r="D23" s="73" t="str">
        <f>IF(OR($D$3=JU!$F16,$D$3=JU!$I16),JU!D16,"")</f>
        <v/>
      </c>
      <c r="E23" s="74" t="str">
        <f>IF(OR($D$3=JU!$F16,$D$3=JU!$I16),JU!E16,"")</f>
        <v/>
      </c>
      <c r="F23" s="72">
        <f>IF($D$3=JU!F16,JU!H16,0)</f>
        <v>0</v>
      </c>
      <c r="G23" s="72">
        <f>IF($D$3=JU!I16,JU!K16,0)</f>
        <v>0</v>
      </c>
      <c r="H23" s="72">
        <f t="shared" si="1"/>
        <v>0</v>
      </c>
    </row>
    <row r="24" spans="2:8" hidden="1">
      <c r="B24" s="68" t="str">
        <f>IF(OR($D$3=JU!$F17,$D$3=JU!$I17),JU!B17,"")</f>
        <v/>
      </c>
      <c r="C24" s="6" t="str">
        <f>IF(OR($D$3=JU!$F17,$D$3=JU!$I17),JU!C17,"")</f>
        <v/>
      </c>
      <c r="D24" s="73" t="str">
        <f>IF(OR($D$3=JU!$F17,$D$3=JU!$I17),JU!D17,"")</f>
        <v/>
      </c>
      <c r="E24" s="74" t="str">
        <f>IF(OR($D$3=JU!$F17,$D$3=JU!$I17),JU!E17,"")</f>
        <v/>
      </c>
      <c r="F24" s="72">
        <f>IF($D$3=JU!F17,JU!H17,0)</f>
        <v>0</v>
      </c>
      <c r="G24" s="72">
        <f>IF($D$3=JU!I17,JU!K17,0)</f>
        <v>0</v>
      </c>
      <c r="H24" s="72">
        <f t="shared" si="1"/>
        <v>0</v>
      </c>
    </row>
    <row r="25" spans="2:8" hidden="1">
      <c r="B25" s="68" t="str">
        <f>IF(OR($D$3=JU!$F18,$D$3=JU!$I18),JU!B18,"")</f>
        <v/>
      </c>
      <c r="C25" s="6" t="str">
        <f>IF(OR($D$3=JU!$F18,$D$3=JU!$I18),JU!C18,"")</f>
        <v/>
      </c>
      <c r="D25" s="73" t="str">
        <f>IF(OR($D$3=JU!$F18,$D$3=JU!$I18),JU!D18,"")</f>
        <v/>
      </c>
      <c r="E25" s="74" t="str">
        <f>IF(OR($D$3=JU!$F18,$D$3=JU!$I18),JU!E18,"")</f>
        <v/>
      </c>
      <c r="F25" s="72">
        <f>IF($D$3=JU!F18,JU!H18,0)</f>
        <v>0</v>
      </c>
      <c r="G25" s="72">
        <f>IF($D$3=JU!I18,JU!K18,0)</f>
        <v>0</v>
      </c>
      <c r="H25" s="72">
        <f t="shared" si="1"/>
        <v>0</v>
      </c>
    </row>
    <row r="26" spans="2:8" hidden="1">
      <c r="B26" s="68" t="str">
        <f>IF(OR($D$3=JU!$F19,$D$3=JU!$I19),JU!B19,"")</f>
        <v/>
      </c>
      <c r="C26" s="6" t="str">
        <f>IF(OR($D$3=JU!$F19,$D$3=JU!$I19),JU!C19,"")</f>
        <v/>
      </c>
      <c r="D26" s="73" t="str">
        <f>IF(OR($D$3=JU!$F19,$D$3=JU!$I19),JU!D19,"")</f>
        <v/>
      </c>
      <c r="E26" s="74" t="str">
        <f>IF(OR($D$3=JU!$F19,$D$3=JU!$I19),JU!E19,"")</f>
        <v/>
      </c>
      <c r="F26" s="72">
        <f>IF($D$3=JU!F19,JU!H19,0)</f>
        <v>0</v>
      </c>
      <c r="G26" s="72">
        <f>IF($D$3=JU!I19,JU!K19,0)</f>
        <v>0</v>
      </c>
      <c r="H26" s="72">
        <f t="shared" si="1"/>
        <v>0</v>
      </c>
    </row>
    <row r="27" spans="2:8" hidden="1">
      <c r="B27" s="68" t="str">
        <f>IF(OR($D$3=JU!$F20,$D$3=JU!$I20),JU!B20,"")</f>
        <v/>
      </c>
      <c r="C27" s="6" t="str">
        <f>IF(OR($D$3=JU!$F20,$D$3=JU!$I20),JU!C20,"")</f>
        <v/>
      </c>
      <c r="D27" s="73" t="str">
        <f>IF(OR($D$3=JU!$F20,$D$3=JU!$I20),JU!D20,"")</f>
        <v/>
      </c>
      <c r="E27" s="74" t="str">
        <f>IF(OR($D$3=JU!$F20,$D$3=JU!$I20),JU!E20,"")</f>
        <v/>
      </c>
      <c r="F27" s="72">
        <f>IF($D$3=JU!F20,JU!H20,0)</f>
        <v>0</v>
      </c>
      <c r="G27" s="72">
        <f>IF($D$3=JU!I20,JU!K20,0)</f>
        <v>0</v>
      </c>
      <c r="H27" s="72">
        <f t="shared" si="1"/>
        <v>0</v>
      </c>
    </row>
    <row r="28" spans="2:8" hidden="1">
      <c r="B28" s="68" t="str">
        <f>IF(OR($D$3=JU!$F21,$D$3=JU!$I21),JU!B21,"")</f>
        <v/>
      </c>
      <c r="C28" s="6" t="str">
        <f>IF(OR($D$3=JU!$F21,$D$3=JU!$I21),JU!C21,"")</f>
        <v/>
      </c>
      <c r="D28" s="73" t="str">
        <f>IF(OR($D$3=JU!$F21,$D$3=JU!$I21),JU!D21,"")</f>
        <v/>
      </c>
      <c r="E28" s="74" t="str">
        <f>IF(OR($D$3=JU!$F21,$D$3=JU!$I21),JU!E21,"")</f>
        <v/>
      </c>
      <c r="F28" s="72">
        <f>IF($D$3=JU!F21,JU!H21,0)</f>
        <v>0</v>
      </c>
      <c r="G28" s="72">
        <f>IF($D$3=JU!I21,JU!K21,0)</f>
        <v>0</v>
      </c>
      <c r="H28" s="72">
        <f t="shared" si="1"/>
        <v>0</v>
      </c>
    </row>
    <row r="29" spans="2:8" hidden="1">
      <c r="B29" s="68" t="str">
        <f>IF(OR($D$3=JU!$F22,$D$3=JU!$I22),JU!B22,"")</f>
        <v/>
      </c>
      <c r="C29" s="6" t="str">
        <f>IF(OR($D$3=JU!$F22,$D$3=JU!$I22),JU!C22,"")</f>
        <v/>
      </c>
      <c r="D29" s="73" t="str">
        <f>IF(OR($D$3=JU!$F22,$D$3=JU!$I22),JU!D22,"")</f>
        <v/>
      </c>
      <c r="E29" s="74" t="str">
        <f>IF(OR($D$3=JU!$F22,$D$3=JU!$I22),JU!E22,"")</f>
        <v/>
      </c>
      <c r="F29" s="72">
        <f>IF($D$3=JU!F22,JU!H22,0)</f>
        <v>0</v>
      </c>
      <c r="G29" s="72">
        <f>IF($D$3=JU!I22,JU!K22,0)</f>
        <v>0</v>
      </c>
      <c r="H29" s="72">
        <f t="shared" si="1"/>
        <v>0</v>
      </c>
    </row>
    <row r="30" spans="2:8" hidden="1">
      <c r="B30" s="68" t="str">
        <f>IF(OR($D$3=JU!$F23,$D$3=JU!$I23),JU!B23,"")</f>
        <v/>
      </c>
      <c r="C30" s="6" t="str">
        <f>IF(OR($D$3=JU!$F23,$D$3=JU!$I23),JU!C23,"")</f>
        <v/>
      </c>
      <c r="D30" s="73" t="str">
        <f>IF(OR($D$3=JU!$F23,$D$3=JU!$I23),JU!D23,"")</f>
        <v/>
      </c>
      <c r="E30" s="74" t="str">
        <f>IF(OR($D$3=JU!$F23,$D$3=JU!$I23),JU!E23,"")</f>
        <v/>
      </c>
      <c r="F30" s="72">
        <f>IF($D$3=JU!F23,JU!H23,0)</f>
        <v>0</v>
      </c>
      <c r="G30" s="72">
        <f>IF($D$3=JU!I23,JU!K23,0)</f>
        <v>0</v>
      </c>
      <c r="H30" s="72">
        <f t="shared" si="1"/>
        <v>0</v>
      </c>
    </row>
    <row r="31" spans="2:8" hidden="1">
      <c r="B31" s="68" t="str">
        <f>IF(OR($D$3=JU!$F24,$D$3=JU!$I24),JU!B24,"")</f>
        <v/>
      </c>
      <c r="C31" s="6" t="str">
        <f>IF(OR($D$3=JU!$F24,$D$3=JU!$I24),JU!C24,"")</f>
        <v/>
      </c>
      <c r="D31" s="73" t="str">
        <f>IF(OR($D$3=JU!$F24,$D$3=JU!$I24),JU!D24,"")</f>
        <v/>
      </c>
      <c r="E31" s="74" t="str">
        <f>IF(OR($D$3=JU!$F24,$D$3=JU!$I24),JU!E24,"")</f>
        <v/>
      </c>
      <c r="F31" s="72">
        <f>IF($D$3=JU!F24,JU!H24,0)</f>
        <v>0</v>
      </c>
      <c r="G31" s="72">
        <f>IF($D$3=JU!I24,JU!K24,0)</f>
        <v>0</v>
      </c>
      <c r="H31" s="72">
        <f t="shared" si="1"/>
        <v>0</v>
      </c>
    </row>
    <row r="32" spans="2:8" hidden="1">
      <c r="B32" s="68" t="str">
        <f>IF(OR($D$3=JU!$F25,$D$3=JU!$I25),JU!B25,"")</f>
        <v/>
      </c>
      <c r="C32" s="6" t="str">
        <f>IF(OR($D$3=JU!$F25,$D$3=JU!$I25),JU!C25,"")</f>
        <v/>
      </c>
      <c r="D32" s="73" t="str">
        <f>IF(OR($D$3=JU!$F25,$D$3=JU!$I25),JU!D25,"")</f>
        <v/>
      </c>
      <c r="E32" s="74" t="str">
        <f>IF(OR($D$3=JU!$F25,$D$3=JU!$I25),JU!E25,"")</f>
        <v/>
      </c>
      <c r="F32" s="72">
        <f>IF($D$3=JU!F25,JU!H25,0)</f>
        <v>0</v>
      </c>
      <c r="G32" s="72">
        <f>IF($D$3=JU!I25,JU!K25,0)</f>
        <v>0</v>
      </c>
      <c r="H32" s="72">
        <f t="shared" si="1"/>
        <v>0</v>
      </c>
    </row>
    <row r="33" spans="2:8" hidden="1">
      <c r="B33" s="68" t="str">
        <f>IF(OR($D$3=JU!$F26,$D$3=JU!$I26),JU!B26,"")</f>
        <v/>
      </c>
      <c r="C33" s="6" t="str">
        <f>IF(OR($D$3=JU!$F26,$D$3=JU!$I26),JU!C26,"")</f>
        <v/>
      </c>
      <c r="D33" s="73" t="str">
        <f>IF(OR($D$3=JU!$F26,$D$3=JU!$I26),JU!D26,"")</f>
        <v/>
      </c>
      <c r="E33" s="74" t="str">
        <f>IF(OR($D$3=JU!$F26,$D$3=JU!$I26),JU!E26,"")</f>
        <v/>
      </c>
      <c r="F33" s="72">
        <f>IF($D$3=JU!F26,JU!H26,0)</f>
        <v>0</v>
      </c>
      <c r="G33" s="72">
        <f>IF($D$3=JU!I26,JU!K26,0)</f>
        <v>0</v>
      </c>
      <c r="H33" s="72">
        <f t="shared" si="1"/>
        <v>0</v>
      </c>
    </row>
    <row r="34" spans="2:8" hidden="1">
      <c r="B34" s="68" t="str">
        <f>IF(OR($D$3=JU!$F27,$D$3=JU!$I27),JU!B27,"")</f>
        <v/>
      </c>
      <c r="C34" s="6" t="str">
        <f>IF(OR($D$3=JU!$F27,$D$3=JU!$I27),JU!C27,"")</f>
        <v/>
      </c>
      <c r="D34" s="73" t="str">
        <f>IF(OR($D$3=JU!$F27,$D$3=JU!$I27),JU!D27,"")</f>
        <v/>
      </c>
      <c r="E34" s="74" t="str">
        <f>IF(OR($D$3=JU!$F27,$D$3=JU!$I27),JU!E27,"")</f>
        <v/>
      </c>
      <c r="F34" s="72">
        <f>IF($D$3=JU!F27,JU!H27,0)</f>
        <v>0</v>
      </c>
      <c r="G34" s="72">
        <f>IF($D$3=JU!I27,JU!K27,0)</f>
        <v>0</v>
      </c>
      <c r="H34" s="72">
        <f t="shared" si="1"/>
        <v>0</v>
      </c>
    </row>
    <row r="35" spans="2:8" hidden="1">
      <c r="B35" s="68" t="str">
        <f>IF(OR($D$3=JU!$F28,$D$3=JU!$I28),JU!B28,"")</f>
        <v/>
      </c>
      <c r="C35" s="6" t="str">
        <f>IF(OR($D$3=JU!$F28,$D$3=JU!$I28),JU!C28,"")</f>
        <v/>
      </c>
      <c r="D35" s="73" t="str">
        <f>IF(OR($D$3=JU!$F28,$D$3=JU!$I28),JU!D28,"")</f>
        <v/>
      </c>
      <c r="E35" s="74" t="str">
        <f>IF(OR($D$3=JU!$F28,$D$3=JU!$I28),JU!E28,"")</f>
        <v/>
      </c>
      <c r="F35" s="72">
        <f>IF($D$3=JU!F28,JU!H28,0)</f>
        <v>0</v>
      </c>
      <c r="G35" s="72">
        <f>IF($D$3=JU!I28,JU!K28,0)</f>
        <v>0</v>
      </c>
      <c r="H35" s="72">
        <f t="shared" si="1"/>
        <v>0</v>
      </c>
    </row>
    <row r="36" spans="2:8" hidden="1">
      <c r="B36" s="68" t="str">
        <f>IF(OR($D$3=JU!$F29,$D$3=JU!$I29),JU!B29,"")</f>
        <v/>
      </c>
      <c r="C36" s="6" t="str">
        <f>IF(OR($D$3=JU!$F29,$D$3=JU!$I29),JU!C29,"")</f>
        <v/>
      </c>
      <c r="D36" s="73" t="str">
        <f>IF(OR($D$3=JU!$F29,$D$3=JU!$I29),JU!D29,"")</f>
        <v/>
      </c>
      <c r="E36" s="74" t="str">
        <f>IF(OR($D$3=JU!$F29,$D$3=JU!$I29),JU!E29,"")</f>
        <v/>
      </c>
      <c r="F36" s="72">
        <f>IF($D$3=JU!F29,JU!H29,0)</f>
        <v>0</v>
      </c>
      <c r="G36" s="72">
        <f>IF($D$3=JU!I29,JU!K29,0)</f>
        <v>0</v>
      </c>
      <c r="H36" s="72">
        <f t="shared" si="1"/>
        <v>0</v>
      </c>
    </row>
    <row r="37" spans="2:8" hidden="1">
      <c r="B37" s="68" t="str">
        <f>IF(OR($D$3=JU!$F30,$D$3=JU!$I30),JU!B30,"")</f>
        <v/>
      </c>
      <c r="C37" s="6" t="str">
        <f>IF(OR($D$3=JU!$F30,$D$3=JU!$I30),JU!C30,"")</f>
        <v/>
      </c>
      <c r="D37" s="73" t="str">
        <f>IF(OR($D$3=JU!$F30,$D$3=JU!$I30),JU!D30,"")</f>
        <v/>
      </c>
      <c r="E37" s="74" t="str">
        <f>IF(OR($D$3=JU!$F30,$D$3=JU!$I30),JU!E30,"")</f>
        <v/>
      </c>
      <c r="F37" s="72">
        <f>IF($D$3=JU!F30,JU!H30,0)</f>
        <v>0</v>
      </c>
      <c r="G37" s="72">
        <f>IF($D$3=JU!I30,JU!K30,0)</f>
        <v>0</v>
      </c>
      <c r="H37" s="72">
        <f t="shared" si="1"/>
        <v>0</v>
      </c>
    </row>
    <row r="38" spans="2:8" hidden="1">
      <c r="B38" s="68" t="str">
        <f>IF(OR($D$3=JU!$F31,$D$3=JU!$I31),JU!B31,"")</f>
        <v/>
      </c>
      <c r="C38" s="6" t="str">
        <f>IF(OR($D$3=JU!$F31,$D$3=JU!$I31),JU!C31,"")</f>
        <v/>
      </c>
      <c r="D38" s="73" t="str">
        <f>IF(OR($D$3=JU!$F31,$D$3=JU!$I31),JU!D31,"")</f>
        <v/>
      </c>
      <c r="E38" s="74" t="str">
        <f>IF(OR($D$3=JU!$F31,$D$3=JU!$I31),JU!E31,"")</f>
        <v/>
      </c>
      <c r="F38" s="72">
        <f>IF($D$3=JU!F31,JU!H31,0)</f>
        <v>0</v>
      </c>
      <c r="G38" s="72">
        <f>IF($D$3=JU!I31,JU!K31,0)</f>
        <v>0</v>
      </c>
      <c r="H38" s="72">
        <f t="shared" si="1"/>
        <v>0</v>
      </c>
    </row>
    <row r="39" spans="2:8" hidden="1">
      <c r="B39" s="68" t="str">
        <f>IF(OR($D$3=JU!$F32,$D$3=JU!$I32),JU!B32,"")</f>
        <v/>
      </c>
      <c r="C39" s="6" t="str">
        <f>IF(OR($D$3=JU!$F32,$D$3=JU!$I32),JU!C32,"")</f>
        <v/>
      </c>
      <c r="D39" s="73" t="str">
        <f>IF(OR($D$3=JU!$F32,$D$3=JU!$I32),JU!D32,"")</f>
        <v/>
      </c>
      <c r="E39" s="74" t="str">
        <f>IF(OR($D$3=JU!$F32,$D$3=JU!$I32),JU!E32,"")</f>
        <v/>
      </c>
      <c r="F39" s="72">
        <f>IF($D$3=JU!F32,JU!H32,0)</f>
        <v>0</v>
      </c>
      <c r="G39" s="72">
        <f>IF($D$3=JU!I32,JU!K32,0)</f>
        <v>0</v>
      </c>
      <c r="H39" s="72">
        <f t="shared" si="1"/>
        <v>0</v>
      </c>
    </row>
    <row r="40" spans="2:8" hidden="1">
      <c r="B40" s="68" t="str">
        <f>IF(OR($D$3=JU!$F33,$D$3=JU!$I33),JU!B33,"")</f>
        <v/>
      </c>
      <c r="C40" s="6" t="str">
        <f>IF(OR($D$3=JU!$F33,$D$3=JU!$I33),JU!C33,"")</f>
        <v/>
      </c>
      <c r="D40" s="73" t="str">
        <f>IF(OR($D$3=JU!$F33,$D$3=JU!$I33),JU!D33,"")</f>
        <v/>
      </c>
      <c r="E40" s="74" t="str">
        <f>IF(OR($D$3=JU!$F33,$D$3=JU!$I33),JU!E33,"")</f>
        <v/>
      </c>
      <c r="F40" s="72">
        <f>IF($D$3=JU!F33,JU!H33,0)</f>
        <v>0</v>
      </c>
      <c r="G40" s="72">
        <f>IF($D$3=JU!I33,JU!K33,0)</f>
        <v>0</v>
      </c>
      <c r="H40" s="72">
        <f t="shared" si="1"/>
        <v>0</v>
      </c>
    </row>
    <row r="41" spans="2:8" hidden="1">
      <c r="B41" s="68" t="str">
        <f>IF(OR($D$3=JU!$F34,$D$3=JU!$I34),JU!B34,"")</f>
        <v/>
      </c>
      <c r="C41" s="6" t="str">
        <f>IF(OR($D$3=JU!$F34,$D$3=JU!$I34),JU!C34,"")</f>
        <v/>
      </c>
      <c r="D41" s="73" t="str">
        <f>IF(OR($D$3=JU!$F34,$D$3=JU!$I34),JU!D34,"")</f>
        <v/>
      </c>
      <c r="E41" s="74" t="str">
        <f>IF(OR($D$3=JU!$F34,$D$3=JU!$I34),JU!E34,"")</f>
        <v/>
      </c>
      <c r="F41" s="72">
        <f>IF($D$3=JU!F34,JU!H34,0)</f>
        <v>0</v>
      </c>
      <c r="G41" s="72">
        <f>IF($D$3=JU!I34,JU!K34,0)</f>
        <v>0</v>
      </c>
      <c r="H41" s="72">
        <f t="shared" si="1"/>
        <v>0</v>
      </c>
    </row>
    <row r="42" spans="2:8" hidden="1">
      <c r="B42" s="68" t="str">
        <f>IF(OR($D$3=JU!$F35,$D$3=JU!$I35),JU!B35,"")</f>
        <v/>
      </c>
      <c r="C42" s="6" t="str">
        <f>IF(OR($D$3=JU!$F35,$D$3=JU!$I35),JU!C35,"")</f>
        <v/>
      </c>
      <c r="D42" s="73" t="str">
        <f>IF(OR($D$3=JU!$F35,$D$3=JU!$I35),JU!D35,"")</f>
        <v/>
      </c>
      <c r="E42" s="74" t="str">
        <f>IF(OR($D$3=JU!$F35,$D$3=JU!$I35),JU!E35,"")</f>
        <v/>
      </c>
      <c r="F42" s="72">
        <f>IF($D$3=JU!F35,JU!H35,0)</f>
        <v>0</v>
      </c>
      <c r="G42" s="72">
        <f>IF($D$3=JU!I35,JU!K35,0)</f>
        <v>0</v>
      </c>
      <c r="H42" s="72">
        <f t="shared" si="1"/>
        <v>0</v>
      </c>
    </row>
    <row r="43" spans="2:8" hidden="1">
      <c r="B43" s="68" t="str">
        <f>IF(OR($D$3=JU!$F36,$D$3=JU!$I36),JU!B36,"")</f>
        <v/>
      </c>
      <c r="C43" s="6" t="str">
        <f>IF(OR($D$3=JU!$F36,$D$3=JU!$I36),JU!C36,"")</f>
        <v/>
      </c>
      <c r="D43" s="73" t="str">
        <f>IF(OR($D$3=JU!$F36,$D$3=JU!$I36),JU!D36,"")</f>
        <v/>
      </c>
      <c r="E43" s="74" t="str">
        <f>IF(OR($D$3=JU!$F36,$D$3=JU!$I36),JU!E36,"")</f>
        <v/>
      </c>
      <c r="F43" s="72">
        <f>IF($D$3=JU!F36,JU!H36,0)</f>
        <v>0</v>
      </c>
      <c r="G43" s="72">
        <f>IF($D$3=JU!I36,JU!K36,0)</f>
        <v>0</v>
      </c>
      <c r="H43" s="72">
        <f t="shared" si="1"/>
        <v>0</v>
      </c>
    </row>
    <row r="44" spans="2:8" hidden="1">
      <c r="B44" s="68" t="str">
        <f>IF(OR($D$3=JU!$F37,$D$3=JU!$I37),JU!B37,"")</f>
        <v/>
      </c>
      <c r="C44" s="6" t="str">
        <f>IF(OR($D$3=JU!$F37,$D$3=JU!$I37),JU!C37,"")</f>
        <v/>
      </c>
      <c r="D44" s="73" t="str">
        <f>IF(OR($D$3=JU!$F37,$D$3=JU!$I37),JU!D37,"")</f>
        <v/>
      </c>
      <c r="E44" s="74" t="str">
        <f>IF(OR($D$3=JU!$F37,$D$3=JU!$I37),JU!E37,"")</f>
        <v/>
      </c>
      <c r="F44" s="72">
        <f>IF($D$3=JU!F37,JU!H37,0)</f>
        <v>0</v>
      </c>
      <c r="G44" s="72">
        <f>IF($D$3=JU!I37,JU!K37,0)</f>
        <v>0</v>
      </c>
      <c r="H44" s="72">
        <f t="shared" si="1"/>
        <v>0</v>
      </c>
    </row>
    <row r="45" spans="2:8" hidden="1">
      <c r="B45" s="68" t="str">
        <f>IF(OR($D$3=JU!$F38,$D$3=JU!$I38),JU!B38,"")</f>
        <v/>
      </c>
      <c r="C45" s="6" t="str">
        <f>IF(OR($D$3=JU!$F38,$D$3=JU!$I38),JU!C38,"")</f>
        <v/>
      </c>
      <c r="D45" s="73" t="str">
        <f>IF(OR($D$3=JU!$F38,$D$3=JU!$I38),JU!D38,"")</f>
        <v/>
      </c>
      <c r="E45" s="74" t="str">
        <f>IF(OR($D$3=JU!$F38,$D$3=JU!$I38),JU!E38,"")</f>
        <v/>
      </c>
      <c r="F45" s="72">
        <f>IF($D$3=JU!F38,JU!H38,0)</f>
        <v>0</v>
      </c>
      <c r="G45" s="72">
        <f>IF($D$3=JU!I38,JU!K38,0)</f>
        <v>0</v>
      </c>
      <c r="H45" s="72">
        <f t="shared" si="1"/>
        <v>0</v>
      </c>
    </row>
    <row r="46" spans="2:8" hidden="1">
      <c r="B46" s="68" t="str">
        <f>IF(OR($D$3=JU!$F39,$D$3=JU!$I39),JU!B39,"")</f>
        <v/>
      </c>
      <c r="C46" s="6" t="str">
        <f>IF(OR($D$3=JU!$F39,$D$3=JU!$I39),JU!C39,"")</f>
        <v/>
      </c>
      <c r="D46" s="73" t="str">
        <f>IF(OR($D$3=JU!$F39,$D$3=JU!$I39),JU!D39,"")</f>
        <v/>
      </c>
      <c r="E46" s="74" t="str">
        <f>IF(OR($D$3=JU!$F39,$D$3=JU!$I39),JU!E39,"")</f>
        <v/>
      </c>
      <c r="F46" s="72">
        <f>IF($D$3=JU!F39,JU!H39,0)</f>
        <v>0</v>
      </c>
      <c r="G46" s="72">
        <f>IF($D$3=JU!I39,JU!K39,0)</f>
        <v>0</v>
      </c>
      <c r="H46" s="72">
        <f t="shared" si="1"/>
        <v>0</v>
      </c>
    </row>
    <row r="47" spans="2:8" hidden="1">
      <c r="B47" s="68" t="str">
        <f>IF(OR($D$3=JU!$F40,$D$3=JU!$I40),JU!B40,"")</f>
        <v/>
      </c>
      <c r="C47" s="6" t="str">
        <f>IF(OR($D$3=JU!$F40,$D$3=JU!$I40),JU!C40,"")</f>
        <v/>
      </c>
      <c r="D47" s="73" t="str">
        <f>IF(OR($D$3=JU!$F40,$D$3=JU!$I40),JU!D40,"")</f>
        <v/>
      </c>
      <c r="E47" s="74" t="str">
        <f>IF(OR($D$3=JU!$F40,$D$3=JU!$I40),JU!E40,"")</f>
        <v/>
      </c>
      <c r="F47" s="72">
        <f>IF($D$3=JU!F40,JU!H40,0)</f>
        <v>0</v>
      </c>
      <c r="G47" s="72">
        <f>IF($D$3=JU!I40,JU!K40,0)</f>
        <v>0</v>
      </c>
      <c r="H47" s="72">
        <f t="shared" si="1"/>
        <v>0</v>
      </c>
    </row>
    <row r="48" spans="2:8" hidden="1">
      <c r="B48" s="68" t="str">
        <f>IF(OR($D$3=JU!$F41,$D$3=JU!$I41),JU!B41,"")</f>
        <v/>
      </c>
      <c r="C48" s="6" t="str">
        <f>IF(OR($D$3=JU!$F41,$D$3=JU!$I41),JU!C41,"")</f>
        <v/>
      </c>
      <c r="D48" s="73" t="str">
        <f>IF(OR($D$3=JU!$F41,$D$3=JU!$I41),JU!D41,"")</f>
        <v/>
      </c>
      <c r="E48" s="74" t="str">
        <f>IF(OR($D$3=JU!$F41,$D$3=JU!$I41),JU!E41,"")</f>
        <v/>
      </c>
      <c r="F48" s="72">
        <f>IF($D$3=JU!F41,JU!H41,0)</f>
        <v>0</v>
      </c>
      <c r="G48" s="72">
        <f>IF($D$3=JU!I41,JU!K41,0)</f>
        <v>0</v>
      </c>
      <c r="H48" s="72">
        <f t="shared" si="1"/>
        <v>0</v>
      </c>
    </row>
    <row r="49" spans="2:8" hidden="1">
      <c r="B49" s="68" t="str">
        <f>IF(OR($D$3=JU!$F42,$D$3=JU!$I42),JU!B42,"")</f>
        <v/>
      </c>
      <c r="C49" s="6" t="str">
        <f>IF(OR($D$3=JU!$F42,$D$3=JU!$I42),JU!C42,"")</f>
        <v/>
      </c>
      <c r="D49" s="73" t="str">
        <f>IF(OR($D$3=JU!$F42,$D$3=JU!$I42),JU!D42,"")</f>
        <v/>
      </c>
      <c r="E49" s="74" t="str">
        <f>IF(OR($D$3=JU!$F42,$D$3=JU!$I42),JU!E42,"")</f>
        <v/>
      </c>
      <c r="F49" s="72">
        <f>IF($D$3=JU!F42,JU!H42,0)</f>
        <v>0</v>
      </c>
      <c r="G49" s="72">
        <f>IF($D$3=JU!I42,JU!K42,0)</f>
        <v>0</v>
      </c>
      <c r="H49" s="72">
        <f t="shared" si="1"/>
        <v>0</v>
      </c>
    </row>
    <row r="50" spans="2:8" hidden="1">
      <c r="B50" s="68" t="str">
        <f>IF(OR($D$3=JU!$F43,$D$3=JU!$I43),JU!B43,"")</f>
        <v/>
      </c>
      <c r="C50" s="6" t="str">
        <f>IF(OR($D$3=JU!$F43,$D$3=JU!$I43),JU!C43,"")</f>
        <v/>
      </c>
      <c r="D50" s="73" t="str">
        <f>IF(OR($D$3=JU!$F43,$D$3=JU!$I43),JU!D43,"")</f>
        <v/>
      </c>
      <c r="E50" s="74" t="str">
        <f>IF(OR($D$3=JU!$F43,$D$3=JU!$I43),JU!E43,"")</f>
        <v/>
      </c>
      <c r="F50" s="72">
        <f>IF($D$3=JU!F43,JU!H43,0)</f>
        <v>0</v>
      </c>
      <c r="G50" s="72">
        <f>IF($D$3=JU!I43,JU!K43,0)</f>
        <v>0</v>
      </c>
      <c r="H50" s="72">
        <f t="shared" si="1"/>
        <v>0</v>
      </c>
    </row>
    <row r="51" spans="2:8" hidden="1">
      <c r="B51" s="68" t="str">
        <f>IF(OR($D$3=JU!$F44,$D$3=JU!$I44),JU!B44,"")</f>
        <v/>
      </c>
      <c r="C51" s="6" t="str">
        <f>IF(OR($D$3=JU!$F44,$D$3=JU!$I44),JU!C44,"")</f>
        <v/>
      </c>
      <c r="D51" s="73" t="str">
        <f>IF(OR($D$3=JU!$F44,$D$3=JU!$I44),JU!D44,"")</f>
        <v/>
      </c>
      <c r="E51" s="74" t="str">
        <f>IF(OR($D$3=JU!$F44,$D$3=JU!$I44),JU!E44,"")</f>
        <v/>
      </c>
      <c r="F51" s="72">
        <f>IF($D$3=JU!F44,JU!H44,0)</f>
        <v>0</v>
      </c>
      <c r="G51" s="72">
        <f>IF($D$3=JU!I44,JU!K44,0)</f>
        <v>0</v>
      </c>
      <c r="H51" s="72">
        <f t="shared" si="1"/>
        <v>0</v>
      </c>
    </row>
    <row r="52" spans="2:8" hidden="1">
      <c r="B52" s="68" t="str">
        <f>IF(OR($D$3=JU!$F45,$D$3=JU!$I45),JU!B45,"")</f>
        <v/>
      </c>
      <c r="C52" s="6" t="str">
        <f>IF(OR($D$3=JU!$F45,$D$3=JU!$I45),JU!C45,"")</f>
        <v/>
      </c>
      <c r="D52" s="73" t="str">
        <f>IF(OR($D$3=JU!$F45,$D$3=JU!$I45),JU!D45,"")</f>
        <v/>
      </c>
      <c r="E52" s="74" t="str">
        <f>IF(OR($D$3=JU!$F45,$D$3=JU!$I45),JU!E45,"")</f>
        <v/>
      </c>
      <c r="F52" s="72">
        <f>IF($D$3=JU!F45,JU!H45,0)</f>
        <v>0</v>
      </c>
      <c r="G52" s="72">
        <f>IF($D$3=JU!I45,JU!K45,0)</f>
        <v>0</v>
      </c>
      <c r="H52" s="72">
        <f t="shared" si="1"/>
        <v>0</v>
      </c>
    </row>
    <row r="53" spans="2:8" hidden="1">
      <c r="B53" s="68" t="str">
        <f>IF(OR($D$3=JU!$F46,$D$3=JU!$I46),JU!B46,"")</f>
        <v/>
      </c>
      <c r="C53" s="6" t="str">
        <f>IF(OR($D$3=JU!$F46,$D$3=JU!$I46),JU!C46,"")</f>
        <v/>
      </c>
      <c r="D53" s="73" t="str">
        <f>IF(OR($D$3=JU!$F46,$D$3=JU!$I46),JU!D46,"")</f>
        <v/>
      </c>
      <c r="E53" s="74" t="str">
        <f>IF(OR($D$3=JU!$F46,$D$3=JU!$I46),JU!E46,"")</f>
        <v/>
      </c>
      <c r="F53" s="72">
        <f>IF($D$3=JU!F46,JU!H46,0)</f>
        <v>0</v>
      </c>
      <c r="G53" s="72">
        <f>IF($D$3=JU!I46,JU!K46,0)</f>
        <v>0</v>
      </c>
      <c r="H53" s="72">
        <f t="shared" si="1"/>
        <v>0</v>
      </c>
    </row>
    <row r="54" spans="2:8" hidden="1">
      <c r="B54" s="68" t="str">
        <f>IF(OR($D$3=JU!$F47,$D$3=JU!$I47),JU!B47,"")</f>
        <v/>
      </c>
      <c r="C54" s="6" t="str">
        <f>IF(OR($D$3=JU!$F47,$D$3=JU!$I47),JU!C47,"")</f>
        <v/>
      </c>
      <c r="D54" s="73" t="str">
        <f>IF(OR($D$3=JU!$F47,$D$3=JU!$I47),JU!D47,"")</f>
        <v/>
      </c>
      <c r="E54" s="74" t="str">
        <f>IF(OR($D$3=JU!$F47,$D$3=JU!$I47),JU!E47,"")</f>
        <v/>
      </c>
      <c r="F54" s="72">
        <f>IF($D$3=JU!F47,JU!H47,0)</f>
        <v>0</v>
      </c>
      <c r="G54" s="72">
        <f>IF($D$3=JU!I47,JU!K47,0)</f>
        <v>0</v>
      </c>
      <c r="H54" s="72">
        <f t="shared" si="1"/>
        <v>0</v>
      </c>
    </row>
    <row r="55" spans="2:8" hidden="1">
      <c r="B55" s="68" t="str">
        <f>IF(OR($D$3=JU!$F48,$D$3=JU!$I48),JU!B48,"")</f>
        <v/>
      </c>
      <c r="C55" s="6" t="str">
        <f>IF(OR($D$3=JU!$F48,$D$3=JU!$I48),JU!C48,"")</f>
        <v/>
      </c>
      <c r="D55" s="73" t="str">
        <f>IF(OR($D$3=JU!$F48,$D$3=JU!$I48),JU!D48,"")</f>
        <v/>
      </c>
      <c r="E55" s="74" t="str">
        <f>IF(OR($D$3=JU!$F48,$D$3=JU!$I48),JU!E48,"")</f>
        <v/>
      </c>
      <c r="F55" s="72">
        <f>IF($D$3=JU!F48,JU!H48,0)</f>
        <v>0</v>
      </c>
      <c r="G55" s="72">
        <f>IF($D$3=JU!I48,JU!K48,0)</f>
        <v>0</v>
      </c>
      <c r="H55" s="72">
        <f t="shared" si="1"/>
        <v>0</v>
      </c>
    </row>
    <row r="56" spans="2:8" hidden="1">
      <c r="B56" s="68" t="str">
        <f>IF(OR($D$3=JU!$F49,$D$3=JU!$I49),JU!B49,"")</f>
        <v/>
      </c>
      <c r="C56" s="6" t="str">
        <f>IF(OR($D$3=JU!$F49,$D$3=JU!$I49),JU!C49,"")</f>
        <v/>
      </c>
      <c r="D56" s="73" t="str">
        <f>IF(OR($D$3=JU!$F49,$D$3=JU!$I49),JU!D49,"")</f>
        <v/>
      </c>
      <c r="E56" s="74" t="str">
        <f>IF(OR($D$3=JU!$F49,$D$3=JU!$I49),JU!E49,"")</f>
        <v/>
      </c>
      <c r="F56" s="72">
        <f>IF($D$3=JU!F49,JU!H49,0)</f>
        <v>0</v>
      </c>
      <c r="G56" s="72">
        <f>IF($D$3=JU!I49,JU!K49,0)</f>
        <v>0</v>
      </c>
      <c r="H56" s="72">
        <f t="shared" si="1"/>
        <v>0</v>
      </c>
    </row>
    <row r="57" spans="2:8" hidden="1">
      <c r="B57" s="68" t="str">
        <f>IF(OR($D$3=JU!$F50,$D$3=JU!$I50),JU!B50,"")</f>
        <v/>
      </c>
      <c r="C57" s="6" t="str">
        <f>IF(OR($D$3=JU!$F50,$D$3=JU!$I50),JU!C50,"")</f>
        <v/>
      </c>
      <c r="D57" s="73" t="str">
        <f>IF(OR($D$3=JU!$F50,$D$3=JU!$I50),JU!D50,"")</f>
        <v/>
      </c>
      <c r="E57" s="74" t="str">
        <f>IF(OR($D$3=JU!$F50,$D$3=JU!$I50),JU!E50,"")</f>
        <v/>
      </c>
      <c r="F57" s="72">
        <f>IF($D$3=JU!F50,JU!H50,0)</f>
        <v>0</v>
      </c>
      <c r="G57" s="72">
        <f>IF($D$3=JU!I50,JU!K50,0)</f>
        <v>0</v>
      </c>
      <c r="H57" s="72">
        <f t="shared" si="1"/>
        <v>0</v>
      </c>
    </row>
    <row r="58" spans="2:8" hidden="1">
      <c r="B58" s="68" t="str">
        <f>IF(OR($D$3=JU!$F51,$D$3=JU!$I51),JU!B51,"")</f>
        <v/>
      </c>
      <c r="C58" s="6" t="str">
        <f>IF(OR($D$3=JU!$F51,$D$3=JU!$I51),JU!C51,"")</f>
        <v/>
      </c>
      <c r="D58" s="73" t="str">
        <f>IF(OR($D$3=JU!$F51,$D$3=JU!$I51),JU!D51,"")</f>
        <v/>
      </c>
      <c r="E58" s="74" t="str">
        <f>IF(OR($D$3=JU!$F51,$D$3=JU!$I51),JU!E51,"")</f>
        <v/>
      </c>
      <c r="F58" s="72">
        <f>IF($D$3=JU!F51,JU!H51,0)</f>
        <v>0</v>
      </c>
      <c r="G58" s="72">
        <f>IF($D$3=JU!I51,JU!K51,0)</f>
        <v>0</v>
      </c>
      <c r="H58" s="72">
        <f t="shared" si="1"/>
        <v>0</v>
      </c>
    </row>
    <row r="59" spans="2:8" hidden="1">
      <c r="B59" s="68" t="str">
        <f>IF(OR($D$3=JU!$F52,$D$3=JU!$I52),JU!B52,"")</f>
        <v/>
      </c>
      <c r="C59" s="6" t="str">
        <f>IF(OR($D$3=JU!$F52,$D$3=JU!$I52),JU!C52,"")</f>
        <v/>
      </c>
      <c r="D59" s="73" t="str">
        <f>IF(OR($D$3=JU!$F52,$D$3=JU!$I52),JU!D52,"")</f>
        <v/>
      </c>
      <c r="E59" s="74" t="str">
        <f>IF(OR($D$3=JU!$F52,$D$3=JU!$I52),JU!E52,"")</f>
        <v/>
      </c>
      <c r="F59" s="72">
        <f>IF($D$3=JU!F52,JU!H52,0)</f>
        <v>0</v>
      </c>
      <c r="G59" s="72">
        <f>IF($D$3=JU!I52,JU!K52,0)</f>
        <v>0</v>
      </c>
      <c r="H59" s="72">
        <f t="shared" si="1"/>
        <v>0</v>
      </c>
    </row>
    <row r="60" spans="2:8" hidden="1">
      <c r="B60" s="68" t="str">
        <f>IF(OR($D$3=JU!$F53,$D$3=JU!$I53),JU!B53,"")</f>
        <v/>
      </c>
      <c r="C60" s="6" t="str">
        <f>IF(OR($D$3=JU!$F53,$D$3=JU!$I53),JU!C53,"")</f>
        <v/>
      </c>
      <c r="D60" s="73" t="str">
        <f>IF(OR($D$3=JU!$F53,$D$3=JU!$I53),JU!D53,"")</f>
        <v/>
      </c>
      <c r="E60" s="74" t="str">
        <f>IF(OR($D$3=JU!$F53,$D$3=JU!$I53),JU!E53,"")</f>
        <v/>
      </c>
      <c r="F60" s="72">
        <f>IF($D$3=JU!F53,JU!H53,0)</f>
        <v>0</v>
      </c>
      <c r="G60" s="72">
        <f>IF($D$3=JU!I53,JU!K53,0)</f>
        <v>0</v>
      </c>
      <c r="H60" s="72">
        <f t="shared" si="1"/>
        <v>0</v>
      </c>
    </row>
    <row r="61" spans="2:8" hidden="1">
      <c r="B61" s="68" t="str">
        <f>IF(OR($D$3=JU!$F54,$D$3=JU!$I54),JU!B54,"")</f>
        <v/>
      </c>
      <c r="C61" s="6" t="str">
        <f>IF(OR($D$3=JU!$F54,$D$3=JU!$I54),JU!C54,"")</f>
        <v/>
      </c>
      <c r="D61" s="73" t="str">
        <f>IF(OR($D$3=JU!$F54,$D$3=JU!$I54),JU!D54,"")</f>
        <v/>
      </c>
      <c r="E61" s="74" t="str">
        <f>IF(OR($D$3=JU!$F54,$D$3=JU!$I54),JU!E54,"")</f>
        <v/>
      </c>
      <c r="F61" s="72">
        <f>IF($D$3=JU!F54,JU!H54,0)</f>
        <v>0</v>
      </c>
      <c r="G61" s="72">
        <f>IF($D$3=JU!I54,JU!K54,0)</f>
        <v>0</v>
      </c>
      <c r="H61" s="72">
        <f t="shared" si="1"/>
        <v>0</v>
      </c>
    </row>
    <row r="62" spans="2:8" hidden="1">
      <c r="B62" s="68" t="str">
        <f>IF(OR($D$3=JU!$F55,$D$3=JU!$I55),JU!B55,"")</f>
        <v/>
      </c>
      <c r="C62" s="6" t="str">
        <f>IF(OR($D$3=JU!$F55,$D$3=JU!$I55),JU!C55,"")</f>
        <v/>
      </c>
      <c r="D62" s="73" t="str">
        <f>IF(OR($D$3=JU!$F55,$D$3=JU!$I55),JU!D55,"")</f>
        <v/>
      </c>
      <c r="E62" s="74" t="str">
        <f>IF(OR($D$3=JU!$F55,$D$3=JU!$I55),JU!E55,"")</f>
        <v/>
      </c>
      <c r="F62" s="72">
        <f>IF($D$3=JU!F55,JU!H55,0)</f>
        <v>0</v>
      </c>
      <c r="G62" s="72">
        <f>IF($D$3=JU!I55,JU!K55,0)</f>
        <v>0</v>
      </c>
      <c r="H62" s="72">
        <f t="shared" si="1"/>
        <v>0</v>
      </c>
    </row>
    <row r="63" spans="2:8" hidden="1">
      <c r="B63" s="68" t="str">
        <f>IF(OR($D$3=JU!$F56,$D$3=JU!$I56),JU!B56,"")</f>
        <v/>
      </c>
      <c r="C63" s="6" t="str">
        <f>IF(OR($D$3=JU!$F56,$D$3=JU!$I56),JU!C56,"")</f>
        <v/>
      </c>
      <c r="D63" s="73" t="str">
        <f>IF(OR($D$3=JU!$F56,$D$3=JU!$I56),JU!D56,"")</f>
        <v/>
      </c>
      <c r="E63" s="74" t="str">
        <f>IF(OR($D$3=JU!$F56,$D$3=JU!$I56),JU!E56,"")</f>
        <v/>
      </c>
      <c r="F63" s="72">
        <f>IF($D$3=JU!F56,JU!H56,0)</f>
        <v>0</v>
      </c>
      <c r="G63" s="72">
        <f>IF($D$3=JU!I56,JU!K56,0)</f>
        <v>0</v>
      </c>
      <c r="H63" s="72">
        <f t="shared" si="1"/>
        <v>0</v>
      </c>
    </row>
    <row r="64" spans="2:8" hidden="1">
      <c r="B64" s="68" t="str">
        <f>IF(OR($D$3=JU!$F57,$D$3=JU!$I57),JU!B57,"")</f>
        <v/>
      </c>
      <c r="C64" s="6" t="str">
        <f>IF(OR($D$3=JU!$F57,$D$3=JU!$I57),JU!C57,"")</f>
        <v/>
      </c>
      <c r="D64" s="73" t="str">
        <f>IF(OR($D$3=JU!$F57,$D$3=JU!$I57),JU!D57,"")</f>
        <v/>
      </c>
      <c r="E64" s="74" t="str">
        <f>IF(OR($D$3=JU!$F57,$D$3=JU!$I57),JU!E57,"")</f>
        <v/>
      </c>
      <c r="F64" s="72">
        <f>IF($D$3=JU!F57,JU!H57,0)</f>
        <v>0</v>
      </c>
      <c r="G64" s="72">
        <f>IF($D$3=JU!I57,JU!K57,0)</f>
        <v>0</v>
      </c>
      <c r="H64" s="72">
        <f t="shared" si="1"/>
        <v>0</v>
      </c>
    </row>
    <row r="65" spans="2:8" hidden="1">
      <c r="B65" s="68" t="str">
        <f>IF(OR($D$3=JU!$F58,$D$3=JU!$I58),JU!B58,"")</f>
        <v/>
      </c>
      <c r="C65" s="6" t="str">
        <f>IF(OR($D$3=JU!$F58,$D$3=JU!$I58),JU!C58,"")</f>
        <v/>
      </c>
      <c r="D65" s="73" t="str">
        <f>IF(OR($D$3=JU!$F58,$D$3=JU!$I58),JU!D58,"")</f>
        <v/>
      </c>
      <c r="E65" s="74" t="str">
        <f>IF(OR($D$3=JU!$F58,$D$3=JU!$I58),JU!E58,"")</f>
        <v/>
      </c>
      <c r="F65" s="72">
        <f>IF($D$3=JU!F58,JU!H58,0)</f>
        <v>0</v>
      </c>
      <c r="G65" s="72">
        <f>IF($D$3=JU!I58,JU!K58,0)</f>
        <v>0</v>
      </c>
      <c r="H65" s="72">
        <f t="shared" si="1"/>
        <v>0</v>
      </c>
    </row>
    <row r="66" spans="2:8" hidden="1">
      <c r="B66" s="68" t="str">
        <f>IF(OR($D$3=JU!$F59,$D$3=JU!$I59),JU!B59,"")</f>
        <v/>
      </c>
      <c r="C66" s="6" t="str">
        <f>IF(OR($D$3=JU!$F59,$D$3=JU!$I59),JU!C59,"")</f>
        <v/>
      </c>
      <c r="D66" s="73" t="str">
        <f>IF(OR($D$3=JU!$F59,$D$3=JU!$I59),JU!D59,"")</f>
        <v/>
      </c>
      <c r="E66" s="74" t="str">
        <f>IF(OR($D$3=JU!$F59,$D$3=JU!$I59),JU!E59,"")</f>
        <v/>
      </c>
      <c r="F66" s="72">
        <f>IF($D$3=JU!F59,JU!H59,0)</f>
        <v>0</v>
      </c>
      <c r="G66" s="72">
        <f>IF($D$3=JU!I59,JU!K59,0)</f>
        <v>0</v>
      </c>
      <c r="H66" s="72">
        <f t="shared" si="1"/>
        <v>0</v>
      </c>
    </row>
    <row r="67" spans="2:8" hidden="1">
      <c r="B67" s="68" t="str">
        <f>IF(OR($D$3=JU!$F60,$D$3=JU!$I60),JU!B60,"")</f>
        <v/>
      </c>
      <c r="C67" s="6" t="str">
        <f>IF(OR($D$3=JU!$F60,$D$3=JU!$I60),JU!C60,"")</f>
        <v/>
      </c>
      <c r="D67" s="73" t="str">
        <f>IF(OR($D$3=JU!$F60,$D$3=JU!$I60),JU!D60,"")</f>
        <v/>
      </c>
      <c r="E67" s="74" t="str">
        <f>IF(OR($D$3=JU!$F60,$D$3=JU!$I60),JU!E60,"")</f>
        <v/>
      </c>
      <c r="F67" s="72">
        <f>IF($D$3=JU!F60,JU!H60,0)</f>
        <v>0</v>
      </c>
      <c r="G67" s="72">
        <f>IF($D$3=JU!I60,JU!K60,0)</f>
        <v>0</v>
      </c>
      <c r="H67" s="72">
        <f t="shared" si="1"/>
        <v>0</v>
      </c>
    </row>
    <row r="68" spans="2:8" hidden="1">
      <c r="B68" s="68" t="str">
        <f>IF(OR($D$3=JU!$F61,$D$3=JU!$I61),JU!B61,"")</f>
        <v/>
      </c>
      <c r="C68" s="6" t="str">
        <f>IF(OR($D$3=JU!$F61,$D$3=JU!$I61),JU!C61,"")</f>
        <v/>
      </c>
      <c r="D68" s="73" t="str">
        <f>IF(OR($D$3=JU!$F61,$D$3=JU!$I61),JU!D61,"")</f>
        <v/>
      </c>
      <c r="E68" s="74" t="str">
        <f>IF(OR($D$3=JU!$F61,$D$3=JU!$I61),JU!E61,"")</f>
        <v/>
      </c>
      <c r="F68" s="72">
        <f>IF($D$3=JU!F61,JU!H61,0)</f>
        <v>0</v>
      </c>
      <c r="G68" s="72">
        <f>IF($D$3=JU!I61,JU!K61,0)</f>
        <v>0</v>
      </c>
      <c r="H68" s="72">
        <f t="shared" si="1"/>
        <v>0</v>
      </c>
    </row>
    <row r="69" spans="2:8" hidden="1">
      <c r="B69" s="68" t="str">
        <f>IF(OR($D$3=JU!$F62,$D$3=JU!$I62),JU!B62,"")</f>
        <v/>
      </c>
      <c r="C69" s="6" t="str">
        <f>IF(OR($D$3=JU!$F62,$D$3=JU!$I62),JU!C62,"")</f>
        <v/>
      </c>
      <c r="D69" s="73" t="str">
        <f>IF(OR($D$3=JU!$F62,$D$3=JU!$I62),JU!D62,"")</f>
        <v/>
      </c>
      <c r="E69" s="74" t="str">
        <f>IF(OR($D$3=JU!$F62,$D$3=JU!$I62),JU!E62,"")</f>
        <v/>
      </c>
      <c r="F69" s="72">
        <f>IF($D$3=JU!F62,JU!H62,0)</f>
        <v>0</v>
      </c>
      <c r="G69" s="72">
        <f>IF($D$3=JU!I62,JU!K62,0)</f>
        <v>0</v>
      </c>
      <c r="H69" s="72">
        <f t="shared" si="1"/>
        <v>0</v>
      </c>
    </row>
    <row r="70" spans="2:8" hidden="1">
      <c r="B70" s="68" t="str">
        <f>IF(OR($D$3=JU!$F63,$D$3=JU!$I63),JU!B63,"")</f>
        <v/>
      </c>
      <c r="C70" s="6" t="str">
        <f>IF(OR($D$3=JU!$F63,$D$3=JU!$I63),JU!C63,"")</f>
        <v/>
      </c>
      <c r="D70" s="73" t="str">
        <f>IF(OR($D$3=JU!$F63,$D$3=JU!$I63),JU!D63,"")</f>
        <v/>
      </c>
      <c r="E70" s="74" t="str">
        <f>IF(OR($D$3=JU!$F63,$D$3=JU!$I63),JU!E63,"")</f>
        <v/>
      </c>
      <c r="F70" s="72">
        <f>IF($D$3=JU!F63,JU!H63,0)</f>
        <v>0</v>
      </c>
      <c r="G70" s="72">
        <f>IF($D$3=JU!I63,JU!K63,0)</f>
        <v>0</v>
      </c>
      <c r="H70" s="72">
        <f t="shared" si="1"/>
        <v>0</v>
      </c>
    </row>
    <row r="71" spans="2:8" hidden="1">
      <c r="B71" s="68" t="str">
        <f>IF(OR($D$3=JU!$F64,$D$3=JU!$I64),JU!B64,"")</f>
        <v/>
      </c>
      <c r="C71" s="6" t="str">
        <f>IF(OR($D$3=JU!$F64,$D$3=JU!$I64),JU!C64,"")</f>
        <v/>
      </c>
      <c r="D71" s="73" t="str">
        <f>IF(OR($D$3=JU!$F64,$D$3=JU!$I64),JU!D64,"")</f>
        <v/>
      </c>
      <c r="E71" s="74" t="str">
        <f>IF(OR($D$3=JU!$F64,$D$3=JU!$I64),JU!E64,"")</f>
        <v/>
      </c>
      <c r="F71" s="72">
        <f>IF($D$3=JU!F64,JU!H64,0)</f>
        <v>0</v>
      </c>
      <c r="G71" s="72">
        <f>IF($D$3=JU!I64,JU!K64,0)</f>
        <v>0</v>
      </c>
      <c r="H71" s="72">
        <f t="shared" si="1"/>
        <v>0</v>
      </c>
    </row>
    <row r="72" spans="2:8" hidden="1">
      <c r="B72" s="68" t="str">
        <f>IF(OR($D$3=JU!$F65,$D$3=JU!$I65),JU!B65,"")</f>
        <v/>
      </c>
      <c r="C72" s="6" t="str">
        <f>IF(OR($D$3=JU!$F65,$D$3=JU!$I65),JU!C65,"")</f>
        <v/>
      </c>
      <c r="D72" s="73" t="str">
        <f>IF(OR($D$3=JU!$F65,$D$3=JU!$I65),JU!D65,"")</f>
        <v/>
      </c>
      <c r="E72" s="74" t="str">
        <f>IF(OR($D$3=JU!$F65,$D$3=JU!$I65),JU!E65,"")</f>
        <v/>
      </c>
      <c r="F72" s="72">
        <f>IF($D$3=JU!F65,JU!H65,0)</f>
        <v>0</v>
      </c>
      <c r="G72" s="72">
        <f>IF($D$3=JU!I65,JU!K65,0)</f>
        <v>0</v>
      </c>
      <c r="H72" s="72">
        <f t="shared" si="1"/>
        <v>0</v>
      </c>
    </row>
    <row r="73" spans="2:8" hidden="1">
      <c r="B73" s="68" t="str">
        <f>IF(OR($D$3=JU!$F66,$D$3=JU!$I66),JU!B66,"")</f>
        <v/>
      </c>
      <c r="C73" s="6" t="str">
        <f>IF(OR($D$3=JU!$F66,$D$3=JU!$I66),JU!C66,"")</f>
        <v/>
      </c>
      <c r="D73" s="73" t="str">
        <f>IF(OR($D$3=JU!$F66,$D$3=JU!$I66),JU!D66,"")</f>
        <v/>
      </c>
      <c r="E73" s="74" t="str">
        <f>IF(OR($D$3=JU!$F66,$D$3=JU!$I66),JU!E66,"")</f>
        <v/>
      </c>
      <c r="F73" s="72">
        <f>IF($D$3=JU!F66,JU!H66,0)</f>
        <v>0</v>
      </c>
      <c r="G73" s="72">
        <f>IF($D$3=JU!I66,JU!K66,0)</f>
        <v>0</v>
      </c>
      <c r="H73" s="72">
        <f t="shared" si="1"/>
        <v>0</v>
      </c>
    </row>
    <row r="74" spans="2:8" hidden="1">
      <c r="B74" s="68" t="str">
        <f>IF(OR($D$3=JU!$F67,$D$3=JU!$I67),JU!B67,"")</f>
        <v/>
      </c>
      <c r="C74" s="6" t="str">
        <f>IF(OR($D$3=JU!$F67,$D$3=JU!$I67),JU!C67,"")</f>
        <v/>
      </c>
      <c r="D74" s="73" t="str">
        <f>IF(OR($D$3=JU!$F67,$D$3=JU!$I67),JU!D67,"")</f>
        <v/>
      </c>
      <c r="E74" s="74" t="str">
        <f>IF(OR($D$3=JU!$F67,$D$3=JU!$I67),JU!E67,"")</f>
        <v/>
      </c>
      <c r="F74" s="72">
        <f>IF($D$3=JU!F67,JU!H67,0)</f>
        <v>0</v>
      </c>
      <c r="G74" s="72">
        <f>IF($D$3=JU!I67,JU!K67,0)</f>
        <v>0</v>
      </c>
      <c r="H74" s="72">
        <f t="shared" si="1"/>
        <v>0</v>
      </c>
    </row>
    <row r="75" spans="2:8" hidden="1">
      <c r="B75" s="68" t="str">
        <f>IF(OR($D$3=JU!$F68,$D$3=JU!$I68),JU!B68,"")</f>
        <v/>
      </c>
      <c r="C75" s="6" t="str">
        <f>IF(OR($D$3=JU!$F68,$D$3=JU!$I68),JU!C68,"")</f>
        <v/>
      </c>
      <c r="D75" s="73" t="str">
        <f>IF(OR($D$3=JU!$F68,$D$3=JU!$I68),JU!D68,"")</f>
        <v/>
      </c>
      <c r="E75" s="74" t="str">
        <f>IF(OR($D$3=JU!$F68,$D$3=JU!$I68),JU!E68,"")</f>
        <v/>
      </c>
      <c r="F75" s="72">
        <f>IF($D$3=JU!F68,JU!H68,0)</f>
        <v>0</v>
      </c>
      <c r="G75" s="72">
        <f>IF($D$3=JU!I68,JU!K68,0)</f>
        <v>0</v>
      </c>
      <c r="H75" s="72">
        <f t="shared" si="1"/>
        <v>0</v>
      </c>
    </row>
    <row r="76" spans="2:8" hidden="1">
      <c r="B76" s="68" t="str">
        <f>IF(OR($D$3=JU!$F69,$D$3=JU!$I69),JU!B69,"")</f>
        <v/>
      </c>
      <c r="C76" s="6" t="str">
        <f>IF(OR($D$3=JU!$F69,$D$3=JU!$I69),JU!C69,"")</f>
        <v/>
      </c>
      <c r="D76" s="73" t="str">
        <f>IF(OR($D$3=JU!$F69,$D$3=JU!$I69),JU!D69,"")</f>
        <v/>
      </c>
      <c r="E76" s="74" t="str">
        <f>IF(OR($D$3=JU!$F69,$D$3=JU!$I69),JU!E69,"")</f>
        <v/>
      </c>
      <c r="F76" s="72">
        <f>IF($D$3=JU!F69,JU!H69,0)</f>
        <v>0</v>
      </c>
      <c r="G76" s="72">
        <f>IF($D$3=JU!I69,JU!K69,0)</f>
        <v>0</v>
      </c>
      <c r="H76" s="72">
        <f t="shared" si="1"/>
        <v>0</v>
      </c>
    </row>
    <row r="77" spans="2:8" hidden="1">
      <c r="B77" s="68" t="str">
        <f>IF(OR($D$3=JU!$F70,$D$3=JU!$I70),JU!B70,"")</f>
        <v/>
      </c>
      <c r="C77" s="6" t="str">
        <f>IF(OR($D$3=JU!$F70,$D$3=JU!$I70),JU!C70,"")</f>
        <v/>
      </c>
      <c r="D77" s="73" t="str">
        <f>IF(OR($D$3=JU!$F70,$D$3=JU!$I70),JU!D70,"")</f>
        <v/>
      </c>
      <c r="E77" s="74" t="str">
        <f>IF(OR($D$3=JU!$F70,$D$3=JU!$I70),JU!E70,"")</f>
        <v/>
      </c>
      <c r="F77" s="72">
        <f>IF($D$3=JU!F70,JU!H70,0)</f>
        <v>0</v>
      </c>
      <c r="G77" s="72">
        <f>IF($D$3=JU!I70,JU!K70,0)</f>
        <v>0</v>
      </c>
      <c r="H77" s="72">
        <f t="shared" si="1"/>
        <v>0</v>
      </c>
    </row>
    <row r="78" spans="2:8" hidden="1">
      <c r="B78" s="68" t="str">
        <f>IF(OR($D$3=JU!$F71,$D$3=JU!$I71),JU!B71,"")</f>
        <v/>
      </c>
      <c r="C78" s="6" t="str">
        <f>IF(OR($D$3=JU!$F71,$D$3=JU!$I71),JU!C71,"")</f>
        <v/>
      </c>
      <c r="D78" s="73" t="str">
        <f>IF(OR($D$3=JU!$F71,$D$3=JU!$I71),JU!D71,"")</f>
        <v/>
      </c>
      <c r="E78" s="74" t="str">
        <f>IF(OR($D$3=JU!$F71,$D$3=JU!$I71),JU!E71,"")</f>
        <v/>
      </c>
      <c r="F78" s="72">
        <f>IF($D$3=JU!F71,JU!H71,0)</f>
        <v>0</v>
      </c>
      <c r="G78" s="72">
        <f>IF($D$3=JU!I71,JU!K71,0)</f>
        <v>0</v>
      </c>
      <c r="H78" s="72">
        <f t="shared" ref="H78:H141" si="2">IF($H$7="DEBET",H77+F78-G78,H77+G78-F78)</f>
        <v>0</v>
      </c>
    </row>
    <row r="79" spans="2:8" hidden="1">
      <c r="B79" s="68" t="str">
        <f>IF(OR($D$3=JU!$F72,$D$3=JU!$I72),JU!B72,"")</f>
        <v/>
      </c>
      <c r="C79" s="6" t="str">
        <f>IF(OR($D$3=JU!$F72,$D$3=JU!$I72),JU!C72,"")</f>
        <v/>
      </c>
      <c r="D79" s="73" t="str">
        <f>IF(OR($D$3=JU!$F72,$D$3=JU!$I72),JU!D72,"")</f>
        <v/>
      </c>
      <c r="E79" s="74" t="str">
        <f>IF(OR($D$3=JU!$F72,$D$3=JU!$I72),JU!E72,"")</f>
        <v/>
      </c>
      <c r="F79" s="72">
        <f>IF($D$3=JU!F72,JU!H72,0)</f>
        <v>0</v>
      </c>
      <c r="G79" s="72">
        <f>IF($D$3=JU!I72,JU!K72,0)</f>
        <v>0</v>
      </c>
      <c r="H79" s="72">
        <f t="shared" si="2"/>
        <v>0</v>
      </c>
    </row>
    <row r="80" spans="2:8" hidden="1">
      <c r="B80" s="68" t="str">
        <f>IF(OR($D$3=JU!$F73,$D$3=JU!$I73),JU!B73,"")</f>
        <v/>
      </c>
      <c r="C80" s="6" t="str">
        <f>IF(OR($D$3=JU!$F73,$D$3=JU!$I73),JU!C73,"")</f>
        <v/>
      </c>
      <c r="D80" s="73" t="str">
        <f>IF(OR($D$3=JU!$F73,$D$3=JU!$I73),JU!D73,"")</f>
        <v/>
      </c>
      <c r="E80" s="74" t="str">
        <f>IF(OR($D$3=JU!$F73,$D$3=JU!$I73),JU!E73,"")</f>
        <v/>
      </c>
      <c r="F80" s="72">
        <f>IF($D$3=JU!F73,JU!H73,0)</f>
        <v>0</v>
      </c>
      <c r="G80" s="72">
        <f>IF($D$3=JU!I73,JU!K73,0)</f>
        <v>0</v>
      </c>
      <c r="H80" s="72">
        <f t="shared" si="2"/>
        <v>0</v>
      </c>
    </row>
    <row r="81" spans="2:8" hidden="1">
      <c r="B81" s="68" t="str">
        <f>IF(OR($D$3=JU!$F74,$D$3=JU!$I74),JU!B74,"")</f>
        <v/>
      </c>
      <c r="C81" s="6" t="str">
        <f>IF(OR($D$3=JU!$F74,$D$3=JU!$I74),JU!C74,"")</f>
        <v/>
      </c>
      <c r="D81" s="73" t="str">
        <f>IF(OR($D$3=JU!$F74,$D$3=JU!$I74),JU!D74,"")</f>
        <v/>
      </c>
      <c r="E81" s="74" t="str">
        <f>IF(OR($D$3=JU!$F74,$D$3=JU!$I74),JU!E74,"")</f>
        <v/>
      </c>
      <c r="F81" s="72">
        <f>IF($D$3=JU!F74,JU!H74,0)</f>
        <v>0</v>
      </c>
      <c r="G81" s="72">
        <f>IF($D$3=JU!I74,JU!K74,0)</f>
        <v>0</v>
      </c>
      <c r="H81" s="72">
        <f t="shared" si="2"/>
        <v>0</v>
      </c>
    </row>
    <row r="82" spans="2:8" hidden="1">
      <c r="B82" s="68" t="str">
        <f>IF(OR($D$3=JU!$F75,$D$3=JU!$I75),JU!B75,"")</f>
        <v/>
      </c>
      <c r="C82" s="6" t="str">
        <f>IF(OR($D$3=JU!$F75,$D$3=JU!$I75),JU!C75,"")</f>
        <v/>
      </c>
      <c r="D82" s="73" t="str">
        <f>IF(OR($D$3=JU!$F75,$D$3=JU!$I75),JU!D75,"")</f>
        <v/>
      </c>
      <c r="E82" s="74" t="str">
        <f>IF(OR($D$3=JU!$F75,$D$3=JU!$I75),JU!E75,"")</f>
        <v/>
      </c>
      <c r="F82" s="72">
        <f>IF($D$3=JU!F75,JU!H75,0)</f>
        <v>0</v>
      </c>
      <c r="G82" s="72">
        <f>IF($D$3=JU!I75,JU!K75,0)</f>
        <v>0</v>
      </c>
      <c r="H82" s="72">
        <f t="shared" si="2"/>
        <v>0</v>
      </c>
    </row>
    <row r="83" spans="2:8" hidden="1">
      <c r="B83" s="68" t="str">
        <f>IF(OR($D$3=JU!$F76,$D$3=JU!$I76),JU!B76,"")</f>
        <v/>
      </c>
      <c r="C83" s="6" t="str">
        <f>IF(OR($D$3=JU!$F76,$D$3=JU!$I76),JU!C76,"")</f>
        <v/>
      </c>
      <c r="D83" s="73" t="str">
        <f>IF(OR($D$3=JU!$F76,$D$3=JU!$I76),JU!D76,"")</f>
        <v/>
      </c>
      <c r="E83" s="74" t="str">
        <f>IF(OR($D$3=JU!$F76,$D$3=JU!$I76),JU!E76,"")</f>
        <v/>
      </c>
      <c r="F83" s="72">
        <f>IF($D$3=JU!F76,JU!H76,0)</f>
        <v>0</v>
      </c>
      <c r="G83" s="72">
        <f>IF($D$3=JU!I76,JU!K76,0)</f>
        <v>0</v>
      </c>
      <c r="H83" s="72">
        <f t="shared" si="2"/>
        <v>0</v>
      </c>
    </row>
    <row r="84" spans="2:8" hidden="1">
      <c r="B84" s="68" t="str">
        <f>IF(OR($D$3=JU!$F77,$D$3=JU!$I77),JU!B77,"")</f>
        <v/>
      </c>
      <c r="C84" s="6" t="str">
        <f>IF(OR($D$3=JU!$F77,$D$3=JU!$I77),JU!C77,"")</f>
        <v/>
      </c>
      <c r="D84" s="73" t="str">
        <f>IF(OR($D$3=JU!$F77,$D$3=JU!$I77),JU!D77,"")</f>
        <v/>
      </c>
      <c r="E84" s="74" t="str">
        <f>IF(OR($D$3=JU!$F77,$D$3=JU!$I77),JU!E77,"")</f>
        <v/>
      </c>
      <c r="F84" s="72">
        <f>IF($D$3=JU!F77,JU!H77,0)</f>
        <v>0</v>
      </c>
      <c r="G84" s="72">
        <f>IF($D$3=JU!I77,JU!K77,0)</f>
        <v>0</v>
      </c>
      <c r="H84" s="72">
        <f t="shared" si="2"/>
        <v>0</v>
      </c>
    </row>
    <row r="85" spans="2:8" hidden="1">
      <c r="B85" s="68" t="str">
        <f>IF(OR($D$3=JU!$F78,$D$3=JU!$I78),JU!B78,"")</f>
        <v/>
      </c>
      <c r="C85" s="6" t="str">
        <f>IF(OR($D$3=JU!$F78,$D$3=JU!$I78),JU!C78,"")</f>
        <v/>
      </c>
      <c r="D85" s="73" t="str">
        <f>IF(OR($D$3=JU!$F78,$D$3=JU!$I78),JU!D78,"")</f>
        <v/>
      </c>
      <c r="E85" s="74" t="str">
        <f>IF(OR($D$3=JU!$F78,$D$3=JU!$I78),JU!E78,"")</f>
        <v/>
      </c>
      <c r="F85" s="72">
        <f>IF($D$3=JU!F78,JU!H78,0)</f>
        <v>0</v>
      </c>
      <c r="G85" s="72">
        <f>IF($D$3=JU!I78,JU!K78,0)</f>
        <v>0</v>
      </c>
      <c r="H85" s="72">
        <f t="shared" si="2"/>
        <v>0</v>
      </c>
    </row>
    <row r="86" spans="2:8" hidden="1">
      <c r="B86" s="68" t="str">
        <f>IF(OR($D$3=JU!$F79,$D$3=JU!$I79),JU!B79,"")</f>
        <v/>
      </c>
      <c r="C86" s="6" t="str">
        <f>IF(OR($D$3=JU!$F79,$D$3=JU!$I79),JU!C79,"")</f>
        <v/>
      </c>
      <c r="D86" s="73" t="str">
        <f>IF(OR($D$3=JU!$F79,$D$3=JU!$I79),JU!D79,"")</f>
        <v/>
      </c>
      <c r="E86" s="74" t="str">
        <f>IF(OR($D$3=JU!$F79,$D$3=JU!$I79),JU!E79,"")</f>
        <v/>
      </c>
      <c r="F86" s="72">
        <f>IF($D$3=JU!F79,JU!H79,0)</f>
        <v>0</v>
      </c>
      <c r="G86" s="72">
        <f>IF($D$3=JU!I79,JU!K79,0)</f>
        <v>0</v>
      </c>
      <c r="H86" s="72">
        <f t="shared" si="2"/>
        <v>0</v>
      </c>
    </row>
    <row r="87" spans="2:8" hidden="1">
      <c r="B87" s="68" t="str">
        <f>IF(OR($D$3=JU!$F80,$D$3=JU!$I80),JU!B80,"")</f>
        <v/>
      </c>
      <c r="C87" s="6" t="str">
        <f>IF(OR($D$3=JU!$F80,$D$3=JU!$I80),JU!C80,"")</f>
        <v/>
      </c>
      <c r="D87" s="73" t="str">
        <f>IF(OR($D$3=JU!$F80,$D$3=JU!$I80),JU!D80,"")</f>
        <v/>
      </c>
      <c r="E87" s="74" t="str">
        <f>IF(OR($D$3=JU!$F80,$D$3=JU!$I80),JU!E80,"")</f>
        <v/>
      </c>
      <c r="F87" s="72">
        <f>IF($D$3=JU!F80,JU!H80,0)</f>
        <v>0</v>
      </c>
      <c r="G87" s="72">
        <f>IF($D$3=JU!I80,JU!K80,0)</f>
        <v>0</v>
      </c>
      <c r="H87" s="72">
        <f t="shared" si="2"/>
        <v>0</v>
      </c>
    </row>
    <row r="88" spans="2:8" hidden="1">
      <c r="B88" s="68" t="str">
        <f>IF(OR($D$3=JU!$F81,$D$3=JU!$I81),JU!B81,"")</f>
        <v/>
      </c>
      <c r="C88" s="6" t="str">
        <f>IF(OR($D$3=JU!$F81,$D$3=JU!$I81),JU!C81,"")</f>
        <v/>
      </c>
      <c r="D88" s="73" t="str">
        <f>IF(OR($D$3=JU!$F81,$D$3=JU!$I81),JU!D81,"")</f>
        <v/>
      </c>
      <c r="E88" s="74" t="str">
        <f>IF(OR($D$3=JU!$F81,$D$3=JU!$I81),JU!E81,"")</f>
        <v/>
      </c>
      <c r="F88" s="72">
        <f>IF($D$3=JU!F81,JU!H81,0)</f>
        <v>0</v>
      </c>
      <c r="G88" s="72">
        <f>IF($D$3=JU!I81,JU!K81,0)</f>
        <v>0</v>
      </c>
      <c r="H88" s="72">
        <f t="shared" si="2"/>
        <v>0</v>
      </c>
    </row>
    <row r="89" spans="2:8" hidden="1">
      <c r="B89" s="68" t="str">
        <f>IF(OR($D$3=JU!$F82,$D$3=JU!$I82),JU!B82,"")</f>
        <v/>
      </c>
      <c r="C89" s="6" t="str">
        <f>IF(OR($D$3=JU!$F82,$D$3=JU!$I82),JU!C82,"")</f>
        <v/>
      </c>
      <c r="D89" s="73" t="str">
        <f>IF(OR($D$3=JU!$F82,$D$3=JU!$I82),JU!D82,"")</f>
        <v/>
      </c>
      <c r="E89" s="74" t="str">
        <f>IF(OR($D$3=JU!$F82,$D$3=JU!$I82),JU!E82,"")</f>
        <v/>
      </c>
      <c r="F89" s="72">
        <f>IF($D$3=JU!F82,JU!H82,0)</f>
        <v>0</v>
      </c>
      <c r="G89" s="72">
        <f>IF($D$3=JU!I82,JU!K82,0)</f>
        <v>0</v>
      </c>
      <c r="H89" s="72">
        <f t="shared" si="2"/>
        <v>0</v>
      </c>
    </row>
    <row r="90" spans="2:8" hidden="1">
      <c r="B90" s="68" t="str">
        <f>IF(OR($D$3=JU!$F83,$D$3=JU!$I83),JU!B83,"")</f>
        <v/>
      </c>
      <c r="C90" s="6" t="str">
        <f>IF(OR($D$3=JU!$F83,$D$3=JU!$I83),JU!C83,"")</f>
        <v/>
      </c>
      <c r="D90" s="73" t="str">
        <f>IF(OR($D$3=JU!$F83,$D$3=JU!$I83),JU!D83,"")</f>
        <v/>
      </c>
      <c r="E90" s="74" t="str">
        <f>IF(OR($D$3=JU!$F83,$D$3=JU!$I83),JU!E83,"")</f>
        <v/>
      </c>
      <c r="F90" s="72">
        <f>IF($D$3=JU!F83,JU!H83,0)</f>
        <v>0</v>
      </c>
      <c r="G90" s="72">
        <f>IF($D$3=JU!I83,JU!K83,0)</f>
        <v>0</v>
      </c>
      <c r="H90" s="72">
        <f t="shared" si="2"/>
        <v>0</v>
      </c>
    </row>
    <row r="91" spans="2:8">
      <c r="B91" s="68">
        <f>IF(OR($D$3=JU!$F84,$D$3=JU!$I84),JU!B84,"")</f>
        <v>46035</v>
      </c>
      <c r="C91" s="6" t="str">
        <f>IF(OR($D$3=JU!$F84,$D$3=JU!$I84),JU!C84,"")</f>
        <v>PEMBAYARAN PENGGABUNGAN SERTIFIKAT TAHAP 2 DAN TAHAP 3</v>
      </c>
      <c r="D91" s="73" t="str">
        <f>IF(OR($D$3=JU!$F84,$D$3=JU!$I84),JU!D84,"")</f>
        <v>By. Biaya PEMBAYARAN PENGGABUNGAN SERTIFIKAT TAHAP 2 DAN TAHAP 3</v>
      </c>
      <c r="E91" s="74">
        <f>IF(OR($D$3=JU!$F84,$D$3=JU!$I84),JU!E84,"")</f>
        <v>0</v>
      </c>
      <c r="F91" s="72">
        <f>IF($D$3=JU!F84,JU!H84,0)</f>
        <v>1418000</v>
      </c>
      <c r="G91" s="72">
        <f>IF($D$3=JU!I84,JU!K84,0)</f>
        <v>0</v>
      </c>
      <c r="H91" s="72">
        <f t="shared" si="2"/>
        <v>1418000</v>
      </c>
    </row>
    <row r="92" spans="2:8" hidden="1">
      <c r="B92" s="68" t="str">
        <f>IF(OR($D$3=JU!$F85,$D$3=JU!$I85),JU!B85,"")</f>
        <v/>
      </c>
      <c r="C92" s="6" t="str">
        <f>IF(OR($D$3=JU!$F85,$D$3=JU!$I85),JU!C85,"")</f>
        <v/>
      </c>
      <c r="D92" s="73" t="str">
        <f>IF(OR($D$3=JU!$F85,$D$3=JU!$I85),JU!D85,"")</f>
        <v/>
      </c>
      <c r="E92" s="74" t="str">
        <f>IF(OR($D$3=JU!$F85,$D$3=JU!$I85),JU!E85,"")</f>
        <v/>
      </c>
      <c r="F92" s="72">
        <f>IF($D$3=JU!F85,JU!H85,0)</f>
        <v>0</v>
      </c>
      <c r="G92" s="72">
        <f>IF($D$3=JU!I85,JU!K85,0)</f>
        <v>0</v>
      </c>
      <c r="H92" s="72">
        <f t="shared" si="2"/>
        <v>1418000</v>
      </c>
    </row>
    <row r="93" spans="2:8" hidden="1">
      <c r="B93" s="68" t="str">
        <f>IF(OR($D$3=JU!$F86,$D$3=JU!$I86),JU!B86,"")</f>
        <v/>
      </c>
      <c r="C93" s="6" t="str">
        <f>IF(OR($D$3=JU!$F86,$D$3=JU!$I86),JU!C86,"")</f>
        <v/>
      </c>
      <c r="D93" s="73" t="str">
        <f>IF(OR($D$3=JU!$F86,$D$3=JU!$I86),JU!D86,"")</f>
        <v/>
      </c>
      <c r="E93" s="74" t="str">
        <f>IF(OR($D$3=JU!$F86,$D$3=JU!$I86),JU!E86,"")</f>
        <v/>
      </c>
      <c r="F93" s="72">
        <f>IF($D$3=JU!F86,JU!H86,0)</f>
        <v>0</v>
      </c>
      <c r="G93" s="72">
        <f>IF($D$3=JU!I86,JU!K86,0)</f>
        <v>0</v>
      </c>
      <c r="H93" s="72">
        <f t="shared" si="2"/>
        <v>1418000</v>
      </c>
    </row>
    <row r="94" spans="2:8" hidden="1">
      <c r="B94" s="68" t="str">
        <f>IF(OR($D$3=JU!$F87,$D$3=JU!$I87),JU!B87,"")</f>
        <v/>
      </c>
      <c r="C94" s="6" t="str">
        <f>IF(OR($D$3=JU!$F87,$D$3=JU!$I87),JU!C87,"")</f>
        <v/>
      </c>
      <c r="D94" s="73" t="str">
        <f>IF(OR($D$3=JU!$F87,$D$3=JU!$I87),JU!D87,"")</f>
        <v/>
      </c>
      <c r="E94" s="74" t="str">
        <f>IF(OR($D$3=JU!$F87,$D$3=JU!$I87),JU!E87,"")</f>
        <v/>
      </c>
      <c r="F94" s="72">
        <f>IF($D$3=JU!F87,JU!H87,0)</f>
        <v>0</v>
      </c>
      <c r="G94" s="72">
        <f>IF($D$3=JU!I87,JU!K87,0)</f>
        <v>0</v>
      </c>
      <c r="H94" s="72">
        <f t="shared" si="2"/>
        <v>1418000</v>
      </c>
    </row>
    <row r="95" spans="2:8" hidden="1">
      <c r="B95" s="68" t="str">
        <f>IF(OR($D$3=JU!$F88,$D$3=JU!$I88),JU!B88,"")</f>
        <v/>
      </c>
      <c r="C95" s="6" t="str">
        <f>IF(OR($D$3=JU!$F88,$D$3=JU!$I88),JU!C88,"")</f>
        <v/>
      </c>
      <c r="D95" s="73" t="str">
        <f>IF(OR($D$3=JU!$F88,$D$3=JU!$I88),JU!D88,"")</f>
        <v/>
      </c>
      <c r="E95" s="74" t="str">
        <f>IF(OR($D$3=JU!$F88,$D$3=JU!$I88),JU!E88,"")</f>
        <v/>
      </c>
      <c r="F95" s="72">
        <f>IF($D$3=JU!F88,JU!H88,0)</f>
        <v>0</v>
      </c>
      <c r="G95" s="72">
        <f>IF($D$3=JU!I88,JU!K88,0)</f>
        <v>0</v>
      </c>
      <c r="H95" s="72">
        <f t="shared" si="2"/>
        <v>1418000</v>
      </c>
    </row>
    <row r="96" spans="2:8" hidden="1">
      <c r="B96" s="68" t="str">
        <f>IF(OR($D$3=JU!$F89,$D$3=JU!$I89),JU!B89,"")</f>
        <v/>
      </c>
      <c r="C96" s="6" t="str">
        <f>IF(OR($D$3=JU!$F89,$D$3=JU!$I89),JU!C89,"")</f>
        <v/>
      </c>
      <c r="D96" s="73" t="str">
        <f>IF(OR($D$3=JU!$F89,$D$3=JU!$I89),JU!D89,"")</f>
        <v/>
      </c>
      <c r="E96" s="74" t="str">
        <f>IF(OR($D$3=JU!$F89,$D$3=JU!$I89),JU!E89,"")</f>
        <v/>
      </c>
      <c r="F96" s="72">
        <f>IF($D$3=JU!F89,JU!H89,0)</f>
        <v>0</v>
      </c>
      <c r="G96" s="72">
        <f>IF($D$3=JU!I89,JU!K89,0)</f>
        <v>0</v>
      </c>
      <c r="H96" s="72">
        <f t="shared" si="2"/>
        <v>1418000</v>
      </c>
    </row>
    <row r="97" spans="2:8" hidden="1">
      <c r="B97" s="68" t="str">
        <f>IF(OR($D$3=JU!$F90,$D$3=JU!$I90),JU!B90,"")</f>
        <v/>
      </c>
      <c r="C97" s="6" t="str">
        <f>IF(OR($D$3=JU!$F90,$D$3=JU!$I90),JU!C90,"")</f>
        <v/>
      </c>
      <c r="D97" s="73" t="str">
        <f>IF(OR($D$3=JU!$F90,$D$3=JU!$I90),JU!D90,"")</f>
        <v/>
      </c>
      <c r="E97" s="74" t="str">
        <f>IF(OR($D$3=JU!$F90,$D$3=JU!$I90),JU!E90,"")</f>
        <v/>
      </c>
      <c r="F97" s="72">
        <f>IF($D$3=JU!F90,JU!H90,0)</f>
        <v>0</v>
      </c>
      <c r="G97" s="72">
        <f>IF($D$3=JU!I90,JU!K90,0)</f>
        <v>0</v>
      </c>
      <c r="H97" s="72">
        <f t="shared" si="2"/>
        <v>1418000</v>
      </c>
    </row>
    <row r="98" spans="2:8" hidden="1">
      <c r="B98" s="68" t="str">
        <f>IF(OR($D$3=JU!$F91,$D$3=JU!$I91),JU!B91,"")</f>
        <v/>
      </c>
      <c r="C98" s="6" t="str">
        <f>IF(OR($D$3=JU!$F91,$D$3=JU!$I91),JU!C91,"")</f>
        <v/>
      </c>
      <c r="D98" s="73" t="str">
        <f>IF(OR($D$3=JU!$F91,$D$3=JU!$I91),JU!D91,"")</f>
        <v/>
      </c>
      <c r="E98" s="74" t="str">
        <f>IF(OR($D$3=JU!$F91,$D$3=JU!$I91),JU!E91,"")</f>
        <v/>
      </c>
      <c r="F98" s="72">
        <f>IF($D$3=JU!F91,JU!H91,0)</f>
        <v>0</v>
      </c>
      <c r="G98" s="72">
        <f>IF($D$3=JU!I91,JU!K91,0)</f>
        <v>0</v>
      </c>
      <c r="H98" s="72">
        <f t="shared" si="2"/>
        <v>1418000</v>
      </c>
    </row>
    <row r="99" spans="2:8" hidden="1">
      <c r="B99" s="68" t="str">
        <f>IF(OR($D$3=JU!$F92,$D$3=JU!$I92),JU!B92,"")</f>
        <v/>
      </c>
      <c r="C99" s="6" t="str">
        <f>IF(OR($D$3=JU!$F92,$D$3=JU!$I92),JU!C92,"")</f>
        <v/>
      </c>
      <c r="D99" s="73" t="str">
        <f>IF(OR($D$3=JU!$F92,$D$3=JU!$I92),JU!D92,"")</f>
        <v/>
      </c>
      <c r="E99" s="74" t="str">
        <f>IF(OR($D$3=JU!$F92,$D$3=JU!$I92),JU!E92,"")</f>
        <v/>
      </c>
      <c r="F99" s="72">
        <f>IF($D$3=JU!F92,JU!H92,0)</f>
        <v>0</v>
      </c>
      <c r="G99" s="72">
        <f>IF($D$3=JU!I92,JU!K92,0)</f>
        <v>0</v>
      </c>
      <c r="H99" s="72">
        <f t="shared" si="2"/>
        <v>1418000</v>
      </c>
    </row>
    <row r="100" spans="2:8" hidden="1">
      <c r="B100" s="68" t="str">
        <f>IF(OR($D$3=JU!$F93,$D$3=JU!$I93),JU!B93,"")</f>
        <v/>
      </c>
      <c r="C100" s="6" t="str">
        <f>IF(OR($D$3=JU!$F93,$D$3=JU!$I93),JU!C93,"")</f>
        <v/>
      </c>
      <c r="D100" s="73" t="str">
        <f>IF(OR($D$3=JU!$F93,$D$3=JU!$I93),JU!D93,"")</f>
        <v/>
      </c>
      <c r="E100" s="74" t="str">
        <f>IF(OR($D$3=JU!$F93,$D$3=JU!$I93),JU!E93,"")</f>
        <v/>
      </c>
      <c r="F100" s="72">
        <f>IF($D$3=JU!F93,JU!H93,0)</f>
        <v>0</v>
      </c>
      <c r="G100" s="72">
        <f>IF($D$3=JU!I93,JU!K93,0)</f>
        <v>0</v>
      </c>
      <c r="H100" s="72">
        <f t="shared" si="2"/>
        <v>1418000</v>
      </c>
    </row>
    <row r="101" spans="2:8" hidden="1">
      <c r="B101" s="68" t="str">
        <f>IF(OR($D$3=JU!$F94,$D$3=JU!$I94),JU!B94,"")</f>
        <v/>
      </c>
      <c r="C101" s="6" t="str">
        <f>IF(OR($D$3=JU!$F94,$D$3=JU!$I94),JU!C94,"")</f>
        <v/>
      </c>
      <c r="D101" s="73" t="str">
        <f>IF(OR($D$3=JU!$F94,$D$3=JU!$I94),JU!D94,"")</f>
        <v/>
      </c>
      <c r="E101" s="74" t="str">
        <f>IF(OR($D$3=JU!$F94,$D$3=JU!$I94),JU!E94,"")</f>
        <v/>
      </c>
      <c r="F101" s="72">
        <f>IF($D$3=JU!F94,JU!H94,0)</f>
        <v>0</v>
      </c>
      <c r="G101" s="72">
        <f>IF($D$3=JU!I94,JU!K94,0)</f>
        <v>0</v>
      </c>
      <c r="H101" s="72">
        <f t="shared" si="2"/>
        <v>1418000</v>
      </c>
    </row>
    <row r="102" spans="2:8" hidden="1">
      <c r="B102" s="68" t="str">
        <f>IF(OR($D$3=JU!$F95,$D$3=JU!$I95),JU!B95,"")</f>
        <v/>
      </c>
      <c r="C102" s="6" t="str">
        <f>IF(OR($D$3=JU!$F95,$D$3=JU!$I95),JU!C95,"")</f>
        <v/>
      </c>
      <c r="D102" s="73" t="str">
        <f>IF(OR($D$3=JU!$F95,$D$3=JU!$I95),JU!D95,"")</f>
        <v/>
      </c>
      <c r="E102" s="74" t="str">
        <f>IF(OR($D$3=JU!$F95,$D$3=JU!$I95),JU!E95,"")</f>
        <v/>
      </c>
      <c r="F102" s="72">
        <f>IF($D$3=JU!F95,JU!H95,0)</f>
        <v>0</v>
      </c>
      <c r="G102" s="72">
        <f>IF($D$3=JU!I95,JU!K95,0)</f>
        <v>0</v>
      </c>
      <c r="H102" s="72">
        <f t="shared" si="2"/>
        <v>1418000</v>
      </c>
    </row>
    <row r="103" spans="2:8" hidden="1">
      <c r="B103" s="68" t="str">
        <f>IF(OR($D$3=JU!$F96,$D$3=JU!$I96),JU!B96,"")</f>
        <v/>
      </c>
      <c r="C103" s="6" t="str">
        <f>IF(OR($D$3=JU!$F96,$D$3=JU!$I96),JU!C96,"")</f>
        <v/>
      </c>
      <c r="D103" s="73" t="str">
        <f>IF(OR($D$3=JU!$F96,$D$3=JU!$I96),JU!D96,"")</f>
        <v/>
      </c>
      <c r="E103" s="74" t="str">
        <f>IF(OR($D$3=JU!$F96,$D$3=JU!$I96),JU!E96,"")</f>
        <v/>
      </c>
      <c r="F103" s="72">
        <f>IF($D$3=JU!F96,JU!H96,0)</f>
        <v>0</v>
      </c>
      <c r="G103" s="72">
        <f>IF($D$3=JU!I96,JU!K96,0)</f>
        <v>0</v>
      </c>
      <c r="H103" s="72">
        <f t="shared" si="2"/>
        <v>1418000</v>
      </c>
    </row>
    <row r="104" spans="2:8" hidden="1">
      <c r="B104" s="68" t="str">
        <f>IF(OR($D$3=JU!$F97,$D$3=JU!$I97),JU!B97,"")</f>
        <v/>
      </c>
      <c r="C104" s="6" t="str">
        <f>IF(OR($D$3=JU!$F97,$D$3=JU!$I97),JU!C97,"")</f>
        <v/>
      </c>
      <c r="D104" s="73" t="str">
        <f>IF(OR($D$3=JU!$F97,$D$3=JU!$I97),JU!D97,"")</f>
        <v/>
      </c>
      <c r="E104" s="74" t="str">
        <f>IF(OR($D$3=JU!$F97,$D$3=JU!$I97),JU!E97,"")</f>
        <v/>
      </c>
      <c r="F104" s="72">
        <f>IF($D$3=JU!F97,JU!H97,0)</f>
        <v>0</v>
      </c>
      <c r="G104" s="72">
        <f>IF($D$3=JU!I97,JU!K97,0)</f>
        <v>0</v>
      </c>
      <c r="H104" s="72">
        <f t="shared" si="2"/>
        <v>1418000</v>
      </c>
    </row>
    <row r="105" spans="2:8" hidden="1">
      <c r="B105" s="68" t="str">
        <f>IF(OR($D$3=JU!$F98,$D$3=JU!$I98),JU!B98,"")</f>
        <v/>
      </c>
      <c r="C105" s="6" t="str">
        <f>IF(OR($D$3=JU!$F98,$D$3=JU!$I98),JU!C98,"")</f>
        <v/>
      </c>
      <c r="D105" s="73" t="str">
        <f>IF(OR($D$3=JU!$F98,$D$3=JU!$I98),JU!D98,"")</f>
        <v/>
      </c>
      <c r="E105" s="74" t="str">
        <f>IF(OR($D$3=JU!$F98,$D$3=JU!$I98),JU!E98,"")</f>
        <v/>
      </c>
      <c r="F105" s="72">
        <f>IF($D$3=JU!F98,JU!H98,0)</f>
        <v>0</v>
      </c>
      <c r="G105" s="72">
        <f>IF($D$3=JU!I98,JU!K98,0)</f>
        <v>0</v>
      </c>
      <c r="H105" s="72">
        <f t="shared" si="2"/>
        <v>1418000</v>
      </c>
    </row>
    <row r="106" spans="2:8" hidden="1">
      <c r="B106" s="68" t="str">
        <f>IF(OR($D$3=JU!$F99,$D$3=JU!$I99),JU!B99,"")</f>
        <v/>
      </c>
      <c r="C106" s="6" t="str">
        <f>IF(OR($D$3=JU!$F99,$D$3=JU!$I99),JU!C99,"")</f>
        <v/>
      </c>
      <c r="D106" s="73" t="str">
        <f>IF(OR($D$3=JU!$F99,$D$3=JU!$I99),JU!D99,"")</f>
        <v/>
      </c>
      <c r="E106" s="74" t="str">
        <f>IF(OR($D$3=JU!$F99,$D$3=JU!$I99),JU!E99,"")</f>
        <v/>
      </c>
      <c r="F106" s="72">
        <f>IF($D$3=JU!F99,JU!H99,0)</f>
        <v>0</v>
      </c>
      <c r="G106" s="72">
        <f>IF($D$3=JU!I99,JU!K99,0)</f>
        <v>0</v>
      </c>
      <c r="H106" s="72">
        <f t="shared" si="2"/>
        <v>1418000</v>
      </c>
    </row>
    <row r="107" spans="2:8" hidden="1">
      <c r="B107" s="68" t="str">
        <f>IF(OR($D$3=JU!$F100,$D$3=JU!$I100),JU!B100,"")</f>
        <v/>
      </c>
      <c r="C107" s="6" t="str">
        <f>IF(OR($D$3=JU!$F100,$D$3=JU!$I100),JU!C100,"")</f>
        <v/>
      </c>
      <c r="D107" s="73" t="str">
        <f>IF(OR($D$3=JU!$F100,$D$3=JU!$I100),JU!D100,"")</f>
        <v/>
      </c>
      <c r="E107" s="74" t="str">
        <f>IF(OR($D$3=JU!$F100,$D$3=JU!$I100),JU!E100,"")</f>
        <v/>
      </c>
      <c r="F107" s="72">
        <f>IF($D$3=JU!F100,JU!H100,0)</f>
        <v>0</v>
      </c>
      <c r="G107" s="72">
        <f>IF($D$3=JU!I100,JU!K100,0)</f>
        <v>0</v>
      </c>
      <c r="H107" s="72">
        <f t="shared" si="2"/>
        <v>1418000</v>
      </c>
    </row>
    <row r="108" spans="2:8" hidden="1">
      <c r="B108" s="68" t="str">
        <f>IF(OR($D$3=JU!$F101,$D$3=JU!$I101),JU!B101,"")</f>
        <v/>
      </c>
      <c r="C108" s="6" t="str">
        <f>IF(OR($D$3=JU!$F101,$D$3=JU!$I101),JU!C101,"")</f>
        <v/>
      </c>
      <c r="D108" s="73" t="str">
        <f>IF(OR($D$3=JU!$F101,$D$3=JU!$I101),JU!D101,"")</f>
        <v/>
      </c>
      <c r="E108" s="74" t="str">
        <f>IF(OR($D$3=JU!$F101,$D$3=JU!$I101),JU!E101,"")</f>
        <v/>
      </c>
      <c r="F108" s="72">
        <f>IF($D$3=JU!F101,JU!H101,0)</f>
        <v>0</v>
      </c>
      <c r="G108" s="72">
        <f>IF($D$3=JU!I101,JU!K101,0)</f>
        <v>0</v>
      </c>
      <c r="H108" s="72">
        <f t="shared" si="2"/>
        <v>1418000</v>
      </c>
    </row>
    <row r="109" spans="2:8" hidden="1">
      <c r="B109" s="68" t="str">
        <f>IF(OR($D$3=JU!$F102,$D$3=JU!$I102),JU!B102,"")</f>
        <v/>
      </c>
      <c r="C109" s="6" t="str">
        <f>IF(OR($D$3=JU!$F102,$D$3=JU!$I102),JU!C102,"")</f>
        <v/>
      </c>
      <c r="D109" s="73" t="str">
        <f>IF(OR($D$3=JU!$F102,$D$3=JU!$I102),JU!D102,"")</f>
        <v/>
      </c>
      <c r="E109" s="74" t="str">
        <f>IF(OR($D$3=JU!$F102,$D$3=JU!$I102),JU!E102,"")</f>
        <v/>
      </c>
      <c r="F109" s="72">
        <f>IF($D$3=JU!F102,JU!H102,0)</f>
        <v>0</v>
      </c>
      <c r="G109" s="72">
        <f>IF($D$3=JU!I102,JU!K102,0)</f>
        <v>0</v>
      </c>
      <c r="H109" s="72">
        <f t="shared" si="2"/>
        <v>1418000</v>
      </c>
    </row>
    <row r="110" spans="2:8" hidden="1">
      <c r="B110" s="68" t="str">
        <f>IF(OR($D$3=JU!$F103,$D$3=JU!$I103),JU!B103,"")</f>
        <v/>
      </c>
      <c r="C110" s="6" t="str">
        <f>IF(OR($D$3=JU!$F103,$D$3=JU!$I103),JU!C103,"")</f>
        <v/>
      </c>
      <c r="D110" s="73" t="str">
        <f>IF(OR($D$3=JU!$F103,$D$3=JU!$I103),JU!D103,"")</f>
        <v/>
      </c>
      <c r="E110" s="74" t="str">
        <f>IF(OR($D$3=JU!$F103,$D$3=JU!$I103),JU!E103,"")</f>
        <v/>
      </c>
      <c r="F110" s="72">
        <f>IF($D$3=JU!F103,JU!H103,0)</f>
        <v>0</v>
      </c>
      <c r="G110" s="72">
        <f>IF($D$3=JU!I103,JU!K103,0)</f>
        <v>0</v>
      </c>
      <c r="H110" s="72">
        <f t="shared" si="2"/>
        <v>1418000</v>
      </c>
    </row>
    <row r="111" spans="2:8" hidden="1">
      <c r="B111" s="68" t="str">
        <f>IF(OR($D$3=JU!$F104,$D$3=JU!$I104),JU!B104,"")</f>
        <v/>
      </c>
      <c r="C111" s="6" t="str">
        <f>IF(OR($D$3=JU!$F104,$D$3=JU!$I104),JU!C104,"")</f>
        <v/>
      </c>
      <c r="D111" s="73" t="str">
        <f>IF(OR($D$3=JU!$F104,$D$3=JU!$I104),JU!D104,"")</f>
        <v/>
      </c>
      <c r="E111" s="74" t="str">
        <f>IF(OR($D$3=JU!$F104,$D$3=JU!$I104),JU!E104,"")</f>
        <v/>
      </c>
      <c r="F111" s="72">
        <f>IF($D$3=JU!F104,JU!H104,0)</f>
        <v>0</v>
      </c>
      <c r="G111" s="72">
        <f>IF($D$3=JU!I104,JU!K104,0)</f>
        <v>0</v>
      </c>
      <c r="H111" s="72">
        <f t="shared" si="2"/>
        <v>1418000</v>
      </c>
    </row>
    <row r="112" spans="2:8" hidden="1">
      <c r="B112" s="68" t="str">
        <f>IF(OR($D$3=JU!$F105,$D$3=JU!$I105),JU!B105,"")</f>
        <v/>
      </c>
      <c r="C112" s="6" t="str">
        <f>IF(OR($D$3=JU!$F105,$D$3=JU!$I105),JU!C105,"")</f>
        <v/>
      </c>
      <c r="D112" s="73" t="str">
        <f>IF(OR($D$3=JU!$F105,$D$3=JU!$I105),JU!D105,"")</f>
        <v/>
      </c>
      <c r="E112" s="74" t="str">
        <f>IF(OR($D$3=JU!$F105,$D$3=JU!$I105),JU!E105,"")</f>
        <v/>
      </c>
      <c r="F112" s="72">
        <f>IF($D$3=JU!F105,JU!H105,0)</f>
        <v>0</v>
      </c>
      <c r="G112" s="72">
        <f>IF($D$3=JU!I105,JU!K105,0)</f>
        <v>0</v>
      </c>
      <c r="H112" s="72">
        <f t="shared" si="2"/>
        <v>1418000</v>
      </c>
    </row>
    <row r="113" spans="2:8" hidden="1">
      <c r="B113" s="68" t="str">
        <f>IF(OR($D$3=JU!$F106,$D$3=JU!$I106),JU!B106,"")</f>
        <v/>
      </c>
      <c r="C113" s="6" t="str">
        <f>IF(OR($D$3=JU!$F106,$D$3=JU!$I106),JU!C106,"")</f>
        <v/>
      </c>
      <c r="D113" s="73" t="str">
        <f>IF(OR($D$3=JU!$F106,$D$3=JU!$I106),JU!D106,"")</f>
        <v/>
      </c>
      <c r="E113" s="74" t="str">
        <f>IF(OR($D$3=JU!$F106,$D$3=JU!$I106),JU!E106,"")</f>
        <v/>
      </c>
      <c r="F113" s="72">
        <f>IF($D$3=JU!F106,JU!H106,0)</f>
        <v>0</v>
      </c>
      <c r="G113" s="72">
        <f>IF($D$3=JU!I106,JU!K106,0)</f>
        <v>0</v>
      </c>
      <c r="H113" s="72">
        <f t="shared" si="2"/>
        <v>1418000</v>
      </c>
    </row>
    <row r="114" spans="2:8" hidden="1">
      <c r="B114" s="68" t="str">
        <f>IF(OR($D$3=JU!$F107,$D$3=JU!$I107),JU!B107,"")</f>
        <v/>
      </c>
      <c r="C114" s="6" t="str">
        <f>IF(OR($D$3=JU!$F107,$D$3=JU!$I107),JU!C107,"")</f>
        <v/>
      </c>
      <c r="D114" s="73" t="str">
        <f>IF(OR($D$3=JU!$F107,$D$3=JU!$I107),JU!D107,"")</f>
        <v/>
      </c>
      <c r="E114" s="74" t="str">
        <f>IF(OR($D$3=JU!$F107,$D$3=JU!$I107),JU!E107,"")</f>
        <v/>
      </c>
      <c r="F114" s="72">
        <f>IF($D$3=JU!F107,JU!H107,0)</f>
        <v>0</v>
      </c>
      <c r="G114" s="72">
        <f>IF($D$3=JU!I107,JU!K107,0)</f>
        <v>0</v>
      </c>
      <c r="H114" s="72">
        <f t="shared" si="2"/>
        <v>1418000</v>
      </c>
    </row>
    <row r="115" spans="2:8" hidden="1">
      <c r="B115" s="68" t="str">
        <f>IF(OR($D$3=JU!$F108,$D$3=JU!$I108),JU!B108,"")</f>
        <v/>
      </c>
      <c r="C115" s="6" t="str">
        <f>IF(OR($D$3=JU!$F108,$D$3=JU!$I108),JU!C108,"")</f>
        <v/>
      </c>
      <c r="D115" s="73" t="str">
        <f>IF(OR($D$3=JU!$F108,$D$3=JU!$I108),JU!D108,"")</f>
        <v/>
      </c>
      <c r="E115" s="74" t="str">
        <f>IF(OR($D$3=JU!$F108,$D$3=JU!$I108),JU!E108,"")</f>
        <v/>
      </c>
      <c r="F115" s="72">
        <f>IF($D$3=JU!F108,JU!H108,0)</f>
        <v>0</v>
      </c>
      <c r="G115" s="72">
        <f>IF($D$3=JU!I108,JU!K108,0)</f>
        <v>0</v>
      </c>
      <c r="H115" s="72">
        <f t="shared" si="2"/>
        <v>1418000</v>
      </c>
    </row>
    <row r="116" spans="2:8" hidden="1">
      <c r="B116" s="68" t="str">
        <f>IF(OR($D$3=JU!$F109,$D$3=JU!$I109),JU!B109,"")</f>
        <v/>
      </c>
      <c r="C116" s="6" t="str">
        <f>IF(OR($D$3=JU!$F109,$D$3=JU!$I109),JU!C109,"")</f>
        <v/>
      </c>
      <c r="D116" s="73" t="str">
        <f>IF(OR($D$3=JU!$F109,$D$3=JU!$I109),JU!D109,"")</f>
        <v/>
      </c>
      <c r="E116" s="74" t="str">
        <f>IF(OR($D$3=JU!$F109,$D$3=JU!$I109),JU!E109,"")</f>
        <v/>
      </c>
      <c r="F116" s="72">
        <f>IF($D$3=JU!F109,JU!H109,0)</f>
        <v>0</v>
      </c>
      <c r="G116" s="72">
        <f>IF($D$3=JU!I109,JU!K109,0)</f>
        <v>0</v>
      </c>
      <c r="H116" s="72">
        <f t="shared" si="2"/>
        <v>1418000</v>
      </c>
    </row>
    <row r="117" spans="2:8" hidden="1">
      <c r="B117" s="68" t="str">
        <f>IF(OR($D$3=JU!$F110,$D$3=JU!$I110),JU!B110,"")</f>
        <v/>
      </c>
      <c r="C117" s="6" t="str">
        <f>IF(OR($D$3=JU!$F110,$D$3=JU!$I110),JU!C110,"")</f>
        <v/>
      </c>
      <c r="D117" s="73" t="str">
        <f>IF(OR($D$3=JU!$F110,$D$3=JU!$I110),JU!D110,"")</f>
        <v/>
      </c>
      <c r="E117" s="74" t="str">
        <f>IF(OR($D$3=JU!$F110,$D$3=JU!$I110),JU!E110,"")</f>
        <v/>
      </c>
      <c r="F117" s="72">
        <f>IF($D$3=JU!F110,JU!H110,0)</f>
        <v>0</v>
      </c>
      <c r="G117" s="72">
        <f>IF($D$3=JU!I110,JU!K110,0)</f>
        <v>0</v>
      </c>
      <c r="H117" s="72">
        <f t="shared" si="2"/>
        <v>1418000</v>
      </c>
    </row>
    <row r="118" spans="2:8" hidden="1">
      <c r="B118" s="68" t="str">
        <f>IF(OR($D$3=JU!$F111,$D$3=JU!$I111),JU!B111,"")</f>
        <v/>
      </c>
      <c r="C118" s="6" t="str">
        <f>IF(OR($D$3=JU!$F111,$D$3=JU!$I111),JU!C111,"")</f>
        <v/>
      </c>
      <c r="D118" s="73" t="str">
        <f>IF(OR($D$3=JU!$F111,$D$3=JU!$I111),JU!D111,"")</f>
        <v/>
      </c>
      <c r="E118" s="74" t="str">
        <f>IF(OR($D$3=JU!$F111,$D$3=JU!$I111),JU!E111,"")</f>
        <v/>
      </c>
      <c r="F118" s="72">
        <f>IF($D$3=JU!F111,JU!H111,0)</f>
        <v>0</v>
      </c>
      <c r="G118" s="72">
        <f>IF($D$3=JU!I111,JU!K111,0)</f>
        <v>0</v>
      </c>
      <c r="H118" s="72">
        <f t="shared" si="2"/>
        <v>1418000</v>
      </c>
    </row>
    <row r="119" spans="2:8" hidden="1">
      <c r="B119" s="68" t="str">
        <f>IF(OR($D$3=JU!$F112,$D$3=JU!$I112),JU!B112,"")</f>
        <v/>
      </c>
      <c r="C119" s="6" t="str">
        <f>IF(OR($D$3=JU!$F112,$D$3=JU!$I112),JU!C112,"")</f>
        <v/>
      </c>
      <c r="D119" s="73" t="str">
        <f>IF(OR($D$3=JU!$F112,$D$3=JU!$I112),JU!D112,"")</f>
        <v/>
      </c>
      <c r="E119" s="74" t="str">
        <f>IF(OR($D$3=JU!$F112,$D$3=JU!$I112),JU!E112,"")</f>
        <v/>
      </c>
      <c r="F119" s="72">
        <f>IF($D$3=JU!F112,JU!H112,0)</f>
        <v>0</v>
      </c>
      <c r="G119" s="72">
        <f>IF($D$3=JU!I112,JU!K112,0)</f>
        <v>0</v>
      </c>
      <c r="H119" s="72">
        <f t="shared" si="2"/>
        <v>1418000</v>
      </c>
    </row>
    <row r="120" spans="2:8" hidden="1">
      <c r="B120" s="68" t="str">
        <f>IF(OR($D$3=JU!$F113,$D$3=JU!$I113),JU!B113,"")</f>
        <v/>
      </c>
      <c r="C120" s="6" t="str">
        <f>IF(OR($D$3=JU!$F113,$D$3=JU!$I113),JU!C113,"")</f>
        <v/>
      </c>
      <c r="D120" s="73" t="str">
        <f>IF(OR($D$3=JU!$F113,$D$3=JU!$I113),JU!D113,"")</f>
        <v/>
      </c>
      <c r="E120" s="74" t="str">
        <f>IF(OR($D$3=JU!$F113,$D$3=JU!$I113),JU!E113,"")</f>
        <v/>
      </c>
      <c r="F120" s="72">
        <f>IF($D$3=JU!F113,JU!H113,0)</f>
        <v>0</v>
      </c>
      <c r="G120" s="72">
        <f>IF($D$3=JU!I113,JU!K113,0)</f>
        <v>0</v>
      </c>
      <c r="H120" s="72">
        <f t="shared" si="2"/>
        <v>1418000</v>
      </c>
    </row>
    <row r="121" spans="2:8" hidden="1">
      <c r="B121" s="68" t="str">
        <f>IF(OR($D$3=JU!$F114,$D$3=JU!$I114),JU!B114,"")</f>
        <v/>
      </c>
      <c r="C121" s="6" t="str">
        <f>IF(OR($D$3=JU!$F114,$D$3=JU!$I114),JU!C114,"")</f>
        <v/>
      </c>
      <c r="D121" s="73" t="str">
        <f>IF(OR($D$3=JU!$F114,$D$3=JU!$I114),JU!D114,"")</f>
        <v/>
      </c>
      <c r="E121" s="74" t="str">
        <f>IF(OR($D$3=JU!$F114,$D$3=JU!$I114),JU!E114,"")</f>
        <v/>
      </c>
      <c r="F121" s="72">
        <f>IF($D$3=JU!F114,JU!H114,0)</f>
        <v>0</v>
      </c>
      <c r="G121" s="72">
        <f>IF($D$3=JU!I114,JU!K114,0)</f>
        <v>0</v>
      </c>
      <c r="H121" s="72">
        <f t="shared" si="2"/>
        <v>1418000</v>
      </c>
    </row>
    <row r="122" spans="2:8" hidden="1">
      <c r="B122" s="68" t="str">
        <f>IF(OR($D$3=JU!$F115,$D$3=JU!$I115),JU!B115,"")</f>
        <v/>
      </c>
      <c r="C122" s="6" t="str">
        <f>IF(OR($D$3=JU!$F115,$D$3=JU!$I115),JU!C115,"")</f>
        <v/>
      </c>
      <c r="D122" s="73" t="str">
        <f>IF(OR($D$3=JU!$F115,$D$3=JU!$I115),JU!D115,"")</f>
        <v/>
      </c>
      <c r="E122" s="74" t="str">
        <f>IF(OR($D$3=JU!$F115,$D$3=JU!$I115),JU!E115,"")</f>
        <v/>
      </c>
      <c r="F122" s="72">
        <f>IF($D$3=JU!F115,JU!H115,0)</f>
        <v>0</v>
      </c>
      <c r="G122" s="72">
        <f>IF($D$3=JU!I115,JU!K115,0)</f>
        <v>0</v>
      </c>
      <c r="H122" s="72">
        <f t="shared" si="2"/>
        <v>1418000</v>
      </c>
    </row>
    <row r="123" spans="2:8" hidden="1">
      <c r="B123" s="68" t="str">
        <f>IF(OR($D$3=JU!$F116,$D$3=JU!$I116),JU!B116,"")</f>
        <v/>
      </c>
      <c r="C123" s="6" t="str">
        <f>IF(OR($D$3=JU!$F116,$D$3=JU!$I116),JU!C116,"")</f>
        <v/>
      </c>
      <c r="D123" s="73" t="str">
        <f>IF(OR($D$3=JU!$F116,$D$3=JU!$I116),JU!D116,"")</f>
        <v/>
      </c>
      <c r="E123" s="74" t="str">
        <f>IF(OR($D$3=JU!$F116,$D$3=JU!$I116),JU!E116,"")</f>
        <v/>
      </c>
      <c r="F123" s="72">
        <f>IF($D$3=JU!F116,JU!H116,0)</f>
        <v>0</v>
      </c>
      <c r="G123" s="72">
        <f>IF($D$3=JU!I116,JU!K116,0)</f>
        <v>0</v>
      </c>
      <c r="H123" s="72">
        <f t="shared" si="2"/>
        <v>1418000</v>
      </c>
    </row>
    <row r="124" spans="2:8" hidden="1">
      <c r="B124" s="68" t="str">
        <f>IF(OR($D$3=JU!$F117,$D$3=JU!$I117),JU!B117,"")</f>
        <v/>
      </c>
      <c r="C124" s="6" t="str">
        <f>IF(OR($D$3=JU!$F117,$D$3=JU!$I117),JU!C117,"")</f>
        <v/>
      </c>
      <c r="D124" s="73" t="str">
        <f>IF(OR($D$3=JU!$F117,$D$3=JU!$I117),JU!D117,"")</f>
        <v/>
      </c>
      <c r="E124" s="74" t="str">
        <f>IF(OR($D$3=JU!$F117,$D$3=JU!$I117),JU!E117,"")</f>
        <v/>
      </c>
      <c r="F124" s="72">
        <f>IF($D$3=JU!F117,JU!H117,0)</f>
        <v>0</v>
      </c>
      <c r="G124" s="72">
        <f>IF($D$3=JU!I117,JU!K117,0)</f>
        <v>0</v>
      </c>
      <c r="H124" s="72">
        <f t="shared" si="2"/>
        <v>1418000</v>
      </c>
    </row>
    <row r="125" spans="2:8" hidden="1">
      <c r="B125" s="68" t="str">
        <f>IF(OR($D$3=JU!$F118,$D$3=JU!$I118),JU!B118,"")</f>
        <v/>
      </c>
      <c r="C125" s="6" t="str">
        <f>IF(OR($D$3=JU!$F118,$D$3=JU!$I118),JU!C118,"")</f>
        <v/>
      </c>
      <c r="D125" s="73" t="str">
        <f>IF(OR($D$3=JU!$F118,$D$3=JU!$I118),JU!D118,"")</f>
        <v/>
      </c>
      <c r="E125" s="74" t="str">
        <f>IF(OR($D$3=JU!$F118,$D$3=JU!$I118),JU!E118,"")</f>
        <v/>
      </c>
      <c r="F125" s="72">
        <f>IF($D$3=JU!F118,JU!H118,0)</f>
        <v>0</v>
      </c>
      <c r="G125" s="72">
        <f>IF($D$3=JU!I118,JU!K118,0)</f>
        <v>0</v>
      </c>
      <c r="H125" s="72">
        <f t="shared" si="2"/>
        <v>1418000</v>
      </c>
    </row>
    <row r="126" spans="2:8" hidden="1">
      <c r="B126" s="68" t="str">
        <f>IF(OR($D$3=JU!$F119,$D$3=JU!$I119),JU!B119,"")</f>
        <v/>
      </c>
      <c r="C126" s="6" t="str">
        <f>IF(OR($D$3=JU!$F119,$D$3=JU!$I119),JU!C119,"")</f>
        <v/>
      </c>
      <c r="D126" s="73" t="str">
        <f>IF(OR($D$3=JU!$F119,$D$3=JU!$I119),JU!D119,"")</f>
        <v/>
      </c>
      <c r="E126" s="74" t="str">
        <f>IF(OR($D$3=JU!$F119,$D$3=JU!$I119),JU!E119,"")</f>
        <v/>
      </c>
      <c r="F126" s="72">
        <f>IF($D$3=JU!F119,JU!H119,0)</f>
        <v>0</v>
      </c>
      <c r="G126" s="72">
        <f>IF($D$3=JU!I119,JU!K119,0)</f>
        <v>0</v>
      </c>
      <c r="H126" s="72">
        <f t="shared" si="2"/>
        <v>1418000</v>
      </c>
    </row>
    <row r="127" spans="2:8" hidden="1">
      <c r="B127" s="68" t="str">
        <f>IF(OR($D$3=JU!$F120,$D$3=JU!$I120),JU!B120,"")</f>
        <v/>
      </c>
      <c r="C127" s="6" t="str">
        <f>IF(OR($D$3=JU!$F120,$D$3=JU!$I120),JU!C120,"")</f>
        <v/>
      </c>
      <c r="D127" s="73" t="str">
        <f>IF(OR($D$3=JU!$F120,$D$3=JU!$I120),JU!D120,"")</f>
        <v/>
      </c>
      <c r="E127" s="74" t="str">
        <f>IF(OR($D$3=JU!$F120,$D$3=JU!$I120),JU!E120,"")</f>
        <v/>
      </c>
      <c r="F127" s="72">
        <f>IF($D$3=JU!F120,JU!H120,0)</f>
        <v>0</v>
      </c>
      <c r="G127" s="72">
        <f>IF($D$3=JU!I120,JU!K120,0)</f>
        <v>0</v>
      </c>
      <c r="H127" s="72">
        <f t="shared" si="2"/>
        <v>1418000</v>
      </c>
    </row>
    <row r="128" spans="2:8" hidden="1">
      <c r="B128" s="68" t="str">
        <f>IF(OR($D$3=JU!$F121,$D$3=JU!$I121),JU!B121,"")</f>
        <v/>
      </c>
      <c r="C128" s="6" t="str">
        <f>IF(OR($D$3=JU!$F121,$D$3=JU!$I121),JU!C121,"")</f>
        <v/>
      </c>
      <c r="D128" s="73" t="str">
        <f>IF(OR($D$3=JU!$F121,$D$3=JU!$I121),JU!D121,"")</f>
        <v/>
      </c>
      <c r="E128" s="74" t="str">
        <f>IF(OR($D$3=JU!$F121,$D$3=JU!$I121),JU!E121,"")</f>
        <v/>
      </c>
      <c r="F128" s="72">
        <f>IF($D$3=JU!F121,JU!H121,0)</f>
        <v>0</v>
      </c>
      <c r="G128" s="72">
        <f>IF($D$3=JU!I121,JU!K121,0)</f>
        <v>0</v>
      </c>
      <c r="H128" s="72">
        <f t="shared" si="2"/>
        <v>1418000</v>
      </c>
    </row>
    <row r="129" spans="2:8" hidden="1">
      <c r="B129" s="68" t="str">
        <f>IF(OR($D$3=JU!$F122,$D$3=JU!$I122),JU!B122,"")</f>
        <v/>
      </c>
      <c r="C129" s="6" t="str">
        <f>IF(OR($D$3=JU!$F122,$D$3=JU!$I122),JU!C122,"")</f>
        <v/>
      </c>
      <c r="D129" s="73" t="str">
        <f>IF(OR($D$3=JU!$F122,$D$3=JU!$I122),JU!D122,"")</f>
        <v/>
      </c>
      <c r="E129" s="74" t="str">
        <f>IF(OR($D$3=JU!$F122,$D$3=JU!$I122),JU!E122,"")</f>
        <v/>
      </c>
      <c r="F129" s="72">
        <f>IF($D$3=JU!F122,JU!H122,0)</f>
        <v>0</v>
      </c>
      <c r="G129" s="72">
        <f>IF($D$3=JU!I122,JU!K122,0)</f>
        <v>0</v>
      </c>
      <c r="H129" s="72">
        <f t="shared" si="2"/>
        <v>1418000</v>
      </c>
    </row>
    <row r="130" spans="2:8" hidden="1">
      <c r="B130" s="68" t="str">
        <f>IF(OR($D$3=JU!$F123,$D$3=JU!$I123),JU!B123,"")</f>
        <v/>
      </c>
      <c r="C130" s="6" t="str">
        <f>IF(OR($D$3=JU!$F123,$D$3=JU!$I123),JU!C123,"")</f>
        <v/>
      </c>
      <c r="D130" s="73" t="str">
        <f>IF(OR($D$3=JU!$F123,$D$3=JU!$I123),JU!D123,"")</f>
        <v/>
      </c>
      <c r="E130" s="74" t="str">
        <f>IF(OR($D$3=JU!$F123,$D$3=JU!$I123),JU!E123,"")</f>
        <v/>
      </c>
      <c r="F130" s="72">
        <f>IF($D$3=JU!F123,JU!H123,0)</f>
        <v>0</v>
      </c>
      <c r="G130" s="72">
        <f>IF($D$3=JU!I123,JU!K123,0)</f>
        <v>0</v>
      </c>
      <c r="H130" s="72">
        <f t="shared" si="2"/>
        <v>1418000</v>
      </c>
    </row>
    <row r="131" spans="2:8" hidden="1">
      <c r="B131" s="68" t="str">
        <f>IF(OR($D$3=JU!$F124,$D$3=JU!$I124),JU!B124,"")</f>
        <v/>
      </c>
      <c r="C131" s="6" t="str">
        <f>IF(OR($D$3=JU!$F124,$D$3=JU!$I124),JU!C124,"")</f>
        <v/>
      </c>
      <c r="D131" s="73" t="str">
        <f>IF(OR($D$3=JU!$F124,$D$3=JU!$I124),JU!D124,"")</f>
        <v/>
      </c>
      <c r="E131" s="74" t="str">
        <f>IF(OR($D$3=JU!$F124,$D$3=JU!$I124),JU!E124,"")</f>
        <v/>
      </c>
      <c r="F131" s="72">
        <f>IF($D$3=JU!F124,JU!H124,0)</f>
        <v>0</v>
      </c>
      <c r="G131" s="72">
        <f>IF($D$3=JU!I124,JU!K124,0)</f>
        <v>0</v>
      </c>
      <c r="H131" s="72">
        <f t="shared" si="2"/>
        <v>1418000</v>
      </c>
    </row>
    <row r="132" spans="2:8" hidden="1">
      <c r="B132" s="68" t="str">
        <f>IF(OR($D$3=JU!$F125,$D$3=JU!$I125),JU!B125,"")</f>
        <v/>
      </c>
      <c r="C132" s="6" t="str">
        <f>IF(OR($D$3=JU!$F125,$D$3=JU!$I125),JU!C125,"")</f>
        <v/>
      </c>
      <c r="D132" s="73" t="str">
        <f>IF(OR($D$3=JU!$F125,$D$3=JU!$I125),JU!D125,"")</f>
        <v/>
      </c>
      <c r="E132" s="74" t="str">
        <f>IF(OR($D$3=JU!$F125,$D$3=JU!$I125),JU!E125,"")</f>
        <v/>
      </c>
      <c r="F132" s="72">
        <f>IF($D$3=JU!F125,JU!H125,0)</f>
        <v>0</v>
      </c>
      <c r="G132" s="72">
        <f>IF($D$3=JU!I125,JU!K125,0)</f>
        <v>0</v>
      </c>
      <c r="H132" s="72">
        <f t="shared" si="2"/>
        <v>1418000</v>
      </c>
    </row>
    <row r="133" spans="2:8">
      <c r="B133" s="68">
        <f>IF(OR($D$3=JU!$F126,$D$3=JU!$I126),JU!B126,"")</f>
        <v>46044</v>
      </c>
      <c r="C133" s="6" t="str">
        <f>IF(OR($D$3=JU!$F126,$D$3=JU!$I126),JU!C126,"")</f>
        <v xml:space="preserve">PENGGABUNGAN SERTIFIKAT </v>
      </c>
      <c r="D133" s="73" t="str">
        <f>IF(OR($D$3=JU!$F126,$D$3=JU!$I126),JU!D126,"")</f>
        <v xml:space="preserve">By. Biaya PENGGABUNGAN SERTIFIKAT </v>
      </c>
      <c r="E133" s="74">
        <f>IF(OR($D$3=JU!$F126,$D$3=JU!$I126),JU!E126,"")</f>
        <v>0</v>
      </c>
      <c r="F133" s="72">
        <f>IF($D$3=JU!F126,JU!H126,0)</f>
        <v>11000000</v>
      </c>
      <c r="G133" s="72">
        <f>IF($D$3=JU!I126,JU!K126,0)</f>
        <v>0</v>
      </c>
      <c r="H133" s="72">
        <f t="shared" si="2"/>
        <v>12418000</v>
      </c>
    </row>
    <row r="134" spans="2:8" hidden="1">
      <c r="B134" s="68" t="str">
        <f>IF(OR($D$3=JU!$F127,$D$3=JU!$I127),JU!B127,"")</f>
        <v/>
      </c>
      <c r="C134" s="6" t="str">
        <f>IF(OR($D$3=JU!$F127,$D$3=JU!$I127),JU!C127,"")</f>
        <v/>
      </c>
      <c r="D134" s="73" t="str">
        <f>IF(OR($D$3=JU!$F127,$D$3=JU!$I127),JU!D127,"")</f>
        <v/>
      </c>
      <c r="E134" s="74" t="str">
        <f>IF(OR($D$3=JU!$F127,$D$3=JU!$I127),JU!E127,"")</f>
        <v/>
      </c>
      <c r="F134" s="72">
        <f>IF($D$3=JU!F127,JU!H127,0)</f>
        <v>0</v>
      </c>
      <c r="G134" s="72">
        <f>IF($D$3=JU!I127,JU!K127,0)</f>
        <v>0</v>
      </c>
      <c r="H134" s="72">
        <f t="shared" si="2"/>
        <v>12418000</v>
      </c>
    </row>
    <row r="135" spans="2:8" hidden="1">
      <c r="B135" s="68" t="str">
        <f>IF(OR($D$3=JU!$F128,$D$3=JU!$I128),JU!B128,"")</f>
        <v/>
      </c>
      <c r="C135" s="6" t="str">
        <f>IF(OR($D$3=JU!$F128,$D$3=JU!$I128),JU!C128,"")</f>
        <v/>
      </c>
      <c r="D135" s="73" t="str">
        <f>IF(OR($D$3=JU!$F128,$D$3=JU!$I128),JU!D128,"")</f>
        <v/>
      </c>
      <c r="E135" s="74" t="str">
        <f>IF(OR($D$3=JU!$F128,$D$3=JU!$I128),JU!E128,"")</f>
        <v/>
      </c>
      <c r="F135" s="72">
        <f>IF($D$3=JU!F128,JU!H128,0)</f>
        <v>0</v>
      </c>
      <c r="G135" s="72">
        <f>IF($D$3=JU!I128,JU!K128,0)</f>
        <v>0</v>
      </c>
      <c r="H135" s="72">
        <f t="shared" si="2"/>
        <v>12418000</v>
      </c>
    </row>
    <row r="136" spans="2:8" hidden="1">
      <c r="B136" s="68" t="str">
        <f>IF(OR($D$3=JU!$F129,$D$3=JU!$I129),JU!B129,"")</f>
        <v/>
      </c>
      <c r="C136" s="6" t="str">
        <f>IF(OR($D$3=JU!$F129,$D$3=JU!$I129),JU!C129,"")</f>
        <v/>
      </c>
      <c r="D136" s="73" t="str">
        <f>IF(OR($D$3=JU!$F129,$D$3=JU!$I129),JU!D129,"")</f>
        <v/>
      </c>
      <c r="E136" s="74" t="str">
        <f>IF(OR($D$3=JU!$F129,$D$3=JU!$I129),JU!E129,"")</f>
        <v/>
      </c>
      <c r="F136" s="72">
        <f>IF($D$3=JU!F129,JU!H129,0)</f>
        <v>0</v>
      </c>
      <c r="G136" s="72">
        <f>IF($D$3=JU!I129,JU!K129,0)</f>
        <v>0</v>
      </c>
      <c r="H136" s="72">
        <f t="shared" si="2"/>
        <v>12418000</v>
      </c>
    </row>
    <row r="137" spans="2:8" hidden="1">
      <c r="B137" s="68" t="str">
        <f>IF(OR($D$3=JU!$F130,$D$3=JU!$I130),JU!B130,"")</f>
        <v/>
      </c>
      <c r="C137" s="6" t="str">
        <f>IF(OR($D$3=JU!$F130,$D$3=JU!$I130),JU!C130,"")</f>
        <v/>
      </c>
      <c r="D137" s="73" t="str">
        <f>IF(OR($D$3=JU!$F130,$D$3=JU!$I130),JU!D130,"")</f>
        <v/>
      </c>
      <c r="E137" s="74" t="str">
        <f>IF(OR($D$3=JU!$F130,$D$3=JU!$I130),JU!E130,"")</f>
        <v/>
      </c>
      <c r="F137" s="72">
        <f>IF($D$3=JU!F130,JU!H130,0)</f>
        <v>0</v>
      </c>
      <c r="G137" s="72">
        <f>IF($D$3=JU!I130,JU!K130,0)</f>
        <v>0</v>
      </c>
      <c r="H137" s="72">
        <f t="shared" si="2"/>
        <v>12418000</v>
      </c>
    </row>
    <row r="138" spans="2:8" hidden="1">
      <c r="B138" s="68" t="str">
        <f>IF(OR($D$3=JU!$F131,$D$3=JU!$I131),JU!B131,"")</f>
        <v/>
      </c>
      <c r="C138" s="6" t="str">
        <f>IF(OR($D$3=JU!$F131,$D$3=JU!$I131),JU!C131,"")</f>
        <v/>
      </c>
      <c r="D138" s="73" t="str">
        <f>IF(OR($D$3=JU!$F131,$D$3=JU!$I131),JU!D131,"")</f>
        <v/>
      </c>
      <c r="E138" s="74" t="str">
        <f>IF(OR($D$3=JU!$F131,$D$3=JU!$I131),JU!E131,"")</f>
        <v/>
      </c>
      <c r="F138" s="72">
        <f>IF($D$3=JU!F131,JU!H131,0)</f>
        <v>0</v>
      </c>
      <c r="G138" s="72">
        <f>IF($D$3=JU!I131,JU!K131,0)</f>
        <v>0</v>
      </c>
      <c r="H138" s="72">
        <f t="shared" si="2"/>
        <v>12418000</v>
      </c>
    </row>
    <row r="139" spans="2:8" hidden="1">
      <c r="B139" s="68" t="str">
        <f>IF(OR($D$3=JU!$F132,$D$3=JU!$I132),JU!B132,"")</f>
        <v/>
      </c>
      <c r="C139" s="6" t="str">
        <f>IF(OR($D$3=JU!$F132,$D$3=JU!$I132),JU!C132,"")</f>
        <v/>
      </c>
      <c r="D139" s="73" t="str">
        <f>IF(OR($D$3=JU!$F132,$D$3=JU!$I132),JU!D132,"")</f>
        <v/>
      </c>
      <c r="E139" s="74" t="str">
        <f>IF(OR($D$3=JU!$F132,$D$3=JU!$I132),JU!E132,"")</f>
        <v/>
      </c>
      <c r="F139" s="72">
        <f>IF($D$3=JU!F132,JU!H132,0)</f>
        <v>0</v>
      </c>
      <c r="G139" s="72">
        <f>IF($D$3=JU!I132,JU!K132,0)</f>
        <v>0</v>
      </c>
      <c r="H139" s="72">
        <f t="shared" si="2"/>
        <v>12418000</v>
      </c>
    </row>
    <row r="140" spans="2:8" hidden="1">
      <c r="B140" s="68" t="str">
        <f>IF(OR($D$3=JU!$F133,$D$3=JU!$I133),JU!B133,"")</f>
        <v/>
      </c>
      <c r="C140" s="6" t="str">
        <f>IF(OR($D$3=JU!$F133,$D$3=JU!$I133),JU!C133,"")</f>
        <v/>
      </c>
      <c r="D140" s="73" t="str">
        <f>IF(OR($D$3=JU!$F133,$D$3=JU!$I133),JU!D133,"")</f>
        <v/>
      </c>
      <c r="E140" s="74" t="str">
        <f>IF(OR($D$3=JU!$F133,$D$3=JU!$I133),JU!E133,"")</f>
        <v/>
      </c>
      <c r="F140" s="72">
        <f>IF($D$3=JU!F133,JU!H133,0)</f>
        <v>0</v>
      </c>
      <c r="G140" s="72">
        <f>IF($D$3=JU!I133,JU!K133,0)</f>
        <v>0</v>
      </c>
      <c r="H140" s="72">
        <f t="shared" si="2"/>
        <v>12418000</v>
      </c>
    </row>
    <row r="141" spans="2:8" hidden="1">
      <c r="B141" s="68" t="str">
        <f>IF(OR($D$3=JU!$F134,$D$3=JU!$I134),JU!B134,"")</f>
        <v/>
      </c>
      <c r="C141" s="6" t="str">
        <f>IF(OR($D$3=JU!$F134,$D$3=JU!$I134),JU!C134,"")</f>
        <v/>
      </c>
      <c r="D141" s="73" t="str">
        <f>IF(OR($D$3=JU!$F134,$D$3=JU!$I134),JU!D134,"")</f>
        <v/>
      </c>
      <c r="E141" s="74" t="str">
        <f>IF(OR($D$3=JU!$F134,$D$3=JU!$I134),JU!E134,"")</f>
        <v/>
      </c>
      <c r="F141" s="72">
        <f>IF($D$3=JU!F134,JU!H134,0)</f>
        <v>0</v>
      </c>
      <c r="G141" s="72">
        <f>IF($D$3=JU!I134,JU!K134,0)</f>
        <v>0</v>
      </c>
      <c r="H141" s="72">
        <f t="shared" si="2"/>
        <v>12418000</v>
      </c>
    </row>
    <row r="142" spans="2:8" hidden="1">
      <c r="B142" s="68" t="str">
        <f>IF(OR($D$3=JU!$F135,$D$3=JU!$I135),JU!B135,"")</f>
        <v/>
      </c>
      <c r="C142" s="6" t="str">
        <f>IF(OR($D$3=JU!$F135,$D$3=JU!$I135),JU!C135,"")</f>
        <v/>
      </c>
      <c r="D142" s="73" t="str">
        <f>IF(OR($D$3=JU!$F135,$D$3=JU!$I135),JU!D135,"")</f>
        <v/>
      </c>
      <c r="E142" s="74" t="str">
        <f>IF(OR($D$3=JU!$F135,$D$3=JU!$I135),JU!E135,"")</f>
        <v/>
      </c>
      <c r="F142" s="72">
        <f>IF($D$3=JU!F135,JU!H135,0)</f>
        <v>0</v>
      </c>
      <c r="G142" s="72">
        <f>IF($D$3=JU!I135,JU!K135,0)</f>
        <v>0</v>
      </c>
      <c r="H142" s="72">
        <f t="shared" ref="H142:H205" si="3">IF($H$7="DEBET",H141+F142-G142,H141+G142-F142)</f>
        <v>12418000</v>
      </c>
    </row>
    <row r="143" spans="2:8" hidden="1">
      <c r="B143" s="68" t="str">
        <f>IF(OR($D$3=JU!$F136,$D$3=JU!$I136),JU!B136,"")</f>
        <v/>
      </c>
      <c r="C143" s="6" t="str">
        <f>IF(OR($D$3=JU!$F136,$D$3=JU!$I136),JU!C136,"")</f>
        <v/>
      </c>
      <c r="D143" s="73" t="str">
        <f>IF(OR($D$3=JU!$F136,$D$3=JU!$I136),JU!D136,"")</f>
        <v/>
      </c>
      <c r="E143" s="74" t="str">
        <f>IF(OR($D$3=JU!$F136,$D$3=JU!$I136),JU!E136,"")</f>
        <v/>
      </c>
      <c r="F143" s="72">
        <f>IF($D$3=JU!F136,JU!H136,0)</f>
        <v>0</v>
      </c>
      <c r="G143" s="72">
        <f>IF($D$3=JU!I136,JU!K136,0)</f>
        <v>0</v>
      </c>
      <c r="H143" s="72">
        <f t="shared" si="3"/>
        <v>12418000</v>
      </c>
    </row>
    <row r="144" spans="2:8" hidden="1">
      <c r="B144" s="68" t="str">
        <f>IF(OR($D$3=JU!$F137,$D$3=JU!$I137),JU!B137,"")</f>
        <v/>
      </c>
      <c r="C144" s="6" t="str">
        <f>IF(OR($D$3=JU!$F137,$D$3=JU!$I137),JU!C137,"")</f>
        <v/>
      </c>
      <c r="D144" s="73" t="str">
        <f>IF(OR($D$3=JU!$F137,$D$3=JU!$I137),JU!D137,"")</f>
        <v/>
      </c>
      <c r="E144" s="74" t="str">
        <f>IF(OR($D$3=JU!$F137,$D$3=JU!$I137),JU!E137,"")</f>
        <v/>
      </c>
      <c r="F144" s="72">
        <f>IF($D$3=JU!F137,JU!H137,0)</f>
        <v>0</v>
      </c>
      <c r="G144" s="72">
        <f>IF($D$3=JU!I137,JU!K137,0)</f>
        <v>0</v>
      </c>
      <c r="H144" s="72">
        <f t="shared" si="3"/>
        <v>12418000</v>
      </c>
    </row>
    <row r="145" spans="2:8" hidden="1">
      <c r="B145" s="68" t="str">
        <f>IF(OR($D$3=JU!$F138,$D$3=JU!$I138),JU!B138,"")</f>
        <v/>
      </c>
      <c r="C145" s="6" t="str">
        <f>IF(OR($D$3=JU!$F138,$D$3=JU!$I138),JU!C138,"")</f>
        <v/>
      </c>
      <c r="D145" s="73" t="str">
        <f>IF(OR($D$3=JU!$F138,$D$3=JU!$I138),JU!D138,"")</f>
        <v/>
      </c>
      <c r="E145" s="74" t="str">
        <f>IF(OR($D$3=JU!$F138,$D$3=JU!$I138),JU!E138,"")</f>
        <v/>
      </c>
      <c r="F145" s="72">
        <f>IF($D$3=JU!F138,JU!H138,0)</f>
        <v>0</v>
      </c>
      <c r="G145" s="72">
        <f>IF($D$3=JU!I138,JU!K138,0)</f>
        <v>0</v>
      </c>
      <c r="H145" s="72">
        <f t="shared" si="3"/>
        <v>12418000</v>
      </c>
    </row>
    <row r="146" spans="2:8" hidden="1">
      <c r="B146" s="68" t="str">
        <f>IF(OR($D$3=JU!$F139,$D$3=JU!$I139),JU!B139,"")</f>
        <v/>
      </c>
      <c r="C146" s="6" t="str">
        <f>IF(OR($D$3=JU!$F139,$D$3=JU!$I139),JU!C139,"")</f>
        <v/>
      </c>
      <c r="D146" s="73" t="str">
        <f>IF(OR($D$3=JU!$F139,$D$3=JU!$I139),JU!D139,"")</f>
        <v/>
      </c>
      <c r="E146" s="74" t="str">
        <f>IF(OR($D$3=JU!$F139,$D$3=JU!$I139),JU!E139,"")</f>
        <v/>
      </c>
      <c r="F146" s="72">
        <f>IF($D$3=JU!F139,JU!H139,0)</f>
        <v>0</v>
      </c>
      <c r="G146" s="72">
        <f>IF($D$3=JU!I139,JU!K139,0)</f>
        <v>0</v>
      </c>
      <c r="H146" s="72">
        <f t="shared" si="3"/>
        <v>12418000</v>
      </c>
    </row>
    <row r="147" spans="2:8" hidden="1">
      <c r="B147" s="68" t="str">
        <f>IF(OR($D$3=JU!$F140,$D$3=JU!$I140),JU!B140,"")</f>
        <v/>
      </c>
      <c r="C147" s="6" t="str">
        <f>IF(OR($D$3=JU!$F140,$D$3=JU!$I140),JU!C140,"")</f>
        <v/>
      </c>
      <c r="D147" s="73" t="str">
        <f>IF(OR($D$3=JU!$F140,$D$3=JU!$I140),JU!D140,"")</f>
        <v/>
      </c>
      <c r="E147" s="74" t="str">
        <f>IF(OR($D$3=JU!$F140,$D$3=JU!$I140),JU!E140,"")</f>
        <v/>
      </c>
      <c r="F147" s="72">
        <f>IF($D$3=JU!F140,JU!H140,0)</f>
        <v>0</v>
      </c>
      <c r="G147" s="72">
        <f>IF($D$3=JU!I140,JU!K140,0)</f>
        <v>0</v>
      </c>
      <c r="H147" s="72">
        <f t="shared" si="3"/>
        <v>12418000</v>
      </c>
    </row>
    <row r="148" spans="2:8" hidden="1">
      <c r="B148" s="68" t="str">
        <f>IF(OR($D$3=JU!$F141,$D$3=JU!$I141),JU!B141,"")</f>
        <v/>
      </c>
      <c r="C148" s="6" t="str">
        <f>IF(OR($D$3=JU!$F141,$D$3=JU!$I141),JU!C141,"")</f>
        <v/>
      </c>
      <c r="D148" s="73" t="str">
        <f>IF(OR($D$3=JU!$F141,$D$3=JU!$I141),JU!D141,"")</f>
        <v/>
      </c>
      <c r="E148" s="74" t="str">
        <f>IF(OR($D$3=JU!$F141,$D$3=JU!$I141),JU!E141,"")</f>
        <v/>
      </c>
      <c r="F148" s="72">
        <f>IF($D$3=JU!F141,JU!H141,0)</f>
        <v>0</v>
      </c>
      <c r="G148" s="72">
        <f>IF($D$3=JU!I141,JU!K141,0)</f>
        <v>0</v>
      </c>
      <c r="H148" s="72">
        <f t="shared" si="3"/>
        <v>12418000</v>
      </c>
    </row>
    <row r="149" spans="2:8" hidden="1">
      <c r="B149" s="68" t="str">
        <f>IF(OR($D$3=JU!$F142,$D$3=JU!$I142),JU!B142,"")</f>
        <v/>
      </c>
      <c r="C149" s="6" t="str">
        <f>IF(OR($D$3=JU!$F142,$D$3=JU!$I142),JU!C142,"")</f>
        <v/>
      </c>
      <c r="D149" s="73" t="str">
        <f>IF(OR($D$3=JU!$F142,$D$3=JU!$I142),JU!D142,"")</f>
        <v/>
      </c>
      <c r="E149" s="74" t="str">
        <f>IF(OR($D$3=JU!$F142,$D$3=JU!$I142),JU!E142,"")</f>
        <v/>
      </c>
      <c r="F149" s="72">
        <f>IF($D$3=JU!F142,JU!H142,0)</f>
        <v>0</v>
      </c>
      <c r="G149" s="72">
        <f>IF($D$3=JU!I142,JU!K142,0)</f>
        <v>0</v>
      </c>
      <c r="H149" s="72">
        <f t="shared" si="3"/>
        <v>12418000</v>
      </c>
    </row>
    <row r="150" spans="2:8" hidden="1">
      <c r="B150" s="68" t="str">
        <f>IF(OR($D$3=JU!$F143,$D$3=JU!$I143),JU!B143,"")</f>
        <v/>
      </c>
      <c r="C150" s="6" t="str">
        <f>IF(OR($D$3=JU!$F143,$D$3=JU!$I143),JU!C143,"")</f>
        <v/>
      </c>
      <c r="D150" s="73" t="str">
        <f>IF(OR($D$3=JU!$F143,$D$3=JU!$I143),JU!D143,"")</f>
        <v/>
      </c>
      <c r="E150" s="74" t="str">
        <f>IF(OR($D$3=JU!$F143,$D$3=JU!$I143),JU!E143,"")</f>
        <v/>
      </c>
      <c r="F150" s="72">
        <f>IF($D$3=JU!F143,JU!H143,0)</f>
        <v>0</v>
      </c>
      <c r="G150" s="72">
        <f>IF($D$3=JU!I143,JU!K143,0)</f>
        <v>0</v>
      </c>
      <c r="H150" s="72">
        <f t="shared" si="3"/>
        <v>12418000</v>
      </c>
    </row>
    <row r="151" spans="2:8">
      <c r="B151" s="68">
        <f>IF(OR($D$3=JU!$F144,$D$3=JU!$I144),JU!B144,"")</f>
        <v>46049</v>
      </c>
      <c r="C151" s="6" t="str">
        <f>IF(OR($D$3=JU!$F144,$D$3=JU!$I144),JU!C144,"")</f>
        <v>PAJAK PENDAFTARAN PEMISAHAN SERTIF DAN PENGUKURAN</v>
      </c>
      <c r="D151" s="73" t="str">
        <f>IF(OR($D$3=JU!$F144,$D$3=JU!$I144),JU!D144,"")</f>
        <v>By. Biaya PAJAK PENDAFTARAN PEMISAHAN SERTIF DAN PENGUKURAN</v>
      </c>
      <c r="E151" s="74">
        <f>IF(OR($D$3=JU!$F144,$D$3=JU!$I144),JU!E144,"")</f>
        <v>0</v>
      </c>
      <c r="F151" s="72">
        <f>IF($D$3=JU!F144,JU!H144,0)</f>
        <v>810000</v>
      </c>
      <c r="G151" s="72">
        <f>IF($D$3=JU!I144,JU!K144,0)</f>
        <v>0</v>
      </c>
      <c r="H151" s="72">
        <f t="shared" si="3"/>
        <v>13228000</v>
      </c>
    </row>
    <row r="152" spans="2:8" hidden="1">
      <c r="B152" s="68" t="str">
        <f>IF(OR($D$3=JU!$F145,$D$3=JU!$I145),JU!B145,"")</f>
        <v/>
      </c>
      <c r="C152" s="6" t="str">
        <f>IF(OR($D$3=JU!$F145,$D$3=JU!$I145),JU!C145,"")</f>
        <v/>
      </c>
      <c r="D152" s="73" t="str">
        <f>IF(OR($D$3=JU!$F145,$D$3=JU!$I145),JU!D145,"")</f>
        <v/>
      </c>
      <c r="E152" s="74" t="str">
        <f>IF(OR($D$3=JU!$F145,$D$3=JU!$I145),JU!E145,"")</f>
        <v/>
      </c>
      <c r="F152" s="72">
        <f>IF($D$3=JU!F145,JU!H145,0)</f>
        <v>0</v>
      </c>
      <c r="G152" s="72">
        <f>IF($D$3=JU!I145,JU!K145,0)</f>
        <v>0</v>
      </c>
      <c r="H152" s="72">
        <f t="shared" si="3"/>
        <v>13228000</v>
      </c>
    </row>
    <row r="153" spans="2:8" hidden="1">
      <c r="B153" s="68" t="str">
        <f>IF(OR($D$3=JU!$F146,$D$3=JU!$I146),JU!B146,"")</f>
        <v/>
      </c>
      <c r="C153" s="6" t="str">
        <f>IF(OR($D$3=JU!$F146,$D$3=JU!$I146),JU!C146,"")</f>
        <v/>
      </c>
      <c r="D153" s="73" t="str">
        <f>IF(OR($D$3=JU!$F146,$D$3=JU!$I146),JU!D146,"")</f>
        <v/>
      </c>
      <c r="E153" s="74" t="str">
        <f>IF(OR($D$3=JU!$F146,$D$3=JU!$I146),JU!E146,"")</f>
        <v/>
      </c>
      <c r="F153" s="72">
        <f>IF($D$3=JU!F146,JU!H146,0)</f>
        <v>0</v>
      </c>
      <c r="G153" s="72">
        <f>IF($D$3=JU!I146,JU!K146,0)</f>
        <v>0</v>
      </c>
      <c r="H153" s="72">
        <f t="shared" si="3"/>
        <v>13228000</v>
      </c>
    </row>
    <row r="154" spans="2:8" hidden="1">
      <c r="B154" s="68" t="str">
        <f>IF(OR($D$3=JU!$F147,$D$3=JU!$I147),JU!B147,"")</f>
        <v/>
      </c>
      <c r="C154" s="6" t="str">
        <f>IF(OR($D$3=JU!$F147,$D$3=JU!$I147),JU!C147,"")</f>
        <v/>
      </c>
      <c r="D154" s="73" t="str">
        <f>IF(OR($D$3=JU!$F147,$D$3=JU!$I147),JU!D147,"")</f>
        <v/>
      </c>
      <c r="E154" s="74" t="str">
        <f>IF(OR($D$3=JU!$F147,$D$3=JU!$I147),JU!E147,"")</f>
        <v/>
      </c>
      <c r="F154" s="72">
        <f>IF($D$3=JU!F147,JU!H147,0)</f>
        <v>0</v>
      </c>
      <c r="G154" s="72">
        <f>IF($D$3=JU!I147,JU!K147,0)</f>
        <v>0</v>
      </c>
      <c r="H154" s="72">
        <f t="shared" si="3"/>
        <v>13228000</v>
      </c>
    </row>
    <row r="155" spans="2:8" hidden="1">
      <c r="B155" s="68" t="str">
        <f>IF(OR($D$3=JU!$F148,$D$3=JU!$I148),JU!B148,"")</f>
        <v/>
      </c>
      <c r="C155" s="6" t="str">
        <f>IF(OR($D$3=JU!$F148,$D$3=JU!$I148),JU!C148,"")</f>
        <v/>
      </c>
      <c r="D155" s="73" t="str">
        <f>IF(OR($D$3=JU!$F148,$D$3=JU!$I148),JU!D148,"")</f>
        <v/>
      </c>
      <c r="E155" s="74" t="str">
        <f>IF(OR($D$3=JU!$F148,$D$3=JU!$I148),JU!E148,"")</f>
        <v/>
      </c>
      <c r="F155" s="72">
        <f>IF($D$3=JU!F148,JU!H148,0)</f>
        <v>0</v>
      </c>
      <c r="G155" s="72">
        <f>IF($D$3=JU!I148,JU!K148,0)</f>
        <v>0</v>
      </c>
      <c r="H155" s="72">
        <f t="shared" si="3"/>
        <v>13228000</v>
      </c>
    </row>
    <row r="156" spans="2:8" hidden="1">
      <c r="B156" s="68" t="str">
        <f>IF(OR($D$3=JU!$F149,$D$3=JU!$I149),JU!B149,"")</f>
        <v/>
      </c>
      <c r="C156" s="6" t="str">
        <f>IF(OR($D$3=JU!$F149,$D$3=JU!$I149),JU!C149,"")</f>
        <v/>
      </c>
      <c r="D156" s="73" t="str">
        <f>IF(OR($D$3=JU!$F149,$D$3=JU!$I149),JU!D149,"")</f>
        <v/>
      </c>
      <c r="E156" s="74" t="str">
        <f>IF(OR($D$3=JU!$F149,$D$3=JU!$I149),JU!E149,"")</f>
        <v/>
      </c>
      <c r="F156" s="72">
        <f>IF($D$3=JU!F149,JU!H149,0)</f>
        <v>0</v>
      </c>
      <c r="G156" s="72">
        <f>IF($D$3=JU!I149,JU!K149,0)</f>
        <v>0</v>
      </c>
      <c r="H156" s="72">
        <f t="shared" si="3"/>
        <v>13228000</v>
      </c>
    </row>
    <row r="157" spans="2:8" hidden="1">
      <c r="B157" s="68" t="str">
        <f>IF(OR($D$3=JU!$F150,$D$3=JU!$I150),JU!B150,"")</f>
        <v/>
      </c>
      <c r="C157" s="6" t="str">
        <f>IF(OR($D$3=JU!$F150,$D$3=JU!$I150),JU!C150,"")</f>
        <v/>
      </c>
      <c r="D157" s="73" t="str">
        <f>IF(OR($D$3=JU!$F150,$D$3=JU!$I150),JU!D150,"")</f>
        <v/>
      </c>
      <c r="E157" s="74" t="str">
        <f>IF(OR($D$3=JU!$F150,$D$3=JU!$I150),JU!E150,"")</f>
        <v/>
      </c>
      <c r="F157" s="72">
        <f>IF($D$3=JU!F150,JU!H150,0)</f>
        <v>0</v>
      </c>
      <c r="G157" s="72">
        <f>IF($D$3=JU!I150,JU!K150,0)</f>
        <v>0</v>
      </c>
      <c r="H157" s="72">
        <f t="shared" si="3"/>
        <v>13228000</v>
      </c>
    </row>
    <row r="158" spans="2:8" hidden="1">
      <c r="B158" s="68" t="str">
        <f>IF(OR($D$3=JU!$F151,$D$3=JU!$I151),JU!B151,"")</f>
        <v/>
      </c>
      <c r="C158" s="6" t="str">
        <f>IF(OR($D$3=JU!$F151,$D$3=JU!$I151),JU!C151,"")</f>
        <v/>
      </c>
      <c r="D158" s="73" t="str">
        <f>IF(OR($D$3=JU!$F151,$D$3=JU!$I151),JU!D151,"")</f>
        <v/>
      </c>
      <c r="E158" s="74" t="str">
        <f>IF(OR($D$3=JU!$F151,$D$3=JU!$I151),JU!E151,"")</f>
        <v/>
      </c>
      <c r="F158" s="72">
        <f>IF($D$3=JU!F151,JU!H151,0)</f>
        <v>0</v>
      </c>
      <c r="G158" s="72">
        <f>IF($D$3=JU!I151,JU!K151,0)</f>
        <v>0</v>
      </c>
      <c r="H158" s="72">
        <f t="shared" si="3"/>
        <v>13228000</v>
      </c>
    </row>
    <row r="159" spans="2:8" hidden="1">
      <c r="B159" s="68" t="str">
        <f>IF(OR($D$3=JU!$F152,$D$3=JU!$I152),JU!B152,"")</f>
        <v/>
      </c>
      <c r="C159" s="6" t="str">
        <f>IF(OR($D$3=JU!$F152,$D$3=JU!$I152),JU!C152,"")</f>
        <v/>
      </c>
      <c r="D159" s="73" t="str">
        <f>IF(OR($D$3=JU!$F152,$D$3=JU!$I152),JU!D152,"")</f>
        <v/>
      </c>
      <c r="E159" s="74" t="str">
        <f>IF(OR($D$3=JU!$F152,$D$3=JU!$I152),JU!E152,"")</f>
        <v/>
      </c>
      <c r="F159" s="72">
        <f>IF($D$3=JU!F152,JU!H152,0)</f>
        <v>0</v>
      </c>
      <c r="G159" s="72">
        <f>IF($D$3=JU!I152,JU!K152,0)</f>
        <v>0</v>
      </c>
      <c r="H159" s="72">
        <f t="shared" si="3"/>
        <v>13228000</v>
      </c>
    </row>
    <row r="160" spans="2:8" hidden="1">
      <c r="B160" s="68" t="str">
        <f>IF(OR($D$3=JU!$F153,$D$3=JU!$I153),JU!B153,"")</f>
        <v/>
      </c>
      <c r="C160" s="6" t="str">
        <f>IF(OR($D$3=JU!$F153,$D$3=JU!$I153),JU!C153,"")</f>
        <v/>
      </c>
      <c r="D160" s="73" t="str">
        <f>IF(OR($D$3=JU!$F153,$D$3=JU!$I153),JU!D153,"")</f>
        <v/>
      </c>
      <c r="E160" s="74" t="str">
        <f>IF(OR($D$3=JU!$F153,$D$3=JU!$I153),JU!E153,"")</f>
        <v/>
      </c>
      <c r="F160" s="72">
        <f>IF($D$3=JU!F153,JU!H153,0)</f>
        <v>0</v>
      </c>
      <c r="G160" s="72">
        <f>IF($D$3=JU!I153,JU!K153,0)</f>
        <v>0</v>
      </c>
      <c r="H160" s="72">
        <f t="shared" si="3"/>
        <v>13228000</v>
      </c>
    </row>
    <row r="161" spans="2:8" hidden="1">
      <c r="B161" s="68" t="str">
        <f>IF(OR($D$3=JU!$F154,$D$3=JU!$I154),JU!B154,"")</f>
        <v/>
      </c>
      <c r="C161" s="6" t="str">
        <f>IF(OR($D$3=JU!$F154,$D$3=JU!$I154),JU!C154,"")</f>
        <v/>
      </c>
      <c r="D161" s="73" t="str">
        <f>IF(OR($D$3=JU!$F154,$D$3=JU!$I154),JU!D154,"")</f>
        <v/>
      </c>
      <c r="E161" s="74" t="str">
        <f>IF(OR($D$3=JU!$F154,$D$3=JU!$I154),JU!E154,"")</f>
        <v/>
      </c>
      <c r="F161" s="72">
        <f>IF($D$3=JU!F154,JU!H154,0)</f>
        <v>0</v>
      </c>
      <c r="G161" s="72">
        <f>IF($D$3=JU!I154,JU!K154,0)</f>
        <v>0</v>
      </c>
      <c r="H161" s="72">
        <f t="shared" si="3"/>
        <v>13228000</v>
      </c>
    </row>
    <row r="162" spans="2:8" hidden="1">
      <c r="B162" s="68" t="str">
        <f>IF(OR($D$3=JU!$F155,$D$3=JU!$I155),JU!B155,"")</f>
        <v/>
      </c>
      <c r="C162" s="6" t="str">
        <f>IF(OR($D$3=JU!$F155,$D$3=JU!$I155),JU!C155,"")</f>
        <v/>
      </c>
      <c r="D162" s="73" t="str">
        <f>IF(OR($D$3=JU!$F155,$D$3=JU!$I155),JU!D155,"")</f>
        <v/>
      </c>
      <c r="E162" s="74" t="str">
        <f>IF(OR($D$3=JU!$F155,$D$3=JU!$I155),JU!E155,"")</f>
        <v/>
      </c>
      <c r="F162" s="72">
        <f>IF($D$3=JU!F155,JU!H155,0)</f>
        <v>0</v>
      </c>
      <c r="G162" s="72">
        <f>IF($D$3=JU!I155,JU!K155,0)</f>
        <v>0</v>
      </c>
      <c r="H162" s="72">
        <f t="shared" si="3"/>
        <v>13228000</v>
      </c>
    </row>
    <row r="163" spans="2:8" hidden="1">
      <c r="B163" s="68" t="str">
        <f>IF(OR($D$3=JU!$F156,$D$3=JU!$I156),JU!B156,"")</f>
        <v/>
      </c>
      <c r="C163" s="6" t="str">
        <f>IF(OR($D$3=JU!$F156,$D$3=JU!$I156),JU!C156,"")</f>
        <v/>
      </c>
      <c r="D163" s="73" t="str">
        <f>IF(OR($D$3=JU!$F156,$D$3=JU!$I156),JU!D156,"")</f>
        <v/>
      </c>
      <c r="E163" s="74" t="str">
        <f>IF(OR($D$3=JU!$F156,$D$3=JU!$I156),JU!E156,"")</f>
        <v/>
      </c>
      <c r="F163" s="72">
        <f>IF($D$3=JU!F156,JU!H156,0)</f>
        <v>0</v>
      </c>
      <c r="G163" s="72">
        <f>IF($D$3=JU!I156,JU!K156,0)</f>
        <v>0</v>
      </c>
      <c r="H163" s="72">
        <f t="shared" si="3"/>
        <v>13228000</v>
      </c>
    </row>
    <row r="164" spans="2:8" hidden="1">
      <c r="B164" s="68" t="str">
        <f>IF(OR($D$3=JU!$F157,$D$3=JU!$I157),JU!B157,"")</f>
        <v/>
      </c>
      <c r="C164" s="6" t="str">
        <f>IF(OR($D$3=JU!$F157,$D$3=JU!$I157),JU!C157,"")</f>
        <v/>
      </c>
      <c r="D164" s="73" t="str">
        <f>IF(OR($D$3=JU!$F157,$D$3=JU!$I157),JU!D157,"")</f>
        <v/>
      </c>
      <c r="E164" s="74" t="str">
        <f>IF(OR($D$3=JU!$F157,$D$3=JU!$I157),JU!E157,"")</f>
        <v/>
      </c>
      <c r="F164" s="72">
        <f>IF($D$3=JU!F157,JU!H157,0)</f>
        <v>0</v>
      </c>
      <c r="G164" s="72">
        <f>IF($D$3=JU!I157,JU!K157,0)</f>
        <v>0</v>
      </c>
      <c r="H164" s="72">
        <f t="shared" si="3"/>
        <v>13228000</v>
      </c>
    </row>
    <row r="165" spans="2:8" hidden="1">
      <c r="B165" s="68" t="str">
        <f>IF(OR($D$3=JU!$F158,$D$3=JU!$I158),JU!B158,"")</f>
        <v/>
      </c>
      <c r="C165" s="6" t="str">
        <f>IF(OR($D$3=JU!$F158,$D$3=JU!$I158),JU!C158,"")</f>
        <v/>
      </c>
      <c r="D165" s="73" t="str">
        <f>IF(OR($D$3=JU!$F158,$D$3=JU!$I158),JU!D158,"")</f>
        <v/>
      </c>
      <c r="E165" s="74" t="str">
        <f>IF(OR($D$3=JU!$F158,$D$3=JU!$I158),JU!E158,"")</f>
        <v/>
      </c>
      <c r="F165" s="72">
        <f>IF($D$3=JU!F158,JU!H158,0)</f>
        <v>0</v>
      </c>
      <c r="G165" s="72">
        <f>IF($D$3=JU!I158,JU!K158,0)</f>
        <v>0</v>
      </c>
      <c r="H165" s="72">
        <f t="shared" si="3"/>
        <v>13228000</v>
      </c>
    </row>
    <row r="166" spans="2:8" hidden="1">
      <c r="B166" s="68" t="str">
        <f>IF(OR($D$3=JU!$F159,$D$3=JU!$I159),JU!B159,"")</f>
        <v/>
      </c>
      <c r="C166" s="6" t="str">
        <f>IF(OR($D$3=JU!$F159,$D$3=JU!$I159),JU!C159,"")</f>
        <v/>
      </c>
      <c r="D166" s="73" t="str">
        <f>IF(OR($D$3=JU!$F159,$D$3=JU!$I159),JU!D159,"")</f>
        <v/>
      </c>
      <c r="E166" s="74" t="str">
        <f>IF(OR($D$3=JU!$F159,$D$3=JU!$I159),JU!E159,"")</f>
        <v/>
      </c>
      <c r="F166" s="72">
        <f>IF($D$3=JU!F159,JU!H159,0)</f>
        <v>0</v>
      </c>
      <c r="G166" s="72">
        <f>IF($D$3=JU!I159,JU!K159,0)</f>
        <v>0</v>
      </c>
      <c r="H166" s="72">
        <f t="shared" si="3"/>
        <v>13228000</v>
      </c>
    </row>
    <row r="167" spans="2:8" hidden="1">
      <c r="B167" s="68" t="str">
        <f>IF(OR($D$3=JU!$F160,$D$3=JU!$I160),JU!B160,"")</f>
        <v/>
      </c>
      <c r="C167" s="6" t="str">
        <f>IF(OR($D$3=JU!$F160,$D$3=JU!$I160),JU!C160,"")</f>
        <v/>
      </c>
      <c r="D167" s="73" t="str">
        <f>IF(OR($D$3=JU!$F160,$D$3=JU!$I160),JU!D160,"")</f>
        <v/>
      </c>
      <c r="E167" s="74" t="str">
        <f>IF(OR($D$3=JU!$F160,$D$3=JU!$I160),JU!E160,"")</f>
        <v/>
      </c>
      <c r="F167" s="72">
        <f>IF($D$3=JU!F160,JU!H160,0)</f>
        <v>0</v>
      </c>
      <c r="G167" s="72">
        <f>IF($D$3=JU!I160,JU!K160,0)</f>
        <v>0</v>
      </c>
      <c r="H167" s="72">
        <f t="shared" si="3"/>
        <v>13228000</v>
      </c>
    </row>
    <row r="168" spans="2:8" hidden="1">
      <c r="B168" s="68" t="str">
        <f>IF(OR($D$3=JU!$F161,$D$3=JU!$I161),JU!B161,"")</f>
        <v/>
      </c>
      <c r="C168" s="6" t="str">
        <f>IF(OR($D$3=JU!$F161,$D$3=JU!$I161),JU!C161,"")</f>
        <v/>
      </c>
      <c r="D168" s="73" t="str">
        <f>IF(OR($D$3=JU!$F161,$D$3=JU!$I161),JU!D161,"")</f>
        <v/>
      </c>
      <c r="E168" s="74" t="str">
        <f>IF(OR($D$3=JU!$F161,$D$3=JU!$I161),JU!E161,"")</f>
        <v/>
      </c>
      <c r="F168" s="72">
        <f>IF($D$3=JU!F161,JU!H161,0)</f>
        <v>0</v>
      </c>
      <c r="G168" s="72">
        <f>IF($D$3=JU!I161,JU!K161,0)</f>
        <v>0</v>
      </c>
      <c r="H168" s="72">
        <f t="shared" si="3"/>
        <v>13228000</v>
      </c>
    </row>
    <row r="169" spans="2:8" hidden="1">
      <c r="B169" s="68" t="str">
        <f>IF(OR($D$3=JU!$F162,$D$3=JU!$I162),JU!B162,"")</f>
        <v/>
      </c>
      <c r="C169" s="6" t="str">
        <f>IF(OR($D$3=JU!$F162,$D$3=JU!$I162),JU!C162,"")</f>
        <v/>
      </c>
      <c r="D169" s="73" t="str">
        <f>IF(OR($D$3=JU!$F162,$D$3=JU!$I162),JU!D162,"")</f>
        <v/>
      </c>
      <c r="E169" s="74" t="str">
        <f>IF(OR($D$3=JU!$F162,$D$3=JU!$I162),JU!E162,"")</f>
        <v/>
      </c>
      <c r="F169" s="72">
        <f>IF($D$3=JU!F162,JU!H162,0)</f>
        <v>0</v>
      </c>
      <c r="G169" s="72">
        <f>IF($D$3=JU!I162,JU!K162,0)</f>
        <v>0</v>
      </c>
      <c r="H169" s="72">
        <f t="shared" si="3"/>
        <v>13228000</v>
      </c>
    </row>
    <row r="170" spans="2:8" hidden="1">
      <c r="B170" s="68" t="str">
        <f>IF(OR($D$3=JU!$F163,$D$3=JU!$I163),JU!B163,"")</f>
        <v/>
      </c>
      <c r="C170" s="6" t="str">
        <f>IF(OR($D$3=JU!$F163,$D$3=JU!$I163),JU!C163,"")</f>
        <v/>
      </c>
      <c r="D170" s="73" t="str">
        <f>IF(OR($D$3=JU!$F163,$D$3=JU!$I163),JU!D163,"")</f>
        <v/>
      </c>
      <c r="E170" s="74" t="str">
        <f>IF(OR($D$3=JU!$F163,$D$3=JU!$I163),JU!E163,"")</f>
        <v/>
      </c>
      <c r="F170" s="72">
        <f>IF($D$3=JU!F163,JU!H163,0)</f>
        <v>0</v>
      </c>
      <c r="G170" s="72">
        <f>IF($D$3=JU!I163,JU!K163,0)</f>
        <v>0</v>
      </c>
      <c r="H170" s="72">
        <f t="shared" si="3"/>
        <v>13228000</v>
      </c>
    </row>
    <row r="171" spans="2:8" hidden="1">
      <c r="B171" s="68" t="str">
        <f>IF(OR($D$3=JU!$F164,$D$3=JU!$I164),JU!B164,"")</f>
        <v/>
      </c>
      <c r="C171" s="6" t="str">
        <f>IF(OR($D$3=JU!$F164,$D$3=JU!$I164),JU!C164,"")</f>
        <v/>
      </c>
      <c r="D171" s="73" t="str">
        <f>IF(OR($D$3=JU!$F164,$D$3=JU!$I164),JU!D164,"")</f>
        <v/>
      </c>
      <c r="E171" s="74" t="str">
        <f>IF(OR($D$3=JU!$F164,$D$3=JU!$I164),JU!E164,"")</f>
        <v/>
      </c>
      <c r="F171" s="72">
        <f>IF($D$3=JU!F164,JU!H164,0)</f>
        <v>0</v>
      </c>
      <c r="G171" s="72">
        <f>IF($D$3=JU!I164,JU!K164,0)</f>
        <v>0</v>
      </c>
      <c r="H171" s="72">
        <f t="shared" si="3"/>
        <v>13228000</v>
      </c>
    </row>
    <row r="172" spans="2:8" hidden="1">
      <c r="B172" s="68" t="str">
        <f>IF(OR($D$3=JU!$F165,$D$3=JU!$I165),JU!B165,"")</f>
        <v/>
      </c>
      <c r="C172" s="6" t="str">
        <f>IF(OR($D$3=JU!$F165,$D$3=JU!$I165),JU!C165,"")</f>
        <v/>
      </c>
      <c r="D172" s="73" t="str">
        <f>IF(OR($D$3=JU!$F165,$D$3=JU!$I165),JU!D165,"")</f>
        <v/>
      </c>
      <c r="E172" s="74" t="str">
        <f>IF(OR($D$3=JU!$F165,$D$3=JU!$I165),JU!E165,"")</f>
        <v/>
      </c>
      <c r="F172" s="72">
        <f>IF($D$3=JU!F165,JU!H165,0)</f>
        <v>0</v>
      </c>
      <c r="G172" s="72">
        <f>IF($D$3=JU!I165,JU!K165,0)</f>
        <v>0</v>
      </c>
      <c r="H172" s="72">
        <f t="shared" si="3"/>
        <v>13228000</v>
      </c>
    </row>
    <row r="173" spans="2:8" hidden="1">
      <c r="B173" s="68" t="str">
        <f>IF(OR($D$3=JU!$F166,$D$3=JU!$I166),JU!B166,"")</f>
        <v/>
      </c>
      <c r="C173" s="6" t="str">
        <f>IF(OR($D$3=JU!$F166,$D$3=JU!$I166),JU!C166,"")</f>
        <v/>
      </c>
      <c r="D173" s="73" t="str">
        <f>IF(OR($D$3=JU!$F166,$D$3=JU!$I166),JU!D166,"")</f>
        <v/>
      </c>
      <c r="E173" s="74" t="str">
        <f>IF(OR($D$3=JU!$F166,$D$3=JU!$I166),JU!E166,"")</f>
        <v/>
      </c>
      <c r="F173" s="72">
        <f>IF($D$3=JU!F166,JU!H166,0)</f>
        <v>0</v>
      </c>
      <c r="G173" s="72">
        <f>IF($D$3=JU!I166,JU!K166,0)</f>
        <v>0</v>
      </c>
      <c r="H173" s="72">
        <f t="shared" si="3"/>
        <v>13228000</v>
      </c>
    </row>
    <row r="174" spans="2:8" hidden="1">
      <c r="B174" s="68" t="str">
        <f>IF(OR($D$3=JU!$F167,$D$3=JU!$I167),JU!B167,"")</f>
        <v/>
      </c>
      <c r="C174" s="6" t="str">
        <f>IF(OR($D$3=JU!$F167,$D$3=JU!$I167),JU!C167,"")</f>
        <v/>
      </c>
      <c r="D174" s="73" t="str">
        <f>IF(OR($D$3=JU!$F167,$D$3=JU!$I167),JU!D167,"")</f>
        <v/>
      </c>
      <c r="E174" s="74" t="str">
        <f>IF(OR($D$3=JU!$F167,$D$3=JU!$I167),JU!E167,"")</f>
        <v/>
      </c>
      <c r="F174" s="72">
        <f>IF($D$3=JU!F167,JU!H167,0)</f>
        <v>0</v>
      </c>
      <c r="G174" s="72">
        <f>IF($D$3=JU!I167,JU!K167,0)</f>
        <v>0</v>
      </c>
      <c r="H174" s="72">
        <f t="shared" si="3"/>
        <v>13228000</v>
      </c>
    </row>
    <row r="175" spans="2:8" hidden="1">
      <c r="B175" s="68" t="str">
        <f>IF(OR($D$3=JU!$F168,$D$3=JU!$I168),JU!B168,"")</f>
        <v/>
      </c>
      <c r="C175" s="6" t="str">
        <f>IF(OR($D$3=JU!$F168,$D$3=JU!$I168),JU!C168,"")</f>
        <v/>
      </c>
      <c r="D175" s="73" t="str">
        <f>IF(OR($D$3=JU!$F168,$D$3=JU!$I168),JU!D168,"")</f>
        <v/>
      </c>
      <c r="E175" s="74" t="str">
        <f>IF(OR($D$3=JU!$F168,$D$3=JU!$I168),JU!E168,"")</f>
        <v/>
      </c>
      <c r="F175" s="72">
        <f>IF($D$3=JU!F168,JU!H168,0)</f>
        <v>0</v>
      </c>
      <c r="G175" s="72">
        <f>IF($D$3=JU!I168,JU!K168,0)</f>
        <v>0</v>
      </c>
      <c r="H175" s="72">
        <f t="shared" si="3"/>
        <v>13228000</v>
      </c>
    </row>
    <row r="176" spans="2:8" hidden="1">
      <c r="B176" s="68" t="str">
        <f>IF(OR($D$3=JU!$F169,$D$3=JU!$I169),JU!B169,"")</f>
        <v/>
      </c>
      <c r="C176" s="6" t="str">
        <f>IF(OR($D$3=JU!$F169,$D$3=JU!$I169),JU!C169,"")</f>
        <v/>
      </c>
      <c r="D176" s="73" t="str">
        <f>IF(OR($D$3=JU!$F169,$D$3=JU!$I169),JU!D169,"")</f>
        <v/>
      </c>
      <c r="E176" s="74" t="str">
        <f>IF(OR($D$3=JU!$F169,$D$3=JU!$I169),JU!E169,"")</f>
        <v/>
      </c>
      <c r="F176" s="72">
        <f>IF($D$3=JU!F169,JU!H169,0)</f>
        <v>0</v>
      </c>
      <c r="G176" s="72">
        <f>IF($D$3=JU!I169,JU!K169,0)</f>
        <v>0</v>
      </c>
      <c r="H176" s="72">
        <f t="shared" si="3"/>
        <v>13228000</v>
      </c>
    </row>
    <row r="177" spans="2:8" hidden="1">
      <c r="B177" s="68" t="str">
        <f>IF(OR($D$3=JU!$F170,$D$3=JU!$I170),JU!B170,"")</f>
        <v/>
      </c>
      <c r="C177" s="6" t="str">
        <f>IF(OR($D$3=JU!$F170,$D$3=JU!$I170),JU!C170,"")</f>
        <v/>
      </c>
      <c r="D177" s="73" t="str">
        <f>IF(OR($D$3=JU!$F170,$D$3=JU!$I170),JU!D170,"")</f>
        <v/>
      </c>
      <c r="E177" s="74" t="str">
        <f>IF(OR($D$3=JU!$F170,$D$3=JU!$I170),JU!E170,"")</f>
        <v/>
      </c>
      <c r="F177" s="72">
        <f>IF($D$3=JU!F170,JU!H170,0)</f>
        <v>0</v>
      </c>
      <c r="G177" s="72">
        <f>IF($D$3=JU!I170,JU!K170,0)</f>
        <v>0</v>
      </c>
      <c r="H177" s="72">
        <f t="shared" si="3"/>
        <v>13228000</v>
      </c>
    </row>
    <row r="178" spans="2:8" hidden="1">
      <c r="B178" s="68" t="str">
        <f>IF(OR($D$3=JU!$F171,$D$3=JU!$I171),JU!B171,"")</f>
        <v/>
      </c>
      <c r="C178" s="6" t="str">
        <f>IF(OR($D$3=JU!$F171,$D$3=JU!$I171),JU!C171,"")</f>
        <v/>
      </c>
      <c r="D178" s="73" t="str">
        <f>IF(OR($D$3=JU!$F171,$D$3=JU!$I171),JU!D171,"")</f>
        <v/>
      </c>
      <c r="E178" s="74" t="str">
        <f>IF(OR($D$3=JU!$F171,$D$3=JU!$I171),JU!E171,"")</f>
        <v/>
      </c>
      <c r="F178" s="72">
        <f>IF($D$3=JU!F171,JU!H171,0)</f>
        <v>0</v>
      </c>
      <c r="G178" s="72">
        <f>IF($D$3=JU!I171,JU!K171,0)</f>
        <v>0</v>
      </c>
      <c r="H178" s="72">
        <f t="shared" si="3"/>
        <v>13228000</v>
      </c>
    </row>
    <row r="179" spans="2:8" hidden="1">
      <c r="B179" s="68" t="str">
        <f>IF(OR($D$3=JU!$F172,$D$3=JU!$I172),JU!B172,"")</f>
        <v/>
      </c>
      <c r="C179" s="6" t="str">
        <f>IF(OR($D$3=JU!$F172,$D$3=JU!$I172),JU!C172,"")</f>
        <v/>
      </c>
      <c r="D179" s="73" t="str">
        <f>IF(OR($D$3=JU!$F172,$D$3=JU!$I172),JU!D172,"")</f>
        <v/>
      </c>
      <c r="E179" s="74" t="str">
        <f>IF(OR($D$3=JU!$F172,$D$3=JU!$I172),JU!E172,"")</f>
        <v/>
      </c>
      <c r="F179" s="72">
        <f>IF($D$3=JU!F172,JU!H172,0)</f>
        <v>0</v>
      </c>
      <c r="G179" s="72">
        <f>IF($D$3=JU!I172,JU!K172,0)</f>
        <v>0</v>
      </c>
      <c r="H179" s="72">
        <f t="shared" si="3"/>
        <v>13228000</v>
      </c>
    </row>
    <row r="180" spans="2:8" hidden="1">
      <c r="B180" s="68" t="str">
        <f>IF(OR($D$3=JU!$F173,$D$3=JU!$I173),JU!B173,"")</f>
        <v/>
      </c>
      <c r="C180" s="6" t="str">
        <f>IF(OR($D$3=JU!$F173,$D$3=JU!$I173),JU!C173,"")</f>
        <v/>
      </c>
      <c r="D180" s="73" t="str">
        <f>IF(OR($D$3=JU!$F173,$D$3=JU!$I173),JU!D173,"")</f>
        <v/>
      </c>
      <c r="E180" s="74" t="str">
        <f>IF(OR($D$3=JU!$F173,$D$3=JU!$I173),JU!E173,"")</f>
        <v/>
      </c>
      <c r="F180" s="72">
        <f>IF($D$3=JU!F173,JU!H173,0)</f>
        <v>0</v>
      </c>
      <c r="G180" s="72">
        <f>IF($D$3=JU!I173,JU!K173,0)</f>
        <v>0</v>
      </c>
      <c r="H180" s="72">
        <f t="shared" si="3"/>
        <v>13228000</v>
      </c>
    </row>
    <row r="181" spans="2:8" hidden="1">
      <c r="B181" s="68" t="str">
        <f>IF(OR($D$3=JU!$F174,$D$3=JU!$I174),JU!B174,"")</f>
        <v/>
      </c>
      <c r="C181" s="6" t="str">
        <f>IF(OR($D$3=JU!$F174,$D$3=JU!$I174),JU!C174,"")</f>
        <v/>
      </c>
      <c r="D181" s="73" t="str">
        <f>IF(OR($D$3=JU!$F174,$D$3=JU!$I174),JU!D174,"")</f>
        <v/>
      </c>
      <c r="E181" s="74" t="str">
        <f>IF(OR($D$3=JU!$F174,$D$3=JU!$I174),JU!E174,"")</f>
        <v/>
      </c>
      <c r="F181" s="72">
        <f>IF($D$3=JU!F174,JU!H174,0)</f>
        <v>0</v>
      </c>
      <c r="G181" s="72">
        <f>IF($D$3=JU!I174,JU!K174,0)</f>
        <v>0</v>
      </c>
      <c r="H181" s="72">
        <f t="shared" si="3"/>
        <v>13228000</v>
      </c>
    </row>
    <row r="182" spans="2:8" hidden="1">
      <c r="B182" s="68" t="str">
        <f>IF(OR($D$3=JU!$F175,$D$3=JU!$I175),JU!B175,"")</f>
        <v/>
      </c>
      <c r="C182" s="6" t="str">
        <f>IF(OR($D$3=JU!$F175,$D$3=JU!$I175),JU!C175,"")</f>
        <v/>
      </c>
      <c r="D182" s="73" t="str">
        <f>IF(OR($D$3=JU!$F175,$D$3=JU!$I175),JU!D175,"")</f>
        <v/>
      </c>
      <c r="E182" s="74" t="str">
        <f>IF(OR($D$3=JU!$F175,$D$3=JU!$I175),JU!E175,"")</f>
        <v/>
      </c>
      <c r="F182" s="72">
        <f>IF($D$3=JU!F175,JU!H175,0)</f>
        <v>0</v>
      </c>
      <c r="G182" s="72">
        <f>IF($D$3=JU!I175,JU!K175,0)</f>
        <v>0</v>
      </c>
      <c r="H182" s="72">
        <f t="shared" si="3"/>
        <v>13228000</v>
      </c>
    </row>
    <row r="183" spans="2:8" hidden="1">
      <c r="B183" s="68" t="str">
        <f>IF(OR($D$3=JU!$F176,$D$3=JU!$I176),JU!B176,"")</f>
        <v/>
      </c>
      <c r="C183" s="6" t="str">
        <f>IF(OR($D$3=JU!$F176,$D$3=JU!$I176),JU!C176,"")</f>
        <v/>
      </c>
      <c r="D183" s="73" t="str">
        <f>IF(OR($D$3=JU!$F176,$D$3=JU!$I176),JU!D176,"")</f>
        <v/>
      </c>
      <c r="E183" s="74" t="str">
        <f>IF(OR($D$3=JU!$F176,$D$3=JU!$I176),JU!E176,"")</f>
        <v/>
      </c>
      <c r="F183" s="72">
        <f>IF($D$3=JU!F176,JU!H176,0)</f>
        <v>0</v>
      </c>
      <c r="G183" s="72">
        <f>IF($D$3=JU!I176,JU!K176,0)</f>
        <v>0</v>
      </c>
      <c r="H183" s="72">
        <f t="shared" si="3"/>
        <v>13228000</v>
      </c>
    </row>
    <row r="184" spans="2:8" hidden="1">
      <c r="B184" s="68" t="str">
        <f>IF(OR($D$3=JU!$F177,$D$3=JU!$I177),JU!B177,"")</f>
        <v/>
      </c>
      <c r="C184" s="6" t="str">
        <f>IF(OR($D$3=JU!$F177,$D$3=JU!$I177),JU!C177,"")</f>
        <v/>
      </c>
      <c r="D184" s="73" t="str">
        <f>IF(OR($D$3=JU!$F177,$D$3=JU!$I177),JU!D177,"")</f>
        <v/>
      </c>
      <c r="E184" s="74" t="str">
        <f>IF(OR($D$3=JU!$F177,$D$3=JU!$I177),JU!E177,"")</f>
        <v/>
      </c>
      <c r="F184" s="72">
        <f>IF($D$3=JU!F177,JU!H177,0)</f>
        <v>0</v>
      </c>
      <c r="G184" s="72">
        <f>IF($D$3=JU!I177,JU!K177,0)</f>
        <v>0</v>
      </c>
      <c r="H184" s="72">
        <f t="shared" si="3"/>
        <v>13228000</v>
      </c>
    </row>
    <row r="185" spans="2:8" hidden="1">
      <c r="B185" s="68" t="str">
        <f>IF(OR($D$3=JU!$F178,$D$3=JU!$I178),JU!B178,"")</f>
        <v/>
      </c>
      <c r="C185" s="6" t="str">
        <f>IF(OR($D$3=JU!$F178,$D$3=JU!$I178),JU!C178,"")</f>
        <v/>
      </c>
      <c r="D185" s="73" t="str">
        <f>IF(OR($D$3=JU!$F178,$D$3=JU!$I178),JU!D178,"")</f>
        <v/>
      </c>
      <c r="E185" s="74" t="str">
        <f>IF(OR($D$3=JU!$F178,$D$3=JU!$I178),JU!E178,"")</f>
        <v/>
      </c>
      <c r="F185" s="72">
        <f>IF($D$3=JU!F178,JU!H178,0)</f>
        <v>0</v>
      </c>
      <c r="G185" s="72">
        <f>IF($D$3=JU!I178,JU!K178,0)</f>
        <v>0</v>
      </c>
      <c r="H185" s="72">
        <f t="shared" si="3"/>
        <v>13228000</v>
      </c>
    </row>
    <row r="186" spans="2:8" hidden="1">
      <c r="B186" s="68" t="str">
        <f>IF(OR($D$3=JU!$F179,$D$3=JU!$I179),JU!B179,"")</f>
        <v/>
      </c>
      <c r="C186" s="6" t="str">
        <f>IF(OR($D$3=JU!$F179,$D$3=JU!$I179),JU!C179,"")</f>
        <v/>
      </c>
      <c r="D186" s="73" t="str">
        <f>IF(OR($D$3=JU!$F179,$D$3=JU!$I179),JU!D179,"")</f>
        <v/>
      </c>
      <c r="E186" s="74" t="str">
        <f>IF(OR($D$3=JU!$F179,$D$3=JU!$I179),JU!E179,"")</f>
        <v/>
      </c>
      <c r="F186" s="72">
        <f>IF($D$3=JU!F179,JU!H179,0)</f>
        <v>0</v>
      </c>
      <c r="G186" s="72">
        <f>IF($D$3=JU!I179,JU!K179,0)</f>
        <v>0</v>
      </c>
      <c r="H186" s="72">
        <f t="shared" si="3"/>
        <v>13228000</v>
      </c>
    </row>
    <row r="187" spans="2:8" hidden="1">
      <c r="B187" s="68" t="str">
        <f>IF(OR($D$3=JU!$F180,$D$3=JU!$I180),JU!B180,"")</f>
        <v/>
      </c>
      <c r="C187" s="6" t="str">
        <f>IF(OR($D$3=JU!$F180,$D$3=JU!$I180),JU!C180,"")</f>
        <v/>
      </c>
      <c r="D187" s="73" t="str">
        <f>IF(OR($D$3=JU!$F180,$D$3=JU!$I180),JU!D180,"")</f>
        <v/>
      </c>
      <c r="E187" s="74" t="str">
        <f>IF(OR($D$3=JU!$F180,$D$3=JU!$I180),JU!E180,"")</f>
        <v/>
      </c>
      <c r="F187" s="72">
        <f>IF($D$3=JU!F180,JU!H180,0)</f>
        <v>0</v>
      </c>
      <c r="G187" s="72">
        <f>IF($D$3=JU!I180,JU!K180,0)</f>
        <v>0</v>
      </c>
      <c r="H187" s="72">
        <f t="shared" si="3"/>
        <v>13228000</v>
      </c>
    </row>
    <row r="188" spans="2:8" hidden="1">
      <c r="B188" s="68" t="str">
        <f>IF(OR($D$3=JU!$F181,$D$3=JU!$I181),JU!B181,"")</f>
        <v/>
      </c>
      <c r="C188" s="6" t="str">
        <f>IF(OR($D$3=JU!$F181,$D$3=JU!$I181),JU!C181,"")</f>
        <v/>
      </c>
      <c r="D188" s="73" t="str">
        <f>IF(OR($D$3=JU!$F181,$D$3=JU!$I181),JU!D181,"")</f>
        <v/>
      </c>
      <c r="E188" s="74" t="str">
        <f>IF(OR($D$3=JU!$F181,$D$3=JU!$I181),JU!E181,"")</f>
        <v/>
      </c>
      <c r="F188" s="72">
        <f>IF($D$3=JU!F181,JU!H181,0)</f>
        <v>0</v>
      </c>
      <c r="G188" s="72">
        <f>IF($D$3=JU!I181,JU!K181,0)</f>
        <v>0</v>
      </c>
      <c r="H188" s="72">
        <f t="shared" si="3"/>
        <v>13228000</v>
      </c>
    </row>
    <row r="189" spans="2:8" hidden="1">
      <c r="B189" s="68" t="str">
        <f>IF(OR($D$3=JU!$F182,$D$3=JU!$I182),JU!B182,"")</f>
        <v/>
      </c>
      <c r="C189" s="6" t="str">
        <f>IF(OR($D$3=JU!$F182,$D$3=JU!$I182),JU!C182,"")</f>
        <v/>
      </c>
      <c r="D189" s="73" t="str">
        <f>IF(OR($D$3=JU!$F182,$D$3=JU!$I182),JU!D182,"")</f>
        <v/>
      </c>
      <c r="E189" s="74" t="str">
        <f>IF(OR($D$3=JU!$F182,$D$3=JU!$I182),JU!E182,"")</f>
        <v/>
      </c>
      <c r="F189" s="72">
        <f>IF($D$3=JU!F182,JU!H182,0)</f>
        <v>0</v>
      </c>
      <c r="G189" s="72">
        <f>IF($D$3=JU!I182,JU!K182,0)</f>
        <v>0</v>
      </c>
      <c r="H189" s="72">
        <f t="shared" si="3"/>
        <v>13228000</v>
      </c>
    </row>
    <row r="190" spans="2:8" hidden="1">
      <c r="B190" s="68" t="str">
        <f>IF(OR($D$3=JU!$F183,$D$3=JU!$I183),JU!B183,"")</f>
        <v/>
      </c>
      <c r="C190" s="6" t="str">
        <f>IF(OR($D$3=JU!$F183,$D$3=JU!$I183),JU!C183,"")</f>
        <v/>
      </c>
      <c r="D190" s="73" t="str">
        <f>IF(OR($D$3=JU!$F183,$D$3=JU!$I183),JU!D183,"")</f>
        <v/>
      </c>
      <c r="E190" s="74" t="str">
        <f>IF(OR($D$3=JU!$F183,$D$3=JU!$I183),JU!E183,"")</f>
        <v/>
      </c>
      <c r="F190" s="72">
        <f>IF($D$3=JU!F183,JU!H183,0)</f>
        <v>0</v>
      </c>
      <c r="G190" s="72">
        <f>IF($D$3=JU!I183,JU!K183,0)</f>
        <v>0</v>
      </c>
      <c r="H190" s="72">
        <f t="shared" si="3"/>
        <v>13228000</v>
      </c>
    </row>
    <row r="191" spans="2:8" hidden="1">
      <c r="B191" s="68" t="str">
        <f>IF(OR($D$3=JU!$F184,$D$3=JU!$I184),JU!B184,"")</f>
        <v/>
      </c>
      <c r="C191" s="6" t="str">
        <f>IF(OR($D$3=JU!$F184,$D$3=JU!$I184),JU!C184,"")</f>
        <v/>
      </c>
      <c r="D191" s="73" t="str">
        <f>IF(OR($D$3=JU!$F184,$D$3=JU!$I184),JU!D184,"")</f>
        <v/>
      </c>
      <c r="E191" s="74" t="str">
        <f>IF(OR($D$3=JU!$F184,$D$3=JU!$I184),JU!E184,"")</f>
        <v/>
      </c>
      <c r="F191" s="72">
        <f>IF($D$3=JU!F184,JU!H184,0)</f>
        <v>0</v>
      </c>
      <c r="G191" s="72">
        <f>IF($D$3=JU!I184,JU!K184,0)</f>
        <v>0</v>
      </c>
      <c r="H191" s="72">
        <f t="shared" si="3"/>
        <v>13228000</v>
      </c>
    </row>
    <row r="192" spans="2:8" hidden="1">
      <c r="B192" s="68" t="str">
        <f>IF(OR($D$3=JU!$F185,$D$3=JU!$I185),JU!B185,"")</f>
        <v/>
      </c>
      <c r="C192" s="6" t="str">
        <f>IF(OR($D$3=JU!$F185,$D$3=JU!$I185),JU!C185,"")</f>
        <v/>
      </c>
      <c r="D192" s="73" t="str">
        <f>IF(OR($D$3=JU!$F185,$D$3=JU!$I185),JU!D185,"")</f>
        <v/>
      </c>
      <c r="E192" s="74" t="str">
        <f>IF(OR($D$3=JU!$F185,$D$3=JU!$I185),JU!E185,"")</f>
        <v/>
      </c>
      <c r="F192" s="72">
        <f>IF($D$3=JU!F185,JU!H185,0)</f>
        <v>0</v>
      </c>
      <c r="G192" s="72">
        <f>IF($D$3=JU!I185,JU!K185,0)</f>
        <v>0</v>
      </c>
      <c r="H192" s="72">
        <f t="shared" si="3"/>
        <v>13228000</v>
      </c>
    </row>
    <row r="193" spans="2:8" hidden="1">
      <c r="B193" s="68" t="str">
        <f>IF(OR($D$3=JU!$F186,$D$3=JU!$I186),JU!B186,"")</f>
        <v/>
      </c>
      <c r="C193" s="6" t="str">
        <f>IF(OR($D$3=JU!$F186,$D$3=JU!$I186),JU!C186,"")</f>
        <v/>
      </c>
      <c r="D193" s="73" t="str">
        <f>IF(OR($D$3=JU!$F186,$D$3=JU!$I186),JU!D186,"")</f>
        <v/>
      </c>
      <c r="E193" s="74" t="str">
        <f>IF(OR($D$3=JU!$F186,$D$3=JU!$I186),JU!E186,"")</f>
        <v/>
      </c>
      <c r="F193" s="72">
        <f>IF($D$3=JU!F186,JU!H186,0)</f>
        <v>0</v>
      </c>
      <c r="G193" s="72">
        <f>IF($D$3=JU!I186,JU!K186,0)</f>
        <v>0</v>
      </c>
      <c r="H193" s="72">
        <f t="shared" si="3"/>
        <v>13228000</v>
      </c>
    </row>
    <row r="194" spans="2:8" hidden="1">
      <c r="B194" s="68" t="str">
        <f>IF(OR($D$3=JU!$F187,$D$3=JU!$I187),JU!B187,"")</f>
        <v/>
      </c>
      <c r="C194" s="6" t="str">
        <f>IF(OR($D$3=JU!$F187,$D$3=JU!$I187),JU!C187,"")</f>
        <v/>
      </c>
      <c r="D194" s="73" t="str">
        <f>IF(OR($D$3=JU!$F187,$D$3=JU!$I187),JU!D187,"")</f>
        <v/>
      </c>
      <c r="E194" s="74" t="str">
        <f>IF(OR($D$3=JU!$F187,$D$3=JU!$I187),JU!E187,"")</f>
        <v/>
      </c>
      <c r="F194" s="72">
        <f>IF($D$3=JU!F187,JU!H187,0)</f>
        <v>0</v>
      </c>
      <c r="G194" s="72">
        <f>IF($D$3=JU!I187,JU!K187,0)</f>
        <v>0</v>
      </c>
      <c r="H194" s="72">
        <f t="shared" si="3"/>
        <v>13228000</v>
      </c>
    </row>
    <row r="195" spans="2:8" hidden="1">
      <c r="B195" s="68" t="str">
        <f>IF(OR($D$3=JU!$F188,$D$3=JU!$I188),JU!B188,"")</f>
        <v/>
      </c>
      <c r="C195" s="6" t="str">
        <f>IF(OR($D$3=JU!$F188,$D$3=JU!$I188),JU!C188,"")</f>
        <v/>
      </c>
      <c r="D195" s="73" t="str">
        <f>IF(OR($D$3=JU!$F188,$D$3=JU!$I188),JU!D188,"")</f>
        <v/>
      </c>
      <c r="E195" s="74" t="str">
        <f>IF(OR($D$3=JU!$F188,$D$3=JU!$I188),JU!E188,"")</f>
        <v/>
      </c>
      <c r="F195" s="72">
        <f>IF($D$3=JU!F188,JU!H188,0)</f>
        <v>0</v>
      </c>
      <c r="G195" s="72">
        <f>IF($D$3=JU!I188,JU!K188,0)</f>
        <v>0</v>
      </c>
      <c r="H195" s="72">
        <f t="shared" si="3"/>
        <v>13228000</v>
      </c>
    </row>
    <row r="196" spans="2:8" hidden="1">
      <c r="B196" s="68" t="str">
        <f>IF(OR($D$3=JU!$F189,$D$3=JU!$I189),JU!B189,"")</f>
        <v/>
      </c>
      <c r="C196" s="6" t="str">
        <f>IF(OR($D$3=JU!$F189,$D$3=JU!$I189),JU!C189,"")</f>
        <v/>
      </c>
      <c r="D196" s="73" t="str">
        <f>IF(OR($D$3=JU!$F189,$D$3=JU!$I189),JU!D189,"")</f>
        <v/>
      </c>
      <c r="E196" s="74" t="str">
        <f>IF(OR($D$3=JU!$F189,$D$3=JU!$I189),JU!E189,"")</f>
        <v/>
      </c>
      <c r="F196" s="72">
        <f>IF($D$3=JU!F189,JU!H189,0)</f>
        <v>0</v>
      </c>
      <c r="G196" s="72">
        <f>IF($D$3=JU!I189,JU!K189,0)</f>
        <v>0</v>
      </c>
      <c r="H196" s="72">
        <f t="shared" si="3"/>
        <v>13228000</v>
      </c>
    </row>
    <row r="197" spans="2:8" hidden="1">
      <c r="B197" s="68" t="str">
        <f>IF(OR($D$3=JU!$F190,$D$3=JU!$I190),JU!B190,"")</f>
        <v/>
      </c>
      <c r="C197" s="6" t="str">
        <f>IF(OR($D$3=JU!$F190,$D$3=JU!$I190),JU!C190,"")</f>
        <v/>
      </c>
      <c r="D197" s="73" t="str">
        <f>IF(OR($D$3=JU!$F190,$D$3=JU!$I190),JU!D190,"")</f>
        <v/>
      </c>
      <c r="E197" s="74" t="str">
        <f>IF(OR($D$3=JU!$F190,$D$3=JU!$I190),JU!E190,"")</f>
        <v/>
      </c>
      <c r="F197" s="72">
        <f>IF($D$3=JU!F190,JU!H190,0)</f>
        <v>0</v>
      </c>
      <c r="G197" s="72">
        <f>IF($D$3=JU!I190,JU!K190,0)</f>
        <v>0</v>
      </c>
      <c r="H197" s="72">
        <f t="shared" si="3"/>
        <v>13228000</v>
      </c>
    </row>
    <row r="198" spans="2:8" hidden="1">
      <c r="B198" s="68" t="str">
        <f>IF(OR($D$3=JU!$F191,$D$3=JU!$I191),JU!B191,"")</f>
        <v/>
      </c>
      <c r="C198" s="6" t="str">
        <f>IF(OR($D$3=JU!$F191,$D$3=JU!$I191),JU!C191,"")</f>
        <v/>
      </c>
      <c r="D198" s="73" t="str">
        <f>IF(OR($D$3=JU!$F191,$D$3=JU!$I191),JU!D191,"")</f>
        <v/>
      </c>
      <c r="E198" s="74" t="str">
        <f>IF(OR($D$3=JU!$F191,$D$3=JU!$I191),JU!E191,"")</f>
        <v/>
      </c>
      <c r="F198" s="72">
        <f>IF($D$3=JU!F191,JU!H191,0)</f>
        <v>0</v>
      </c>
      <c r="G198" s="72">
        <f>IF($D$3=JU!I191,JU!K191,0)</f>
        <v>0</v>
      </c>
      <c r="H198" s="72">
        <f t="shared" si="3"/>
        <v>13228000</v>
      </c>
    </row>
    <row r="199" spans="2:8" hidden="1">
      <c r="B199" s="68" t="str">
        <f>IF(OR($D$3=JU!$F192,$D$3=JU!$I192),JU!B192,"")</f>
        <v/>
      </c>
      <c r="C199" s="6" t="str">
        <f>IF(OR($D$3=JU!$F192,$D$3=JU!$I192),JU!C192,"")</f>
        <v/>
      </c>
      <c r="D199" s="73" t="str">
        <f>IF(OR($D$3=JU!$F192,$D$3=JU!$I192),JU!D192,"")</f>
        <v/>
      </c>
      <c r="E199" s="74" t="str">
        <f>IF(OR($D$3=JU!$F192,$D$3=JU!$I192),JU!E192,"")</f>
        <v/>
      </c>
      <c r="F199" s="72">
        <f>IF($D$3=JU!F192,JU!H192,0)</f>
        <v>0</v>
      </c>
      <c r="G199" s="72">
        <f>IF($D$3=JU!I192,JU!K192,0)</f>
        <v>0</v>
      </c>
      <c r="H199" s="72">
        <f t="shared" si="3"/>
        <v>13228000</v>
      </c>
    </row>
    <row r="200" spans="2:8" hidden="1">
      <c r="B200" s="68" t="str">
        <f>IF(OR($D$3=JU!$F193,$D$3=JU!$I193),JU!B193,"")</f>
        <v/>
      </c>
      <c r="C200" s="6" t="str">
        <f>IF(OR($D$3=JU!$F193,$D$3=JU!$I193),JU!C193,"")</f>
        <v/>
      </c>
      <c r="D200" s="73" t="str">
        <f>IF(OR($D$3=JU!$F193,$D$3=JU!$I193),JU!D193,"")</f>
        <v/>
      </c>
      <c r="E200" s="74" t="str">
        <f>IF(OR($D$3=JU!$F193,$D$3=JU!$I193),JU!E193,"")</f>
        <v/>
      </c>
      <c r="F200" s="72">
        <f>IF($D$3=JU!F193,JU!H193,0)</f>
        <v>0</v>
      </c>
      <c r="G200" s="72">
        <f>IF($D$3=JU!I193,JU!K193,0)</f>
        <v>0</v>
      </c>
      <c r="H200" s="72">
        <f t="shared" si="3"/>
        <v>13228000</v>
      </c>
    </row>
    <row r="201" spans="2:8" hidden="1">
      <c r="B201" s="68" t="str">
        <f>IF(OR($D$3=JU!$F194,$D$3=JU!$I194),JU!B194,"")</f>
        <v/>
      </c>
      <c r="C201" s="6" t="str">
        <f>IF(OR($D$3=JU!$F194,$D$3=JU!$I194),JU!C194,"")</f>
        <v/>
      </c>
      <c r="D201" s="73" t="str">
        <f>IF(OR($D$3=JU!$F194,$D$3=JU!$I194),JU!D194,"")</f>
        <v/>
      </c>
      <c r="E201" s="74" t="str">
        <f>IF(OR($D$3=JU!$F194,$D$3=JU!$I194),JU!E194,"")</f>
        <v/>
      </c>
      <c r="F201" s="72">
        <f>IF($D$3=JU!F194,JU!H194,0)</f>
        <v>0</v>
      </c>
      <c r="G201" s="72">
        <f>IF($D$3=JU!I194,JU!K194,0)</f>
        <v>0</v>
      </c>
      <c r="H201" s="72">
        <f t="shared" si="3"/>
        <v>13228000</v>
      </c>
    </row>
    <row r="202" spans="2:8" hidden="1">
      <c r="B202" s="68" t="str">
        <f>IF(OR($D$3=JU!$F195,$D$3=JU!$I195),JU!B195,"")</f>
        <v/>
      </c>
      <c r="C202" s="6" t="str">
        <f>IF(OR($D$3=JU!$F195,$D$3=JU!$I195),JU!C195,"")</f>
        <v/>
      </c>
      <c r="D202" s="73" t="str">
        <f>IF(OR($D$3=JU!$F195,$D$3=JU!$I195),JU!D195,"")</f>
        <v/>
      </c>
      <c r="E202" s="74" t="str">
        <f>IF(OR($D$3=JU!$F195,$D$3=JU!$I195),JU!E195,"")</f>
        <v/>
      </c>
      <c r="F202" s="72">
        <f>IF($D$3=JU!F195,JU!H195,0)</f>
        <v>0</v>
      </c>
      <c r="G202" s="72">
        <f>IF($D$3=JU!I195,JU!K195,0)</f>
        <v>0</v>
      </c>
      <c r="H202" s="72">
        <f t="shared" si="3"/>
        <v>13228000</v>
      </c>
    </row>
    <row r="203" spans="2:8" hidden="1">
      <c r="B203" s="68" t="str">
        <f>IF(OR($D$3=JU!$F196,$D$3=JU!$I196),JU!B196,"")</f>
        <v/>
      </c>
      <c r="C203" s="6" t="str">
        <f>IF(OR($D$3=JU!$F196,$D$3=JU!$I196),JU!C196,"")</f>
        <v/>
      </c>
      <c r="D203" s="73" t="str">
        <f>IF(OR($D$3=JU!$F196,$D$3=JU!$I196),JU!D196,"")</f>
        <v/>
      </c>
      <c r="E203" s="74" t="str">
        <f>IF(OR($D$3=JU!$F196,$D$3=JU!$I196),JU!E196,"")</f>
        <v/>
      </c>
      <c r="F203" s="72">
        <f>IF($D$3=JU!F196,JU!H196,0)</f>
        <v>0</v>
      </c>
      <c r="G203" s="72">
        <f>IF($D$3=JU!I196,JU!K196,0)</f>
        <v>0</v>
      </c>
      <c r="H203" s="72">
        <f t="shared" si="3"/>
        <v>13228000</v>
      </c>
    </row>
    <row r="204" spans="2:8" hidden="1">
      <c r="B204" s="68" t="str">
        <f>IF(OR($D$3=JU!$F197,$D$3=JU!$I197),JU!B197,"")</f>
        <v/>
      </c>
      <c r="C204" s="6" t="str">
        <f>IF(OR($D$3=JU!$F197,$D$3=JU!$I197),JU!C197,"")</f>
        <v/>
      </c>
      <c r="D204" s="73" t="str">
        <f>IF(OR($D$3=JU!$F197,$D$3=JU!$I197),JU!D197,"")</f>
        <v/>
      </c>
      <c r="E204" s="74" t="str">
        <f>IF(OR($D$3=JU!$F197,$D$3=JU!$I197),JU!E197,"")</f>
        <v/>
      </c>
      <c r="F204" s="72">
        <f>IF($D$3=JU!F197,JU!H197,0)</f>
        <v>0</v>
      </c>
      <c r="G204" s="72">
        <f>IF($D$3=JU!I197,JU!K197,0)</f>
        <v>0</v>
      </c>
      <c r="H204" s="72">
        <f t="shared" si="3"/>
        <v>13228000</v>
      </c>
    </row>
    <row r="205" spans="2:8" hidden="1">
      <c r="B205" s="68" t="str">
        <f>IF(OR($D$3=JU!$F198,$D$3=JU!$I198),JU!B198,"")</f>
        <v/>
      </c>
      <c r="C205" s="6" t="str">
        <f>IF(OR($D$3=JU!$F198,$D$3=JU!$I198),JU!C198,"")</f>
        <v/>
      </c>
      <c r="D205" s="73" t="str">
        <f>IF(OR($D$3=JU!$F198,$D$3=JU!$I198),JU!D198,"")</f>
        <v/>
      </c>
      <c r="E205" s="74" t="str">
        <f>IF(OR($D$3=JU!$F198,$D$3=JU!$I198),JU!E198,"")</f>
        <v/>
      </c>
      <c r="F205" s="72">
        <f>IF($D$3=JU!F198,JU!H198,0)</f>
        <v>0</v>
      </c>
      <c r="G205" s="72">
        <f>IF($D$3=JU!I198,JU!K198,0)</f>
        <v>0</v>
      </c>
      <c r="H205" s="72">
        <f t="shared" si="3"/>
        <v>13228000</v>
      </c>
    </row>
    <row r="206" spans="2:8" hidden="1">
      <c r="B206" s="68" t="str">
        <f>IF(OR($D$3=JU!$F199,$D$3=JU!$I199),JU!B199,"")</f>
        <v/>
      </c>
      <c r="C206" s="6" t="str">
        <f>IF(OR($D$3=JU!$F199,$D$3=JU!$I199),JU!C199,"")</f>
        <v/>
      </c>
      <c r="D206" s="73" t="str">
        <f>IF(OR($D$3=JU!$F199,$D$3=JU!$I199),JU!D199,"")</f>
        <v/>
      </c>
      <c r="E206" s="74" t="str">
        <f>IF(OR($D$3=JU!$F199,$D$3=JU!$I199),JU!E199,"")</f>
        <v/>
      </c>
      <c r="F206" s="72">
        <f>IF($D$3=JU!F199,JU!H199,0)</f>
        <v>0</v>
      </c>
      <c r="G206" s="72">
        <f>IF($D$3=JU!I199,JU!K199,0)</f>
        <v>0</v>
      </c>
      <c r="H206" s="72">
        <f t="shared" ref="H206:H269" si="4">IF($H$7="DEBET",H205+F206-G206,H205+G206-F206)</f>
        <v>13228000</v>
      </c>
    </row>
    <row r="207" spans="2:8" hidden="1">
      <c r="B207" s="68" t="str">
        <f>IF(OR($D$3=JU!$F200,$D$3=JU!$I200),JU!B200,"")</f>
        <v/>
      </c>
      <c r="C207" s="6" t="str">
        <f>IF(OR($D$3=JU!$F200,$D$3=JU!$I200),JU!C200,"")</f>
        <v/>
      </c>
      <c r="D207" s="73" t="str">
        <f>IF(OR($D$3=JU!$F200,$D$3=JU!$I200),JU!D200,"")</f>
        <v/>
      </c>
      <c r="E207" s="74" t="str">
        <f>IF(OR($D$3=JU!$F200,$D$3=JU!$I200),JU!E200,"")</f>
        <v/>
      </c>
      <c r="F207" s="72">
        <f>IF($D$3=JU!F200,JU!H200,0)</f>
        <v>0</v>
      </c>
      <c r="G207" s="72">
        <f>IF($D$3=JU!I200,JU!K200,0)</f>
        <v>0</v>
      </c>
      <c r="H207" s="72">
        <f t="shared" si="4"/>
        <v>13228000</v>
      </c>
    </row>
    <row r="208" spans="2:8" hidden="1">
      <c r="B208" s="68" t="str">
        <f>IF(OR($D$3=JU!$F201,$D$3=JU!$I201),JU!B201,"")</f>
        <v/>
      </c>
      <c r="C208" s="6" t="str">
        <f>IF(OR($D$3=JU!$F201,$D$3=JU!$I201),JU!C201,"")</f>
        <v/>
      </c>
      <c r="D208" s="73" t="str">
        <f>IF(OR($D$3=JU!$F201,$D$3=JU!$I201),JU!D201,"")</f>
        <v/>
      </c>
      <c r="E208" s="74" t="str">
        <f>IF(OR($D$3=JU!$F201,$D$3=JU!$I201),JU!E201,"")</f>
        <v/>
      </c>
      <c r="F208" s="72">
        <f>IF($D$3=JU!F201,JU!H201,0)</f>
        <v>0</v>
      </c>
      <c r="G208" s="72">
        <f>IF($D$3=JU!I201,JU!K201,0)</f>
        <v>0</v>
      </c>
      <c r="H208" s="72">
        <f t="shared" si="4"/>
        <v>13228000</v>
      </c>
    </row>
    <row r="209" spans="2:8" hidden="1">
      <c r="B209" s="68" t="str">
        <f>IF(OR($D$3=JU!$F202,$D$3=JU!$I202),JU!B202,"")</f>
        <v/>
      </c>
      <c r="C209" s="6" t="str">
        <f>IF(OR($D$3=JU!$F202,$D$3=JU!$I202),JU!C202,"")</f>
        <v/>
      </c>
      <c r="D209" s="73" t="str">
        <f>IF(OR($D$3=JU!$F202,$D$3=JU!$I202),JU!D202,"")</f>
        <v/>
      </c>
      <c r="E209" s="74" t="str">
        <f>IF(OR($D$3=JU!$F202,$D$3=JU!$I202),JU!E202,"")</f>
        <v/>
      </c>
      <c r="F209" s="72">
        <f>IF($D$3=JU!F202,JU!H202,0)</f>
        <v>0</v>
      </c>
      <c r="G209" s="72">
        <f>IF($D$3=JU!I202,JU!K202,0)</f>
        <v>0</v>
      </c>
      <c r="H209" s="72">
        <f t="shared" si="4"/>
        <v>13228000</v>
      </c>
    </row>
    <row r="210" spans="2:8" hidden="1">
      <c r="B210" s="68" t="str">
        <f>IF(OR($D$3=JU!$F203,$D$3=JU!$I203),JU!B203,"")</f>
        <v/>
      </c>
      <c r="C210" s="6" t="str">
        <f>IF(OR($D$3=JU!$F203,$D$3=JU!$I203),JU!C203,"")</f>
        <v/>
      </c>
      <c r="D210" s="73" t="str">
        <f>IF(OR($D$3=JU!$F203,$D$3=JU!$I203),JU!D203,"")</f>
        <v/>
      </c>
      <c r="E210" s="74" t="str">
        <f>IF(OR($D$3=JU!$F203,$D$3=JU!$I203),JU!E203,"")</f>
        <v/>
      </c>
      <c r="F210" s="72">
        <f>IF($D$3=JU!F203,JU!H203,0)</f>
        <v>0</v>
      </c>
      <c r="G210" s="72">
        <f>IF($D$3=JU!I203,JU!K203,0)</f>
        <v>0</v>
      </c>
      <c r="H210" s="72">
        <f t="shared" si="4"/>
        <v>13228000</v>
      </c>
    </row>
    <row r="211" spans="2:8" hidden="1">
      <c r="B211" s="68" t="str">
        <f>IF(OR($D$3=JU!$F204,$D$3=JU!$I204),JU!B204,"")</f>
        <v/>
      </c>
      <c r="C211" s="6" t="str">
        <f>IF(OR($D$3=JU!$F204,$D$3=JU!$I204),JU!C204,"")</f>
        <v/>
      </c>
      <c r="D211" s="73" t="str">
        <f>IF(OR($D$3=JU!$F204,$D$3=JU!$I204),JU!D204,"")</f>
        <v/>
      </c>
      <c r="E211" s="74" t="str">
        <f>IF(OR($D$3=JU!$F204,$D$3=JU!$I204),JU!E204,"")</f>
        <v/>
      </c>
      <c r="F211" s="72">
        <f>IF($D$3=JU!F204,JU!H204,0)</f>
        <v>0</v>
      </c>
      <c r="G211" s="72">
        <f>IF($D$3=JU!I204,JU!K204,0)</f>
        <v>0</v>
      </c>
      <c r="H211" s="72">
        <f t="shared" si="4"/>
        <v>13228000</v>
      </c>
    </row>
    <row r="212" spans="2:8" hidden="1">
      <c r="B212" s="68" t="str">
        <f>IF(OR($D$3=JU!$F205,$D$3=JU!$I205),JU!B205,"")</f>
        <v/>
      </c>
      <c r="C212" s="6" t="str">
        <f>IF(OR($D$3=JU!$F205,$D$3=JU!$I205),JU!C205,"")</f>
        <v/>
      </c>
      <c r="D212" s="73" t="str">
        <f>IF(OR($D$3=JU!$F205,$D$3=JU!$I205),JU!D205,"")</f>
        <v/>
      </c>
      <c r="E212" s="74" t="str">
        <f>IF(OR($D$3=JU!$F205,$D$3=JU!$I205),JU!E205,"")</f>
        <v/>
      </c>
      <c r="F212" s="72">
        <f>IF($D$3=JU!F205,JU!H205,0)</f>
        <v>0</v>
      </c>
      <c r="G212" s="72">
        <f>IF($D$3=JU!I205,JU!K205,0)</f>
        <v>0</v>
      </c>
      <c r="H212" s="72">
        <f t="shared" si="4"/>
        <v>13228000</v>
      </c>
    </row>
    <row r="213" spans="2:8" hidden="1">
      <c r="B213" s="68" t="str">
        <f>IF(OR($D$3=JU!$F206,$D$3=JU!$I206),JU!B206,"")</f>
        <v/>
      </c>
      <c r="C213" s="6" t="str">
        <f>IF(OR($D$3=JU!$F206,$D$3=JU!$I206),JU!C206,"")</f>
        <v/>
      </c>
      <c r="D213" s="73" t="str">
        <f>IF(OR($D$3=JU!$F206,$D$3=JU!$I206),JU!D206,"")</f>
        <v/>
      </c>
      <c r="E213" s="74" t="str">
        <f>IF(OR($D$3=JU!$F206,$D$3=JU!$I206),JU!E206,"")</f>
        <v/>
      </c>
      <c r="F213" s="72">
        <f>IF($D$3=JU!F206,JU!H206,0)</f>
        <v>0</v>
      </c>
      <c r="G213" s="72">
        <f>IF($D$3=JU!I206,JU!K206,0)</f>
        <v>0</v>
      </c>
      <c r="H213" s="72">
        <f t="shared" si="4"/>
        <v>13228000</v>
      </c>
    </row>
    <row r="214" spans="2:8" hidden="1">
      <c r="B214" s="68" t="str">
        <f>IF(OR($D$3=JU!$F207,$D$3=JU!$I207),JU!B207,"")</f>
        <v/>
      </c>
      <c r="C214" s="6" t="str">
        <f>IF(OR($D$3=JU!$F207,$D$3=JU!$I207),JU!C207,"")</f>
        <v/>
      </c>
      <c r="D214" s="73" t="str">
        <f>IF(OR($D$3=JU!$F207,$D$3=JU!$I207),JU!D207,"")</f>
        <v/>
      </c>
      <c r="E214" s="74" t="str">
        <f>IF(OR($D$3=JU!$F207,$D$3=JU!$I207),JU!E207,"")</f>
        <v/>
      </c>
      <c r="F214" s="72">
        <f>IF($D$3=JU!F207,JU!H207,0)</f>
        <v>0</v>
      </c>
      <c r="G214" s="72">
        <f>IF($D$3=JU!I207,JU!K207,0)</f>
        <v>0</v>
      </c>
      <c r="H214" s="72">
        <f t="shared" si="4"/>
        <v>13228000</v>
      </c>
    </row>
    <row r="215" spans="2:8" hidden="1">
      <c r="B215" s="68" t="str">
        <f>IF(OR($D$3=JU!$F208,$D$3=JU!$I208),JU!B208,"")</f>
        <v/>
      </c>
      <c r="C215" s="6" t="str">
        <f>IF(OR($D$3=JU!$F208,$D$3=JU!$I208),JU!C208,"")</f>
        <v/>
      </c>
      <c r="D215" s="73" t="str">
        <f>IF(OR($D$3=JU!$F208,$D$3=JU!$I208),JU!D208,"")</f>
        <v/>
      </c>
      <c r="E215" s="74" t="str">
        <f>IF(OR($D$3=JU!$F208,$D$3=JU!$I208),JU!E208,"")</f>
        <v/>
      </c>
      <c r="F215" s="72">
        <f>IF($D$3=JU!F208,JU!H208,0)</f>
        <v>0</v>
      </c>
      <c r="G215" s="72">
        <f>IF($D$3=JU!I208,JU!K208,0)</f>
        <v>0</v>
      </c>
      <c r="H215" s="72">
        <f t="shared" si="4"/>
        <v>13228000</v>
      </c>
    </row>
    <row r="216" spans="2:8" hidden="1">
      <c r="B216" s="68" t="str">
        <f>IF(OR($D$3=JU!$F209,$D$3=JU!$I209),JU!B209,"")</f>
        <v/>
      </c>
      <c r="C216" s="6" t="str">
        <f>IF(OR($D$3=JU!$F209,$D$3=JU!$I209),JU!C209,"")</f>
        <v/>
      </c>
      <c r="D216" s="73" t="str">
        <f>IF(OR($D$3=JU!$F209,$D$3=JU!$I209),JU!D209,"")</f>
        <v/>
      </c>
      <c r="E216" s="74" t="str">
        <f>IF(OR($D$3=JU!$F209,$D$3=JU!$I209),JU!E209,"")</f>
        <v/>
      </c>
      <c r="F216" s="72">
        <f>IF($D$3=JU!F209,JU!H209,0)</f>
        <v>0</v>
      </c>
      <c r="G216" s="72">
        <f>IF($D$3=JU!I209,JU!K209,0)</f>
        <v>0</v>
      </c>
      <c r="H216" s="72">
        <f t="shared" si="4"/>
        <v>13228000</v>
      </c>
    </row>
    <row r="217" spans="2:8" hidden="1">
      <c r="B217" s="68" t="str">
        <f>IF(OR($D$3=JU!$F210,$D$3=JU!$I210),JU!B210,"")</f>
        <v/>
      </c>
      <c r="C217" s="6" t="str">
        <f>IF(OR($D$3=JU!$F210,$D$3=JU!$I210),JU!C210,"")</f>
        <v/>
      </c>
      <c r="D217" s="73" t="str">
        <f>IF(OR($D$3=JU!$F210,$D$3=JU!$I210),JU!D210,"")</f>
        <v/>
      </c>
      <c r="E217" s="74" t="str">
        <f>IF(OR($D$3=JU!$F210,$D$3=JU!$I210),JU!E210,"")</f>
        <v/>
      </c>
      <c r="F217" s="72">
        <f>IF($D$3=JU!F210,JU!H210,0)</f>
        <v>0</v>
      </c>
      <c r="G217" s="72">
        <f>IF($D$3=JU!I210,JU!K210,0)</f>
        <v>0</v>
      </c>
      <c r="H217" s="72">
        <f t="shared" si="4"/>
        <v>13228000</v>
      </c>
    </row>
    <row r="218" spans="2:8" hidden="1">
      <c r="B218" s="68" t="str">
        <f>IF(OR($D$3=JU!$F211,$D$3=JU!$I211),JU!B211,"")</f>
        <v/>
      </c>
      <c r="C218" s="6" t="str">
        <f>IF(OR($D$3=JU!$F211,$D$3=JU!$I211),JU!C211,"")</f>
        <v/>
      </c>
      <c r="D218" s="73" t="str">
        <f>IF(OR($D$3=JU!$F211,$D$3=JU!$I211),JU!D211,"")</f>
        <v/>
      </c>
      <c r="E218" s="74" t="str">
        <f>IF(OR($D$3=JU!$F211,$D$3=JU!$I211),JU!E211,"")</f>
        <v/>
      </c>
      <c r="F218" s="72">
        <f>IF($D$3=JU!F211,JU!H211,0)</f>
        <v>0</v>
      </c>
      <c r="G218" s="72">
        <f>IF($D$3=JU!I211,JU!K211,0)</f>
        <v>0</v>
      </c>
      <c r="H218" s="72">
        <f t="shared" si="4"/>
        <v>13228000</v>
      </c>
    </row>
    <row r="219" spans="2:8" hidden="1">
      <c r="B219" s="68" t="str">
        <f>IF(OR($D$3=JU!$F212,$D$3=JU!$I212),JU!B212,"")</f>
        <v/>
      </c>
      <c r="C219" s="6" t="str">
        <f>IF(OR($D$3=JU!$F212,$D$3=JU!$I212),JU!C212,"")</f>
        <v/>
      </c>
      <c r="D219" s="73" t="str">
        <f>IF(OR($D$3=JU!$F212,$D$3=JU!$I212),JU!D212,"")</f>
        <v/>
      </c>
      <c r="E219" s="74" t="str">
        <f>IF(OR($D$3=JU!$F212,$D$3=JU!$I212),JU!E212,"")</f>
        <v/>
      </c>
      <c r="F219" s="72">
        <f>IF($D$3=JU!F212,JU!H212,0)</f>
        <v>0</v>
      </c>
      <c r="G219" s="72">
        <f>IF($D$3=JU!I212,JU!K212,0)</f>
        <v>0</v>
      </c>
      <c r="H219" s="72">
        <f t="shared" si="4"/>
        <v>13228000</v>
      </c>
    </row>
    <row r="220" spans="2:8" hidden="1">
      <c r="B220" s="68" t="str">
        <f>IF(OR($D$3=JU!$F213,$D$3=JU!$I213),JU!B213,"")</f>
        <v/>
      </c>
      <c r="C220" s="6" t="str">
        <f>IF(OR($D$3=JU!$F213,$D$3=JU!$I213),JU!C213,"")</f>
        <v/>
      </c>
      <c r="D220" s="73" t="str">
        <f>IF(OR($D$3=JU!$F213,$D$3=JU!$I213),JU!D213,"")</f>
        <v/>
      </c>
      <c r="E220" s="74" t="str">
        <f>IF(OR($D$3=JU!$F213,$D$3=JU!$I213),JU!E213,"")</f>
        <v/>
      </c>
      <c r="F220" s="72">
        <f>IF($D$3=JU!F213,JU!H213,0)</f>
        <v>0</v>
      </c>
      <c r="G220" s="72">
        <f>IF($D$3=JU!I213,JU!K213,0)</f>
        <v>0</v>
      </c>
      <c r="H220" s="72">
        <f t="shared" si="4"/>
        <v>13228000</v>
      </c>
    </row>
    <row r="221" spans="2:8" hidden="1">
      <c r="B221" s="68" t="str">
        <f>IF(OR($D$3=JU!$F214,$D$3=JU!$I214),JU!B214,"")</f>
        <v/>
      </c>
      <c r="C221" s="6" t="str">
        <f>IF(OR($D$3=JU!$F214,$D$3=JU!$I214),JU!C214,"")</f>
        <v/>
      </c>
      <c r="D221" s="73" t="str">
        <f>IF(OR($D$3=JU!$F214,$D$3=JU!$I214),JU!D214,"")</f>
        <v/>
      </c>
      <c r="E221" s="74" t="str">
        <f>IF(OR($D$3=JU!$F214,$D$3=JU!$I214),JU!E214,"")</f>
        <v/>
      </c>
      <c r="F221" s="72">
        <f>IF($D$3=JU!F214,JU!H214,0)</f>
        <v>0</v>
      </c>
      <c r="G221" s="72">
        <f>IF($D$3=JU!I214,JU!K214,0)</f>
        <v>0</v>
      </c>
      <c r="H221" s="72">
        <f t="shared" si="4"/>
        <v>13228000</v>
      </c>
    </row>
    <row r="222" spans="2:8" hidden="1">
      <c r="B222" s="68" t="str">
        <f>IF(OR($D$3=JU!$F215,$D$3=JU!$I215),JU!B215,"")</f>
        <v/>
      </c>
      <c r="C222" s="6" t="str">
        <f>IF(OR($D$3=JU!$F215,$D$3=JU!$I215),JU!C215,"")</f>
        <v/>
      </c>
      <c r="D222" s="73" t="str">
        <f>IF(OR($D$3=JU!$F215,$D$3=JU!$I215),JU!D215,"")</f>
        <v/>
      </c>
      <c r="E222" s="74" t="str">
        <f>IF(OR($D$3=JU!$F215,$D$3=JU!$I215),JU!E215,"")</f>
        <v/>
      </c>
      <c r="F222" s="72">
        <f>IF($D$3=JU!F215,JU!H215,0)</f>
        <v>0</v>
      </c>
      <c r="G222" s="72">
        <f>IF($D$3=JU!I215,JU!K215,0)</f>
        <v>0</v>
      </c>
      <c r="H222" s="72">
        <f t="shared" si="4"/>
        <v>13228000</v>
      </c>
    </row>
    <row r="223" spans="2:8" hidden="1">
      <c r="B223" s="68" t="str">
        <f>IF(OR($D$3=JU!$F216,$D$3=JU!$I216),JU!B216,"")</f>
        <v/>
      </c>
      <c r="C223" s="6" t="str">
        <f>IF(OR($D$3=JU!$F216,$D$3=JU!$I216),JU!C216,"")</f>
        <v/>
      </c>
      <c r="D223" s="73" t="str">
        <f>IF(OR($D$3=JU!$F216,$D$3=JU!$I216),JU!D216,"")</f>
        <v/>
      </c>
      <c r="E223" s="74" t="str">
        <f>IF(OR($D$3=JU!$F216,$D$3=JU!$I216),JU!E216,"")</f>
        <v/>
      </c>
      <c r="F223" s="72">
        <f>IF($D$3=JU!F216,JU!H216,0)</f>
        <v>0</v>
      </c>
      <c r="G223" s="72">
        <f>IF($D$3=JU!I216,JU!K216,0)</f>
        <v>0</v>
      </c>
      <c r="H223" s="72">
        <f t="shared" si="4"/>
        <v>13228000</v>
      </c>
    </row>
    <row r="224" spans="2:8" hidden="1">
      <c r="B224" s="68" t="str">
        <f>IF(OR($D$3=JU!$F217,$D$3=JU!$I217),JU!B217,"")</f>
        <v/>
      </c>
      <c r="C224" s="6" t="str">
        <f>IF(OR($D$3=JU!$F217,$D$3=JU!$I217),JU!C217,"")</f>
        <v/>
      </c>
      <c r="D224" s="73" t="str">
        <f>IF(OR($D$3=JU!$F217,$D$3=JU!$I217),JU!D217,"")</f>
        <v/>
      </c>
      <c r="E224" s="74" t="str">
        <f>IF(OR($D$3=JU!$F217,$D$3=JU!$I217),JU!E217,"")</f>
        <v/>
      </c>
      <c r="F224" s="72">
        <f>IF($D$3=JU!F217,JU!H217,0)</f>
        <v>0</v>
      </c>
      <c r="G224" s="72">
        <f>IF($D$3=JU!I217,JU!K217,0)</f>
        <v>0</v>
      </c>
      <c r="H224" s="72">
        <f t="shared" si="4"/>
        <v>13228000</v>
      </c>
    </row>
    <row r="225" spans="2:8" hidden="1">
      <c r="B225" s="68" t="str">
        <f>IF(OR($D$3=JU!$F218,$D$3=JU!$I218),JU!B218,"")</f>
        <v/>
      </c>
      <c r="C225" s="6" t="str">
        <f>IF(OR($D$3=JU!$F218,$D$3=JU!$I218),JU!C218,"")</f>
        <v/>
      </c>
      <c r="D225" s="73" t="str">
        <f>IF(OR($D$3=JU!$F218,$D$3=JU!$I218),JU!D218,"")</f>
        <v/>
      </c>
      <c r="E225" s="74" t="str">
        <f>IF(OR($D$3=JU!$F218,$D$3=JU!$I218),JU!E218,"")</f>
        <v/>
      </c>
      <c r="F225" s="72">
        <f>IF($D$3=JU!F218,JU!H218,0)</f>
        <v>0</v>
      </c>
      <c r="G225" s="72">
        <f>IF($D$3=JU!I218,JU!K218,0)</f>
        <v>0</v>
      </c>
      <c r="H225" s="72">
        <f t="shared" si="4"/>
        <v>13228000</v>
      </c>
    </row>
    <row r="226" spans="2:8" hidden="1">
      <c r="B226" s="68" t="str">
        <f>IF(OR($D$3=JU!$F219,$D$3=JU!$I219),JU!B219,"")</f>
        <v/>
      </c>
      <c r="C226" s="6" t="str">
        <f>IF(OR($D$3=JU!$F219,$D$3=JU!$I219),JU!C219,"")</f>
        <v/>
      </c>
      <c r="D226" s="73" t="str">
        <f>IF(OR($D$3=JU!$F219,$D$3=JU!$I219),JU!D219,"")</f>
        <v/>
      </c>
      <c r="E226" s="74" t="str">
        <f>IF(OR($D$3=JU!$F219,$D$3=JU!$I219),JU!E219,"")</f>
        <v/>
      </c>
      <c r="F226" s="72">
        <f>IF($D$3=JU!F219,JU!H219,0)</f>
        <v>0</v>
      </c>
      <c r="G226" s="72">
        <f>IF($D$3=JU!I219,JU!K219,0)</f>
        <v>0</v>
      </c>
      <c r="H226" s="72">
        <f t="shared" si="4"/>
        <v>13228000</v>
      </c>
    </row>
    <row r="227" spans="2:8" hidden="1">
      <c r="B227" s="68" t="str">
        <f>IF(OR($D$3=JU!$F220,$D$3=JU!$I220),JU!B220,"")</f>
        <v/>
      </c>
      <c r="C227" s="6" t="str">
        <f>IF(OR($D$3=JU!$F220,$D$3=JU!$I220),JU!C220,"")</f>
        <v/>
      </c>
      <c r="D227" s="73" t="str">
        <f>IF(OR($D$3=JU!$F220,$D$3=JU!$I220),JU!D220,"")</f>
        <v/>
      </c>
      <c r="E227" s="74" t="str">
        <f>IF(OR($D$3=JU!$F220,$D$3=JU!$I220),JU!E220,"")</f>
        <v/>
      </c>
      <c r="F227" s="72">
        <f>IF($D$3=JU!F220,JU!H220,0)</f>
        <v>0</v>
      </c>
      <c r="G227" s="72">
        <f>IF($D$3=JU!I220,JU!K220,0)</f>
        <v>0</v>
      </c>
      <c r="H227" s="72">
        <f t="shared" si="4"/>
        <v>13228000</v>
      </c>
    </row>
    <row r="228" spans="2:8" hidden="1">
      <c r="B228" s="68" t="str">
        <f>IF(OR($D$3=JU!$F221,$D$3=JU!$I221),JU!B221,"")</f>
        <v/>
      </c>
      <c r="C228" s="6" t="str">
        <f>IF(OR($D$3=JU!$F221,$D$3=JU!$I221),JU!C221,"")</f>
        <v/>
      </c>
      <c r="D228" s="73" t="str">
        <f>IF(OR($D$3=JU!$F221,$D$3=JU!$I221),JU!D221,"")</f>
        <v/>
      </c>
      <c r="E228" s="74" t="str">
        <f>IF(OR($D$3=JU!$F221,$D$3=JU!$I221),JU!E221,"")</f>
        <v/>
      </c>
      <c r="F228" s="72">
        <f>IF($D$3=JU!F221,JU!H221,0)</f>
        <v>0</v>
      </c>
      <c r="G228" s="72">
        <f>IF($D$3=JU!I221,JU!K221,0)</f>
        <v>0</v>
      </c>
      <c r="H228" s="72">
        <f t="shared" si="4"/>
        <v>13228000</v>
      </c>
    </row>
    <row r="229" spans="2:8" hidden="1">
      <c r="B229" s="68" t="str">
        <f>IF(OR($D$3=JU!$F222,$D$3=JU!$I222),JU!B222,"")</f>
        <v/>
      </c>
      <c r="C229" s="6" t="str">
        <f>IF(OR($D$3=JU!$F222,$D$3=JU!$I222),JU!C222,"")</f>
        <v/>
      </c>
      <c r="D229" s="73" t="str">
        <f>IF(OR($D$3=JU!$F222,$D$3=JU!$I222),JU!D222,"")</f>
        <v/>
      </c>
      <c r="E229" s="74" t="str">
        <f>IF(OR($D$3=JU!$F222,$D$3=JU!$I222),JU!E222,"")</f>
        <v/>
      </c>
      <c r="F229" s="72">
        <f>IF($D$3=JU!F222,JU!H222,0)</f>
        <v>0</v>
      </c>
      <c r="G229" s="72">
        <f>IF($D$3=JU!I222,JU!K222,0)</f>
        <v>0</v>
      </c>
      <c r="H229" s="72">
        <f t="shared" si="4"/>
        <v>13228000</v>
      </c>
    </row>
    <row r="230" spans="2:8" hidden="1">
      <c r="B230" s="68" t="str">
        <f>IF(OR($D$3=JU!$F223,$D$3=JU!$I223),JU!B223,"")</f>
        <v/>
      </c>
      <c r="C230" s="6" t="str">
        <f>IF(OR($D$3=JU!$F223,$D$3=JU!$I223),JU!C223,"")</f>
        <v/>
      </c>
      <c r="D230" s="73" t="str">
        <f>IF(OR($D$3=JU!$F223,$D$3=JU!$I223),JU!D223,"")</f>
        <v/>
      </c>
      <c r="E230" s="74" t="str">
        <f>IF(OR($D$3=JU!$F223,$D$3=JU!$I223),JU!E223,"")</f>
        <v/>
      </c>
      <c r="F230" s="72">
        <f>IF($D$3=JU!F223,JU!H223,0)</f>
        <v>0</v>
      </c>
      <c r="G230" s="72">
        <f>IF($D$3=JU!I223,JU!K223,0)</f>
        <v>0</v>
      </c>
      <c r="H230" s="72">
        <f t="shared" si="4"/>
        <v>13228000</v>
      </c>
    </row>
    <row r="231" spans="2:8" hidden="1">
      <c r="B231" s="68" t="str">
        <f>IF(OR($D$3=JU!$F224,$D$3=JU!$I224),JU!B224,"")</f>
        <v/>
      </c>
      <c r="C231" s="6" t="str">
        <f>IF(OR($D$3=JU!$F224,$D$3=JU!$I224),JU!C224,"")</f>
        <v/>
      </c>
      <c r="D231" s="73" t="str">
        <f>IF(OR($D$3=JU!$F224,$D$3=JU!$I224),JU!D224,"")</f>
        <v/>
      </c>
      <c r="E231" s="74" t="str">
        <f>IF(OR($D$3=JU!$F224,$D$3=JU!$I224),JU!E224,"")</f>
        <v/>
      </c>
      <c r="F231" s="72">
        <f>IF($D$3=JU!F224,JU!H224,0)</f>
        <v>0</v>
      </c>
      <c r="G231" s="72">
        <f>IF($D$3=JU!I224,JU!K224,0)</f>
        <v>0</v>
      </c>
      <c r="H231" s="72">
        <f t="shared" si="4"/>
        <v>13228000</v>
      </c>
    </row>
    <row r="232" spans="2:8" hidden="1">
      <c r="B232" s="68" t="str">
        <f>IF(OR($D$3=JU!$F225,$D$3=JU!$I225),JU!B225,"")</f>
        <v/>
      </c>
      <c r="C232" s="6" t="str">
        <f>IF(OR($D$3=JU!$F225,$D$3=JU!$I225),JU!C225,"")</f>
        <v/>
      </c>
      <c r="D232" s="73" t="str">
        <f>IF(OR($D$3=JU!$F225,$D$3=JU!$I225),JU!D225,"")</f>
        <v/>
      </c>
      <c r="E232" s="74" t="str">
        <f>IF(OR($D$3=JU!$F225,$D$3=JU!$I225),JU!E225,"")</f>
        <v/>
      </c>
      <c r="F232" s="72">
        <f>IF($D$3=JU!F225,JU!H225,0)</f>
        <v>0</v>
      </c>
      <c r="G232" s="72">
        <f>IF($D$3=JU!I225,JU!K225,0)</f>
        <v>0</v>
      </c>
      <c r="H232" s="72">
        <f t="shared" si="4"/>
        <v>13228000</v>
      </c>
    </row>
    <row r="233" spans="2:8" hidden="1">
      <c r="B233" s="68" t="str">
        <f>IF(OR($D$3=JU!$F226,$D$3=JU!$I226),JU!B226,"")</f>
        <v/>
      </c>
      <c r="C233" s="6" t="str">
        <f>IF(OR($D$3=JU!$F226,$D$3=JU!$I226),JU!C226,"")</f>
        <v/>
      </c>
      <c r="D233" s="73" t="str">
        <f>IF(OR($D$3=JU!$F226,$D$3=JU!$I226),JU!D226,"")</f>
        <v/>
      </c>
      <c r="E233" s="74" t="str">
        <f>IF(OR($D$3=JU!$F226,$D$3=JU!$I226),JU!E226,"")</f>
        <v/>
      </c>
      <c r="F233" s="72">
        <f>IF($D$3=JU!F226,JU!H226,0)</f>
        <v>0</v>
      </c>
      <c r="G233" s="72">
        <f>IF($D$3=JU!I226,JU!K226,0)</f>
        <v>0</v>
      </c>
      <c r="H233" s="72">
        <f t="shared" si="4"/>
        <v>13228000</v>
      </c>
    </row>
    <row r="234" spans="2:8" hidden="1">
      <c r="B234" s="68" t="str">
        <f>IF(OR($D$3=JU!$F227,$D$3=JU!$I227),JU!B227,"")</f>
        <v/>
      </c>
      <c r="C234" s="6" t="str">
        <f>IF(OR($D$3=JU!$F227,$D$3=JU!$I227),JU!C227,"")</f>
        <v/>
      </c>
      <c r="D234" s="73" t="str">
        <f>IF(OR($D$3=JU!$F227,$D$3=JU!$I227),JU!D227,"")</f>
        <v/>
      </c>
      <c r="E234" s="74" t="str">
        <f>IF(OR($D$3=JU!$F227,$D$3=JU!$I227),JU!E227,"")</f>
        <v/>
      </c>
      <c r="F234" s="72">
        <f>IF($D$3=JU!F227,JU!H227,0)</f>
        <v>0</v>
      </c>
      <c r="G234" s="72">
        <f>IF($D$3=JU!I227,JU!K227,0)</f>
        <v>0</v>
      </c>
      <c r="H234" s="72">
        <f t="shared" si="4"/>
        <v>13228000</v>
      </c>
    </row>
    <row r="235" spans="2:8" hidden="1">
      <c r="B235" s="68" t="str">
        <f>IF(OR($D$3=JU!$F228,$D$3=JU!$I228),JU!B228,"")</f>
        <v/>
      </c>
      <c r="C235" s="6" t="str">
        <f>IF(OR($D$3=JU!$F228,$D$3=JU!$I228),JU!C228,"")</f>
        <v/>
      </c>
      <c r="D235" s="73" t="str">
        <f>IF(OR($D$3=JU!$F228,$D$3=JU!$I228),JU!D228,"")</f>
        <v/>
      </c>
      <c r="E235" s="74" t="str">
        <f>IF(OR($D$3=JU!$F228,$D$3=JU!$I228),JU!E228,"")</f>
        <v/>
      </c>
      <c r="F235" s="72">
        <f>IF($D$3=JU!F228,JU!H228,0)</f>
        <v>0</v>
      </c>
      <c r="G235" s="72">
        <f>IF($D$3=JU!I228,JU!K228,0)</f>
        <v>0</v>
      </c>
      <c r="H235" s="72">
        <f t="shared" si="4"/>
        <v>13228000</v>
      </c>
    </row>
    <row r="236" spans="2:8" hidden="1">
      <c r="B236" s="68" t="str">
        <f>IF(OR($D$3=JU!$F229,$D$3=JU!$I229),JU!B229,"")</f>
        <v/>
      </c>
      <c r="C236" s="6" t="str">
        <f>IF(OR($D$3=JU!$F229,$D$3=JU!$I229),JU!C229,"")</f>
        <v/>
      </c>
      <c r="D236" s="73" t="str">
        <f>IF(OR($D$3=JU!$F229,$D$3=JU!$I229),JU!D229,"")</f>
        <v/>
      </c>
      <c r="E236" s="74" t="str">
        <f>IF(OR($D$3=JU!$F229,$D$3=JU!$I229),JU!E229,"")</f>
        <v/>
      </c>
      <c r="F236" s="72">
        <f>IF($D$3=JU!F229,JU!H229,0)</f>
        <v>0</v>
      </c>
      <c r="G236" s="72">
        <f>IF($D$3=JU!I229,JU!K229,0)</f>
        <v>0</v>
      </c>
      <c r="H236" s="72">
        <f t="shared" si="4"/>
        <v>13228000</v>
      </c>
    </row>
    <row r="237" spans="2:8" hidden="1">
      <c r="B237" s="68" t="str">
        <f>IF(OR($D$3=JU!$F230,$D$3=JU!$I230),JU!B230,"")</f>
        <v/>
      </c>
      <c r="C237" s="6" t="str">
        <f>IF(OR($D$3=JU!$F230,$D$3=JU!$I230),JU!C230,"")</f>
        <v/>
      </c>
      <c r="D237" s="73" t="str">
        <f>IF(OR($D$3=JU!$F230,$D$3=JU!$I230),JU!D230,"")</f>
        <v/>
      </c>
      <c r="E237" s="74" t="str">
        <f>IF(OR($D$3=JU!$F230,$D$3=JU!$I230),JU!E230,"")</f>
        <v/>
      </c>
      <c r="F237" s="72">
        <f>IF($D$3=JU!F230,JU!H230,0)</f>
        <v>0</v>
      </c>
      <c r="G237" s="72">
        <f>IF($D$3=JU!I230,JU!K230,0)</f>
        <v>0</v>
      </c>
      <c r="H237" s="72">
        <f t="shared" si="4"/>
        <v>13228000</v>
      </c>
    </row>
    <row r="238" spans="2:8" hidden="1">
      <c r="B238" s="68" t="str">
        <f>IF(OR($D$3=JU!$F231,$D$3=JU!$I231),JU!B231,"")</f>
        <v/>
      </c>
      <c r="C238" s="6" t="str">
        <f>IF(OR($D$3=JU!$F231,$D$3=JU!$I231),JU!C231,"")</f>
        <v/>
      </c>
      <c r="D238" s="73" t="str">
        <f>IF(OR($D$3=JU!$F231,$D$3=JU!$I231),JU!D231,"")</f>
        <v/>
      </c>
      <c r="E238" s="74" t="str">
        <f>IF(OR($D$3=JU!$F231,$D$3=JU!$I231),JU!E231,"")</f>
        <v/>
      </c>
      <c r="F238" s="72">
        <f>IF($D$3=JU!F231,JU!H231,0)</f>
        <v>0</v>
      </c>
      <c r="G238" s="72">
        <f>IF($D$3=JU!I231,JU!K231,0)</f>
        <v>0</v>
      </c>
      <c r="H238" s="72">
        <f t="shared" si="4"/>
        <v>13228000</v>
      </c>
    </row>
    <row r="239" spans="2:8" hidden="1">
      <c r="B239" s="68" t="str">
        <f>IF(OR($D$3=JU!$F232,$D$3=JU!$I232),JU!B232,"")</f>
        <v/>
      </c>
      <c r="C239" s="6" t="str">
        <f>IF(OR($D$3=JU!$F232,$D$3=JU!$I232),JU!C232,"")</f>
        <v/>
      </c>
      <c r="D239" s="73" t="str">
        <f>IF(OR($D$3=JU!$F232,$D$3=JU!$I232),JU!D232,"")</f>
        <v/>
      </c>
      <c r="E239" s="74" t="str">
        <f>IF(OR($D$3=JU!$F232,$D$3=JU!$I232),JU!E232,"")</f>
        <v/>
      </c>
      <c r="F239" s="72">
        <f>IF($D$3=JU!F232,JU!H232,0)</f>
        <v>0</v>
      </c>
      <c r="G239" s="72">
        <f>IF($D$3=JU!I232,JU!K232,0)</f>
        <v>0</v>
      </c>
      <c r="H239" s="72">
        <f t="shared" si="4"/>
        <v>13228000</v>
      </c>
    </row>
    <row r="240" spans="2:8" hidden="1">
      <c r="B240" s="68" t="str">
        <f>IF(OR($D$3=JU!$F233,$D$3=JU!$I233),JU!B233,"")</f>
        <v/>
      </c>
      <c r="C240" s="6" t="str">
        <f>IF(OR($D$3=JU!$F233,$D$3=JU!$I233),JU!C233,"")</f>
        <v/>
      </c>
      <c r="D240" s="73" t="str">
        <f>IF(OR($D$3=JU!$F233,$D$3=JU!$I233),JU!D233,"")</f>
        <v/>
      </c>
      <c r="E240" s="74" t="str">
        <f>IF(OR($D$3=JU!$F233,$D$3=JU!$I233),JU!E233,"")</f>
        <v/>
      </c>
      <c r="F240" s="72">
        <f>IF($D$3=JU!F233,JU!H233,0)</f>
        <v>0</v>
      </c>
      <c r="G240" s="72">
        <f>IF($D$3=JU!I233,JU!K233,0)</f>
        <v>0</v>
      </c>
      <c r="H240" s="72">
        <f t="shared" si="4"/>
        <v>13228000</v>
      </c>
    </row>
    <row r="241" spans="2:8" hidden="1">
      <c r="B241" s="68" t="str">
        <f>IF(OR($D$3=JU!$F234,$D$3=JU!$I234),JU!B234,"")</f>
        <v/>
      </c>
      <c r="C241" s="6" t="str">
        <f>IF(OR($D$3=JU!$F234,$D$3=JU!$I234),JU!C234,"")</f>
        <v/>
      </c>
      <c r="D241" s="73" t="str">
        <f>IF(OR($D$3=JU!$F234,$D$3=JU!$I234),JU!D234,"")</f>
        <v/>
      </c>
      <c r="E241" s="74" t="str">
        <f>IF(OR($D$3=JU!$F234,$D$3=JU!$I234),JU!E234,"")</f>
        <v/>
      </c>
      <c r="F241" s="72">
        <f>IF($D$3=JU!F234,JU!H234,0)</f>
        <v>0</v>
      </c>
      <c r="G241" s="72">
        <f>IF($D$3=JU!I234,JU!K234,0)</f>
        <v>0</v>
      </c>
      <c r="H241" s="72">
        <f t="shared" si="4"/>
        <v>13228000</v>
      </c>
    </row>
    <row r="242" spans="2:8" hidden="1">
      <c r="B242" s="68" t="str">
        <f>IF(OR($D$3=JU!$F235,$D$3=JU!$I235),JU!B235,"")</f>
        <v/>
      </c>
      <c r="C242" s="6" t="str">
        <f>IF(OR($D$3=JU!$F235,$D$3=JU!$I235),JU!C235,"")</f>
        <v/>
      </c>
      <c r="D242" s="73" t="str">
        <f>IF(OR($D$3=JU!$F235,$D$3=JU!$I235),JU!D235,"")</f>
        <v/>
      </c>
      <c r="E242" s="74" t="str">
        <f>IF(OR($D$3=JU!$F235,$D$3=JU!$I235),JU!E235,"")</f>
        <v/>
      </c>
      <c r="F242" s="72">
        <f>IF($D$3=JU!F235,JU!H235,0)</f>
        <v>0</v>
      </c>
      <c r="G242" s="72">
        <f>IF($D$3=JU!I235,JU!K235,0)</f>
        <v>0</v>
      </c>
      <c r="H242" s="72">
        <f t="shared" si="4"/>
        <v>13228000</v>
      </c>
    </row>
    <row r="243" spans="2:8" hidden="1">
      <c r="B243" s="68" t="str">
        <f>IF(OR($D$3=JU!$F236,$D$3=JU!$I236),JU!B236,"")</f>
        <v/>
      </c>
      <c r="C243" s="6" t="str">
        <f>IF(OR($D$3=JU!$F236,$D$3=JU!$I236),JU!C236,"")</f>
        <v/>
      </c>
      <c r="D243" s="73" t="str">
        <f>IF(OR($D$3=JU!$F236,$D$3=JU!$I236),JU!D236,"")</f>
        <v/>
      </c>
      <c r="E243" s="74" t="str">
        <f>IF(OR($D$3=JU!$F236,$D$3=JU!$I236),JU!E236,"")</f>
        <v/>
      </c>
      <c r="F243" s="72">
        <f>IF($D$3=JU!F236,JU!H236,0)</f>
        <v>0</v>
      </c>
      <c r="G243" s="72">
        <f>IF($D$3=JU!I236,JU!K236,0)</f>
        <v>0</v>
      </c>
      <c r="H243" s="72">
        <f t="shared" si="4"/>
        <v>13228000</v>
      </c>
    </row>
    <row r="244" spans="2:8" hidden="1">
      <c r="B244" s="68" t="str">
        <f>IF(OR($D$3=JU!$F237,$D$3=JU!$I237),JU!B237,"")</f>
        <v/>
      </c>
      <c r="C244" s="6" t="str">
        <f>IF(OR($D$3=JU!$F237,$D$3=JU!$I237),JU!C237,"")</f>
        <v/>
      </c>
      <c r="D244" s="73" t="str">
        <f>IF(OR($D$3=JU!$F237,$D$3=JU!$I237),JU!D237,"")</f>
        <v/>
      </c>
      <c r="E244" s="74" t="str">
        <f>IF(OR($D$3=JU!$F237,$D$3=JU!$I237),JU!E237,"")</f>
        <v/>
      </c>
      <c r="F244" s="72">
        <f>IF($D$3=JU!F237,JU!H237,0)</f>
        <v>0</v>
      </c>
      <c r="G244" s="72">
        <f>IF($D$3=JU!I237,JU!K237,0)</f>
        <v>0</v>
      </c>
      <c r="H244" s="72">
        <f t="shared" si="4"/>
        <v>13228000</v>
      </c>
    </row>
    <row r="245" spans="2:8">
      <c r="B245" s="68">
        <f>IF(OR($D$3=JU!$F238,$D$3=JU!$I238),JU!B238,"")</f>
        <v>46056</v>
      </c>
      <c r="C245" s="6" t="str">
        <f>IF(OR($D$3=JU!$F238,$D$3=JU!$I238),JU!C238,"")</f>
        <v xml:space="preserve">MATERAI AKAD RUKO BLOK R22 ASPIATI </v>
      </c>
      <c r="D245" s="73" t="str">
        <f>IF(OR($D$3=JU!$F238,$D$3=JU!$I238),JU!D238,"")</f>
        <v xml:space="preserve">By. Biaya MATERAI AKAD RUKO BLOK R22 ASPIATI </v>
      </c>
      <c r="E245" s="74">
        <f>IF(OR($D$3=JU!$F238,$D$3=JU!$I238),JU!E238,"")</f>
        <v>0</v>
      </c>
      <c r="F245" s="72">
        <f>IF($D$3=JU!F238,JU!H238,0)</f>
        <v>350000</v>
      </c>
      <c r="G245" s="72">
        <f>IF($D$3=JU!I238,JU!K238,0)</f>
        <v>0</v>
      </c>
      <c r="H245" s="72">
        <f t="shared" si="4"/>
        <v>13578000</v>
      </c>
    </row>
    <row r="246" spans="2:8" hidden="1">
      <c r="B246" s="68" t="str">
        <f>IF(OR($D$3=JU!$F239,$D$3=JU!$I239),JU!B239,"")</f>
        <v/>
      </c>
      <c r="C246" s="6" t="str">
        <f>IF(OR($D$3=JU!$F239,$D$3=JU!$I239),JU!C239,"")</f>
        <v/>
      </c>
      <c r="D246" s="73" t="str">
        <f>IF(OR($D$3=JU!$F239,$D$3=JU!$I239),JU!D239,"")</f>
        <v/>
      </c>
      <c r="E246" s="74" t="str">
        <f>IF(OR($D$3=JU!$F239,$D$3=JU!$I239),JU!E239,"")</f>
        <v/>
      </c>
      <c r="F246" s="72">
        <f>IF($D$3=JU!F239,JU!H239,0)</f>
        <v>0</v>
      </c>
      <c r="G246" s="72">
        <f>IF($D$3=JU!I239,JU!K239,0)</f>
        <v>0</v>
      </c>
      <c r="H246" s="72">
        <f t="shared" si="4"/>
        <v>13578000</v>
      </c>
    </row>
    <row r="247" spans="2:8" hidden="1">
      <c r="B247" s="68" t="str">
        <f>IF(OR($D$3=JU!$F240,$D$3=JU!$I240),JU!B240,"")</f>
        <v/>
      </c>
      <c r="C247" s="6" t="str">
        <f>IF(OR($D$3=JU!$F240,$D$3=JU!$I240),JU!C240,"")</f>
        <v/>
      </c>
      <c r="D247" s="73" t="str">
        <f>IF(OR($D$3=JU!$F240,$D$3=JU!$I240),JU!D240,"")</f>
        <v/>
      </c>
      <c r="E247" s="74" t="str">
        <f>IF(OR($D$3=JU!$F240,$D$3=JU!$I240),JU!E240,"")</f>
        <v/>
      </c>
      <c r="F247" s="72">
        <f>IF($D$3=JU!F240,JU!H240,0)</f>
        <v>0</v>
      </c>
      <c r="G247" s="72">
        <f>IF($D$3=JU!I240,JU!K240,0)</f>
        <v>0</v>
      </c>
      <c r="H247" s="72">
        <f t="shared" si="4"/>
        <v>13578000</v>
      </c>
    </row>
    <row r="248" spans="2:8" hidden="1">
      <c r="B248" s="68" t="str">
        <f>IF(OR($D$3=JU!$F241,$D$3=JU!$I241),JU!B241,"")</f>
        <v/>
      </c>
      <c r="C248" s="6" t="str">
        <f>IF(OR($D$3=JU!$F241,$D$3=JU!$I241),JU!C241,"")</f>
        <v/>
      </c>
      <c r="D248" s="73" t="str">
        <f>IF(OR($D$3=JU!$F241,$D$3=JU!$I241),JU!D241,"")</f>
        <v/>
      </c>
      <c r="E248" s="74" t="str">
        <f>IF(OR($D$3=JU!$F241,$D$3=JU!$I241),JU!E241,"")</f>
        <v/>
      </c>
      <c r="F248" s="72">
        <f>IF($D$3=JU!F241,JU!H241,0)</f>
        <v>0</v>
      </c>
      <c r="G248" s="72">
        <f>IF($D$3=JU!I241,JU!K241,0)</f>
        <v>0</v>
      </c>
      <c r="H248" s="72">
        <f t="shared" si="4"/>
        <v>13578000</v>
      </c>
    </row>
    <row r="249" spans="2:8" hidden="1">
      <c r="B249" s="68" t="str">
        <f>IF(OR($D$3=JU!$F242,$D$3=JU!$I242),JU!B242,"")</f>
        <v/>
      </c>
      <c r="C249" s="6" t="str">
        <f>IF(OR($D$3=JU!$F242,$D$3=JU!$I242),JU!C242,"")</f>
        <v/>
      </c>
      <c r="D249" s="73" t="str">
        <f>IF(OR($D$3=JU!$F242,$D$3=JU!$I242),JU!D242,"")</f>
        <v/>
      </c>
      <c r="E249" s="74" t="str">
        <f>IF(OR($D$3=JU!$F242,$D$3=JU!$I242),JU!E242,"")</f>
        <v/>
      </c>
      <c r="F249" s="72">
        <f>IF($D$3=JU!F242,JU!H242,0)</f>
        <v>0</v>
      </c>
      <c r="G249" s="72">
        <f>IF($D$3=JU!I242,JU!K242,0)</f>
        <v>0</v>
      </c>
      <c r="H249" s="72">
        <f t="shared" si="4"/>
        <v>13578000</v>
      </c>
    </row>
    <row r="250" spans="2:8" hidden="1">
      <c r="B250" s="68" t="str">
        <f>IF(OR($D$3=JU!$F243,$D$3=JU!$I243),JU!B243,"")</f>
        <v/>
      </c>
      <c r="C250" s="6" t="str">
        <f>IF(OR($D$3=JU!$F243,$D$3=JU!$I243),JU!C243,"")</f>
        <v/>
      </c>
      <c r="D250" s="73" t="str">
        <f>IF(OR($D$3=JU!$F243,$D$3=JU!$I243),JU!D243,"")</f>
        <v/>
      </c>
      <c r="E250" s="74" t="str">
        <f>IF(OR($D$3=JU!$F243,$D$3=JU!$I243),JU!E243,"")</f>
        <v/>
      </c>
      <c r="F250" s="72">
        <f>IF($D$3=JU!F243,JU!H243,0)</f>
        <v>0</v>
      </c>
      <c r="G250" s="72">
        <f>IF($D$3=JU!I243,JU!K243,0)</f>
        <v>0</v>
      </c>
      <c r="H250" s="72">
        <f t="shared" si="4"/>
        <v>13578000</v>
      </c>
    </row>
    <row r="251" spans="2:8" hidden="1">
      <c r="B251" s="68" t="str">
        <f>IF(OR($D$3=JU!$F244,$D$3=JU!$I244),JU!B244,"")</f>
        <v/>
      </c>
      <c r="C251" s="6" t="str">
        <f>IF(OR($D$3=JU!$F244,$D$3=JU!$I244),JU!C244,"")</f>
        <v/>
      </c>
      <c r="D251" s="73" t="str">
        <f>IF(OR($D$3=JU!$F244,$D$3=JU!$I244),JU!D244,"")</f>
        <v/>
      </c>
      <c r="E251" s="74" t="str">
        <f>IF(OR($D$3=JU!$F244,$D$3=JU!$I244),JU!E244,"")</f>
        <v/>
      </c>
      <c r="F251" s="72">
        <f>IF($D$3=JU!F244,JU!H244,0)</f>
        <v>0</v>
      </c>
      <c r="G251" s="72">
        <f>IF($D$3=JU!I244,JU!K244,0)</f>
        <v>0</v>
      </c>
      <c r="H251" s="72">
        <f t="shared" si="4"/>
        <v>13578000</v>
      </c>
    </row>
    <row r="252" spans="2:8" hidden="1">
      <c r="B252" s="68" t="str">
        <f>IF(OR($D$3=JU!$F245,$D$3=JU!$I245),JU!B245,"")</f>
        <v/>
      </c>
      <c r="C252" s="6" t="str">
        <f>IF(OR($D$3=JU!$F245,$D$3=JU!$I245),JU!C245,"")</f>
        <v/>
      </c>
      <c r="D252" s="73" t="str">
        <f>IF(OR($D$3=JU!$F245,$D$3=JU!$I245),JU!D245,"")</f>
        <v/>
      </c>
      <c r="E252" s="74" t="str">
        <f>IF(OR($D$3=JU!$F245,$D$3=JU!$I245),JU!E245,"")</f>
        <v/>
      </c>
      <c r="F252" s="72">
        <f>IF($D$3=JU!F245,JU!H245,0)</f>
        <v>0</v>
      </c>
      <c r="G252" s="72">
        <f>IF($D$3=JU!I245,JU!K245,0)</f>
        <v>0</v>
      </c>
      <c r="H252" s="72">
        <f t="shared" si="4"/>
        <v>13578000</v>
      </c>
    </row>
    <row r="253" spans="2:8" hidden="1">
      <c r="B253" s="68" t="str">
        <f>IF(OR($D$3=JU!$F246,$D$3=JU!$I246),JU!B246,"")</f>
        <v/>
      </c>
      <c r="C253" s="6" t="str">
        <f>IF(OR($D$3=JU!$F246,$D$3=JU!$I246),JU!C246,"")</f>
        <v/>
      </c>
      <c r="D253" s="73" t="str">
        <f>IF(OR($D$3=JU!$F246,$D$3=JU!$I246),JU!D246,"")</f>
        <v/>
      </c>
      <c r="E253" s="74" t="str">
        <f>IF(OR($D$3=JU!$F246,$D$3=JU!$I246),JU!E246,"")</f>
        <v/>
      </c>
      <c r="F253" s="72">
        <f>IF($D$3=JU!F246,JU!H246,0)</f>
        <v>0</v>
      </c>
      <c r="G253" s="72">
        <f>IF($D$3=JU!I246,JU!K246,0)</f>
        <v>0</v>
      </c>
      <c r="H253" s="72">
        <f t="shared" si="4"/>
        <v>13578000</v>
      </c>
    </row>
    <row r="254" spans="2:8" hidden="1">
      <c r="B254" s="68" t="str">
        <f>IF(OR($D$3=JU!$F247,$D$3=JU!$I247),JU!B247,"")</f>
        <v/>
      </c>
      <c r="C254" s="6" t="str">
        <f>IF(OR($D$3=JU!$F247,$D$3=JU!$I247),JU!C247,"")</f>
        <v/>
      </c>
      <c r="D254" s="73" t="str">
        <f>IF(OR($D$3=JU!$F247,$D$3=JU!$I247),JU!D247,"")</f>
        <v/>
      </c>
      <c r="E254" s="74" t="str">
        <f>IF(OR($D$3=JU!$F247,$D$3=JU!$I247),JU!E247,"")</f>
        <v/>
      </c>
      <c r="F254" s="72">
        <f>IF($D$3=JU!F247,JU!H247,0)</f>
        <v>0</v>
      </c>
      <c r="G254" s="72">
        <f>IF($D$3=JU!I247,JU!K247,0)</f>
        <v>0</v>
      </c>
      <c r="H254" s="72">
        <f t="shared" si="4"/>
        <v>13578000</v>
      </c>
    </row>
    <row r="255" spans="2:8" hidden="1">
      <c r="B255" s="68" t="str">
        <f>IF(OR($D$3=JU!$F248,$D$3=JU!$I248),JU!B248,"")</f>
        <v/>
      </c>
      <c r="C255" s="6" t="str">
        <f>IF(OR($D$3=JU!$F248,$D$3=JU!$I248),JU!C248,"")</f>
        <v/>
      </c>
      <c r="D255" s="73" t="str">
        <f>IF(OR($D$3=JU!$F248,$D$3=JU!$I248),JU!D248,"")</f>
        <v/>
      </c>
      <c r="E255" s="74" t="str">
        <f>IF(OR($D$3=JU!$F248,$D$3=JU!$I248),JU!E248,"")</f>
        <v/>
      </c>
      <c r="F255" s="72">
        <f>IF($D$3=JU!F248,JU!H248,0)</f>
        <v>0</v>
      </c>
      <c r="G255" s="72">
        <f>IF($D$3=JU!I248,JU!K248,0)</f>
        <v>0</v>
      </c>
      <c r="H255" s="72">
        <f t="shared" si="4"/>
        <v>13578000</v>
      </c>
    </row>
    <row r="256" spans="2:8" hidden="1">
      <c r="B256" s="68" t="str">
        <f>IF(OR($D$3=JU!$F249,$D$3=JU!$I249),JU!B249,"")</f>
        <v/>
      </c>
      <c r="C256" s="6" t="str">
        <f>IF(OR($D$3=JU!$F249,$D$3=JU!$I249),JU!C249,"")</f>
        <v/>
      </c>
      <c r="D256" s="73" t="str">
        <f>IF(OR($D$3=JU!$F249,$D$3=JU!$I249),JU!D249,"")</f>
        <v/>
      </c>
      <c r="E256" s="74" t="str">
        <f>IF(OR($D$3=JU!$F249,$D$3=JU!$I249),JU!E249,"")</f>
        <v/>
      </c>
      <c r="F256" s="72">
        <f>IF($D$3=JU!F249,JU!H249,0)</f>
        <v>0</v>
      </c>
      <c r="G256" s="72">
        <f>IF($D$3=JU!I249,JU!K249,0)</f>
        <v>0</v>
      </c>
      <c r="H256" s="72">
        <f t="shared" si="4"/>
        <v>13578000</v>
      </c>
    </row>
    <row r="257" spans="2:8" hidden="1">
      <c r="B257" s="68" t="str">
        <f>IF(OR($D$3=JU!$F250,$D$3=JU!$I250),JU!B250,"")</f>
        <v/>
      </c>
      <c r="C257" s="6" t="str">
        <f>IF(OR($D$3=JU!$F250,$D$3=JU!$I250),JU!C250,"")</f>
        <v/>
      </c>
      <c r="D257" s="73" t="str">
        <f>IF(OR($D$3=JU!$F250,$D$3=JU!$I250),JU!D250,"")</f>
        <v/>
      </c>
      <c r="E257" s="74" t="str">
        <f>IF(OR($D$3=JU!$F250,$D$3=JU!$I250),JU!E250,"")</f>
        <v/>
      </c>
      <c r="F257" s="72">
        <f>IF($D$3=JU!F250,JU!H250,0)</f>
        <v>0</v>
      </c>
      <c r="G257" s="72">
        <f>IF($D$3=JU!I250,JU!K250,0)</f>
        <v>0</v>
      </c>
      <c r="H257" s="72">
        <f t="shared" si="4"/>
        <v>13578000</v>
      </c>
    </row>
    <row r="258" spans="2:8" hidden="1">
      <c r="B258" s="68" t="str">
        <f>IF(OR($D$3=JU!$F251,$D$3=JU!$I251),JU!B251,"")</f>
        <v/>
      </c>
      <c r="C258" s="6" t="str">
        <f>IF(OR($D$3=JU!$F251,$D$3=JU!$I251),JU!C251,"")</f>
        <v/>
      </c>
      <c r="D258" s="73" t="str">
        <f>IF(OR($D$3=JU!$F251,$D$3=JU!$I251),JU!D251,"")</f>
        <v/>
      </c>
      <c r="E258" s="74" t="str">
        <f>IF(OR($D$3=JU!$F251,$D$3=JU!$I251),JU!E251,"")</f>
        <v/>
      </c>
      <c r="F258" s="72">
        <f>IF($D$3=JU!F251,JU!H251,0)</f>
        <v>0</v>
      </c>
      <c r="G258" s="72">
        <f>IF($D$3=JU!I251,JU!K251,0)</f>
        <v>0</v>
      </c>
      <c r="H258" s="72">
        <f t="shared" si="4"/>
        <v>13578000</v>
      </c>
    </row>
    <row r="259" spans="2:8" hidden="1">
      <c r="B259" s="68" t="str">
        <f>IF(OR($D$3=JU!$F252,$D$3=JU!$I252),JU!B252,"")</f>
        <v/>
      </c>
      <c r="C259" s="6" t="str">
        <f>IF(OR($D$3=JU!$F252,$D$3=JU!$I252),JU!C252,"")</f>
        <v/>
      </c>
      <c r="D259" s="73" t="str">
        <f>IF(OR($D$3=JU!$F252,$D$3=JU!$I252),JU!D252,"")</f>
        <v/>
      </c>
      <c r="E259" s="74" t="str">
        <f>IF(OR($D$3=JU!$F252,$D$3=JU!$I252),JU!E252,"")</f>
        <v/>
      </c>
      <c r="F259" s="72">
        <f>IF($D$3=JU!F252,JU!H252,0)</f>
        <v>0</v>
      </c>
      <c r="G259" s="72">
        <f>IF($D$3=JU!I252,JU!K252,0)</f>
        <v>0</v>
      </c>
      <c r="H259" s="72">
        <f t="shared" si="4"/>
        <v>13578000</v>
      </c>
    </row>
    <row r="260" spans="2:8" hidden="1">
      <c r="B260" s="68" t="str">
        <f>IF(OR($D$3=JU!$F253,$D$3=JU!$I253),JU!B253,"")</f>
        <v/>
      </c>
      <c r="C260" s="6" t="str">
        <f>IF(OR($D$3=JU!$F253,$D$3=JU!$I253),JU!C253,"")</f>
        <v/>
      </c>
      <c r="D260" s="73" t="str">
        <f>IF(OR($D$3=JU!$F253,$D$3=JU!$I253),JU!D253,"")</f>
        <v/>
      </c>
      <c r="E260" s="74" t="str">
        <f>IF(OR($D$3=JU!$F253,$D$3=JU!$I253),JU!E253,"")</f>
        <v/>
      </c>
      <c r="F260" s="72">
        <f>IF($D$3=JU!F253,JU!H253,0)</f>
        <v>0</v>
      </c>
      <c r="G260" s="72">
        <f>IF($D$3=JU!I253,JU!K253,0)</f>
        <v>0</v>
      </c>
      <c r="H260" s="72">
        <f t="shared" si="4"/>
        <v>13578000</v>
      </c>
    </row>
    <row r="261" spans="2:8" hidden="1">
      <c r="B261" s="68" t="str">
        <f>IF(OR($D$3=JU!$F254,$D$3=JU!$I254),JU!B254,"")</f>
        <v/>
      </c>
      <c r="C261" s="6" t="str">
        <f>IF(OR($D$3=JU!$F254,$D$3=JU!$I254),JU!C254,"")</f>
        <v/>
      </c>
      <c r="D261" s="73" t="str">
        <f>IF(OR($D$3=JU!$F254,$D$3=JU!$I254),JU!D254,"")</f>
        <v/>
      </c>
      <c r="E261" s="74" t="str">
        <f>IF(OR($D$3=JU!$F254,$D$3=JU!$I254),JU!E254,"")</f>
        <v/>
      </c>
      <c r="F261" s="72">
        <f>IF($D$3=JU!F254,JU!H254,0)</f>
        <v>0</v>
      </c>
      <c r="G261" s="72">
        <f>IF($D$3=JU!I254,JU!K254,0)</f>
        <v>0</v>
      </c>
      <c r="H261" s="72">
        <f t="shared" si="4"/>
        <v>13578000</v>
      </c>
    </row>
    <row r="262" spans="2:8">
      <c r="B262" s="68">
        <f>IF(OR($D$3=JU!$F255,$D$3=JU!$I255),JU!B255,"")</f>
        <v>46057</v>
      </c>
      <c r="C262" s="6" t="str">
        <f>IF(OR($D$3=JU!$F255,$D$3=JU!$I255),JU!C255,"")</f>
        <v>PEMBAYARAN BIAYA NOTARIS AKAD RUKO R22 ASPIATI</v>
      </c>
      <c r="D262" s="73" t="str">
        <f>IF(OR($D$3=JU!$F255,$D$3=JU!$I255),JU!D255,"")</f>
        <v>By. Biaya PEMBAYARAN BIAYA NOTARIS AKAD RUKO R22 ASPIATI</v>
      </c>
      <c r="E262" s="74">
        <f>IF(OR($D$3=JU!$F255,$D$3=JU!$I255),JU!E255,"")</f>
        <v>0</v>
      </c>
      <c r="F262" s="72">
        <f>IF($D$3=JU!F255,JU!H255,0)</f>
        <v>4150000</v>
      </c>
      <c r="G262" s="72">
        <f>IF($D$3=JU!I255,JU!K255,0)</f>
        <v>0</v>
      </c>
      <c r="H262" s="72">
        <f t="shared" si="4"/>
        <v>17728000</v>
      </c>
    </row>
    <row r="263" spans="2:8" hidden="1">
      <c r="B263" s="68" t="str">
        <f>IF(OR($D$3=JU!$F256,$D$3=JU!$I256),JU!B256,"")</f>
        <v/>
      </c>
      <c r="C263" s="6" t="str">
        <f>IF(OR($D$3=JU!$F256,$D$3=JU!$I256),JU!C256,"")</f>
        <v/>
      </c>
      <c r="D263" s="73" t="str">
        <f>IF(OR($D$3=JU!$F256,$D$3=JU!$I256),JU!D256,"")</f>
        <v/>
      </c>
      <c r="E263" s="74" t="str">
        <f>IF(OR($D$3=JU!$F256,$D$3=JU!$I256),JU!E256,"")</f>
        <v/>
      </c>
      <c r="F263" s="72">
        <f>IF($D$3=JU!F256,JU!H256,0)</f>
        <v>0</v>
      </c>
      <c r="G263" s="72">
        <f>IF($D$3=JU!I256,JU!K256,0)</f>
        <v>0</v>
      </c>
      <c r="H263" s="72">
        <f t="shared" si="4"/>
        <v>17728000</v>
      </c>
    </row>
    <row r="264" spans="2:8" hidden="1">
      <c r="B264" s="68" t="str">
        <f>IF(OR($D$3=JU!$F257,$D$3=JU!$I257),JU!B257,"")</f>
        <v/>
      </c>
      <c r="C264" s="6" t="str">
        <f>IF(OR($D$3=JU!$F257,$D$3=JU!$I257),JU!C257,"")</f>
        <v/>
      </c>
      <c r="D264" s="73" t="str">
        <f>IF(OR($D$3=JU!$F257,$D$3=JU!$I257),JU!D257,"")</f>
        <v/>
      </c>
      <c r="E264" s="74" t="str">
        <f>IF(OR($D$3=JU!$F257,$D$3=JU!$I257),JU!E257,"")</f>
        <v/>
      </c>
      <c r="F264" s="72">
        <f>IF($D$3=JU!F257,JU!H257,0)</f>
        <v>0</v>
      </c>
      <c r="G264" s="72">
        <f>IF($D$3=JU!I257,JU!K257,0)</f>
        <v>0</v>
      </c>
      <c r="H264" s="72">
        <f t="shared" si="4"/>
        <v>17728000</v>
      </c>
    </row>
    <row r="265" spans="2:8" hidden="1">
      <c r="B265" s="68" t="str">
        <f>IF(OR($D$3=JU!$F258,$D$3=JU!$I258),JU!B258,"")</f>
        <v/>
      </c>
      <c r="C265" s="6" t="str">
        <f>IF(OR($D$3=JU!$F258,$D$3=JU!$I258),JU!C258,"")</f>
        <v/>
      </c>
      <c r="D265" s="73" t="str">
        <f>IF(OR($D$3=JU!$F258,$D$3=JU!$I258),JU!D258,"")</f>
        <v/>
      </c>
      <c r="E265" s="74" t="str">
        <f>IF(OR($D$3=JU!$F258,$D$3=JU!$I258),JU!E258,"")</f>
        <v/>
      </c>
      <c r="F265" s="72">
        <f>IF($D$3=JU!F258,JU!H258,0)</f>
        <v>0</v>
      </c>
      <c r="G265" s="72">
        <f>IF($D$3=JU!I258,JU!K258,0)</f>
        <v>0</v>
      </c>
      <c r="H265" s="72">
        <f t="shared" si="4"/>
        <v>17728000</v>
      </c>
    </row>
    <row r="266" spans="2:8" hidden="1">
      <c r="B266" s="68" t="str">
        <f>IF(OR($D$3=JU!$F259,$D$3=JU!$I259),JU!B259,"")</f>
        <v/>
      </c>
      <c r="C266" s="6" t="str">
        <f>IF(OR($D$3=JU!$F259,$D$3=JU!$I259),JU!C259,"")</f>
        <v/>
      </c>
      <c r="D266" s="73" t="str">
        <f>IF(OR($D$3=JU!$F259,$D$3=JU!$I259),JU!D259,"")</f>
        <v/>
      </c>
      <c r="E266" s="74" t="str">
        <f>IF(OR($D$3=JU!$F259,$D$3=JU!$I259),JU!E259,"")</f>
        <v/>
      </c>
      <c r="F266" s="72">
        <f>IF($D$3=JU!F259,JU!H259,0)</f>
        <v>0</v>
      </c>
      <c r="G266" s="72">
        <f>IF($D$3=JU!I259,JU!K259,0)</f>
        <v>0</v>
      </c>
      <c r="H266" s="72">
        <f t="shared" si="4"/>
        <v>17728000</v>
      </c>
    </row>
    <row r="267" spans="2:8" hidden="1">
      <c r="B267" s="68" t="str">
        <f>IF(OR($D$3=JU!$F260,$D$3=JU!$I260),JU!B260,"")</f>
        <v/>
      </c>
      <c r="C267" s="6" t="str">
        <f>IF(OR($D$3=JU!$F260,$D$3=JU!$I260),JU!C260,"")</f>
        <v/>
      </c>
      <c r="D267" s="73" t="str">
        <f>IF(OR($D$3=JU!$F260,$D$3=JU!$I260),JU!D260,"")</f>
        <v/>
      </c>
      <c r="E267" s="74" t="str">
        <f>IF(OR($D$3=JU!$F260,$D$3=JU!$I260),JU!E260,"")</f>
        <v/>
      </c>
      <c r="F267" s="72">
        <f>IF($D$3=JU!F260,JU!H260,0)</f>
        <v>0</v>
      </c>
      <c r="G267" s="72">
        <f>IF($D$3=JU!I260,JU!K260,0)</f>
        <v>0</v>
      </c>
      <c r="H267" s="72">
        <f t="shared" si="4"/>
        <v>17728000</v>
      </c>
    </row>
    <row r="268" spans="2:8" hidden="1">
      <c r="B268" s="68" t="str">
        <f>IF(OR($D$3=JU!$F261,$D$3=JU!$I261),JU!B261,"")</f>
        <v/>
      </c>
      <c r="C268" s="6" t="str">
        <f>IF(OR($D$3=JU!$F261,$D$3=JU!$I261),JU!C261,"")</f>
        <v/>
      </c>
      <c r="D268" s="73" t="str">
        <f>IF(OR($D$3=JU!$F261,$D$3=JU!$I261),JU!D261,"")</f>
        <v/>
      </c>
      <c r="E268" s="74" t="str">
        <f>IF(OR($D$3=JU!$F261,$D$3=JU!$I261),JU!E261,"")</f>
        <v/>
      </c>
      <c r="F268" s="72">
        <f>IF($D$3=JU!F261,JU!H261,0)</f>
        <v>0</v>
      </c>
      <c r="G268" s="72">
        <f>IF($D$3=JU!I261,JU!K261,0)</f>
        <v>0</v>
      </c>
      <c r="H268" s="72">
        <f t="shared" si="4"/>
        <v>17728000</v>
      </c>
    </row>
    <row r="269" spans="2:8" hidden="1">
      <c r="B269" s="68" t="str">
        <f>IF(OR($D$3=JU!$F262,$D$3=JU!$I262),JU!B262,"")</f>
        <v/>
      </c>
      <c r="C269" s="6" t="str">
        <f>IF(OR($D$3=JU!$F262,$D$3=JU!$I262),JU!C262,"")</f>
        <v/>
      </c>
      <c r="D269" s="73" t="str">
        <f>IF(OR($D$3=JU!$F262,$D$3=JU!$I262),JU!D262,"")</f>
        <v/>
      </c>
      <c r="E269" s="74" t="str">
        <f>IF(OR($D$3=JU!$F262,$D$3=JU!$I262),JU!E262,"")</f>
        <v/>
      </c>
      <c r="F269" s="72">
        <f>IF($D$3=JU!F262,JU!H262,0)</f>
        <v>0</v>
      </c>
      <c r="G269" s="72">
        <f>IF($D$3=JU!I262,JU!K262,0)</f>
        <v>0</v>
      </c>
      <c r="H269" s="72">
        <f t="shared" si="4"/>
        <v>17728000</v>
      </c>
    </row>
    <row r="270" spans="2:8" hidden="1">
      <c r="B270" s="68" t="str">
        <f>IF(OR($D$3=JU!$F263,$D$3=JU!$I263),JU!B263,"")</f>
        <v/>
      </c>
      <c r="C270" s="6" t="str">
        <f>IF(OR($D$3=JU!$F263,$D$3=JU!$I263),JU!C263,"")</f>
        <v/>
      </c>
      <c r="D270" s="73" t="str">
        <f>IF(OR($D$3=JU!$F263,$D$3=JU!$I263),JU!D263,"")</f>
        <v/>
      </c>
      <c r="E270" s="74" t="str">
        <f>IF(OR($D$3=JU!$F263,$D$3=JU!$I263),JU!E263,"")</f>
        <v/>
      </c>
      <c r="F270" s="72">
        <f>IF($D$3=JU!F263,JU!H263,0)</f>
        <v>0</v>
      </c>
      <c r="G270" s="72">
        <f>IF($D$3=JU!I263,JU!K263,0)</f>
        <v>0</v>
      </c>
      <c r="H270" s="72">
        <f t="shared" ref="H270:H333" si="5">IF($H$7="DEBET",H269+F270-G270,H269+G270-F270)</f>
        <v>17728000</v>
      </c>
    </row>
    <row r="271" spans="2:8">
      <c r="B271" s="68">
        <f>IF(OR($D$3=JU!$F264,$D$3=JU!$I264),JU!B264,"")</f>
        <v>46059</v>
      </c>
      <c r="C271" s="6" t="str">
        <f>IF(OR($D$3=JU!$F264,$D$3=JU!$I264),JU!C264,"")</f>
        <v>TAMBAHAN BIAYA NOTARIS BANK AKAD RUKO R22 SN3</v>
      </c>
      <c r="D271" s="73" t="str">
        <f>IF(OR($D$3=JU!$F264,$D$3=JU!$I264),JU!D264,"")</f>
        <v>By. Biaya TAMBAHAN BIAYA NOTARIS BANK AKAD RUKO R22 SN3</v>
      </c>
      <c r="E271" s="74">
        <f>IF(OR($D$3=JU!$F264,$D$3=JU!$I264),JU!E264,"")</f>
        <v>0</v>
      </c>
      <c r="F271" s="72">
        <f>IF($D$3=JU!F264,JU!H264,0)</f>
        <v>3405000</v>
      </c>
      <c r="G271" s="72">
        <f>IF($D$3=JU!I264,JU!K264,0)</f>
        <v>0</v>
      </c>
      <c r="H271" s="72">
        <f t="shared" si="5"/>
        <v>21133000</v>
      </c>
    </row>
    <row r="272" spans="2:8" hidden="1">
      <c r="B272" s="68" t="str">
        <f>IF(OR($D$3=JU!$F265,$D$3=JU!$I265),JU!B265,"")</f>
        <v/>
      </c>
      <c r="C272" s="6" t="str">
        <f>IF(OR($D$3=JU!$F265,$D$3=JU!$I265),JU!C265,"")</f>
        <v/>
      </c>
      <c r="D272" s="73" t="str">
        <f>IF(OR($D$3=JU!$F265,$D$3=JU!$I265),JU!D265,"")</f>
        <v/>
      </c>
      <c r="E272" s="74" t="str">
        <f>IF(OR($D$3=JU!$F265,$D$3=JU!$I265),JU!E265,"")</f>
        <v/>
      </c>
      <c r="F272" s="72">
        <f>IF($D$3=JU!F265,JU!H265,0)</f>
        <v>0</v>
      </c>
      <c r="G272" s="72">
        <f>IF($D$3=JU!I265,JU!K265,0)</f>
        <v>0</v>
      </c>
      <c r="H272" s="72">
        <f t="shared" si="5"/>
        <v>21133000</v>
      </c>
    </row>
    <row r="273" spans="2:8" hidden="1">
      <c r="B273" s="68" t="str">
        <f>IF(OR($D$3=JU!$F266,$D$3=JU!$I266),JU!B266,"")</f>
        <v/>
      </c>
      <c r="C273" s="6" t="str">
        <f>IF(OR($D$3=JU!$F266,$D$3=JU!$I266),JU!C266,"")</f>
        <v/>
      </c>
      <c r="D273" s="73" t="str">
        <f>IF(OR($D$3=JU!$F266,$D$3=JU!$I266),JU!D266,"")</f>
        <v/>
      </c>
      <c r="E273" s="74" t="str">
        <f>IF(OR($D$3=JU!$F266,$D$3=JU!$I266),JU!E266,"")</f>
        <v/>
      </c>
      <c r="F273" s="72">
        <f>IF($D$3=JU!F266,JU!H266,0)</f>
        <v>0</v>
      </c>
      <c r="G273" s="72">
        <f>IF($D$3=JU!I266,JU!K266,0)</f>
        <v>0</v>
      </c>
      <c r="H273" s="72">
        <f t="shared" si="5"/>
        <v>21133000</v>
      </c>
    </row>
    <row r="274" spans="2:8" hidden="1">
      <c r="B274" s="68" t="str">
        <f>IF(OR($D$3=JU!$F267,$D$3=JU!$I267),JU!B267,"")</f>
        <v/>
      </c>
      <c r="C274" s="6" t="str">
        <f>IF(OR($D$3=JU!$F267,$D$3=JU!$I267),JU!C267,"")</f>
        <v/>
      </c>
      <c r="D274" s="73" t="str">
        <f>IF(OR($D$3=JU!$F267,$D$3=JU!$I267),JU!D267,"")</f>
        <v/>
      </c>
      <c r="E274" s="74" t="str">
        <f>IF(OR($D$3=JU!$F267,$D$3=JU!$I267),JU!E267,"")</f>
        <v/>
      </c>
      <c r="F274" s="72">
        <f>IF($D$3=JU!F267,JU!H267,0)</f>
        <v>0</v>
      </c>
      <c r="G274" s="72">
        <f>IF($D$3=JU!I267,JU!K267,0)</f>
        <v>0</v>
      </c>
      <c r="H274" s="72">
        <f t="shared" si="5"/>
        <v>21133000</v>
      </c>
    </row>
    <row r="275" spans="2:8" hidden="1">
      <c r="B275" s="68" t="str">
        <f>IF(OR($D$3=JU!$F268,$D$3=JU!$I268),JU!B268,"")</f>
        <v/>
      </c>
      <c r="C275" s="6" t="str">
        <f>IF(OR($D$3=JU!$F268,$D$3=JU!$I268),JU!C268,"")</f>
        <v/>
      </c>
      <c r="D275" s="73" t="str">
        <f>IF(OR($D$3=JU!$F268,$D$3=JU!$I268),JU!D268,"")</f>
        <v/>
      </c>
      <c r="E275" s="74" t="str">
        <f>IF(OR($D$3=JU!$F268,$D$3=JU!$I268),JU!E268,"")</f>
        <v/>
      </c>
      <c r="F275" s="72">
        <f>IF($D$3=JU!F268,JU!H268,0)</f>
        <v>0</v>
      </c>
      <c r="G275" s="72">
        <f>IF($D$3=JU!I268,JU!K268,0)</f>
        <v>0</v>
      </c>
      <c r="H275" s="72">
        <f t="shared" si="5"/>
        <v>21133000</v>
      </c>
    </row>
    <row r="276" spans="2:8">
      <c r="B276" s="68">
        <f>IF(OR($D$3=JU!$F269,$D$3=JU!$I269),JU!B269,"")</f>
        <v>46059</v>
      </c>
      <c r="C276" s="6" t="str">
        <f>IF(OR($D$3=JU!$F269,$D$3=JU!$I269),JU!C269,"")</f>
        <v>PEMBAYARAN MATERAI PENGURUSAN SERTIF SN3</v>
      </c>
      <c r="D276" s="73" t="str">
        <f>IF(OR($D$3=JU!$F269,$D$3=JU!$I269),JU!D269,"")</f>
        <v>By. Biaya PEMBAYARAN MATERAI PENGURUSAN SERTIF SN3</v>
      </c>
      <c r="E276" s="74">
        <f>IF(OR($D$3=JU!$F269,$D$3=JU!$I269),JU!E269,"")</f>
        <v>0</v>
      </c>
      <c r="F276" s="72">
        <f>IF($D$3=JU!F269,JU!H269,0)</f>
        <v>40000</v>
      </c>
      <c r="G276" s="72">
        <f>IF($D$3=JU!I269,JU!K269,0)</f>
        <v>0</v>
      </c>
      <c r="H276" s="72">
        <f t="shared" si="5"/>
        <v>21173000</v>
      </c>
    </row>
    <row r="277" spans="2:8" hidden="1">
      <c r="B277" s="68" t="str">
        <f>IF(OR($D$3=JU!$F270,$D$3=JU!$I270),JU!B270,"")</f>
        <v/>
      </c>
      <c r="C277" s="6" t="str">
        <f>IF(OR($D$3=JU!$F270,$D$3=JU!$I270),JU!C270,"")</f>
        <v/>
      </c>
      <c r="D277" s="73" t="str">
        <f>IF(OR($D$3=JU!$F270,$D$3=JU!$I270),JU!D270,"")</f>
        <v/>
      </c>
      <c r="E277" s="74" t="str">
        <f>IF(OR($D$3=JU!$F270,$D$3=JU!$I270),JU!E270,"")</f>
        <v/>
      </c>
      <c r="F277" s="72">
        <f>IF($D$3=JU!F270,JU!H270,0)</f>
        <v>0</v>
      </c>
      <c r="G277" s="72">
        <f>IF($D$3=JU!I270,JU!K270,0)</f>
        <v>0</v>
      </c>
      <c r="H277" s="72">
        <f t="shared" si="5"/>
        <v>21173000</v>
      </c>
    </row>
    <row r="278" spans="2:8" hidden="1">
      <c r="B278" s="68" t="str">
        <f>IF(OR($D$3=JU!$F271,$D$3=JU!$I271),JU!B271,"")</f>
        <v/>
      </c>
      <c r="C278" s="6" t="str">
        <f>IF(OR($D$3=JU!$F271,$D$3=JU!$I271),JU!C271,"")</f>
        <v/>
      </c>
      <c r="D278" s="73" t="str">
        <f>IF(OR($D$3=JU!$F271,$D$3=JU!$I271),JU!D271,"")</f>
        <v/>
      </c>
      <c r="E278" s="74" t="str">
        <f>IF(OR($D$3=JU!$F271,$D$3=JU!$I271),JU!E271,"")</f>
        <v/>
      </c>
      <c r="F278" s="72">
        <f>IF($D$3=JU!F271,JU!H271,0)</f>
        <v>0</v>
      </c>
      <c r="G278" s="72">
        <f>IF($D$3=JU!I271,JU!K271,0)</f>
        <v>0</v>
      </c>
      <c r="H278" s="72">
        <f t="shared" si="5"/>
        <v>21173000</v>
      </c>
    </row>
    <row r="279" spans="2:8" hidden="1">
      <c r="B279" s="68" t="str">
        <f>IF(OR($D$3=JU!$F272,$D$3=JU!$I272),JU!B272,"")</f>
        <v/>
      </c>
      <c r="C279" s="6" t="str">
        <f>IF(OR($D$3=JU!$F272,$D$3=JU!$I272),JU!C272,"")</f>
        <v/>
      </c>
      <c r="D279" s="73" t="str">
        <f>IF(OR($D$3=JU!$F272,$D$3=JU!$I272),JU!D272,"")</f>
        <v/>
      </c>
      <c r="E279" s="74" t="str">
        <f>IF(OR($D$3=JU!$F272,$D$3=JU!$I272),JU!E272,"")</f>
        <v/>
      </c>
      <c r="F279" s="72">
        <f>IF($D$3=JU!F272,JU!H272,0)</f>
        <v>0</v>
      </c>
      <c r="G279" s="72">
        <f>IF($D$3=JU!I272,JU!K272,0)</f>
        <v>0</v>
      </c>
      <c r="H279" s="72">
        <f t="shared" si="5"/>
        <v>21173000</v>
      </c>
    </row>
    <row r="280" spans="2:8" hidden="1">
      <c r="B280" s="68" t="str">
        <f>IF(OR($D$3=JU!$F273,$D$3=JU!$I273),JU!B273,"")</f>
        <v/>
      </c>
      <c r="C280" s="6" t="str">
        <f>IF(OR($D$3=JU!$F273,$D$3=JU!$I273),JU!C273,"")</f>
        <v/>
      </c>
      <c r="D280" s="73" t="str">
        <f>IF(OR($D$3=JU!$F273,$D$3=JU!$I273),JU!D273,"")</f>
        <v/>
      </c>
      <c r="E280" s="74" t="str">
        <f>IF(OR($D$3=JU!$F273,$D$3=JU!$I273),JU!E273,"")</f>
        <v/>
      </c>
      <c r="F280" s="72">
        <f>IF($D$3=JU!F273,JU!H273,0)</f>
        <v>0</v>
      </c>
      <c r="G280" s="72">
        <f>IF($D$3=JU!I273,JU!K273,0)</f>
        <v>0</v>
      </c>
      <c r="H280" s="72">
        <f t="shared" si="5"/>
        <v>21173000</v>
      </c>
    </row>
    <row r="281" spans="2:8" hidden="1">
      <c r="B281" s="68" t="str">
        <f>IF(OR($D$3=JU!$F274,$D$3=JU!$I274),JU!B274,"")</f>
        <v/>
      </c>
      <c r="C281" s="6" t="str">
        <f>IF(OR($D$3=JU!$F274,$D$3=JU!$I274),JU!C274,"")</f>
        <v/>
      </c>
      <c r="D281" s="73" t="str">
        <f>IF(OR($D$3=JU!$F274,$D$3=JU!$I274),JU!D274,"")</f>
        <v/>
      </c>
      <c r="E281" s="74" t="str">
        <f>IF(OR($D$3=JU!$F274,$D$3=JU!$I274),JU!E274,"")</f>
        <v/>
      </c>
      <c r="F281" s="72">
        <f>IF($D$3=JU!F274,JU!H274,0)</f>
        <v>0</v>
      </c>
      <c r="G281" s="72">
        <f>IF($D$3=JU!I274,JU!K274,0)</f>
        <v>0</v>
      </c>
      <c r="H281" s="72">
        <f t="shared" si="5"/>
        <v>21173000</v>
      </c>
    </row>
    <row r="282" spans="2:8" hidden="1">
      <c r="B282" s="68" t="str">
        <f>IF(OR($D$3=JU!$F275,$D$3=JU!$I275),JU!B275,"")</f>
        <v/>
      </c>
      <c r="C282" s="6" t="str">
        <f>IF(OR($D$3=JU!$F275,$D$3=JU!$I275),JU!C275,"")</f>
        <v/>
      </c>
      <c r="D282" s="73" t="str">
        <f>IF(OR($D$3=JU!$F275,$D$3=JU!$I275),JU!D275,"")</f>
        <v/>
      </c>
      <c r="E282" s="74" t="str">
        <f>IF(OR($D$3=JU!$F275,$D$3=JU!$I275),JU!E275,"")</f>
        <v/>
      </c>
      <c r="F282" s="72">
        <f>IF($D$3=JU!F275,JU!H275,0)</f>
        <v>0</v>
      </c>
      <c r="G282" s="72">
        <f>IF($D$3=JU!I275,JU!K275,0)</f>
        <v>0</v>
      </c>
      <c r="H282" s="72">
        <f t="shared" si="5"/>
        <v>21173000</v>
      </c>
    </row>
    <row r="283" spans="2:8" hidden="1">
      <c r="B283" s="68" t="str">
        <f>IF(OR($D$3=JU!$F276,$D$3=JU!$I276),JU!B276,"")</f>
        <v/>
      </c>
      <c r="C283" s="6" t="str">
        <f>IF(OR($D$3=JU!$F276,$D$3=JU!$I276),JU!C276,"")</f>
        <v/>
      </c>
      <c r="D283" s="73" t="str">
        <f>IF(OR($D$3=JU!$F276,$D$3=JU!$I276),JU!D276,"")</f>
        <v/>
      </c>
      <c r="E283" s="74" t="str">
        <f>IF(OR($D$3=JU!$F276,$D$3=JU!$I276),JU!E276,"")</f>
        <v/>
      </c>
      <c r="F283" s="72">
        <f>IF($D$3=JU!F276,JU!H276,0)</f>
        <v>0</v>
      </c>
      <c r="G283" s="72">
        <f>IF($D$3=JU!I276,JU!K276,0)</f>
        <v>0</v>
      </c>
      <c r="H283" s="72">
        <f t="shared" si="5"/>
        <v>21173000</v>
      </c>
    </row>
    <row r="284" spans="2:8" hidden="1">
      <c r="B284" s="68" t="str">
        <f>IF(OR($D$3=JU!$F277,$D$3=JU!$I277),JU!B277,"")</f>
        <v/>
      </c>
      <c r="C284" s="6" t="str">
        <f>IF(OR($D$3=JU!$F277,$D$3=JU!$I277),JU!C277,"")</f>
        <v/>
      </c>
      <c r="D284" s="73" t="str">
        <f>IF(OR($D$3=JU!$F277,$D$3=JU!$I277),JU!D277,"")</f>
        <v/>
      </c>
      <c r="E284" s="74" t="str">
        <f>IF(OR($D$3=JU!$F277,$D$3=JU!$I277),JU!E277,"")</f>
        <v/>
      </c>
      <c r="F284" s="72">
        <f>IF($D$3=JU!F277,JU!H277,0)</f>
        <v>0</v>
      </c>
      <c r="G284" s="72">
        <f>IF($D$3=JU!I277,JU!K277,0)</f>
        <v>0</v>
      </c>
      <c r="H284" s="72">
        <f t="shared" si="5"/>
        <v>21173000</v>
      </c>
    </row>
    <row r="285" spans="2:8" hidden="1">
      <c r="B285" s="68" t="str">
        <f>IF(OR($D$3=JU!$F278,$D$3=JU!$I278),JU!B278,"")</f>
        <v/>
      </c>
      <c r="C285" s="6" t="str">
        <f>IF(OR($D$3=JU!$F278,$D$3=JU!$I278),JU!C278,"")</f>
        <v/>
      </c>
      <c r="D285" s="73" t="str">
        <f>IF(OR($D$3=JU!$F278,$D$3=JU!$I278),JU!D278,"")</f>
        <v/>
      </c>
      <c r="E285" s="74" t="str">
        <f>IF(OR($D$3=JU!$F278,$D$3=JU!$I278),JU!E278,"")</f>
        <v/>
      </c>
      <c r="F285" s="72">
        <f>IF($D$3=JU!F278,JU!H278,0)</f>
        <v>0</v>
      </c>
      <c r="G285" s="72">
        <f>IF($D$3=JU!I278,JU!K278,0)</f>
        <v>0</v>
      </c>
      <c r="H285" s="72">
        <f t="shared" si="5"/>
        <v>21173000</v>
      </c>
    </row>
    <row r="286" spans="2:8" hidden="1">
      <c r="B286" s="68" t="str">
        <f>IF(OR($D$3=JU!$F279,$D$3=JU!$I279),JU!B279,"")</f>
        <v/>
      </c>
      <c r="C286" s="6" t="str">
        <f>IF(OR($D$3=JU!$F279,$D$3=JU!$I279),JU!C279,"")</f>
        <v/>
      </c>
      <c r="D286" s="73" t="str">
        <f>IF(OR($D$3=JU!$F279,$D$3=JU!$I279),JU!D279,"")</f>
        <v/>
      </c>
      <c r="E286" s="74" t="str">
        <f>IF(OR($D$3=JU!$F279,$D$3=JU!$I279),JU!E279,"")</f>
        <v/>
      </c>
      <c r="F286" s="72">
        <f>IF($D$3=JU!F279,JU!H279,0)</f>
        <v>0</v>
      </c>
      <c r="G286" s="72">
        <f>IF($D$3=JU!I279,JU!K279,0)</f>
        <v>0</v>
      </c>
      <c r="H286" s="72">
        <f t="shared" si="5"/>
        <v>21173000</v>
      </c>
    </row>
    <row r="287" spans="2:8" hidden="1">
      <c r="B287" s="68" t="str">
        <f>IF(OR($D$3=JU!$F280,$D$3=JU!$I280),JU!B280,"")</f>
        <v/>
      </c>
      <c r="C287" s="6" t="str">
        <f>IF(OR($D$3=JU!$F280,$D$3=JU!$I280),JU!C280,"")</f>
        <v/>
      </c>
      <c r="D287" s="73" t="str">
        <f>IF(OR($D$3=JU!$F280,$D$3=JU!$I280),JU!D280,"")</f>
        <v/>
      </c>
      <c r="E287" s="74" t="str">
        <f>IF(OR($D$3=JU!$F280,$D$3=JU!$I280),JU!E280,"")</f>
        <v/>
      </c>
      <c r="F287" s="72">
        <f>IF($D$3=JU!F280,JU!H280,0)</f>
        <v>0</v>
      </c>
      <c r="G287" s="72">
        <f>IF($D$3=JU!I280,JU!K280,0)</f>
        <v>0</v>
      </c>
      <c r="H287" s="72">
        <f t="shared" si="5"/>
        <v>21173000</v>
      </c>
    </row>
    <row r="288" spans="2:8" hidden="1">
      <c r="B288" s="68" t="str">
        <f>IF(OR($D$3=JU!$F281,$D$3=JU!$I281),JU!B281,"")</f>
        <v/>
      </c>
      <c r="C288" s="6" t="str">
        <f>IF(OR($D$3=JU!$F281,$D$3=JU!$I281),JU!C281,"")</f>
        <v/>
      </c>
      <c r="D288" s="73" t="str">
        <f>IF(OR($D$3=JU!$F281,$D$3=JU!$I281),JU!D281,"")</f>
        <v/>
      </c>
      <c r="E288" s="74" t="str">
        <f>IF(OR($D$3=JU!$F281,$D$3=JU!$I281),JU!E281,"")</f>
        <v/>
      </c>
      <c r="F288" s="72">
        <f>IF($D$3=JU!F281,JU!H281,0)</f>
        <v>0</v>
      </c>
      <c r="G288" s="72">
        <f>IF($D$3=JU!I281,JU!K281,0)</f>
        <v>0</v>
      </c>
      <c r="H288" s="72">
        <f t="shared" si="5"/>
        <v>21173000</v>
      </c>
    </row>
    <row r="289" spans="2:8" hidden="1">
      <c r="B289" s="68" t="str">
        <f>IF(OR($D$3=JU!$F282,$D$3=JU!$I282),JU!B282,"")</f>
        <v/>
      </c>
      <c r="C289" s="6" t="str">
        <f>IF(OR($D$3=JU!$F282,$D$3=JU!$I282),JU!C282,"")</f>
        <v/>
      </c>
      <c r="D289" s="73" t="str">
        <f>IF(OR($D$3=JU!$F282,$D$3=JU!$I282),JU!D282,"")</f>
        <v/>
      </c>
      <c r="E289" s="74" t="str">
        <f>IF(OR($D$3=JU!$F282,$D$3=JU!$I282),JU!E282,"")</f>
        <v/>
      </c>
      <c r="F289" s="72">
        <f>IF($D$3=JU!F282,JU!H282,0)</f>
        <v>0</v>
      </c>
      <c r="G289" s="72">
        <f>IF($D$3=JU!I282,JU!K282,0)</f>
        <v>0</v>
      </c>
      <c r="H289" s="72">
        <f t="shared" si="5"/>
        <v>21173000</v>
      </c>
    </row>
    <row r="290" spans="2:8" hidden="1">
      <c r="B290" s="68" t="str">
        <f>IF(OR($D$3=JU!$F283,$D$3=JU!$I283),JU!B283,"")</f>
        <v/>
      </c>
      <c r="C290" s="6" t="str">
        <f>IF(OR($D$3=JU!$F283,$D$3=JU!$I283),JU!C283,"")</f>
        <v/>
      </c>
      <c r="D290" s="73" t="str">
        <f>IF(OR($D$3=JU!$F283,$D$3=JU!$I283),JU!D283,"")</f>
        <v/>
      </c>
      <c r="E290" s="74" t="str">
        <f>IF(OR($D$3=JU!$F283,$D$3=JU!$I283),JU!E283,"")</f>
        <v/>
      </c>
      <c r="F290" s="72">
        <f>IF($D$3=JU!F283,JU!H283,0)</f>
        <v>0</v>
      </c>
      <c r="G290" s="72">
        <f>IF($D$3=JU!I283,JU!K283,0)</f>
        <v>0</v>
      </c>
      <c r="H290" s="72">
        <f t="shared" si="5"/>
        <v>21173000</v>
      </c>
    </row>
    <row r="291" spans="2:8" hidden="1">
      <c r="B291" s="68" t="str">
        <f>IF(OR($D$3=JU!$F284,$D$3=JU!$I284),JU!B284,"")</f>
        <v/>
      </c>
      <c r="C291" s="6" t="str">
        <f>IF(OR($D$3=JU!$F284,$D$3=JU!$I284),JU!C284,"")</f>
        <v/>
      </c>
      <c r="D291" s="73" t="str">
        <f>IF(OR($D$3=JU!$F284,$D$3=JU!$I284),JU!D284,"")</f>
        <v/>
      </c>
      <c r="E291" s="74" t="str">
        <f>IF(OR($D$3=JU!$F284,$D$3=JU!$I284),JU!E284,"")</f>
        <v/>
      </c>
      <c r="F291" s="72">
        <f>IF($D$3=JU!F284,JU!H284,0)</f>
        <v>0</v>
      </c>
      <c r="G291" s="72">
        <f>IF($D$3=JU!I284,JU!K284,0)</f>
        <v>0</v>
      </c>
      <c r="H291" s="72">
        <f t="shared" si="5"/>
        <v>21173000</v>
      </c>
    </row>
    <row r="292" spans="2:8" hidden="1">
      <c r="B292" s="68" t="str">
        <f>IF(OR($D$3=JU!$F285,$D$3=JU!$I285),JU!B285,"")</f>
        <v/>
      </c>
      <c r="C292" s="6" t="str">
        <f>IF(OR($D$3=JU!$F285,$D$3=JU!$I285),JU!C285,"")</f>
        <v/>
      </c>
      <c r="D292" s="73" t="str">
        <f>IF(OR($D$3=JU!$F285,$D$3=JU!$I285),JU!D285,"")</f>
        <v/>
      </c>
      <c r="E292" s="74" t="str">
        <f>IF(OR($D$3=JU!$F285,$D$3=JU!$I285),JU!E285,"")</f>
        <v/>
      </c>
      <c r="F292" s="72">
        <f>IF($D$3=JU!F285,JU!H285,0)</f>
        <v>0</v>
      </c>
      <c r="G292" s="72">
        <f>IF($D$3=JU!I285,JU!K285,0)</f>
        <v>0</v>
      </c>
      <c r="H292" s="72">
        <f t="shared" si="5"/>
        <v>21173000</v>
      </c>
    </row>
    <row r="293" spans="2:8" hidden="1">
      <c r="B293" s="68" t="str">
        <f>IF(OR($D$3=JU!$F286,$D$3=JU!$I286),JU!B286,"")</f>
        <v/>
      </c>
      <c r="C293" s="6" t="str">
        <f>IF(OR($D$3=JU!$F286,$D$3=JU!$I286),JU!C286,"")</f>
        <v/>
      </c>
      <c r="D293" s="73" t="str">
        <f>IF(OR($D$3=JU!$F286,$D$3=JU!$I286),JU!D286,"")</f>
        <v/>
      </c>
      <c r="E293" s="74" t="str">
        <f>IF(OR($D$3=JU!$F286,$D$3=JU!$I286),JU!E286,"")</f>
        <v/>
      </c>
      <c r="F293" s="72">
        <f>IF($D$3=JU!F286,JU!H286,0)</f>
        <v>0</v>
      </c>
      <c r="G293" s="72">
        <f>IF($D$3=JU!I286,JU!K286,0)</f>
        <v>0</v>
      </c>
      <c r="H293" s="72">
        <f t="shared" si="5"/>
        <v>21173000</v>
      </c>
    </row>
    <row r="294" spans="2:8" hidden="1">
      <c r="B294" s="68" t="str">
        <f>IF(OR($D$3=JU!$F287,$D$3=JU!$I287),JU!B287,"")</f>
        <v/>
      </c>
      <c r="C294" s="6" t="str">
        <f>IF(OR($D$3=JU!$F287,$D$3=JU!$I287),JU!C287,"")</f>
        <v/>
      </c>
      <c r="D294" s="73" t="str">
        <f>IF(OR($D$3=JU!$F287,$D$3=JU!$I287),JU!D287,"")</f>
        <v/>
      </c>
      <c r="E294" s="74" t="str">
        <f>IF(OR($D$3=JU!$F287,$D$3=JU!$I287),JU!E287,"")</f>
        <v/>
      </c>
      <c r="F294" s="72">
        <f>IF($D$3=JU!F287,JU!H287,0)</f>
        <v>0</v>
      </c>
      <c r="G294" s="72">
        <f>IF($D$3=JU!I287,JU!K287,0)</f>
        <v>0</v>
      </c>
      <c r="H294" s="72">
        <f t="shared" si="5"/>
        <v>21173000</v>
      </c>
    </row>
    <row r="295" spans="2:8" hidden="1">
      <c r="B295" s="68" t="str">
        <f>IF(OR($D$3=JU!$F288,$D$3=JU!$I288),JU!B288,"")</f>
        <v/>
      </c>
      <c r="C295" s="6" t="str">
        <f>IF(OR($D$3=JU!$F288,$D$3=JU!$I288),JU!C288,"")</f>
        <v/>
      </c>
      <c r="D295" s="73" t="str">
        <f>IF(OR($D$3=JU!$F288,$D$3=JU!$I288),JU!D288,"")</f>
        <v/>
      </c>
      <c r="E295" s="74" t="str">
        <f>IF(OR($D$3=JU!$F288,$D$3=JU!$I288),JU!E288,"")</f>
        <v/>
      </c>
      <c r="F295" s="72">
        <f>IF($D$3=JU!F288,JU!H288,0)</f>
        <v>0</v>
      </c>
      <c r="G295" s="72">
        <f>IF($D$3=JU!I288,JU!K288,0)</f>
        <v>0</v>
      </c>
      <c r="H295" s="72">
        <f t="shared" si="5"/>
        <v>21173000</v>
      </c>
    </row>
    <row r="296" spans="2:8">
      <c r="B296" s="68">
        <f>IF(OR($D$3=JU!$F289,$D$3=JU!$I289),JU!B289,"")</f>
        <v>46063</v>
      </c>
      <c r="C296" s="6" t="str">
        <f>IF(OR($D$3=JU!$F289,$D$3=JU!$I289),JU!C289,"")</f>
        <v xml:space="preserve">PEMBELIAN MATERAI AKAD A15 ALIM AL KAISAR </v>
      </c>
      <c r="D296" s="73" t="str">
        <f>IF(OR($D$3=JU!$F289,$D$3=JU!$I289),JU!D289,"")</f>
        <v xml:space="preserve">By. Biaya PEMBELIAN MATERAI AKAD A15 ALIM AL KAISAR </v>
      </c>
      <c r="E296" s="74">
        <f>IF(OR($D$3=JU!$F289,$D$3=JU!$I289),JU!E289,"")</f>
        <v>0</v>
      </c>
      <c r="F296" s="72">
        <f>IF($D$3=JU!F289,JU!H289,0)</f>
        <v>200000</v>
      </c>
      <c r="G296" s="72">
        <f>IF($D$3=JU!I289,JU!K289,0)</f>
        <v>0</v>
      </c>
      <c r="H296" s="72">
        <f t="shared" si="5"/>
        <v>21373000</v>
      </c>
    </row>
    <row r="297" spans="2:8" hidden="1">
      <c r="B297" s="68" t="str">
        <f>IF(OR($D$3=JU!$F290,$D$3=JU!$I290),JU!B290,"")</f>
        <v/>
      </c>
      <c r="C297" s="6" t="str">
        <f>IF(OR($D$3=JU!$F290,$D$3=JU!$I290),JU!C290,"")</f>
        <v/>
      </c>
      <c r="D297" s="73" t="str">
        <f>IF(OR($D$3=JU!$F290,$D$3=JU!$I290),JU!D290,"")</f>
        <v/>
      </c>
      <c r="E297" s="74" t="str">
        <f>IF(OR($D$3=JU!$F290,$D$3=JU!$I290),JU!E290,"")</f>
        <v/>
      </c>
      <c r="F297" s="72">
        <f>IF($D$3=JU!F290,JU!H290,0)</f>
        <v>0</v>
      </c>
      <c r="G297" s="72">
        <f>IF($D$3=JU!I290,JU!K290,0)</f>
        <v>0</v>
      </c>
      <c r="H297" s="72">
        <f t="shared" si="5"/>
        <v>21373000</v>
      </c>
    </row>
    <row r="298" spans="2:8" hidden="1">
      <c r="B298" s="68" t="str">
        <f>IF(OR($D$3=JU!$F291,$D$3=JU!$I291),JU!B291,"")</f>
        <v/>
      </c>
      <c r="C298" s="6" t="str">
        <f>IF(OR($D$3=JU!$F291,$D$3=JU!$I291),JU!C291,"")</f>
        <v/>
      </c>
      <c r="D298" s="73" t="str">
        <f>IF(OR($D$3=JU!$F291,$D$3=JU!$I291),JU!D291,"")</f>
        <v/>
      </c>
      <c r="E298" s="74" t="str">
        <f>IF(OR($D$3=JU!$F291,$D$3=JU!$I291),JU!E291,"")</f>
        <v/>
      </c>
      <c r="F298" s="72">
        <f>IF($D$3=JU!F291,JU!H291,0)</f>
        <v>0</v>
      </c>
      <c r="G298" s="72">
        <f>IF($D$3=JU!I291,JU!K291,0)</f>
        <v>0</v>
      </c>
      <c r="H298" s="72">
        <f t="shared" si="5"/>
        <v>21373000</v>
      </c>
    </row>
    <row r="299" spans="2:8" hidden="1">
      <c r="B299" s="68" t="str">
        <f>IF(OR($D$3=JU!$F292,$D$3=JU!$I292),JU!B292,"")</f>
        <v/>
      </c>
      <c r="C299" s="6" t="str">
        <f>IF(OR($D$3=JU!$F292,$D$3=JU!$I292),JU!C292,"")</f>
        <v/>
      </c>
      <c r="D299" s="73" t="str">
        <f>IF(OR($D$3=JU!$F292,$D$3=JU!$I292),JU!D292,"")</f>
        <v/>
      </c>
      <c r="E299" s="74" t="str">
        <f>IF(OR($D$3=JU!$F292,$D$3=JU!$I292),JU!E292,"")</f>
        <v/>
      </c>
      <c r="F299" s="72">
        <f>IF($D$3=JU!F292,JU!H292,0)</f>
        <v>0</v>
      </c>
      <c r="G299" s="72">
        <f>IF($D$3=JU!I292,JU!K292,0)</f>
        <v>0</v>
      </c>
      <c r="H299" s="72">
        <f t="shared" si="5"/>
        <v>21373000</v>
      </c>
    </row>
    <row r="300" spans="2:8" hidden="1">
      <c r="B300" s="68" t="str">
        <f>IF(OR($D$3=JU!$F293,$D$3=JU!$I293),JU!B293,"")</f>
        <v/>
      </c>
      <c r="C300" s="6" t="str">
        <f>IF(OR($D$3=JU!$F293,$D$3=JU!$I293),JU!C293,"")</f>
        <v/>
      </c>
      <c r="D300" s="73" t="str">
        <f>IF(OR($D$3=JU!$F293,$D$3=JU!$I293),JU!D293,"")</f>
        <v/>
      </c>
      <c r="E300" s="74" t="str">
        <f>IF(OR($D$3=JU!$F293,$D$3=JU!$I293),JU!E293,"")</f>
        <v/>
      </c>
      <c r="F300" s="72">
        <f>IF($D$3=JU!F293,JU!H293,0)</f>
        <v>0</v>
      </c>
      <c r="G300" s="72">
        <f>IF($D$3=JU!I293,JU!K293,0)</f>
        <v>0</v>
      </c>
      <c r="H300" s="72">
        <f t="shared" si="5"/>
        <v>21373000</v>
      </c>
    </row>
    <row r="301" spans="2:8" hidden="1">
      <c r="B301" s="68" t="str">
        <f>IF(OR($D$3=JU!$F294,$D$3=JU!$I294),JU!B294,"")</f>
        <v/>
      </c>
      <c r="C301" s="6" t="str">
        <f>IF(OR($D$3=JU!$F294,$D$3=JU!$I294),JU!C294,"")</f>
        <v/>
      </c>
      <c r="D301" s="73" t="str">
        <f>IF(OR($D$3=JU!$F294,$D$3=JU!$I294),JU!D294,"")</f>
        <v/>
      </c>
      <c r="E301" s="74" t="str">
        <f>IF(OR($D$3=JU!$F294,$D$3=JU!$I294),JU!E294,"")</f>
        <v/>
      </c>
      <c r="F301" s="72">
        <f>IF($D$3=JU!F294,JU!H294,0)</f>
        <v>0</v>
      </c>
      <c r="G301" s="72">
        <f>IF($D$3=JU!I294,JU!K294,0)</f>
        <v>0</v>
      </c>
      <c r="H301" s="72">
        <f t="shared" si="5"/>
        <v>21373000</v>
      </c>
    </row>
    <row r="302" spans="2:8">
      <c r="B302" s="68">
        <f>IF(OR($D$3=JU!$F295,$D$3=JU!$I295),JU!B295,"")</f>
        <v>46064</v>
      </c>
      <c r="C302" s="6" t="str">
        <f>IF(OR($D$3=JU!$F295,$D$3=JU!$I295),JU!C295,"")</f>
        <v>PEMBELIAN MATERAI AKAD D4 RISNA</v>
      </c>
      <c r="D302" s="73" t="str">
        <f>IF(OR($D$3=JU!$F295,$D$3=JU!$I295),JU!D295,"")</f>
        <v>By. Biaya PEMBELIAN MATERAI AKAD D4 RISNA</v>
      </c>
      <c r="E302" s="74">
        <f>IF(OR($D$3=JU!$F295,$D$3=JU!$I295),JU!E295,"")</f>
        <v>0</v>
      </c>
      <c r="F302" s="72">
        <f>IF($D$3=JU!F295,JU!H295,0)</f>
        <v>500000</v>
      </c>
      <c r="G302" s="72">
        <f>IF($D$3=JU!I295,JU!K295,0)</f>
        <v>0</v>
      </c>
      <c r="H302" s="72">
        <f t="shared" si="5"/>
        <v>21873000</v>
      </c>
    </row>
    <row r="303" spans="2:8" hidden="1">
      <c r="B303" s="68" t="str">
        <f>IF(OR($D$3=JU!$F296,$D$3=JU!$I296),JU!B296,"")</f>
        <v/>
      </c>
      <c r="C303" s="6" t="str">
        <f>IF(OR($D$3=JU!$F296,$D$3=JU!$I296),JU!C296,"")</f>
        <v/>
      </c>
      <c r="D303" s="73" t="str">
        <f>IF(OR($D$3=JU!$F296,$D$3=JU!$I296),JU!D296,"")</f>
        <v/>
      </c>
      <c r="E303" s="74" t="str">
        <f>IF(OR($D$3=JU!$F296,$D$3=JU!$I296),JU!E296,"")</f>
        <v/>
      </c>
      <c r="F303" s="72">
        <f>IF($D$3=JU!F296,JU!H296,0)</f>
        <v>0</v>
      </c>
      <c r="G303" s="72">
        <f>IF($D$3=JU!I296,JU!K296,0)</f>
        <v>0</v>
      </c>
      <c r="H303" s="72">
        <f t="shared" si="5"/>
        <v>21873000</v>
      </c>
    </row>
    <row r="304" spans="2:8">
      <c r="B304" s="68">
        <f>IF(OR($D$3=JU!$F297,$D$3=JU!$I297),JU!B297,"")</f>
        <v>46064</v>
      </c>
      <c r="C304" s="6" t="str">
        <f>IF(OR($D$3=JU!$F297,$D$3=JU!$I297),JU!C297,"")</f>
        <v>PEMBAYARAN BIAYA AKAD D4 RISNA MARDANI J TAHAP 3 (DP 4 JT AKAN DI TF BALIK KE REK GIRO BNI DAN DI TARIK SETELAH PENCAIRAN) (PROVISI 825K, ADM 250K, NOTARIS 4.150.000, ADMIN BANK UNTUK NOTARIS 2.830.000)</v>
      </c>
      <c r="D304" s="73" t="str">
        <f>IF(OR($D$3=JU!$F297,$D$3=JU!$I297),JU!D297,"")</f>
        <v>By. Biaya PEMBAYARAN BIAYA AKAD D4 RISNA MARDANI J TAHAP 3 (PROVISI 825K, ADM 250K, NOTARIS 4.150.000, ADMIN BANK UNTUK NOTARIS 2.830.000)</v>
      </c>
      <c r="E304" s="74">
        <f>IF(OR($D$3=JU!$F297,$D$3=JU!$I297),JU!E297,"")</f>
        <v>0</v>
      </c>
      <c r="F304" s="72">
        <f>IF($D$3=JU!F297,JU!H297,0)</f>
        <v>8055000</v>
      </c>
      <c r="G304" s="72">
        <f>IF($D$3=JU!I297,JU!K297,0)</f>
        <v>0</v>
      </c>
      <c r="H304" s="72">
        <f t="shared" si="5"/>
        <v>29928000</v>
      </c>
    </row>
    <row r="305" spans="2:8" hidden="1">
      <c r="B305" s="68" t="str">
        <f>IF(OR($D$3=JU!$F298,$D$3=JU!$I298),JU!B298,"")</f>
        <v/>
      </c>
      <c r="C305" s="6" t="str">
        <f>IF(OR($D$3=JU!$F298,$D$3=JU!$I298),JU!C298,"")</f>
        <v/>
      </c>
      <c r="D305" s="73" t="str">
        <f>IF(OR($D$3=JU!$F298,$D$3=JU!$I298),JU!D298,"")</f>
        <v/>
      </c>
      <c r="E305" s="74" t="str">
        <f>IF(OR($D$3=JU!$F298,$D$3=JU!$I298),JU!E298,"")</f>
        <v/>
      </c>
      <c r="F305" s="72">
        <f>IF($D$3=JU!F298,JU!H298,0)</f>
        <v>0</v>
      </c>
      <c r="G305" s="72">
        <f>IF($D$3=JU!I298,JU!K298,0)</f>
        <v>0</v>
      </c>
      <c r="H305" s="72">
        <f t="shared" si="5"/>
        <v>29928000</v>
      </c>
    </row>
    <row r="306" spans="2:8" hidden="1">
      <c r="B306" s="68" t="str">
        <f>IF(OR($D$3=JU!$F299,$D$3=JU!$I299),JU!B299,"")</f>
        <v/>
      </c>
      <c r="C306" s="6" t="str">
        <f>IF(OR($D$3=JU!$F299,$D$3=JU!$I299),JU!C299,"")</f>
        <v/>
      </c>
      <c r="D306" s="73" t="str">
        <f>IF(OR($D$3=JU!$F299,$D$3=JU!$I299),JU!D299,"")</f>
        <v/>
      </c>
      <c r="E306" s="74" t="str">
        <f>IF(OR($D$3=JU!$F299,$D$3=JU!$I299),JU!E299,"")</f>
        <v/>
      </c>
      <c r="F306" s="72">
        <f>IF($D$3=JU!F299,JU!H299,0)</f>
        <v>0</v>
      </c>
      <c r="G306" s="72">
        <f>IF($D$3=JU!I299,JU!K299,0)</f>
        <v>0</v>
      </c>
      <c r="H306" s="72">
        <f t="shared" si="5"/>
        <v>29928000</v>
      </c>
    </row>
    <row r="307" spans="2:8" hidden="1">
      <c r="B307" s="68" t="str">
        <f>IF(OR($D$3=JU!$F300,$D$3=JU!$I300),JU!B300,"")</f>
        <v/>
      </c>
      <c r="C307" s="6" t="str">
        <f>IF(OR($D$3=JU!$F300,$D$3=JU!$I300),JU!C300,"")</f>
        <v/>
      </c>
      <c r="D307" s="73" t="str">
        <f>IF(OR($D$3=JU!$F300,$D$3=JU!$I300),JU!D300,"")</f>
        <v/>
      </c>
      <c r="E307" s="74" t="str">
        <f>IF(OR($D$3=JU!$F300,$D$3=JU!$I300),JU!E300,"")</f>
        <v/>
      </c>
      <c r="F307" s="72">
        <f>IF($D$3=JU!F300,JU!H300,0)</f>
        <v>0</v>
      </c>
      <c r="G307" s="72">
        <f>IF($D$3=JU!I300,JU!K300,0)</f>
        <v>0</v>
      </c>
      <c r="H307" s="72">
        <f t="shared" si="5"/>
        <v>29928000</v>
      </c>
    </row>
    <row r="308" spans="2:8" hidden="1">
      <c r="B308" s="68" t="str">
        <f>IF(OR($D$3=JU!$F301,$D$3=JU!$I301),JU!B301,"")</f>
        <v/>
      </c>
      <c r="C308" s="6" t="str">
        <f>IF(OR($D$3=JU!$F301,$D$3=JU!$I301),JU!C301,"")</f>
        <v/>
      </c>
      <c r="D308" s="73" t="str">
        <f>IF(OR($D$3=JU!$F301,$D$3=JU!$I301),JU!D301,"")</f>
        <v/>
      </c>
      <c r="E308" s="74" t="str">
        <f>IF(OR($D$3=JU!$F301,$D$3=JU!$I301),JU!E301,"")</f>
        <v/>
      </c>
      <c r="F308" s="72">
        <f>IF($D$3=JU!F301,JU!H301,0)</f>
        <v>0</v>
      </c>
      <c r="G308" s="72">
        <f>IF($D$3=JU!I301,JU!K301,0)</f>
        <v>0</v>
      </c>
      <c r="H308" s="72">
        <f t="shared" si="5"/>
        <v>29928000</v>
      </c>
    </row>
    <row r="309" spans="2:8" hidden="1">
      <c r="B309" s="68" t="str">
        <f>IF(OR($D$3=JU!$F302,$D$3=JU!$I302),JU!B302,"")</f>
        <v/>
      </c>
      <c r="C309" s="6" t="str">
        <f>IF(OR($D$3=JU!$F302,$D$3=JU!$I302),JU!C302,"")</f>
        <v/>
      </c>
      <c r="D309" s="73" t="str">
        <f>IF(OR($D$3=JU!$F302,$D$3=JU!$I302),JU!D302,"")</f>
        <v/>
      </c>
      <c r="E309" s="74" t="str">
        <f>IF(OR($D$3=JU!$F302,$D$3=JU!$I302),JU!E302,"")</f>
        <v/>
      </c>
      <c r="F309" s="72">
        <f>IF($D$3=JU!F302,JU!H302,0)</f>
        <v>0</v>
      </c>
      <c r="G309" s="72">
        <f>IF($D$3=JU!I302,JU!K302,0)</f>
        <v>0</v>
      </c>
      <c r="H309" s="72">
        <f t="shared" si="5"/>
        <v>29928000</v>
      </c>
    </row>
    <row r="310" spans="2:8" hidden="1">
      <c r="B310" s="68" t="str">
        <f>IF(OR($D$3=JU!$F303,$D$3=JU!$I303),JU!B303,"")</f>
        <v/>
      </c>
      <c r="C310" s="6" t="str">
        <f>IF(OR($D$3=JU!$F303,$D$3=JU!$I303),JU!C303,"")</f>
        <v/>
      </c>
      <c r="D310" s="73" t="str">
        <f>IF(OR($D$3=JU!$F303,$D$3=JU!$I303),JU!D303,"")</f>
        <v/>
      </c>
      <c r="E310" s="74" t="str">
        <f>IF(OR($D$3=JU!$F303,$D$3=JU!$I303),JU!E303,"")</f>
        <v/>
      </c>
      <c r="F310" s="72">
        <f>IF($D$3=JU!F303,JU!H303,0)</f>
        <v>0</v>
      </c>
      <c r="G310" s="72">
        <f>IF($D$3=JU!I303,JU!K303,0)</f>
        <v>0</v>
      </c>
      <c r="H310" s="72">
        <f t="shared" si="5"/>
        <v>29928000</v>
      </c>
    </row>
    <row r="311" spans="2:8" hidden="1">
      <c r="B311" s="68" t="str">
        <f>IF(OR($D$3=JU!$F304,$D$3=JU!$I304),JU!B304,"")</f>
        <v/>
      </c>
      <c r="C311" s="6" t="str">
        <f>IF(OR($D$3=JU!$F304,$D$3=JU!$I304),JU!C304,"")</f>
        <v/>
      </c>
      <c r="D311" s="73" t="str">
        <f>IF(OR($D$3=JU!$F304,$D$3=JU!$I304),JU!D304,"")</f>
        <v/>
      </c>
      <c r="E311" s="74" t="str">
        <f>IF(OR($D$3=JU!$F304,$D$3=JU!$I304),JU!E304,"")</f>
        <v/>
      </c>
      <c r="F311" s="72">
        <f>IF($D$3=JU!F304,JU!H304,0)</f>
        <v>0</v>
      </c>
      <c r="G311" s="72">
        <f>IF($D$3=JU!I304,JU!K304,0)</f>
        <v>0</v>
      </c>
      <c r="H311" s="72">
        <f t="shared" si="5"/>
        <v>29928000</v>
      </c>
    </row>
    <row r="312" spans="2:8" hidden="1">
      <c r="B312" s="68" t="str">
        <f>IF(OR($D$3=JU!$F305,$D$3=JU!$I305),JU!B305,"")</f>
        <v/>
      </c>
      <c r="C312" s="6" t="str">
        <f>IF(OR($D$3=JU!$F305,$D$3=JU!$I305),JU!C305,"")</f>
        <v/>
      </c>
      <c r="D312" s="73" t="str">
        <f>IF(OR($D$3=JU!$F305,$D$3=JU!$I305),JU!D305,"")</f>
        <v/>
      </c>
      <c r="E312" s="74" t="str">
        <f>IF(OR($D$3=JU!$F305,$D$3=JU!$I305),JU!E305,"")</f>
        <v/>
      </c>
      <c r="F312" s="72">
        <f>IF($D$3=JU!F305,JU!H305,0)</f>
        <v>0</v>
      </c>
      <c r="G312" s="72">
        <f>IF($D$3=JU!I305,JU!K305,0)</f>
        <v>0</v>
      </c>
      <c r="H312" s="72">
        <f t="shared" si="5"/>
        <v>29928000</v>
      </c>
    </row>
    <row r="313" spans="2:8">
      <c r="B313" s="68">
        <f>IF(OR($D$3=JU!$F306,$D$3=JU!$I306),JU!B306,"")</f>
        <v>46065</v>
      </c>
      <c r="C313" s="6" t="str">
        <f>IF(OR($D$3=JU!$F306,$D$3=JU!$I306),JU!C306,"")</f>
        <v>PEMBELIAN MATAERAI AKAD D2 IDA FITRIANI TAHAP 3</v>
      </c>
      <c r="D313" s="73" t="str">
        <f>IF(OR($D$3=JU!$F306,$D$3=JU!$I306),JU!D306,"")</f>
        <v>By. Biaya PEMBELIAN MATAERAI AKAD D2 IDA FITRIANI TAHAP 3</v>
      </c>
      <c r="E313" s="74">
        <f>IF(OR($D$3=JU!$F306,$D$3=JU!$I306),JU!E306,"")</f>
        <v>0</v>
      </c>
      <c r="F313" s="72">
        <f>IF($D$3=JU!F306,JU!H306,0)</f>
        <v>500000</v>
      </c>
      <c r="G313" s="72">
        <f>IF($D$3=JU!I306,JU!K306,0)</f>
        <v>0</v>
      </c>
      <c r="H313" s="72">
        <f t="shared" si="5"/>
        <v>30428000</v>
      </c>
    </row>
    <row r="314" spans="2:8" hidden="1">
      <c r="B314" s="68" t="str">
        <f>IF(OR($D$3=JU!$F307,$D$3=JU!$I307),JU!B307,"")</f>
        <v/>
      </c>
      <c r="C314" s="6" t="str">
        <f>IF(OR($D$3=JU!$F307,$D$3=JU!$I307),JU!C307,"")</f>
        <v/>
      </c>
      <c r="D314" s="73" t="str">
        <f>IF(OR($D$3=JU!$F307,$D$3=JU!$I307),JU!D307,"")</f>
        <v/>
      </c>
      <c r="E314" s="74" t="str">
        <f>IF(OR($D$3=JU!$F307,$D$3=JU!$I307),JU!E307,"")</f>
        <v/>
      </c>
      <c r="F314" s="72">
        <f>IF($D$3=JU!F307,JU!H307,0)</f>
        <v>0</v>
      </c>
      <c r="G314" s="72">
        <f>IF($D$3=JU!I307,JU!K307,0)</f>
        <v>0</v>
      </c>
      <c r="H314" s="72">
        <f t="shared" si="5"/>
        <v>30428000</v>
      </c>
    </row>
    <row r="315" spans="2:8" hidden="1">
      <c r="B315" s="68" t="str">
        <f>IF(OR($D$3=JU!$F308,$D$3=JU!$I308),JU!B308,"")</f>
        <v/>
      </c>
      <c r="C315" s="6" t="str">
        <f>IF(OR($D$3=JU!$F308,$D$3=JU!$I308),JU!C308,"")</f>
        <v/>
      </c>
      <c r="D315" s="73" t="str">
        <f>IF(OR($D$3=JU!$F308,$D$3=JU!$I308),JU!D308,"")</f>
        <v/>
      </c>
      <c r="E315" s="74" t="str">
        <f>IF(OR($D$3=JU!$F308,$D$3=JU!$I308),JU!E308,"")</f>
        <v/>
      </c>
      <c r="F315" s="72">
        <f>IF($D$3=JU!F308,JU!H308,0)</f>
        <v>0</v>
      </c>
      <c r="G315" s="72">
        <f>IF($D$3=JU!I308,JU!K308,0)</f>
        <v>0</v>
      </c>
      <c r="H315" s="72">
        <f t="shared" si="5"/>
        <v>30428000</v>
      </c>
    </row>
    <row r="316" spans="2:8" hidden="1">
      <c r="B316" s="68" t="str">
        <f>IF(OR($D$3=JU!$F309,$D$3=JU!$I309),JU!B309,"")</f>
        <v/>
      </c>
      <c r="C316" s="6" t="str">
        <f>IF(OR($D$3=JU!$F309,$D$3=JU!$I309),JU!C309,"")</f>
        <v/>
      </c>
      <c r="D316" s="73" t="str">
        <f>IF(OR($D$3=JU!$F309,$D$3=JU!$I309),JU!D309,"")</f>
        <v/>
      </c>
      <c r="E316" s="74" t="str">
        <f>IF(OR($D$3=JU!$F309,$D$3=JU!$I309),JU!E309,"")</f>
        <v/>
      </c>
      <c r="F316" s="72">
        <f>IF($D$3=JU!F309,JU!H309,0)</f>
        <v>0</v>
      </c>
      <c r="G316" s="72">
        <f>IF($D$3=JU!I309,JU!K309,0)</f>
        <v>0</v>
      </c>
      <c r="H316" s="72">
        <f t="shared" si="5"/>
        <v>30428000</v>
      </c>
    </row>
    <row r="317" spans="2:8" hidden="1">
      <c r="B317" s="68" t="str">
        <f>IF(OR($D$3=JU!$F310,$D$3=JU!$I310),JU!B310,"")</f>
        <v/>
      </c>
      <c r="C317" s="6" t="str">
        <f>IF(OR($D$3=JU!$F310,$D$3=JU!$I310),JU!C310,"")</f>
        <v/>
      </c>
      <c r="D317" s="73" t="str">
        <f>IF(OR($D$3=JU!$F310,$D$3=JU!$I310),JU!D310,"")</f>
        <v/>
      </c>
      <c r="E317" s="74" t="str">
        <f>IF(OR($D$3=JU!$F310,$D$3=JU!$I310),JU!E310,"")</f>
        <v/>
      </c>
      <c r="F317" s="72">
        <f>IF($D$3=JU!F310,JU!H310,0)</f>
        <v>0</v>
      </c>
      <c r="G317" s="72">
        <f>IF($D$3=JU!I310,JU!K310,0)</f>
        <v>0</v>
      </c>
      <c r="H317" s="72">
        <f t="shared" si="5"/>
        <v>30428000</v>
      </c>
    </row>
    <row r="318" spans="2:8" hidden="1">
      <c r="B318" s="68" t="str">
        <f>IF(OR($D$3=JU!$F311,$D$3=JU!$I311),JU!B311,"")</f>
        <v/>
      </c>
      <c r="C318" s="6" t="str">
        <f>IF(OR($D$3=JU!$F311,$D$3=JU!$I311),JU!C311,"")</f>
        <v/>
      </c>
      <c r="D318" s="73" t="str">
        <f>IF(OR($D$3=JU!$F311,$D$3=JU!$I311),JU!D311,"")</f>
        <v/>
      </c>
      <c r="E318" s="74" t="str">
        <f>IF(OR($D$3=JU!$F311,$D$3=JU!$I311),JU!E311,"")</f>
        <v/>
      </c>
      <c r="F318" s="72">
        <f>IF($D$3=JU!F311,JU!H311,0)</f>
        <v>0</v>
      </c>
      <c r="G318" s="72">
        <f>IF($D$3=JU!I311,JU!K311,0)</f>
        <v>0</v>
      </c>
      <c r="H318" s="72">
        <f t="shared" si="5"/>
        <v>30428000</v>
      </c>
    </row>
    <row r="319" spans="2:8" hidden="1">
      <c r="B319" s="68" t="str">
        <f>IF(OR($D$3=JU!$F312,$D$3=JU!$I312),JU!B312,"")</f>
        <v/>
      </c>
      <c r="C319" s="6" t="str">
        <f>IF(OR($D$3=JU!$F312,$D$3=JU!$I312),JU!C312,"")</f>
        <v/>
      </c>
      <c r="D319" s="73" t="str">
        <f>IF(OR($D$3=JU!$F312,$D$3=JU!$I312),JU!D312,"")</f>
        <v/>
      </c>
      <c r="E319" s="74" t="str">
        <f>IF(OR($D$3=JU!$F312,$D$3=JU!$I312),JU!E312,"")</f>
        <v/>
      </c>
      <c r="F319" s="72">
        <f>IF($D$3=JU!F312,JU!H312,0)</f>
        <v>0</v>
      </c>
      <c r="G319" s="72">
        <f>IF($D$3=JU!I312,JU!K312,0)</f>
        <v>0</v>
      </c>
      <c r="H319" s="72">
        <f t="shared" si="5"/>
        <v>30428000</v>
      </c>
    </row>
    <row r="320" spans="2:8" hidden="1">
      <c r="B320" s="68" t="str">
        <f>IF(OR($D$3=JU!$F313,$D$3=JU!$I313),JU!B313,"")</f>
        <v/>
      </c>
      <c r="C320" s="6" t="str">
        <f>IF(OR($D$3=JU!$F313,$D$3=JU!$I313),JU!C313,"")</f>
        <v/>
      </c>
      <c r="D320" s="73" t="str">
        <f>IF(OR($D$3=JU!$F313,$D$3=JU!$I313),JU!D313,"")</f>
        <v/>
      </c>
      <c r="E320" s="74" t="str">
        <f>IF(OR($D$3=JU!$F313,$D$3=JU!$I313),JU!E313,"")</f>
        <v/>
      </c>
      <c r="F320" s="72">
        <f>IF($D$3=JU!F313,JU!H313,0)</f>
        <v>0</v>
      </c>
      <c r="G320" s="72">
        <f>IF($D$3=JU!I313,JU!K313,0)</f>
        <v>0</v>
      </c>
      <c r="H320" s="72">
        <f t="shared" si="5"/>
        <v>30428000</v>
      </c>
    </row>
    <row r="321" spans="2:8" hidden="1">
      <c r="B321" s="68" t="str">
        <f>IF(OR($D$3=JU!$F314,$D$3=JU!$I314),JU!B314,"")</f>
        <v/>
      </c>
      <c r="C321" s="6" t="str">
        <f>IF(OR($D$3=JU!$F314,$D$3=JU!$I314),JU!C314,"")</f>
        <v/>
      </c>
      <c r="D321" s="73" t="str">
        <f>IF(OR($D$3=JU!$F314,$D$3=JU!$I314),JU!D314,"")</f>
        <v/>
      </c>
      <c r="E321" s="74" t="str">
        <f>IF(OR($D$3=JU!$F314,$D$3=JU!$I314),JU!E314,"")</f>
        <v/>
      </c>
      <c r="F321" s="72">
        <f>IF($D$3=JU!F314,JU!H314,0)</f>
        <v>0</v>
      </c>
      <c r="G321" s="72">
        <f>IF($D$3=JU!I314,JU!K314,0)</f>
        <v>0</v>
      </c>
      <c r="H321" s="72">
        <f t="shared" si="5"/>
        <v>30428000</v>
      </c>
    </row>
    <row r="322" spans="2:8" hidden="1">
      <c r="B322" s="68" t="str">
        <f>IF(OR($D$3=JU!$F315,$D$3=JU!$I315),JU!B315,"")</f>
        <v/>
      </c>
      <c r="C322" s="6" t="str">
        <f>IF(OR($D$3=JU!$F315,$D$3=JU!$I315),JU!C315,"")</f>
        <v/>
      </c>
      <c r="D322" s="73" t="str">
        <f>IF(OR($D$3=JU!$F315,$D$3=JU!$I315),JU!D315,"")</f>
        <v/>
      </c>
      <c r="E322" s="74" t="str">
        <f>IF(OR($D$3=JU!$F315,$D$3=JU!$I315),JU!E315,"")</f>
        <v/>
      </c>
      <c r="F322" s="72">
        <f>IF($D$3=JU!F315,JU!H315,0)</f>
        <v>0</v>
      </c>
      <c r="G322" s="72">
        <f>IF($D$3=JU!I315,JU!K315,0)</f>
        <v>0</v>
      </c>
      <c r="H322" s="72">
        <f t="shared" si="5"/>
        <v>30428000</v>
      </c>
    </row>
    <row r="323" spans="2:8" hidden="1">
      <c r="B323" s="68" t="str">
        <f>IF(OR($D$3=JU!$F316,$D$3=JU!$I316),JU!B316,"")</f>
        <v/>
      </c>
      <c r="C323" s="6" t="str">
        <f>IF(OR($D$3=JU!$F316,$D$3=JU!$I316),JU!C316,"")</f>
        <v/>
      </c>
      <c r="D323" s="73" t="str">
        <f>IF(OR($D$3=JU!$F316,$D$3=JU!$I316),JU!D316,"")</f>
        <v/>
      </c>
      <c r="E323" s="74" t="str">
        <f>IF(OR($D$3=JU!$F316,$D$3=JU!$I316),JU!E316,"")</f>
        <v/>
      </c>
      <c r="F323" s="72">
        <f>IF($D$3=JU!F316,JU!H316,0)</f>
        <v>0</v>
      </c>
      <c r="G323" s="72">
        <f>IF($D$3=JU!I316,JU!K316,0)</f>
        <v>0</v>
      </c>
      <c r="H323" s="72">
        <f t="shared" si="5"/>
        <v>30428000</v>
      </c>
    </row>
    <row r="324" spans="2:8" hidden="1">
      <c r="B324" s="68" t="str">
        <f>IF(OR($D$3=JU!$F317,$D$3=JU!$I317),JU!B317,"")</f>
        <v/>
      </c>
      <c r="C324" s="6" t="str">
        <f>IF(OR($D$3=JU!$F317,$D$3=JU!$I317),JU!C317,"")</f>
        <v/>
      </c>
      <c r="D324" s="73" t="str">
        <f>IF(OR($D$3=JU!$F317,$D$3=JU!$I317),JU!D317,"")</f>
        <v/>
      </c>
      <c r="E324" s="74" t="str">
        <f>IF(OR($D$3=JU!$F317,$D$3=JU!$I317),JU!E317,"")</f>
        <v/>
      </c>
      <c r="F324" s="72">
        <f>IF($D$3=JU!F317,JU!H317,0)</f>
        <v>0</v>
      </c>
      <c r="G324" s="72">
        <f>IF($D$3=JU!I317,JU!K317,0)</f>
        <v>0</v>
      </c>
      <c r="H324" s="72">
        <f t="shared" si="5"/>
        <v>30428000</v>
      </c>
    </row>
    <row r="325" spans="2:8" hidden="1">
      <c r="B325" s="68" t="str">
        <f>IF(OR($D$3=JU!$F318,$D$3=JU!$I318),JU!B318,"")</f>
        <v/>
      </c>
      <c r="C325" s="6" t="str">
        <f>IF(OR($D$3=JU!$F318,$D$3=JU!$I318),JU!C318,"")</f>
        <v/>
      </c>
      <c r="D325" s="73" t="str">
        <f>IF(OR($D$3=JU!$F318,$D$3=JU!$I318),JU!D318,"")</f>
        <v/>
      </c>
      <c r="E325" s="74" t="str">
        <f>IF(OR($D$3=JU!$F318,$D$3=JU!$I318),JU!E318,"")</f>
        <v/>
      </c>
      <c r="F325" s="72">
        <f>IF($D$3=JU!F318,JU!H318,0)</f>
        <v>0</v>
      </c>
      <c r="G325" s="72">
        <f>IF($D$3=JU!I318,JU!K318,0)</f>
        <v>0</v>
      </c>
      <c r="H325" s="72">
        <f t="shared" si="5"/>
        <v>30428000</v>
      </c>
    </row>
    <row r="326" spans="2:8" hidden="1">
      <c r="B326" s="68" t="str">
        <f>IF(OR($D$3=JU!$F319,$D$3=JU!$I319),JU!B319,"")</f>
        <v/>
      </c>
      <c r="C326" s="6" t="str">
        <f>IF(OR($D$3=JU!$F319,$D$3=JU!$I319),JU!C319,"")</f>
        <v/>
      </c>
      <c r="D326" s="73" t="str">
        <f>IF(OR($D$3=JU!$F319,$D$3=JU!$I319),JU!D319,"")</f>
        <v/>
      </c>
      <c r="E326" s="74" t="str">
        <f>IF(OR($D$3=JU!$F319,$D$3=JU!$I319),JU!E319,"")</f>
        <v/>
      </c>
      <c r="F326" s="72">
        <f>IF($D$3=JU!F319,JU!H319,0)</f>
        <v>0</v>
      </c>
      <c r="G326" s="72">
        <f>IF($D$3=JU!I319,JU!K319,0)</f>
        <v>0</v>
      </c>
      <c r="H326" s="72">
        <f t="shared" si="5"/>
        <v>30428000</v>
      </c>
    </row>
    <row r="327" spans="2:8" hidden="1">
      <c r="B327" s="68" t="str">
        <f>IF(OR($D$3=JU!$F320,$D$3=JU!$I320),JU!B320,"")</f>
        <v/>
      </c>
      <c r="C327" s="6" t="str">
        <f>IF(OR($D$3=JU!$F320,$D$3=JU!$I320),JU!C320,"")</f>
        <v/>
      </c>
      <c r="D327" s="73" t="str">
        <f>IF(OR($D$3=JU!$F320,$D$3=JU!$I320),JU!D320,"")</f>
        <v/>
      </c>
      <c r="E327" s="74" t="str">
        <f>IF(OR($D$3=JU!$F320,$D$3=JU!$I320),JU!E320,"")</f>
        <v/>
      </c>
      <c r="F327" s="72">
        <f>IF($D$3=JU!F320,JU!H320,0)</f>
        <v>0</v>
      </c>
      <c r="G327" s="72">
        <f>IF($D$3=JU!I320,JU!K320,0)</f>
        <v>0</v>
      </c>
      <c r="H327" s="72">
        <f t="shared" si="5"/>
        <v>30428000</v>
      </c>
    </row>
    <row r="328" spans="2:8" hidden="1">
      <c r="B328" s="68" t="str">
        <f>IF(OR($D$3=JU!$F321,$D$3=JU!$I321),JU!B321,"")</f>
        <v/>
      </c>
      <c r="C328" s="6" t="str">
        <f>IF(OR($D$3=JU!$F321,$D$3=JU!$I321),JU!C321,"")</f>
        <v/>
      </c>
      <c r="D328" s="73" t="str">
        <f>IF(OR($D$3=JU!$F321,$D$3=JU!$I321),JU!D321,"")</f>
        <v/>
      </c>
      <c r="E328" s="74" t="str">
        <f>IF(OR($D$3=JU!$F321,$D$3=JU!$I321),JU!E321,"")</f>
        <v/>
      </c>
      <c r="F328" s="72">
        <f>IF($D$3=JU!F321,JU!H321,0)</f>
        <v>0</v>
      </c>
      <c r="G328" s="72">
        <f>IF($D$3=JU!I321,JU!K321,0)</f>
        <v>0</v>
      </c>
      <c r="H328" s="72">
        <f t="shared" si="5"/>
        <v>30428000</v>
      </c>
    </row>
    <row r="329" spans="2:8" hidden="1">
      <c r="B329" s="68" t="str">
        <f>IF(OR($D$3=JU!$F322,$D$3=JU!$I322),JU!B322,"")</f>
        <v/>
      </c>
      <c r="C329" s="6" t="str">
        <f>IF(OR($D$3=JU!$F322,$D$3=JU!$I322),JU!C322,"")</f>
        <v/>
      </c>
      <c r="D329" s="73" t="str">
        <f>IF(OR($D$3=JU!$F322,$D$3=JU!$I322),JU!D322,"")</f>
        <v/>
      </c>
      <c r="E329" s="74" t="str">
        <f>IF(OR($D$3=JU!$F322,$D$3=JU!$I322),JU!E322,"")</f>
        <v/>
      </c>
      <c r="F329" s="72">
        <f>IF($D$3=JU!F322,JU!H322,0)</f>
        <v>0</v>
      </c>
      <c r="G329" s="72">
        <f>IF($D$3=JU!I322,JU!K322,0)</f>
        <v>0</v>
      </c>
      <c r="H329" s="72">
        <f t="shared" si="5"/>
        <v>30428000</v>
      </c>
    </row>
    <row r="330" spans="2:8" hidden="1">
      <c r="B330" s="68" t="str">
        <f>IF(OR($D$3=JU!$F323,$D$3=JU!$I323),JU!B323,"")</f>
        <v/>
      </c>
      <c r="C330" s="6" t="str">
        <f>IF(OR($D$3=JU!$F323,$D$3=JU!$I323),JU!C323,"")</f>
        <v/>
      </c>
      <c r="D330" s="73" t="str">
        <f>IF(OR($D$3=JU!$F323,$D$3=JU!$I323),JU!D323,"")</f>
        <v/>
      </c>
      <c r="E330" s="74" t="str">
        <f>IF(OR($D$3=JU!$F323,$D$3=JU!$I323),JU!E323,"")</f>
        <v/>
      </c>
      <c r="F330" s="72">
        <f>IF($D$3=JU!F323,JU!H323,0)</f>
        <v>0</v>
      </c>
      <c r="G330" s="72">
        <f>IF($D$3=JU!I323,JU!K323,0)</f>
        <v>0</v>
      </c>
      <c r="H330" s="72">
        <f t="shared" si="5"/>
        <v>30428000</v>
      </c>
    </row>
    <row r="331" spans="2:8" hidden="1">
      <c r="B331" s="68" t="str">
        <f>IF(OR($D$3=JU!$F324,$D$3=JU!$I324),JU!B324,"")</f>
        <v/>
      </c>
      <c r="C331" s="6" t="str">
        <f>IF(OR($D$3=JU!$F324,$D$3=JU!$I324),JU!C324,"")</f>
        <v/>
      </c>
      <c r="D331" s="73" t="str">
        <f>IF(OR($D$3=JU!$F324,$D$3=JU!$I324),JU!D324,"")</f>
        <v/>
      </c>
      <c r="E331" s="74" t="str">
        <f>IF(OR($D$3=JU!$F324,$D$3=JU!$I324),JU!E324,"")</f>
        <v/>
      </c>
      <c r="F331" s="72">
        <f>IF($D$3=JU!F324,JU!H324,0)</f>
        <v>0</v>
      </c>
      <c r="G331" s="72">
        <f>IF($D$3=JU!I324,JU!K324,0)</f>
        <v>0</v>
      </c>
      <c r="H331" s="72">
        <f t="shared" si="5"/>
        <v>30428000</v>
      </c>
    </row>
    <row r="332" spans="2:8" hidden="1">
      <c r="B332" s="68" t="str">
        <f>IF(OR($D$3=JU!$F325,$D$3=JU!$I325),JU!B325,"")</f>
        <v/>
      </c>
      <c r="C332" s="6" t="str">
        <f>IF(OR($D$3=JU!$F325,$D$3=JU!$I325),JU!C325,"")</f>
        <v/>
      </c>
      <c r="D332" s="73" t="str">
        <f>IF(OR($D$3=JU!$F325,$D$3=JU!$I325),JU!D325,"")</f>
        <v/>
      </c>
      <c r="E332" s="74" t="str">
        <f>IF(OR($D$3=JU!$F325,$D$3=JU!$I325),JU!E325,"")</f>
        <v/>
      </c>
      <c r="F332" s="72">
        <f>IF($D$3=JU!F325,JU!H325,0)</f>
        <v>0</v>
      </c>
      <c r="G332" s="72">
        <f>IF($D$3=JU!I325,JU!K325,0)</f>
        <v>0</v>
      </c>
      <c r="H332" s="72">
        <f t="shared" si="5"/>
        <v>30428000</v>
      </c>
    </row>
    <row r="333" spans="2:8" hidden="1">
      <c r="B333" s="68" t="str">
        <f>IF(OR($D$3=JU!$F326,$D$3=JU!$I326),JU!B326,"")</f>
        <v/>
      </c>
      <c r="C333" s="6" t="str">
        <f>IF(OR($D$3=JU!$F326,$D$3=JU!$I326),JU!C326,"")</f>
        <v/>
      </c>
      <c r="D333" s="73" t="str">
        <f>IF(OR($D$3=JU!$F326,$D$3=JU!$I326),JU!D326,"")</f>
        <v/>
      </c>
      <c r="E333" s="74" t="str">
        <f>IF(OR($D$3=JU!$F326,$D$3=JU!$I326),JU!E326,"")</f>
        <v/>
      </c>
      <c r="F333" s="72">
        <f>IF($D$3=JU!F326,JU!H326,0)</f>
        <v>0</v>
      </c>
      <c r="G333" s="72">
        <f>IF($D$3=JU!I326,JU!K326,0)</f>
        <v>0</v>
      </c>
      <c r="H333" s="72">
        <f t="shared" si="5"/>
        <v>30428000</v>
      </c>
    </row>
    <row r="334" spans="2:8" hidden="1">
      <c r="B334" s="68" t="str">
        <f>IF(OR($D$3=JU!$F327,$D$3=JU!$I327),JU!B327,"")</f>
        <v/>
      </c>
      <c r="C334" s="6" t="str">
        <f>IF(OR($D$3=JU!$F327,$D$3=JU!$I327),JU!C327,"")</f>
        <v/>
      </c>
      <c r="D334" s="73" t="str">
        <f>IF(OR($D$3=JU!$F327,$D$3=JU!$I327),JU!D327,"")</f>
        <v/>
      </c>
      <c r="E334" s="74" t="str">
        <f>IF(OR($D$3=JU!$F327,$D$3=JU!$I327),JU!E327,"")</f>
        <v/>
      </c>
      <c r="F334" s="72">
        <f>IF($D$3=JU!F327,JU!H327,0)</f>
        <v>0</v>
      </c>
      <c r="G334" s="72">
        <f>IF($D$3=JU!I327,JU!K327,0)</f>
        <v>0</v>
      </c>
      <c r="H334" s="72">
        <f t="shared" ref="H334:H397" si="6">IF($H$7="DEBET",H333+F334-G334,H333+G334-F334)</f>
        <v>30428000</v>
      </c>
    </row>
    <row r="335" spans="2:8" hidden="1">
      <c r="B335" s="68" t="str">
        <f>IF(OR($D$3=JU!$F328,$D$3=JU!$I328),JU!B328,"")</f>
        <v/>
      </c>
      <c r="C335" s="6" t="str">
        <f>IF(OR($D$3=JU!$F328,$D$3=JU!$I328),JU!C328,"")</f>
        <v/>
      </c>
      <c r="D335" s="73" t="str">
        <f>IF(OR($D$3=JU!$F328,$D$3=JU!$I328),JU!D328,"")</f>
        <v/>
      </c>
      <c r="E335" s="74" t="str">
        <f>IF(OR($D$3=JU!$F328,$D$3=JU!$I328),JU!E328,"")</f>
        <v/>
      </c>
      <c r="F335" s="72">
        <f>IF($D$3=JU!F328,JU!H328,0)</f>
        <v>0</v>
      </c>
      <c r="G335" s="72">
        <f>IF($D$3=JU!I328,JU!K328,0)</f>
        <v>0</v>
      </c>
      <c r="H335" s="72">
        <f t="shared" si="6"/>
        <v>30428000</v>
      </c>
    </row>
    <row r="336" spans="2:8" hidden="1">
      <c r="B336" s="68" t="str">
        <f>IF(OR($D$3=JU!$F329,$D$3=JU!$I329),JU!B329,"")</f>
        <v/>
      </c>
      <c r="C336" s="6" t="str">
        <f>IF(OR($D$3=JU!$F329,$D$3=JU!$I329),JU!C329,"")</f>
        <v/>
      </c>
      <c r="D336" s="73" t="str">
        <f>IF(OR($D$3=JU!$F329,$D$3=JU!$I329),JU!D329,"")</f>
        <v/>
      </c>
      <c r="E336" s="74" t="str">
        <f>IF(OR($D$3=JU!$F329,$D$3=JU!$I329),JU!E329,"")</f>
        <v/>
      </c>
      <c r="F336" s="72">
        <f>IF($D$3=JU!F329,JU!H329,0)</f>
        <v>0</v>
      </c>
      <c r="G336" s="72">
        <f>IF($D$3=JU!I329,JU!K329,0)</f>
        <v>0</v>
      </c>
      <c r="H336" s="72">
        <f t="shared" si="6"/>
        <v>30428000</v>
      </c>
    </row>
    <row r="337" spans="2:8" hidden="1">
      <c r="B337" s="68" t="str">
        <f>IF(OR($D$3=JU!$F330,$D$3=JU!$I330),JU!B330,"")</f>
        <v/>
      </c>
      <c r="C337" s="6" t="str">
        <f>IF(OR($D$3=JU!$F330,$D$3=JU!$I330),JU!C330,"")</f>
        <v/>
      </c>
      <c r="D337" s="73" t="str">
        <f>IF(OR($D$3=JU!$F330,$D$3=JU!$I330),JU!D330,"")</f>
        <v/>
      </c>
      <c r="E337" s="74" t="str">
        <f>IF(OR($D$3=JU!$F330,$D$3=JU!$I330),JU!E330,"")</f>
        <v/>
      </c>
      <c r="F337" s="72">
        <f>IF($D$3=JU!F330,JU!H330,0)</f>
        <v>0</v>
      </c>
      <c r="G337" s="72">
        <f>IF($D$3=JU!I330,JU!K330,0)</f>
        <v>0</v>
      </c>
      <c r="H337" s="72">
        <f t="shared" si="6"/>
        <v>30428000</v>
      </c>
    </row>
    <row r="338" spans="2:8" hidden="1">
      <c r="B338" s="68" t="str">
        <f>IF(OR($D$3=JU!$F331,$D$3=JU!$I331),JU!B331,"")</f>
        <v/>
      </c>
      <c r="C338" s="6" t="str">
        <f>IF(OR($D$3=JU!$F331,$D$3=JU!$I331),JU!C331,"")</f>
        <v/>
      </c>
      <c r="D338" s="73" t="str">
        <f>IF(OR($D$3=JU!$F331,$D$3=JU!$I331),JU!D331,"")</f>
        <v/>
      </c>
      <c r="E338" s="74" t="str">
        <f>IF(OR($D$3=JU!$F331,$D$3=JU!$I331),JU!E331,"")</f>
        <v/>
      </c>
      <c r="F338" s="72">
        <f>IF($D$3=JU!F331,JU!H331,0)</f>
        <v>0</v>
      </c>
      <c r="G338" s="72">
        <f>IF($D$3=JU!I331,JU!K331,0)</f>
        <v>0</v>
      </c>
      <c r="H338" s="72">
        <f t="shared" si="6"/>
        <v>30428000</v>
      </c>
    </row>
    <row r="339" spans="2:8">
      <c r="B339" s="68">
        <f>IF(OR($D$3=JU!$F332,$D$3=JU!$I332),JU!B332,"")</f>
        <v>46066</v>
      </c>
      <c r="C339" s="6" t="str">
        <f>IF(OR($D$3=JU!$F332,$D$3=JU!$I332),JU!C332,"")</f>
        <v>PEMBAYARAN BIAYA NOTARIS AKAD D2 IDA FITRANI TAHAP 3</v>
      </c>
      <c r="D339" s="73" t="str">
        <f>IF(OR($D$3=JU!$F332,$D$3=JU!$I332),JU!D332,"")</f>
        <v>By. Biaya PEMBAYARAN BIAYA NOTARIS AKAD D2 IDA FITRANI TAHAP 3</v>
      </c>
      <c r="E339" s="74">
        <f>IF(OR($D$3=JU!$F332,$D$3=JU!$I332),JU!E332,"")</f>
        <v>0</v>
      </c>
      <c r="F339" s="72">
        <f>IF($D$3=JU!F332,JU!H332,0)</f>
        <v>4000000</v>
      </c>
      <c r="G339" s="72">
        <f>IF($D$3=JU!I332,JU!K332,0)</f>
        <v>0</v>
      </c>
      <c r="H339" s="72">
        <f t="shared" si="6"/>
        <v>34428000</v>
      </c>
    </row>
    <row r="340" spans="2:8" hidden="1">
      <c r="B340" s="68" t="str">
        <f>IF(OR($D$3=JU!$F333,$D$3=JU!$I333),JU!B333,"")</f>
        <v/>
      </c>
      <c r="C340" s="6" t="str">
        <f>IF(OR($D$3=JU!$F333,$D$3=JU!$I333),JU!C333,"")</f>
        <v/>
      </c>
      <c r="D340" s="73" t="str">
        <f>IF(OR($D$3=JU!$F333,$D$3=JU!$I333),JU!D333,"")</f>
        <v/>
      </c>
      <c r="E340" s="74" t="str">
        <f>IF(OR($D$3=JU!$F333,$D$3=JU!$I333),JU!E333,"")</f>
        <v/>
      </c>
      <c r="F340" s="72">
        <f>IF($D$3=JU!F333,JU!H333,0)</f>
        <v>0</v>
      </c>
      <c r="G340" s="72">
        <f>IF($D$3=JU!I333,JU!K333,0)</f>
        <v>0</v>
      </c>
      <c r="H340" s="72">
        <f t="shared" si="6"/>
        <v>34428000</v>
      </c>
    </row>
    <row r="341" spans="2:8" hidden="1">
      <c r="B341" s="68" t="str">
        <f>IF(OR($D$3=JU!$F334,$D$3=JU!$I334),JU!B334,"")</f>
        <v/>
      </c>
      <c r="C341" s="6" t="str">
        <f>IF(OR($D$3=JU!$F334,$D$3=JU!$I334),JU!C334,"")</f>
        <v/>
      </c>
      <c r="D341" s="73" t="str">
        <f>IF(OR($D$3=JU!$F334,$D$3=JU!$I334),JU!D334,"")</f>
        <v/>
      </c>
      <c r="E341" s="74" t="str">
        <f>IF(OR($D$3=JU!$F334,$D$3=JU!$I334),JU!E334,"")</f>
        <v/>
      </c>
      <c r="F341" s="72">
        <f>IF($D$3=JU!F334,JU!H334,0)</f>
        <v>0</v>
      </c>
      <c r="G341" s="72">
        <f>IF($D$3=JU!I334,JU!K334,0)</f>
        <v>0</v>
      </c>
      <c r="H341" s="72">
        <f t="shared" si="6"/>
        <v>34428000</v>
      </c>
    </row>
    <row r="342" spans="2:8" hidden="1">
      <c r="B342" s="68" t="str">
        <f>IF(OR($D$3=JU!$F335,$D$3=JU!$I335),JU!B335,"")</f>
        <v/>
      </c>
      <c r="C342" s="6" t="str">
        <f>IF(OR($D$3=JU!$F335,$D$3=JU!$I335),JU!C335,"")</f>
        <v/>
      </c>
      <c r="D342" s="73" t="str">
        <f>IF(OR($D$3=JU!$F335,$D$3=JU!$I335),JU!D335,"")</f>
        <v/>
      </c>
      <c r="E342" s="74" t="str">
        <f>IF(OR($D$3=JU!$F335,$D$3=JU!$I335),JU!E335,"")</f>
        <v/>
      </c>
      <c r="F342" s="72">
        <f>IF($D$3=JU!F335,JU!H335,0)</f>
        <v>0</v>
      </c>
      <c r="G342" s="72">
        <f>IF($D$3=JU!I335,JU!K335,0)</f>
        <v>0</v>
      </c>
      <c r="H342" s="72">
        <f t="shared" si="6"/>
        <v>34428000</v>
      </c>
    </row>
    <row r="343" spans="2:8" hidden="1">
      <c r="B343" s="68" t="str">
        <f>IF(OR($D$3=JU!$F336,$D$3=JU!$I336),JU!B336,"")</f>
        <v/>
      </c>
      <c r="C343" s="6" t="str">
        <f>IF(OR($D$3=JU!$F336,$D$3=JU!$I336),JU!C336,"")</f>
        <v/>
      </c>
      <c r="D343" s="73" t="str">
        <f>IF(OR($D$3=JU!$F336,$D$3=JU!$I336),JU!D336,"")</f>
        <v/>
      </c>
      <c r="E343" s="74" t="str">
        <f>IF(OR($D$3=JU!$F336,$D$3=JU!$I336),JU!E336,"")</f>
        <v/>
      </c>
      <c r="F343" s="72">
        <f>IF($D$3=JU!F336,JU!H336,0)</f>
        <v>0</v>
      </c>
      <c r="G343" s="72">
        <f>IF($D$3=JU!I336,JU!K336,0)</f>
        <v>0</v>
      </c>
      <c r="H343" s="72">
        <f t="shared" si="6"/>
        <v>34428000</v>
      </c>
    </row>
    <row r="344" spans="2:8" hidden="1">
      <c r="B344" s="68" t="str">
        <f>IF(OR($D$3=JU!$F337,$D$3=JU!$I337),JU!B337,"")</f>
        <v/>
      </c>
      <c r="C344" s="6" t="str">
        <f>IF(OR($D$3=JU!$F337,$D$3=JU!$I337),JU!C337,"")</f>
        <v/>
      </c>
      <c r="D344" s="73" t="str">
        <f>IF(OR($D$3=JU!$F337,$D$3=JU!$I337),JU!D337,"")</f>
        <v/>
      </c>
      <c r="E344" s="74" t="str">
        <f>IF(OR($D$3=JU!$F337,$D$3=JU!$I337),JU!E337,"")</f>
        <v/>
      </c>
      <c r="F344" s="72">
        <f>IF($D$3=JU!F337,JU!H337,0)</f>
        <v>0</v>
      </c>
      <c r="G344" s="72">
        <f>IF($D$3=JU!I337,JU!K337,0)</f>
        <v>0</v>
      </c>
      <c r="H344" s="72">
        <f t="shared" si="6"/>
        <v>34428000</v>
      </c>
    </row>
    <row r="345" spans="2:8" hidden="1">
      <c r="B345" s="68" t="str">
        <f>IF(OR($D$3=JU!$F338,$D$3=JU!$I338),JU!B338,"")</f>
        <v/>
      </c>
      <c r="C345" s="6" t="str">
        <f>IF(OR($D$3=JU!$F338,$D$3=JU!$I338),JU!C338,"")</f>
        <v/>
      </c>
      <c r="D345" s="73" t="str">
        <f>IF(OR($D$3=JU!$F338,$D$3=JU!$I338),JU!D338,"")</f>
        <v/>
      </c>
      <c r="E345" s="74" t="str">
        <f>IF(OR($D$3=JU!$F338,$D$3=JU!$I338),JU!E338,"")</f>
        <v/>
      </c>
      <c r="F345" s="72">
        <f>IF($D$3=JU!F338,JU!H338,0)</f>
        <v>0</v>
      </c>
      <c r="G345" s="72">
        <f>IF($D$3=JU!I338,JU!K338,0)</f>
        <v>0</v>
      </c>
      <c r="H345" s="72">
        <f t="shared" si="6"/>
        <v>34428000</v>
      </c>
    </row>
    <row r="346" spans="2:8" hidden="1">
      <c r="B346" s="68" t="str">
        <f>IF(OR($D$3=JU!$F339,$D$3=JU!$I339),JU!B339,"")</f>
        <v/>
      </c>
      <c r="C346" s="6" t="str">
        <f>IF(OR($D$3=JU!$F339,$D$3=JU!$I339),JU!C339,"")</f>
        <v/>
      </c>
      <c r="D346" s="73" t="str">
        <f>IF(OR($D$3=JU!$F339,$D$3=JU!$I339),JU!D339,"")</f>
        <v/>
      </c>
      <c r="E346" s="74" t="str">
        <f>IF(OR($D$3=JU!$F339,$D$3=JU!$I339),JU!E339,"")</f>
        <v/>
      </c>
      <c r="F346" s="72">
        <f>IF($D$3=JU!F339,JU!H339,0)</f>
        <v>0</v>
      </c>
      <c r="G346" s="72">
        <f>IF($D$3=JU!I339,JU!K339,0)</f>
        <v>0</v>
      </c>
      <c r="H346" s="72">
        <f t="shared" si="6"/>
        <v>34428000</v>
      </c>
    </row>
    <row r="347" spans="2:8" hidden="1">
      <c r="B347" s="68" t="str">
        <f>IF(OR($D$3=JU!$F340,$D$3=JU!$I340),JU!B340,"")</f>
        <v/>
      </c>
      <c r="C347" s="6" t="str">
        <f>IF(OR($D$3=JU!$F340,$D$3=JU!$I340),JU!C340,"")</f>
        <v/>
      </c>
      <c r="D347" s="73" t="str">
        <f>IF(OR($D$3=JU!$F340,$D$3=JU!$I340),JU!D340,"")</f>
        <v/>
      </c>
      <c r="E347" s="74" t="str">
        <f>IF(OR($D$3=JU!$F340,$D$3=JU!$I340),JU!E340,"")</f>
        <v/>
      </c>
      <c r="F347" s="72">
        <f>IF($D$3=JU!F340,JU!H340,0)</f>
        <v>0</v>
      </c>
      <c r="G347" s="72">
        <f>IF($D$3=JU!I340,JU!K340,0)</f>
        <v>0</v>
      </c>
      <c r="H347" s="72">
        <f t="shared" si="6"/>
        <v>34428000</v>
      </c>
    </row>
    <row r="348" spans="2:8" hidden="1">
      <c r="B348" s="68" t="str">
        <f>IF(OR($D$3=JU!$F341,$D$3=JU!$I341),JU!B341,"")</f>
        <v/>
      </c>
      <c r="C348" s="6" t="str">
        <f>IF(OR($D$3=JU!$F341,$D$3=JU!$I341),JU!C341,"")</f>
        <v/>
      </c>
      <c r="D348" s="73" t="str">
        <f>IF(OR($D$3=JU!$F341,$D$3=JU!$I341),JU!D341,"")</f>
        <v/>
      </c>
      <c r="E348" s="74" t="str">
        <f>IF(OR($D$3=JU!$F341,$D$3=JU!$I341),JU!E341,"")</f>
        <v/>
      </c>
      <c r="F348" s="72">
        <f>IF($D$3=JU!F341,JU!H341,0)</f>
        <v>0</v>
      </c>
      <c r="G348" s="72">
        <f>IF($D$3=JU!I341,JU!K341,0)</f>
        <v>0</v>
      </c>
      <c r="H348" s="72">
        <f t="shared" si="6"/>
        <v>34428000</v>
      </c>
    </row>
    <row r="349" spans="2:8" hidden="1">
      <c r="B349" s="68" t="str">
        <f>IF(OR($D$3=JU!$F342,$D$3=JU!$I342),JU!B342,"")</f>
        <v/>
      </c>
      <c r="C349" s="6" t="str">
        <f>IF(OR($D$3=JU!$F342,$D$3=JU!$I342),JU!C342,"")</f>
        <v/>
      </c>
      <c r="D349" s="73" t="str">
        <f>IF(OR($D$3=JU!$F342,$D$3=JU!$I342),JU!D342,"")</f>
        <v/>
      </c>
      <c r="E349" s="74" t="str">
        <f>IF(OR($D$3=JU!$F342,$D$3=JU!$I342),JU!E342,"")</f>
        <v/>
      </c>
      <c r="F349" s="72">
        <f>IF($D$3=JU!F342,JU!H342,0)</f>
        <v>0</v>
      </c>
      <c r="G349" s="72">
        <f>IF($D$3=JU!I342,JU!K342,0)</f>
        <v>0</v>
      </c>
      <c r="H349" s="72">
        <f t="shared" si="6"/>
        <v>34428000</v>
      </c>
    </row>
    <row r="350" spans="2:8" hidden="1">
      <c r="B350" s="68" t="str">
        <f>IF(OR($D$3=JU!$F343,$D$3=JU!$I343),JU!B343,"")</f>
        <v/>
      </c>
      <c r="C350" s="6" t="str">
        <f>IF(OR($D$3=JU!$F343,$D$3=JU!$I343),JU!C343,"")</f>
        <v/>
      </c>
      <c r="D350" s="73" t="str">
        <f>IF(OR($D$3=JU!$F343,$D$3=JU!$I343),JU!D343,"")</f>
        <v/>
      </c>
      <c r="E350" s="74" t="str">
        <f>IF(OR($D$3=JU!$F343,$D$3=JU!$I343),JU!E343,"")</f>
        <v/>
      </c>
      <c r="F350" s="72">
        <f>IF($D$3=JU!F343,JU!H343,0)</f>
        <v>0</v>
      </c>
      <c r="G350" s="72">
        <f>IF($D$3=JU!I343,JU!K343,0)</f>
        <v>0</v>
      </c>
      <c r="H350" s="72">
        <f t="shared" si="6"/>
        <v>34428000</v>
      </c>
    </row>
    <row r="351" spans="2:8" hidden="1">
      <c r="B351" s="68" t="str">
        <f>IF(OR($D$3=JU!$F344,$D$3=JU!$I344),JU!B344,"")</f>
        <v/>
      </c>
      <c r="C351" s="6" t="str">
        <f>IF(OR($D$3=JU!$F344,$D$3=JU!$I344),JU!C344,"")</f>
        <v/>
      </c>
      <c r="D351" s="73" t="str">
        <f>IF(OR($D$3=JU!$F344,$D$3=JU!$I344),JU!D344,"")</f>
        <v/>
      </c>
      <c r="E351" s="74" t="str">
        <f>IF(OR($D$3=JU!$F344,$D$3=JU!$I344),JU!E344,"")</f>
        <v/>
      </c>
      <c r="F351" s="72">
        <f>IF($D$3=JU!F344,JU!H344,0)</f>
        <v>0</v>
      </c>
      <c r="G351" s="72">
        <f>IF($D$3=JU!I344,JU!K344,0)</f>
        <v>0</v>
      </c>
      <c r="H351" s="72">
        <f t="shared" si="6"/>
        <v>34428000</v>
      </c>
    </row>
    <row r="352" spans="2:8" hidden="1">
      <c r="B352" s="68" t="str">
        <f>IF(OR($D$3=JU!$F345,$D$3=JU!$I345),JU!B345,"")</f>
        <v/>
      </c>
      <c r="C352" s="6" t="str">
        <f>IF(OR($D$3=JU!$F345,$D$3=JU!$I345),JU!C345,"")</f>
        <v/>
      </c>
      <c r="D352" s="73" t="str">
        <f>IF(OR($D$3=JU!$F345,$D$3=JU!$I345),JU!D345,"")</f>
        <v/>
      </c>
      <c r="E352" s="74" t="str">
        <f>IF(OR($D$3=JU!$F345,$D$3=JU!$I345),JU!E345,"")</f>
        <v/>
      </c>
      <c r="F352" s="72">
        <f>IF($D$3=JU!F345,JU!H345,0)</f>
        <v>0</v>
      </c>
      <c r="G352" s="72">
        <f>IF($D$3=JU!I345,JU!K345,0)</f>
        <v>0</v>
      </c>
      <c r="H352" s="72">
        <f t="shared" si="6"/>
        <v>34428000</v>
      </c>
    </row>
    <row r="353" spans="2:8" hidden="1">
      <c r="B353" s="68" t="str">
        <f>IF(OR($D$3=JU!$F346,$D$3=JU!$I346),JU!B346,"")</f>
        <v/>
      </c>
      <c r="C353" s="6" t="str">
        <f>IF(OR($D$3=JU!$F346,$D$3=JU!$I346),JU!C346,"")</f>
        <v/>
      </c>
      <c r="D353" s="73" t="str">
        <f>IF(OR($D$3=JU!$F346,$D$3=JU!$I346),JU!D346,"")</f>
        <v/>
      </c>
      <c r="E353" s="74" t="str">
        <f>IF(OR($D$3=JU!$F346,$D$3=JU!$I346),JU!E346,"")</f>
        <v/>
      </c>
      <c r="F353" s="72">
        <f>IF($D$3=JU!F346,JU!H346,0)</f>
        <v>0</v>
      </c>
      <c r="G353" s="72">
        <f>IF($D$3=JU!I346,JU!K346,0)</f>
        <v>0</v>
      </c>
      <c r="H353" s="72">
        <f t="shared" si="6"/>
        <v>34428000</v>
      </c>
    </row>
    <row r="354" spans="2:8" hidden="1">
      <c r="B354" s="68" t="str">
        <f>IF(OR($D$3=JU!$F347,$D$3=JU!$I347),JU!B347,"")</f>
        <v/>
      </c>
      <c r="C354" s="6" t="str">
        <f>IF(OR($D$3=JU!$F347,$D$3=JU!$I347),JU!C347,"")</f>
        <v/>
      </c>
      <c r="D354" s="73" t="str">
        <f>IF(OR($D$3=JU!$F347,$D$3=JU!$I347),JU!D347,"")</f>
        <v/>
      </c>
      <c r="E354" s="74" t="str">
        <f>IF(OR($D$3=JU!$F347,$D$3=JU!$I347),JU!E347,"")</f>
        <v/>
      </c>
      <c r="F354" s="72">
        <f>IF($D$3=JU!F347,JU!H347,0)</f>
        <v>0</v>
      </c>
      <c r="G354" s="72">
        <f>IF($D$3=JU!I347,JU!K347,0)</f>
        <v>0</v>
      </c>
      <c r="H354" s="72">
        <f t="shared" si="6"/>
        <v>34428000</v>
      </c>
    </row>
    <row r="355" spans="2:8" hidden="1">
      <c r="B355" s="68" t="str">
        <f>IF(OR($D$3=JU!$F348,$D$3=JU!$I348),JU!B348,"")</f>
        <v/>
      </c>
      <c r="C355" s="6" t="str">
        <f>IF(OR($D$3=JU!$F348,$D$3=JU!$I348),JU!C348,"")</f>
        <v/>
      </c>
      <c r="D355" s="73" t="str">
        <f>IF(OR($D$3=JU!$F348,$D$3=JU!$I348),JU!D348,"")</f>
        <v/>
      </c>
      <c r="E355" s="74" t="str">
        <f>IF(OR($D$3=JU!$F348,$D$3=JU!$I348),JU!E348,"")</f>
        <v/>
      </c>
      <c r="F355" s="72">
        <f>IF($D$3=JU!F348,JU!H348,0)</f>
        <v>0</v>
      </c>
      <c r="G355" s="72">
        <f>IF($D$3=JU!I348,JU!K348,0)</f>
        <v>0</v>
      </c>
      <c r="H355" s="72">
        <f t="shared" si="6"/>
        <v>34428000</v>
      </c>
    </row>
    <row r="356" spans="2:8" hidden="1">
      <c r="B356" s="68" t="str">
        <f>IF(OR($D$3=JU!$F349,$D$3=JU!$I349),JU!B349,"")</f>
        <v/>
      </c>
      <c r="C356" s="6" t="str">
        <f>IF(OR($D$3=JU!$F349,$D$3=JU!$I349),JU!C349,"")</f>
        <v/>
      </c>
      <c r="D356" s="73" t="str">
        <f>IF(OR($D$3=JU!$F349,$D$3=JU!$I349),JU!D349,"")</f>
        <v/>
      </c>
      <c r="E356" s="74" t="str">
        <f>IF(OR($D$3=JU!$F349,$D$3=JU!$I349),JU!E349,"")</f>
        <v/>
      </c>
      <c r="F356" s="72">
        <f>IF($D$3=JU!F349,JU!H349,0)</f>
        <v>0</v>
      </c>
      <c r="G356" s="72">
        <f>IF($D$3=JU!I349,JU!K349,0)</f>
        <v>0</v>
      </c>
      <c r="H356" s="72">
        <f t="shared" si="6"/>
        <v>34428000</v>
      </c>
    </row>
    <row r="357" spans="2:8" hidden="1">
      <c r="B357" s="68" t="str">
        <f>IF(OR($D$3=JU!$F350,$D$3=JU!$I350),JU!B350,"")</f>
        <v/>
      </c>
      <c r="C357" s="6" t="str">
        <f>IF(OR($D$3=JU!$F350,$D$3=JU!$I350),JU!C350,"")</f>
        <v/>
      </c>
      <c r="D357" s="73" t="str">
        <f>IF(OR($D$3=JU!$F350,$D$3=JU!$I350),JU!D350,"")</f>
        <v/>
      </c>
      <c r="E357" s="74" t="str">
        <f>IF(OR($D$3=JU!$F350,$D$3=JU!$I350),JU!E350,"")</f>
        <v/>
      </c>
      <c r="F357" s="72">
        <f>IF($D$3=JU!F350,JU!H350,0)</f>
        <v>0</v>
      </c>
      <c r="G357" s="72">
        <f>IF($D$3=JU!I350,JU!K350,0)</f>
        <v>0</v>
      </c>
      <c r="H357" s="72">
        <f t="shared" si="6"/>
        <v>34428000</v>
      </c>
    </row>
    <row r="358" spans="2:8" hidden="1">
      <c r="B358" s="68" t="str">
        <f>IF(OR($D$3=JU!$F351,$D$3=JU!$I351),JU!B351,"")</f>
        <v/>
      </c>
      <c r="C358" s="6" t="str">
        <f>IF(OR($D$3=JU!$F351,$D$3=JU!$I351),JU!C351,"")</f>
        <v/>
      </c>
      <c r="D358" s="73" t="str">
        <f>IF(OR($D$3=JU!$F351,$D$3=JU!$I351),JU!D351,"")</f>
        <v/>
      </c>
      <c r="E358" s="74" t="str">
        <f>IF(OR($D$3=JU!$F351,$D$3=JU!$I351),JU!E351,"")</f>
        <v/>
      </c>
      <c r="F358" s="72">
        <f>IF($D$3=JU!F351,JU!H351,0)</f>
        <v>0</v>
      </c>
      <c r="G358" s="72">
        <f>IF($D$3=JU!I351,JU!K351,0)</f>
        <v>0</v>
      </c>
      <c r="H358" s="72">
        <f t="shared" si="6"/>
        <v>34428000</v>
      </c>
    </row>
    <row r="359" spans="2:8" hidden="1">
      <c r="B359" s="68" t="str">
        <f>IF(OR($D$3=JU!$F352,$D$3=JU!$I352),JU!B352,"")</f>
        <v/>
      </c>
      <c r="C359" s="6" t="str">
        <f>IF(OR($D$3=JU!$F352,$D$3=JU!$I352),JU!C352,"")</f>
        <v/>
      </c>
      <c r="D359" s="73" t="str">
        <f>IF(OR($D$3=JU!$F352,$D$3=JU!$I352),JU!D352,"")</f>
        <v/>
      </c>
      <c r="E359" s="74" t="str">
        <f>IF(OR($D$3=JU!$F352,$D$3=JU!$I352),JU!E352,"")</f>
        <v/>
      </c>
      <c r="F359" s="72">
        <f>IF($D$3=JU!F352,JU!H352,0)</f>
        <v>0</v>
      </c>
      <c r="G359" s="72">
        <f>IF($D$3=JU!I352,JU!K352,0)</f>
        <v>0</v>
      </c>
      <c r="H359" s="72">
        <f t="shared" si="6"/>
        <v>34428000</v>
      </c>
    </row>
    <row r="360" spans="2:8" hidden="1">
      <c r="B360" s="68" t="str">
        <f>IF(OR($D$3=JU!$F353,$D$3=JU!$I353),JU!B353,"")</f>
        <v/>
      </c>
      <c r="C360" s="6" t="str">
        <f>IF(OR($D$3=JU!$F353,$D$3=JU!$I353),JU!C353,"")</f>
        <v/>
      </c>
      <c r="D360" s="73" t="str">
        <f>IF(OR($D$3=JU!$F353,$D$3=JU!$I353),JU!D353,"")</f>
        <v/>
      </c>
      <c r="E360" s="74" t="str">
        <f>IF(OR($D$3=JU!$F353,$D$3=JU!$I353),JU!E353,"")</f>
        <v/>
      </c>
      <c r="F360" s="72">
        <f>IF($D$3=JU!F353,JU!H353,0)</f>
        <v>0</v>
      </c>
      <c r="G360" s="72">
        <f>IF($D$3=JU!I353,JU!K353,0)</f>
        <v>0</v>
      </c>
      <c r="H360" s="72">
        <f t="shared" si="6"/>
        <v>34428000</v>
      </c>
    </row>
    <row r="361" spans="2:8" hidden="1">
      <c r="B361" s="68" t="str">
        <f>IF(OR($D$3=JU!$F354,$D$3=JU!$I354),JU!B354,"")</f>
        <v/>
      </c>
      <c r="C361" s="6" t="str">
        <f>IF(OR($D$3=JU!$F354,$D$3=JU!$I354),JU!C354,"")</f>
        <v/>
      </c>
      <c r="D361" s="73" t="str">
        <f>IF(OR($D$3=JU!$F354,$D$3=JU!$I354),JU!D354,"")</f>
        <v/>
      </c>
      <c r="E361" s="74" t="str">
        <f>IF(OR($D$3=JU!$F354,$D$3=JU!$I354),JU!E354,"")</f>
        <v/>
      </c>
      <c r="F361" s="72">
        <f>IF($D$3=JU!F354,JU!H354,0)</f>
        <v>0</v>
      </c>
      <c r="G361" s="72">
        <f>IF($D$3=JU!I354,JU!K354,0)</f>
        <v>0</v>
      </c>
      <c r="H361" s="72">
        <f t="shared" si="6"/>
        <v>34428000</v>
      </c>
    </row>
    <row r="362" spans="2:8" hidden="1">
      <c r="B362" s="68" t="str">
        <f>IF(OR($D$3=JU!$F355,$D$3=JU!$I355),JU!B355,"")</f>
        <v/>
      </c>
      <c r="C362" s="6" t="str">
        <f>IF(OR($D$3=JU!$F355,$D$3=JU!$I355),JU!C355,"")</f>
        <v/>
      </c>
      <c r="D362" s="73" t="str">
        <f>IF(OR($D$3=JU!$F355,$D$3=JU!$I355),JU!D355,"")</f>
        <v/>
      </c>
      <c r="E362" s="74" t="str">
        <f>IF(OR($D$3=JU!$F355,$D$3=JU!$I355),JU!E355,"")</f>
        <v/>
      </c>
      <c r="F362" s="72">
        <f>IF($D$3=JU!F355,JU!H355,0)</f>
        <v>0</v>
      </c>
      <c r="G362" s="72">
        <f>IF($D$3=JU!I355,JU!K355,0)</f>
        <v>0</v>
      </c>
      <c r="H362" s="72">
        <f t="shared" si="6"/>
        <v>34428000</v>
      </c>
    </row>
    <row r="363" spans="2:8" hidden="1">
      <c r="B363" s="68" t="str">
        <f>IF(OR($D$3=JU!$F356,$D$3=JU!$I356),JU!B356,"")</f>
        <v/>
      </c>
      <c r="C363" s="6" t="str">
        <f>IF(OR($D$3=JU!$F356,$D$3=JU!$I356),JU!C356,"")</f>
        <v/>
      </c>
      <c r="D363" s="73" t="str">
        <f>IF(OR($D$3=JU!$F356,$D$3=JU!$I356),JU!D356,"")</f>
        <v/>
      </c>
      <c r="E363" s="74" t="str">
        <f>IF(OR($D$3=JU!$F356,$D$3=JU!$I356),JU!E356,"")</f>
        <v/>
      </c>
      <c r="F363" s="72">
        <f>IF($D$3=JU!F356,JU!H356,0)</f>
        <v>0</v>
      </c>
      <c r="G363" s="72">
        <f>IF($D$3=JU!I356,JU!K356,0)</f>
        <v>0</v>
      </c>
      <c r="H363" s="72">
        <f t="shared" si="6"/>
        <v>34428000</v>
      </c>
    </row>
    <row r="364" spans="2:8" hidden="1">
      <c r="B364" s="68" t="str">
        <f>IF(OR($D$3=JU!$F357,$D$3=JU!$I357),JU!B357,"")</f>
        <v/>
      </c>
      <c r="C364" s="6" t="str">
        <f>IF(OR($D$3=JU!$F357,$D$3=JU!$I357),JU!C357,"")</f>
        <v/>
      </c>
      <c r="D364" s="73" t="str">
        <f>IF(OR($D$3=JU!$F357,$D$3=JU!$I357),JU!D357,"")</f>
        <v/>
      </c>
      <c r="E364" s="74" t="str">
        <f>IF(OR($D$3=JU!$F357,$D$3=JU!$I357),JU!E357,"")</f>
        <v/>
      </c>
      <c r="F364" s="72">
        <f>IF($D$3=JU!F357,JU!H357,0)</f>
        <v>0</v>
      </c>
      <c r="G364" s="72">
        <f>IF($D$3=JU!I357,JU!K357,0)</f>
        <v>0</v>
      </c>
      <c r="H364" s="72">
        <f t="shared" si="6"/>
        <v>34428000</v>
      </c>
    </row>
    <row r="365" spans="2:8" hidden="1">
      <c r="B365" s="68" t="str">
        <f>IF(OR($D$3=JU!$F358,$D$3=JU!$I358),JU!B358,"")</f>
        <v/>
      </c>
      <c r="C365" s="6" t="str">
        <f>IF(OR($D$3=JU!$F358,$D$3=JU!$I358),JU!C358,"")</f>
        <v/>
      </c>
      <c r="D365" s="73" t="str">
        <f>IF(OR($D$3=JU!$F358,$D$3=JU!$I358),JU!D358,"")</f>
        <v/>
      </c>
      <c r="E365" s="74" t="str">
        <f>IF(OR($D$3=JU!$F358,$D$3=JU!$I358),JU!E358,"")</f>
        <v/>
      </c>
      <c r="F365" s="72">
        <f>IF($D$3=JU!F358,JU!H358,0)</f>
        <v>0</v>
      </c>
      <c r="G365" s="72">
        <f>IF($D$3=JU!I358,JU!K358,0)</f>
        <v>0</v>
      </c>
      <c r="H365" s="72">
        <f t="shared" si="6"/>
        <v>34428000</v>
      </c>
    </row>
    <row r="366" spans="2:8" hidden="1">
      <c r="B366" s="68" t="str">
        <f>IF(OR($D$3=JU!$F359,$D$3=JU!$I359),JU!B359,"")</f>
        <v/>
      </c>
      <c r="C366" s="6" t="str">
        <f>IF(OR($D$3=JU!$F359,$D$3=JU!$I359),JU!C359,"")</f>
        <v/>
      </c>
      <c r="D366" s="73" t="str">
        <f>IF(OR($D$3=JU!$F359,$D$3=JU!$I359),JU!D359,"")</f>
        <v/>
      </c>
      <c r="E366" s="74" t="str">
        <f>IF(OR($D$3=JU!$F359,$D$3=JU!$I359),JU!E359,"")</f>
        <v/>
      </c>
      <c r="F366" s="72">
        <f>IF($D$3=JU!F359,JU!H359,0)</f>
        <v>0</v>
      </c>
      <c r="G366" s="72">
        <f>IF($D$3=JU!I359,JU!K359,0)</f>
        <v>0</v>
      </c>
      <c r="H366" s="72">
        <f t="shared" si="6"/>
        <v>34428000</v>
      </c>
    </row>
    <row r="367" spans="2:8" hidden="1">
      <c r="B367" s="68" t="str">
        <f>IF(OR($D$3=JU!$F360,$D$3=JU!$I360),JU!B360,"")</f>
        <v/>
      </c>
      <c r="C367" s="6" t="str">
        <f>IF(OR($D$3=JU!$F360,$D$3=JU!$I360),JU!C360,"")</f>
        <v/>
      </c>
      <c r="D367" s="73" t="str">
        <f>IF(OR($D$3=JU!$F360,$D$3=JU!$I360),JU!D360,"")</f>
        <v/>
      </c>
      <c r="E367" s="74" t="str">
        <f>IF(OR($D$3=JU!$F360,$D$3=JU!$I360),JU!E360,"")</f>
        <v/>
      </c>
      <c r="F367" s="72">
        <f>IF($D$3=JU!F360,JU!H360,0)</f>
        <v>0</v>
      </c>
      <c r="G367" s="72">
        <f>IF($D$3=JU!I360,JU!K360,0)</f>
        <v>0</v>
      </c>
      <c r="H367" s="72">
        <f t="shared" si="6"/>
        <v>34428000</v>
      </c>
    </row>
    <row r="368" spans="2:8" hidden="1">
      <c r="B368" s="68" t="str">
        <f>IF(OR($D$3=JU!$F361,$D$3=JU!$I361),JU!B361,"")</f>
        <v/>
      </c>
      <c r="C368" s="6" t="str">
        <f>IF(OR($D$3=JU!$F361,$D$3=JU!$I361),JU!C361,"")</f>
        <v/>
      </c>
      <c r="D368" s="73" t="str">
        <f>IF(OR($D$3=JU!$F361,$D$3=JU!$I361),JU!D361,"")</f>
        <v/>
      </c>
      <c r="E368" s="74" t="str">
        <f>IF(OR($D$3=JU!$F361,$D$3=JU!$I361),JU!E361,"")</f>
        <v/>
      </c>
      <c r="F368" s="72">
        <f>IF($D$3=JU!F361,JU!H361,0)</f>
        <v>0</v>
      </c>
      <c r="G368" s="72">
        <f>IF($D$3=JU!I361,JU!K361,0)</f>
        <v>0</v>
      </c>
      <c r="H368" s="72">
        <f t="shared" si="6"/>
        <v>34428000</v>
      </c>
    </row>
    <row r="369" spans="2:8" hidden="1">
      <c r="B369" s="68" t="str">
        <f>IF(OR($D$3=JU!$F362,$D$3=JU!$I362),JU!B362,"")</f>
        <v/>
      </c>
      <c r="C369" s="6" t="str">
        <f>IF(OR($D$3=JU!$F362,$D$3=JU!$I362),JU!C362,"")</f>
        <v/>
      </c>
      <c r="D369" s="73" t="str">
        <f>IF(OR($D$3=JU!$F362,$D$3=JU!$I362),JU!D362,"")</f>
        <v/>
      </c>
      <c r="E369" s="74" t="str">
        <f>IF(OR($D$3=JU!$F362,$D$3=JU!$I362),JU!E362,"")</f>
        <v/>
      </c>
      <c r="F369" s="72">
        <f>IF($D$3=JU!F362,JU!H362,0)</f>
        <v>0</v>
      </c>
      <c r="G369" s="72">
        <f>IF($D$3=JU!I362,JU!K362,0)</f>
        <v>0</v>
      </c>
      <c r="H369" s="72">
        <f t="shared" si="6"/>
        <v>34428000</v>
      </c>
    </row>
    <row r="370" spans="2:8" hidden="1">
      <c r="B370" s="68" t="str">
        <f>IF(OR($D$3=JU!$F363,$D$3=JU!$I363),JU!B363,"")</f>
        <v/>
      </c>
      <c r="C370" s="6" t="str">
        <f>IF(OR($D$3=JU!$F363,$D$3=JU!$I363),JU!C363,"")</f>
        <v/>
      </c>
      <c r="D370" s="73" t="str">
        <f>IF(OR($D$3=JU!$F363,$D$3=JU!$I363),JU!D363,"")</f>
        <v/>
      </c>
      <c r="E370" s="74" t="str">
        <f>IF(OR($D$3=JU!$F363,$D$3=JU!$I363),JU!E363,"")</f>
        <v/>
      </c>
      <c r="F370" s="72">
        <f>IF($D$3=JU!F363,JU!H363,0)</f>
        <v>0</v>
      </c>
      <c r="G370" s="72">
        <f>IF($D$3=JU!I363,JU!K363,0)</f>
        <v>0</v>
      </c>
      <c r="H370" s="72">
        <f t="shared" si="6"/>
        <v>34428000</v>
      </c>
    </row>
    <row r="371" spans="2:8" hidden="1">
      <c r="B371" s="68" t="str">
        <f>IF(OR($D$3=JU!$F364,$D$3=JU!$I364),JU!B364,"")</f>
        <v/>
      </c>
      <c r="C371" s="6" t="str">
        <f>IF(OR($D$3=JU!$F364,$D$3=JU!$I364),JU!C364,"")</f>
        <v/>
      </c>
      <c r="D371" s="73" t="str">
        <f>IF(OR($D$3=JU!$F364,$D$3=JU!$I364),JU!D364,"")</f>
        <v/>
      </c>
      <c r="E371" s="74" t="str">
        <f>IF(OR($D$3=JU!$F364,$D$3=JU!$I364),JU!E364,"")</f>
        <v/>
      </c>
      <c r="F371" s="72">
        <f>IF($D$3=JU!F364,JU!H364,0)</f>
        <v>0</v>
      </c>
      <c r="G371" s="72">
        <f>IF($D$3=JU!I364,JU!K364,0)</f>
        <v>0</v>
      </c>
      <c r="H371" s="72">
        <f t="shared" si="6"/>
        <v>34428000</v>
      </c>
    </row>
    <row r="372" spans="2:8" hidden="1">
      <c r="B372" s="68" t="str">
        <f>IF(OR($D$3=JU!$F365,$D$3=JU!$I365),JU!B365,"")</f>
        <v/>
      </c>
      <c r="C372" s="6" t="str">
        <f>IF(OR($D$3=JU!$F365,$D$3=JU!$I365),JU!C365,"")</f>
        <v/>
      </c>
      <c r="D372" s="73" t="str">
        <f>IF(OR($D$3=JU!$F365,$D$3=JU!$I365),JU!D365,"")</f>
        <v/>
      </c>
      <c r="E372" s="74" t="str">
        <f>IF(OR($D$3=JU!$F365,$D$3=JU!$I365),JU!E365,"")</f>
        <v/>
      </c>
      <c r="F372" s="72">
        <f>IF($D$3=JU!F365,JU!H365,0)</f>
        <v>0</v>
      </c>
      <c r="G372" s="72">
        <f>IF($D$3=JU!I365,JU!K365,0)</f>
        <v>0</v>
      </c>
      <c r="H372" s="72">
        <f t="shared" si="6"/>
        <v>34428000</v>
      </c>
    </row>
    <row r="373" spans="2:8" hidden="1">
      <c r="B373" s="68" t="str">
        <f>IF(OR($D$3=JU!$F366,$D$3=JU!$I366),JU!B366,"")</f>
        <v/>
      </c>
      <c r="C373" s="6" t="str">
        <f>IF(OR($D$3=JU!$F366,$D$3=JU!$I366),JU!C366,"")</f>
        <v/>
      </c>
      <c r="D373" s="73" t="str">
        <f>IF(OR($D$3=JU!$F366,$D$3=JU!$I366),JU!D366,"")</f>
        <v/>
      </c>
      <c r="E373" s="74" t="str">
        <f>IF(OR($D$3=JU!$F366,$D$3=JU!$I366),JU!E366,"")</f>
        <v/>
      </c>
      <c r="F373" s="72">
        <f>IF($D$3=JU!F366,JU!H366,0)</f>
        <v>0</v>
      </c>
      <c r="G373" s="72">
        <f>IF($D$3=JU!I366,JU!K366,0)</f>
        <v>0</v>
      </c>
      <c r="H373" s="72">
        <f t="shared" si="6"/>
        <v>34428000</v>
      </c>
    </row>
    <row r="374" spans="2:8" hidden="1">
      <c r="B374" s="68" t="str">
        <f>IF(OR($D$3=JU!$F367,$D$3=JU!$I367),JU!B367,"")</f>
        <v/>
      </c>
      <c r="C374" s="6" t="str">
        <f>IF(OR($D$3=JU!$F367,$D$3=JU!$I367),JU!C367,"")</f>
        <v/>
      </c>
      <c r="D374" s="73" t="str">
        <f>IF(OR($D$3=JU!$F367,$D$3=JU!$I367),JU!D367,"")</f>
        <v/>
      </c>
      <c r="E374" s="74" t="str">
        <f>IF(OR($D$3=JU!$F367,$D$3=JU!$I367),JU!E367,"")</f>
        <v/>
      </c>
      <c r="F374" s="72">
        <f>IF($D$3=JU!F367,JU!H367,0)</f>
        <v>0</v>
      </c>
      <c r="G374" s="72">
        <f>IF($D$3=JU!I367,JU!K367,0)</f>
        <v>0</v>
      </c>
      <c r="H374" s="72">
        <f t="shared" si="6"/>
        <v>34428000</v>
      </c>
    </row>
    <row r="375" spans="2:8" hidden="1">
      <c r="B375" s="68" t="str">
        <f>IF(OR($D$3=JU!$F368,$D$3=JU!$I368),JU!B368,"")</f>
        <v/>
      </c>
      <c r="C375" s="6" t="str">
        <f>IF(OR($D$3=JU!$F368,$D$3=JU!$I368),JU!C368,"")</f>
        <v/>
      </c>
      <c r="D375" s="73" t="str">
        <f>IF(OR($D$3=JU!$F368,$D$3=JU!$I368),JU!D368,"")</f>
        <v/>
      </c>
      <c r="E375" s="74" t="str">
        <f>IF(OR($D$3=JU!$F368,$D$3=JU!$I368),JU!E368,"")</f>
        <v/>
      </c>
      <c r="F375" s="72">
        <f>IF($D$3=JU!F368,JU!H368,0)</f>
        <v>0</v>
      </c>
      <c r="G375" s="72">
        <f>IF($D$3=JU!I368,JU!K368,0)</f>
        <v>0</v>
      </c>
      <c r="H375" s="72">
        <f t="shared" si="6"/>
        <v>34428000</v>
      </c>
    </row>
    <row r="376" spans="2:8" hidden="1">
      <c r="B376" s="68" t="str">
        <f>IF(OR($D$3=JU!$F369,$D$3=JU!$I369),JU!B369,"")</f>
        <v/>
      </c>
      <c r="C376" s="6" t="str">
        <f>IF(OR($D$3=JU!$F369,$D$3=JU!$I369),JU!C369,"")</f>
        <v/>
      </c>
      <c r="D376" s="73" t="str">
        <f>IF(OR($D$3=JU!$F369,$D$3=JU!$I369),JU!D369,"")</f>
        <v/>
      </c>
      <c r="E376" s="74" t="str">
        <f>IF(OR($D$3=JU!$F369,$D$3=JU!$I369),JU!E369,"")</f>
        <v/>
      </c>
      <c r="F376" s="72">
        <f>IF($D$3=JU!F369,JU!H369,0)</f>
        <v>0</v>
      </c>
      <c r="G376" s="72">
        <f>IF($D$3=JU!I369,JU!K369,0)</f>
        <v>0</v>
      </c>
      <c r="H376" s="72">
        <f t="shared" si="6"/>
        <v>34428000</v>
      </c>
    </row>
    <row r="377" spans="2:8" hidden="1">
      <c r="B377" s="68" t="str">
        <f>IF(OR($D$3=JU!$F370,$D$3=JU!$I370),JU!B370,"")</f>
        <v/>
      </c>
      <c r="C377" s="6" t="str">
        <f>IF(OR($D$3=JU!$F370,$D$3=JU!$I370),JU!C370,"")</f>
        <v/>
      </c>
      <c r="D377" s="73" t="str">
        <f>IF(OR($D$3=JU!$F370,$D$3=JU!$I370),JU!D370,"")</f>
        <v/>
      </c>
      <c r="E377" s="74" t="str">
        <f>IF(OR($D$3=JU!$F370,$D$3=JU!$I370),JU!E370,"")</f>
        <v/>
      </c>
      <c r="F377" s="72">
        <f>IF($D$3=JU!F370,JU!H370,0)</f>
        <v>0</v>
      </c>
      <c r="G377" s="72">
        <f>IF($D$3=JU!I370,JU!K370,0)</f>
        <v>0</v>
      </c>
      <c r="H377" s="72">
        <f t="shared" si="6"/>
        <v>34428000</v>
      </c>
    </row>
    <row r="378" spans="2:8" hidden="1">
      <c r="B378" s="68" t="str">
        <f>IF(OR($D$3=JU!$F371,$D$3=JU!$I371),JU!B371,"")</f>
        <v/>
      </c>
      <c r="C378" s="6" t="str">
        <f>IF(OR($D$3=JU!$F371,$D$3=JU!$I371),JU!C371,"")</f>
        <v/>
      </c>
      <c r="D378" s="73" t="str">
        <f>IF(OR($D$3=JU!$F371,$D$3=JU!$I371),JU!D371,"")</f>
        <v/>
      </c>
      <c r="E378" s="74" t="str">
        <f>IF(OR($D$3=JU!$F371,$D$3=JU!$I371),JU!E371,"")</f>
        <v/>
      </c>
      <c r="F378" s="72">
        <f>IF($D$3=JU!F371,JU!H371,0)</f>
        <v>0</v>
      </c>
      <c r="G378" s="72">
        <f>IF($D$3=JU!I371,JU!K371,0)</f>
        <v>0</v>
      </c>
      <c r="H378" s="72">
        <f t="shared" si="6"/>
        <v>34428000</v>
      </c>
    </row>
    <row r="379" spans="2:8" hidden="1">
      <c r="B379" s="68" t="str">
        <f>IF(OR($D$3=JU!$F372,$D$3=JU!$I372),JU!B372,"")</f>
        <v/>
      </c>
      <c r="C379" s="6" t="str">
        <f>IF(OR($D$3=JU!$F372,$D$3=JU!$I372),JU!C372,"")</f>
        <v/>
      </c>
      <c r="D379" s="73" t="str">
        <f>IF(OR($D$3=JU!$F372,$D$3=JU!$I372),JU!D372,"")</f>
        <v/>
      </c>
      <c r="E379" s="74" t="str">
        <f>IF(OR($D$3=JU!$F372,$D$3=JU!$I372),JU!E372,"")</f>
        <v/>
      </c>
      <c r="F379" s="72">
        <f>IF($D$3=JU!F372,JU!H372,0)</f>
        <v>0</v>
      </c>
      <c r="G379" s="72">
        <f>IF($D$3=JU!I372,JU!K372,0)</f>
        <v>0</v>
      </c>
      <c r="H379" s="72">
        <f t="shared" si="6"/>
        <v>34428000</v>
      </c>
    </row>
    <row r="380" spans="2:8" hidden="1">
      <c r="B380" s="68" t="str">
        <f>IF(OR($D$3=JU!$F373,$D$3=JU!$I373),JU!B373,"")</f>
        <v/>
      </c>
      <c r="C380" s="6" t="str">
        <f>IF(OR($D$3=JU!$F373,$D$3=JU!$I373),JU!C373,"")</f>
        <v/>
      </c>
      <c r="D380" s="73" t="str">
        <f>IF(OR($D$3=JU!$F373,$D$3=JU!$I373),JU!D373,"")</f>
        <v/>
      </c>
      <c r="E380" s="74" t="str">
        <f>IF(OR($D$3=JU!$F373,$D$3=JU!$I373),JU!E373,"")</f>
        <v/>
      </c>
      <c r="F380" s="72">
        <f>IF($D$3=JU!F373,JU!H373,0)</f>
        <v>0</v>
      </c>
      <c r="G380" s="72">
        <f>IF($D$3=JU!I373,JU!K373,0)</f>
        <v>0</v>
      </c>
      <c r="H380" s="72">
        <f t="shared" si="6"/>
        <v>34428000</v>
      </c>
    </row>
    <row r="381" spans="2:8" hidden="1">
      <c r="B381" s="68" t="str">
        <f>IF(OR($D$3=JU!$F374,$D$3=JU!$I374),JU!B374,"")</f>
        <v/>
      </c>
      <c r="C381" s="6" t="str">
        <f>IF(OR($D$3=JU!$F374,$D$3=JU!$I374),JU!C374,"")</f>
        <v/>
      </c>
      <c r="D381" s="73" t="str">
        <f>IF(OR($D$3=JU!$F374,$D$3=JU!$I374),JU!D374,"")</f>
        <v/>
      </c>
      <c r="E381" s="74" t="str">
        <f>IF(OR($D$3=JU!$F374,$D$3=JU!$I374),JU!E374,"")</f>
        <v/>
      </c>
      <c r="F381" s="72">
        <f>IF($D$3=JU!F374,JU!H374,0)</f>
        <v>0</v>
      </c>
      <c r="G381" s="72">
        <f>IF($D$3=JU!I374,JU!K374,0)</f>
        <v>0</v>
      </c>
      <c r="H381" s="72">
        <f t="shared" si="6"/>
        <v>34428000</v>
      </c>
    </row>
    <row r="382" spans="2:8">
      <c r="B382" s="68">
        <f>IF(OR($D$3=JU!$F375,$D$3=JU!$I375),JU!B375,"")</f>
        <v>46075</v>
      </c>
      <c r="C382" s="6" t="str">
        <f>IF(OR($D$3=JU!$F375,$D$3=JU!$I375),JU!C375,"")</f>
        <v>PEMBAYARAN PERCEPATAN PENERBITAN AKTA CERAI ABD RAHMAN (PENGURUSAN TANAH)</v>
      </c>
      <c r="D382" s="73" t="str">
        <f>IF(OR($D$3=JU!$F375,$D$3=JU!$I375),JU!D375,"")</f>
        <v>By. Biaya PEMBAYARAN PERCEPATAN PENERBITAN AKTA CERAI ABD RAHMAN (PENGURUSAN TANAH)</v>
      </c>
      <c r="E382" s="74">
        <f>IF(OR($D$3=JU!$F375,$D$3=JU!$I375),JU!E375,"")</f>
        <v>0</v>
      </c>
      <c r="F382" s="72">
        <f>IF($D$3=JU!F375,JU!H375,0)</f>
        <v>4500000</v>
      </c>
      <c r="G382" s="72">
        <f>IF($D$3=JU!I375,JU!K375,0)</f>
        <v>0</v>
      </c>
      <c r="H382" s="72">
        <f t="shared" si="6"/>
        <v>38928000</v>
      </c>
    </row>
    <row r="383" spans="2:8" hidden="1">
      <c r="B383" s="68" t="str">
        <f>IF(OR($D$3=JU!$F376,$D$3=JU!$I376),JU!B376,"")</f>
        <v/>
      </c>
      <c r="C383" s="6" t="str">
        <f>IF(OR($D$3=JU!$F376,$D$3=JU!$I376),JU!C376,"")</f>
        <v/>
      </c>
      <c r="D383" s="73" t="str">
        <f>IF(OR($D$3=JU!$F376,$D$3=JU!$I376),JU!D376,"")</f>
        <v/>
      </c>
      <c r="E383" s="74" t="str">
        <f>IF(OR($D$3=JU!$F376,$D$3=JU!$I376),JU!E376,"")</f>
        <v/>
      </c>
      <c r="F383" s="72">
        <f>IF($D$3=JU!F376,JU!H376,0)</f>
        <v>0</v>
      </c>
      <c r="G383" s="72">
        <f>IF($D$3=JU!I376,JU!K376,0)</f>
        <v>0</v>
      </c>
      <c r="H383" s="72">
        <f t="shared" si="6"/>
        <v>38928000</v>
      </c>
    </row>
    <row r="384" spans="2:8" hidden="1">
      <c r="B384" s="68" t="str">
        <f>IF(OR($D$3=JU!$F377,$D$3=JU!$I377),JU!B377,"")</f>
        <v/>
      </c>
      <c r="C384" s="6" t="str">
        <f>IF(OR($D$3=JU!$F377,$D$3=JU!$I377),JU!C377,"")</f>
        <v/>
      </c>
      <c r="D384" s="73" t="str">
        <f>IF(OR($D$3=JU!$F377,$D$3=JU!$I377),JU!D377,"")</f>
        <v/>
      </c>
      <c r="E384" s="74" t="str">
        <f>IF(OR($D$3=JU!$F377,$D$3=JU!$I377),JU!E377,"")</f>
        <v/>
      </c>
      <c r="F384" s="72">
        <f>IF($D$3=JU!F377,JU!H377,0)</f>
        <v>0</v>
      </c>
      <c r="G384" s="72">
        <f>IF($D$3=JU!I377,JU!K377,0)</f>
        <v>0</v>
      </c>
      <c r="H384" s="72">
        <f t="shared" si="6"/>
        <v>38928000</v>
      </c>
    </row>
    <row r="385" spans="2:8" hidden="1">
      <c r="B385" s="68" t="str">
        <f>IF(OR($D$3=JU!$F378,$D$3=JU!$I378),JU!B378,"")</f>
        <v/>
      </c>
      <c r="C385" s="6" t="str">
        <f>IF(OR($D$3=JU!$F378,$D$3=JU!$I378),JU!C378,"")</f>
        <v/>
      </c>
      <c r="D385" s="73" t="str">
        <f>IF(OR($D$3=JU!$F378,$D$3=JU!$I378),JU!D378,"")</f>
        <v/>
      </c>
      <c r="E385" s="74" t="str">
        <f>IF(OR($D$3=JU!$F378,$D$3=JU!$I378),JU!E378,"")</f>
        <v/>
      </c>
      <c r="F385" s="72">
        <f>IF($D$3=JU!F378,JU!H378,0)</f>
        <v>0</v>
      </c>
      <c r="G385" s="72">
        <f>IF($D$3=JU!I378,JU!K378,0)</f>
        <v>0</v>
      </c>
      <c r="H385" s="72">
        <f t="shared" si="6"/>
        <v>38928000</v>
      </c>
    </row>
    <row r="386" spans="2:8" hidden="1">
      <c r="B386" s="68" t="str">
        <f>IF(OR($D$3=JU!$F379,$D$3=JU!$I379),JU!B379,"")</f>
        <v/>
      </c>
      <c r="C386" s="6" t="str">
        <f>IF(OR($D$3=JU!$F379,$D$3=JU!$I379),JU!C379,"")</f>
        <v/>
      </c>
      <c r="D386" s="73" t="str">
        <f>IF(OR($D$3=JU!$F379,$D$3=JU!$I379),JU!D379,"")</f>
        <v/>
      </c>
      <c r="E386" s="74" t="str">
        <f>IF(OR($D$3=JU!$F379,$D$3=JU!$I379),JU!E379,"")</f>
        <v/>
      </c>
      <c r="F386" s="72">
        <f>IF($D$3=JU!F379,JU!H379,0)</f>
        <v>0</v>
      </c>
      <c r="G386" s="72">
        <f>IF($D$3=JU!I379,JU!K379,0)</f>
        <v>0</v>
      </c>
      <c r="H386" s="72">
        <f t="shared" si="6"/>
        <v>38928000</v>
      </c>
    </row>
    <row r="387" spans="2:8" hidden="1">
      <c r="B387" s="68" t="str">
        <f>IF(OR($D$3=JU!$F380,$D$3=JU!$I380),JU!B380,"")</f>
        <v/>
      </c>
      <c r="C387" s="6" t="str">
        <f>IF(OR($D$3=JU!$F380,$D$3=JU!$I380),JU!C380,"")</f>
        <v/>
      </c>
      <c r="D387" s="73" t="str">
        <f>IF(OR($D$3=JU!$F380,$D$3=JU!$I380),JU!D380,"")</f>
        <v/>
      </c>
      <c r="E387" s="74" t="str">
        <f>IF(OR($D$3=JU!$F380,$D$3=JU!$I380),JU!E380,"")</f>
        <v/>
      </c>
      <c r="F387" s="72">
        <f>IF($D$3=JU!F380,JU!H380,0)</f>
        <v>0</v>
      </c>
      <c r="G387" s="72">
        <f>IF($D$3=JU!I380,JU!K380,0)</f>
        <v>0</v>
      </c>
      <c r="H387" s="72">
        <f t="shared" si="6"/>
        <v>38928000</v>
      </c>
    </row>
    <row r="388" spans="2:8" hidden="1">
      <c r="B388" s="68" t="str">
        <f>IF(OR($D$3=JU!$F381,$D$3=JU!$I381),JU!B381,"")</f>
        <v/>
      </c>
      <c r="C388" s="6" t="str">
        <f>IF(OR($D$3=JU!$F381,$D$3=JU!$I381),JU!C381,"")</f>
        <v/>
      </c>
      <c r="D388" s="73" t="str">
        <f>IF(OR($D$3=JU!$F381,$D$3=JU!$I381),JU!D381,"")</f>
        <v/>
      </c>
      <c r="E388" s="74" t="str">
        <f>IF(OR($D$3=JU!$F381,$D$3=JU!$I381),JU!E381,"")</f>
        <v/>
      </c>
      <c r="F388" s="72">
        <f>IF($D$3=JU!F381,JU!H381,0)</f>
        <v>0</v>
      </c>
      <c r="G388" s="72">
        <f>IF($D$3=JU!I381,JU!K381,0)</f>
        <v>0</v>
      </c>
      <c r="H388" s="72">
        <f t="shared" si="6"/>
        <v>38928000</v>
      </c>
    </row>
    <row r="389" spans="2:8" hidden="1">
      <c r="B389" s="68" t="str">
        <f>IF(OR($D$3=JU!$F382,$D$3=JU!$I382),JU!B382,"")</f>
        <v/>
      </c>
      <c r="C389" s="6" t="str">
        <f>IF(OR($D$3=JU!$F382,$D$3=JU!$I382),JU!C382,"")</f>
        <v/>
      </c>
      <c r="D389" s="73" t="str">
        <f>IF(OR($D$3=JU!$F382,$D$3=JU!$I382),JU!D382,"")</f>
        <v/>
      </c>
      <c r="E389" s="74" t="str">
        <f>IF(OR($D$3=JU!$F382,$D$3=JU!$I382),JU!E382,"")</f>
        <v/>
      </c>
      <c r="F389" s="72">
        <f>IF($D$3=JU!F382,JU!H382,0)</f>
        <v>0</v>
      </c>
      <c r="G389" s="72">
        <f>IF($D$3=JU!I382,JU!K382,0)</f>
        <v>0</v>
      </c>
      <c r="H389" s="72">
        <f t="shared" si="6"/>
        <v>38928000</v>
      </c>
    </row>
    <row r="390" spans="2:8" hidden="1">
      <c r="B390" s="68" t="str">
        <f>IF(OR($D$3=JU!$F383,$D$3=JU!$I383),JU!B383,"")</f>
        <v/>
      </c>
      <c r="C390" s="6" t="str">
        <f>IF(OR($D$3=JU!$F383,$D$3=JU!$I383),JU!C383,"")</f>
        <v/>
      </c>
      <c r="D390" s="73" t="str">
        <f>IF(OR($D$3=JU!$F383,$D$3=JU!$I383),JU!D383,"")</f>
        <v/>
      </c>
      <c r="E390" s="74" t="str">
        <f>IF(OR($D$3=JU!$F383,$D$3=JU!$I383),JU!E383,"")</f>
        <v/>
      </c>
      <c r="F390" s="72">
        <f>IF($D$3=JU!F383,JU!H383,0)</f>
        <v>0</v>
      </c>
      <c r="G390" s="72">
        <f>IF($D$3=JU!I383,JU!K383,0)</f>
        <v>0</v>
      </c>
      <c r="H390" s="72">
        <f t="shared" si="6"/>
        <v>38928000</v>
      </c>
    </row>
    <row r="391" spans="2:8" hidden="1">
      <c r="B391" s="68" t="str">
        <f>IF(OR($D$3=JU!$F384,$D$3=JU!$I384),JU!B384,"")</f>
        <v/>
      </c>
      <c r="C391" s="6" t="str">
        <f>IF(OR($D$3=JU!$F384,$D$3=JU!$I384),JU!C384,"")</f>
        <v/>
      </c>
      <c r="D391" s="73" t="str">
        <f>IF(OR($D$3=JU!$F384,$D$3=JU!$I384),JU!D384,"")</f>
        <v/>
      </c>
      <c r="E391" s="74" t="str">
        <f>IF(OR($D$3=JU!$F384,$D$3=JU!$I384),JU!E384,"")</f>
        <v/>
      </c>
      <c r="F391" s="72">
        <f>IF($D$3=JU!F384,JU!H384,0)</f>
        <v>0</v>
      </c>
      <c r="G391" s="72">
        <f>IF($D$3=JU!I384,JU!K384,0)</f>
        <v>0</v>
      </c>
      <c r="H391" s="72">
        <f t="shared" si="6"/>
        <v>38928000</v>
      </c>
    </row>
    <row r="392" spans="2:8" hidden="1">
      <c r="B392" s="68" t="str">
        <f>IF(OR($D$3=JU!$F385,$D$3=JU!$I385),JU!B385,"")</f>
        <v/>
      </c>
      <c r="C392" s="6" t="str">
        <f>IF(OR($D$3=JU!$F385,$D$3=JU!$I385),JU!C385,"")</f>
        <v/>
      </c>
      <c r="D392" s="73" t="str">
        <f>IF(OR($D$3=JU!$F385,$D$3=JU!$I385),JU!D385,"")</f>
        <v/>
      </c>
      <c r="E392" s="74" t="str">
        <f>IF(OR($D$3=JU!$F385,$D$3=JU!$I385),JU!E385,"")</f>
        <v/>
      </c>
      <c r="F392" s="72">
        <f>IF($D$3=JU!F385,JU!H385,0)</f>
        <v>0</v>
      </c>
      <c r="G392" s="72">
        <f>IF($D$3=JU!I385,JU!K385,0)</f>
        <v>0</v>
      </c>
      <c r="H392" s="72">
        <f t="shared" si="6"/>
        <v>38928000</v>
      </c>
    </row>
    <row r="393" spans="2:8" hidden="1">
      <c r="B393" s="68" t="str">
        <f>IF(OR($D$3=JU!$F386,$D$3=JU!$I386),JU!B386,"")</f>
        <v/>
      </c>
      <c r="C393" s="6" t="str">
        <f>IF(OR($D$3=JU!$F386,$D$3=JU!$I386),JU!C386,"")</f>
        <v/>
      </c>
      <c r="D393" s="73" t="str">
        <f>IF(OR($D$3=JU!$F386,$D$3=JU!$I386),JU!D386,"")</f>
        <v/>
      </c>
      <c r="E393" s="74" t="str">
        <f>IF(OR($D$3=JU!$F386,$D$3=JU!$I386),JU!E386,"")</f>
        <v/>
      </c>
      <c r="F393" s="72">
        <f>IF($D$3=JU!F386,JU!H386,0)</f>
        <v>0</v>
      </c>
      <c r="G393" s="72">
        <f>IF($D$3=JU!I386,JU!K386,0)</f>
        <v>0</v>
      </c>
      <c r="H393" s="72">
        <f t="shared" si="6"/>
        <v>38928000</v>
      </c>
    </row>
    <row r="394" spans="2:8" hidden="1">
      <c r="B394" s="68" t="str">
        <f>IF(OR($D$3=JU!$F387,$D$3=JU!$I387),JU!B387,"")</f>
        <v/>
      </c>
      <c r="C394" s="6" t="str">
        <f>IF(OR($D$3=JU!$F387,$D$3=JU!$I387),JU!C387,"")</f>
        <v/>
      </c>
      <c r="D394" s="73" t="str">
        <f>IF(OR($D$3=JU!$F387,$D$3=JU!$I387),JU!D387,"")</f>
        <v/>
      </c>
      <c r="E394" s="74" t="str">
        <f>IF(OR($D$3=JU!$F387,$D$3=JU!$I387),JU!E387,"")</f>
        <v/>
      </c>
      <c r="F394" s="72">
        <f>IF($D$3=JU!F387,JU!H387,0)</f>
        <v>0</v>
      </c>
      <c r="G394" s="72">
        <f>IF($D$3=JU!I387,JU!K387,0)</f>
        <v>0</v>
      </c>
      <c r="H394" s="72">
        <f t="shared" si="6"/>
        <v>38928000</v>
      </c>
    </row>
    <row r="395" spans="2:8" hidden="1">
      <c r="B395" s="68" t="str">
        <f>IF(OR($D$3=JU!$F388,$D$3=JU!$I388),JU!B388,"")</f>
        <v/>
      </c>
      <c r="C395" s="6" t="str">
        <f>IF(OR($D$3=JU!$F388,$D$3=JU!$I388),JU!C388,"")</f>
        <v/>
      </c>
      <c r="D395" s="73" t="str">
        <f>IF(OR($D$3=JU!$F388,$D$3=JU!$I388),JU!D388,"")</f>
        <v/>
      </c>
      <c r="E395" s="74" t="str">
        <f>IF(OR($D$3=JU!$F388,$D$3=JU!$I388),JU!E388,"")</f>
        <v/>
      </c>
      <c r="F395" s="72">
        <f>IF($D$3=JU!F388,JU!H388,0)</f>
        <v>0</v>
      </c>
      <c r="G395" s="72">
        <f>IF($D$3=JU!I388,JU!K388,0)</f>
        <v>0</v>
      </c>
      <c r="H395" s="72">
        <f t="shared" si="6"/>
        <v>38928000</v>
      </c>
    </row>
    <row r="396" spans="2:8" hidden="1">
      <c r="B396" s="68" t="str">
        <f>IF(OR($D$3=JU!$F389,$D$3=JU!$I389),JU!B389,"")</f>
        <v/>
      </c>
      <c r="C396" s="6" t="str">
        <f>IF(OR($D$3=JU!$F389,$D$3=JU!$I389),JU!C389,"")</f>
        <v/>
      </c>
      <c r="D396" s="73" t="str">
        <f>IF(OR($D$3=JU!$F389,$D$3=JU!$I389),JU!D389,"")</f>
        <v/>
      </c>
      <c r="E396" s="74" t="str">
        <f>IF(OR($D$3=JU!$F389,$D$3=JU!$I389),JU!E389,"")</f>
        <v/>
      </c>
      <c r="F396" s="72">
        <f>IF($D$3=JU!F389,JU!H389,0)</f>
        <v>0</v>
      </c>
      <c r="G396" s="72">
        <f>IF($D$3=JU!I389,JU!K389,0)</f>
        <v>0</v>
      </c>
      <c r="H396" s="72">
        <f t="shared" si="6"/>
        <v>38928000</v>
      </c>
    </row>
    <row r="397" spans="2:8" hidden="1">
      <c r="B397" s="68" t="str">
        <f>IF(OR($D$3=JU!$F390,$D$3=JU!$I390),JU!B390,"")</f>
        <v/>
      </c>
      <c r="C397" s="6" t="str">
        <f>IF(OR($D$3=JU!$F390,$D$3=JU!$I390),JU!C390,"")</f>
        <v/>
      </c>
      <c r="D397" s="73" t="str">
        <f>IF(OR($D$3=JU!$F390,$D$3=JU!$I390),JU!D390,"")</f>
        <v/>
      </c>
      <c r="E397" s="74" t="str">
        <f>IF(OR($D$3=JU!$F390,$D$3=JU!$I390),JU!E390,"")</f>
        <v/>
      </c>
      <c r="F397" s="72">
        <f>IF($D$3=JU!F390,JU!H390,0)</f>
        <v>0</v>
      </c>
      <c r="G397" s="72">
        <f>IF($D$3=JU!I390,JU!K390,0)</f>
        <v>0</v>
      </c>
      <c r="H397" s="72">
        <f t="shared" si="6"/>
        <v>38928000</v>
      </c>
    </row>
    <row r="398" spans="2:8" hidden="1">
      <c r="B398" s="68" t="str">
        <f>IF(OR($D$3=JU!$F391,$D$3=JU!$I391),JU!B391,"")</f>
        <v/>
      </c>
      <c r="C398" s="6" t="str">
        <f>IF(OR($D$3=JU!$F391,$D$3=JU!$I391),JU!C391,"")</f>
        <v/>
      </c>
      <c r="D398" s="73" t="str">
        <f>IF(OR($D$3=JU!$F391,$D$3=JU!$I391),JU!D391,"")</f>
        <v/>
      </c>
      <c r="E398" s="74" t="str">
        <f>IF(OR($D$3=JU!$F391,$D$3=JU!$I391),JU!E391,"")</f>
        <v/>
      </c>
      <c r="F398" s="72">
        <f>IF($D$3=JU!F391,JU!H391,0)</f>
        <v>0</v>
      </c>
      <c r="G398" s="72">
        <f>IF($D$3=JU!I391,JU!K391,0)</f>
        <v>0</v>
      </c>
      <c r="H398" s="72">
        <f t="shared" ref="H398:H461" si="7">IF($H$7="DEBET",H397+F398-G398,H397+G398-F398)</f>
        <v>38928000</v>
      </c>
    </row>
    <row r="399" spans="2:8" hidden="1">
      <c r="B399" s="68" t="str">
        <f>IF(OR($D$3=JU!$F392,$D$3=JU!$I392),JU!B392,"")</f>
        <v/>
      </c>
      <c r="C399" s="6" t="str">
        <f>IF(OR($D$3=JU!$F392,$D$3=JU!$I392),JU!C392,"")</f>
        <v/>
      </c>
      <c r="D399" s="73" t="str">
        <f>IF(OR($D$3=JU!$F392,$D$3=JU!$I392),JU!D392,"")</f>
        <v/>
      </c>
      <c r="E399" s="74" t="str">
        <f>IF(OR($D$3=JU!$F392,$D$3=JU!$I392),JU!E392,"")</f>
        <v/>
      </c>
      <c r="F399" s="72">
        <f>IF($D$3=JU!F392,JU!H392,0)</f>
        <v>0</v>
      </c>
      <c r="G399" s="72">
        <f>IF($D$3=JU!I392,JU!K392,0)</f>
        <v>0</v>
      </c>
      <c r="H399" s="72">
        <f t="shared" si="7"/>
        <v>38928000</v>
      </c>
    </row>
    <row r="400" spans="2:8" hidden="1">
      <c r="B400" s="68" t="str">
        <f>IF(OR($D$3=JU!$F393,$D$3=JU!$I393),JU!B393,"")</f>
        <v/>
      </c>
      <c r="C400" s="6" t="str">
        <f>IF(OR($D$3=JU!$F393,$D$3=JU!$I393),JU!C393,"")</f>
        <v/>
      </c>
      <c r="D400" s="73" t="str">
        <f>IF(OR($D$3=JU!$F393,$D$3=JU!$I393),JU!D393,"")</f>
        <v/>
      </c>
      <c r="E400" s="74" t="str">
        <f>IF(OR($D$3=JU!$F393,$D$3=JU!$I393),JU!E393,"")</f>
        <v/>
      </c>
      <c r="F400" s="72">
        <f>IF($D$3=JU!F393,JU!H393,0)</f>
        <v>0</v>
      </c>
      <c r="G400" s="72">
        <f>IF($D$3=JU!I393,JU!K393,0)</f>
        <v>0</v>
      </c>
      <c r="H400" s="72">
        <f t="shared" si="7"/>
        <v>38928000</v>
      </c>
    </row>
    <row r="401" spans="2:8" hidden="1">
      <c r="B401" s="68" t="str">
        <f>IF(OR($D$3=JU!$F394,$D$3=JU!$I394),JU!B394,"")</f>
        <v/>
      </c>
      <c r="C401" s="6" t="str">
        <f>IF(OR($D$3=JU!$F394,$D$3=JU!$I394),JU!C394,"")</f>
        <v/>
      </c>
      <c r="D401" s="73" t="str">
        <f>IF(OR($D$3=JU!$F394,$D$3=JU!$I394),JU!D394,"")</f>
        <v/>
      </c>
      <c r="E401" s="74" t="str">
        <f>IF(OR($D$3=JU!$F394,$D$3=JU!$I394),JU!E394,"")</f>
        <v/>
      </c>
      <c r="F401" s="72">
        <f>IF($D$3=JU!F394,JU!H394,0)</f>
        <v>0</v>
      </c>
      <c r="G401" s="72">
        <f>IF($D$3=JU!I394,JU!K394,0)</f>
        <v>0</v>
      </c>
      <c r="H401" s="72">
        <f t="shared" si="7"/>
        <v>38928000</v>
      </c>
    </row>
    <row r="402" spans="2:8" hidden="1">
      <c r="B402" s="68" t="str">
        <f>IF(OR($D$3=JU!$F395,$D$3=JU!$I395),JU!B395,"")</f>
        <v/>
      </c>
      <c r="C402" s="6" t="str">
        <f>IF(OR($D$3=JU!$F395,$D$3=JU!$I395),JU!C395,"")</f>
        <v/>
      </c>
      <c r="D402" s="73" t="str">
        <f>IF(OR($D$3=JU!$F395,$D$3=JU!$I395),JU!D395,"")</f>
        <v/>
      </c>
      <c r="E402" s="74" t="str">
        <f>IF(OR($D$3=JU!$F395,$D$3=JU!$I395),JU!E395,"")</f>
        <v/>
      </c>
      <c r="F402" s="72">
        <f>IF($D$3=JU!F395,JU!H395,0)</f>
        <v>0</v>
      </c>
      <c r="G402" s="72">
        <f>IF($D$3=JU!I395,JU!K395,0)</f>
        <v>0</v>
      </c>
      <c r="H402" s="72">
        <f t="shared" si="7"/>
        <v>38928000</v>
      </c>
    </row>
    <row r="403" spans="2:8" hidden="1">
      <c r="B403" s="68" t="str">
        <f>IF(OR($D$3=JU!$F396,$D$3=JU!$I396),JU!B396,"")</f>
        <v/>
      </c>
      <c r="C403" s="6" t="str">
        <f>IF(OR($D$3=JU!$F396,$D$3=JU!$I396),JU!C396,"")</f>
        <v/>
      </c>
      <c r="D403" s="73" t="str">
        <f>IF(OR($D$3=JU!$F396,$D$3=JU!$I396),JU!D396,"")</f>
        <v/>
      </c>
      <c r="E403" s="74" t="str">
        <f>IF(OR($D$3=JU!$F396,$D$3=JU!$I396),JU!E396,"")</f>
        <v/>
      </c>
      <c r="F403" s="72">
        <f>IF($D$3=JU!F396,JU!H396,0)</f>
        <v>0</v>
      </c>
      <c r="G403" s="72">
        <f>IF($D$3=JU!I396,JU!K396,0)</f>
        <v>0</v>
      </c>
      <c r="H403" s="72">
        <f t="shared" si="7"/>
        <v>38928000</v>
      </c>
    </row>
    <row r="404" spans="2:8">
      <c r="B404" s="68">
        <f>IF(OR($D$3=JU!$F397,$D$3=JU!$I397),JU!B397,"")</f>
        <v>46077</v>
      </c>
      <c r="C404" s="6" t="str">
        <f>IF(OR($D$3=JU!$F397,$D$3=JU!$I397),JU!C397,"")</f>
        <v>PEMBELIAN MATERAI AKAD D1 INRIYANI TAHAP 3</v>
      </c>
      <c r="D404" s="73" t="str">
        <f>IF(OR($D$3=JU!$F397,$D$3=JU!$I397),JU!D397,"")</f>
        <v>By. Biaya PEMBELIAN MATERAI AKAD D1 INRIYANI TAHAP 3</v>
      </c>
      <c r="E404" s="74">
        <f>IF(OR($D$3=JU!$F397,$D$3=JU!$I397),JU!E397,"")</f>
        <v>0</v>
      </c>
      <c r="F404" s="72">
        <f>IF($D$3=JU!F397,JU!H397,0)</f>
        <v>500000</v>
      </c>
      <c r="G404" s="72">
        <f>IF($D$3=JU!I397,JU!K397,0)</f>
        <v>0</v>
      </c>
      <c r="H404" s="72">
        <f t="shared" si="7"/>
        <v>39428000</v>
      </c>
    </row>
    <row r="405" spans="2:8" hidden="1">
      <c r="B405" s="68" t="str">
        <f>IF(OR($D$3=JU!$F398,$D$3=JU!$I398),JU!B398,"")</f>
        <v/>
      </c>
      <c r="C405" s="6" t="str">
        <f>IF(OR($D$3=JU!$F398,$D$3=JU!$I398),JU!C398,"")</f>
        <v/>
      </c>
      <c r="D405" s="73" t="str">
        <f>IF(OR($D$3=JU!$F398,$D$3=JU!$I398),JU!D398,"")</f>
        <v/>
      </c>
      <c r="E405" s="74" t="str">
        <f>IF(OR($D$3=JU!$F398,$D$3=JU!$I398),JU!E398,"")</f>
        <v/>
      </c>
      <c r="F405" s="72">
        <f>IF($D$3=JU!F398,JU!H398,0)</f>
        <v>0</v>
      </c>
      <c r="G405" s="72">
        <f>IF($D$3=JU!I398,JU!K398,0)</f>
        <v>0</v>
      </c>
      <c r="H405" s="72">
        <f t="shared" si="7"/>
        <v>39428000</v>
      </c>
    </row>
    <row r="406" spans="2:8" hidden="1">
      <c r="B406" s="68" t="str">
        <f>IF(OR($D$3=JU!$F399,$D$3=JU!$I399),JU!B399,"")</f>
        <v/>
      </c>
      <c r="C406" s="6" t="str">
        <f>IF(OR($D$3=JU!$F399,$D$3=JU!$I399),JU!C399,"")</f>
        <v/>
      </c>
      <c r="D406" s="73" t="str">
        <f>IF(OR($D$3=JU!$F399,$D$3=JU!$I399),JU!D399,"")</f>
        <v/>
      </c>
      <c r="E406" s="74" t="str">
        <f>IF(OR($D$3=JU!$F399,$D$3=JU!$I399),JU!E399,"")</f>
        <v/>
      </c>
      <c r="F406" s="72">
        <f>IF($D$3=JU!F399,JU!H399,0)</f>
        <v>0</v>
      </c>
      <c r="G406" s="72">
        <f>IF($D$3=JU!I399,JU!K399,0)</f>
        <v>0</v>
      </c>
      <c r="H406" s="72">
        <f t="shared" si="7"/>
        <v>39428000</v>
      </c>
    </row>
    <row r="407" spans="2:8" hidden="1">
      <c r="B407" s="68" t="str">
        <f>IF(OR($D$3=JU!$F400,$D$3=JU!$I400),JU!B400,"")</f>
        <v/>
      </c>
      <c r="C407" s="6" t="str">
        <f>IF(OR($D$3=JU!$F400,$D$3=JU!$I400),JU!C400,"")</f>
        <v/>
      </c>
      <c r="D407" s="73" t="str">
        <f>IF(OR($D$3=JU!$F400,$D$3=JU!$I400),JU!D400,"")</f>
        <v/>
      </c>
      <c r="E407" s="74" t="str">
        <f>IF(OR($D$3=JU!$F400,$D$3=JU!$I400),JU!E400,"")</f>
        <v/>
      </c>
      <c r="F407" s="72">
        <f>IF($D$3=JU!F400,JU!H400,0)</f>
        <v>0</v>
      </c>
      <c r="G407" s="72">
        <f>IF($D$3=JU!I400,JU!K400,0)</f>
        <v>0</v>
      </c>
      <c r="H407" s="72">
        <f t="shared" si="7"/>
        <v>39428000</v>
      </c>
    </row>
    <row r="408" spans="2:8" hidden="1">
      <c r="B408" s="68" t="str">
        <f>IF(OR($D$3=JU!$F401,$D$3=JU!$I401),JU!B401,"")</f>
        <v/>
      </c>
      <c r="C408" s="6" t="str">
        <f>IF(OR($D$3=JU!$F401,$D$3=JU!$I401),JU!C401,"")</f>
        <v/>
      </c>
      <c r="D408" s="73" t="str">
        <f>IF(OR($D$3=JU!$F401,$D$3=JU!$I401),JU!D401,"")</f>
        <v/>
      </c>
      <c r="E408" s="74" t="str">
        <f>IF(OR($D$3=JU!$F401,$D$3=JU!$I401),JU!E401,"")</f>
        <v/>
      </c>
      <c r="F408" s="72">
        <f>IF($D$3=JU!F401,JU!H401,0)</f>
        <v>0</v>
      </c>
      <c r="G408" s="72">
        <f>IF($D$3=JU!I401,JU!K401,0)</f>
        <v>0</v>
      </c>
      <c r="H408" s="72">
        <f t="shared" si="7"/>
        <v>39428000</v>
      </c>
    </row>
    <row r="409" spans="2:8" hidden="1">
      <c r="B409" s="68" t="str">
        <f>IF(OR($D$3=JU!$F402,$D$3=JU!$I402),JU!B402,"")</f>
        <v/>
      </c>
      <c r="C409" s="6" t="str">
        <f>IF(OR($D$3=JU!$F402,$D$3=JU!$I402),JU!C402,"")</f>
        <v/>
      </c>
      <c r="D409" s="73" t="str">
        <f>IF(OR($D$3=JU!$F402,$D$3=JU!$I402),JU!D402,"")</f>
        <v/>
      </c>
      <c r="E409" s="74" t="str">
        <f>IF(OR($D$3=JU!$F402,$D$3=JU!$I402),JU!E402,"")</f>
        <v/>
      </c>
      <c r="F409" s="72">
        <f>IF($D$3=JU!F402,JU!H402,0)</f>
        <v>0</v>
      </c>
      <c r="G409" s="72">
        <f>IF($D$3=JU!I402,JU!K402,0)</f>
        <v>0</v>
      </c>
      <c r="H409" s="72">
        <f t="shared" si="7"/>
        <v>39428000</v>
      </c>
    </row>
    <row r="410" spans="2:8" hidden="1">
      <c r="B410" s="68" t="str">
        <f>IF(OR($D$3=JU!$F403,$D$3=JU!$I403),JU!B403,"")</f>
        <v/>
      </c>
      <c r="C410" s="6" t="str">
        <f>IF(OR($D$3=JU!$F403,$D$3=JU!$I403),JU!C403,"")</f>
        <v/>
      </c>
      <c r="D410" s="73" t="str">
        <f>IF(OR($D$3=JU!$F403,$D$3=JU!$I403),JU!D403,"")</f>
        <v/>
      </c>
      <c r="E410" s="74" t="str">
        <f>IF(OR($D$3=JU!$F403,$D$3=JU!$I403),JU!E403,"")</f>
        <v/>
      </c>
      <c r="F410" s="72">
        <f>IF($D$3=JU!F403,JU!H403,0)</f>
        <v>0</v>
      </c>
      <c r="G410" s="72">
        <f>IF($D$3=JU!I403,JU!K403,0)</f>
        <v>0</v>
      </c>
      <c r="H410" s="72">
        <f t="shared" si="7"/>
        <v>39428000</v>
      </c>
    </row>
    <row r="411" spans="2:8" hidden="1">
      <c r="B411" s="68" t="str">
        <f>IF(OR($D$3=JU!$F404,$D$3=JU!$I404),JU!B404,"")</f>
        <v/>
      </c>
      <c r="C411" s="6" t="str">
        <f>IF(OR($D$3=JU!$F404,$D$3=JU!$I404),JU!C404,"")</f>
        <v/>
      </c>
      <c r="D411" s="73" t="str">
        <f>IF(OR($D$3=JU!$F404,$D$3=JU!$I404),JU!D404,"")</f>
        <v/>
      </c>
      <c r="E411" s="74" t="str">
        <f>IF(OR($D$3=JU!$F404,$D$3=JU!$I404),JU!E404,"")</f>
        <v/>
      </c>
      <c r="F411" s="72">
        <f>IF($D$3=JU!F404,JU!H404,0)</f>
        <v>0</v>
      </c>
      <c r="G411" s="72">
        <f>IF($D$3=JU!I404,JU!K404,0)</f>
        <v>0</v>
      </c>
      <c r="H411" s="72">
        <f t="shared" si="7"/>
        <v>39428000</v>
      </c>
    </row>
    <row r="412" spans="2:8" hidden="1">
      <c r="B412" s="68" t="str">
        <f>IF(OR($D$3=JU!$F405,$D$3=JU!$I405),JU!B405,"")</f>
        <v/>
      </c>
      <c r="C412" s="6" t="str">
        <f>IF(OR($D$3=JU!$F405,$D$3=JU!$I405),JU!C405,"")</f>
        <v/>
      </c>
      <c r="D412" s="73" t="str">
        <f>IF(OR($D$3=JU!$F405,$D$3=JU!$I405),JU!D405,"")</f>
        <v/>
      </c>
      <c r="E412" s="74" t="str">
        <f>IF(OR($D$3=JU!$F405,$D$3=JU!$I405),JU!E405,"")</f>
        <v/>
      </c>
      <c r="F412" s="72">
        <f>IF($D$3=JU!F405,JU!H405,0)</f>
        <v>0</v>
      </c>
      <c r="G412" s="72">
        <f>IF($D$3=JU!I405,JU!K405,0)</f>
        <v>0</v>
      </c>
      <c r="H412" s="72">
        <f t="shared" si="7"/>
        <v>39428000</v>
      </c>
    </row>
    <row r="413" spans="2:8" hidden="1">
      <c r="B413" s="68" t="str">
        <f>IF(OR($D$3=JU!$F406,$D$3=JU!$I406),JU!B406,"")</f>
        <v/>
      </c>
      <c r="C413" s="6" t="str">
        <f>IF(OR($D$3=JU!$F406,$D$3=JU!$I406),JU!C406,"")</f>
        <v/>
      </c>
      <c r="D413" s="73" t="str">
        <f>IF(OR($D$3=JU!$F406,$D$3=JU!$I406),JU!D406,"")</f>
        <v/>
      </c>
      <c r="E413" s="74" t="str">
        <f>IF(OR($D$3=JU!$F406,$D$3=JU!$I406),JU!E406,"")</f>
        <v/>
      </c>
      <c r="F413" s="72">
        <f>IF($D$3=JU!F406,JU!H406,0)</f>
        <v>0</v>
      </c>
      <c r="G413" s="72">
        <f>IF($D$3=JU!I406,JU!K406,0)</f>
        <v>0</v>
      </c>
      <c r="H413" s="72">
        <f t="shared" si="7"/>
        <v>39428000</v>
      </c>
    </row>
    <row r="414" spans="2:8" hidden="1">
      <c r="B414" s="68" t="str">
        <f>IF(OR($D$3=JU!$F407,$D$3=JU!$I407),JU!B407,"")</f>
        <v/>
      </c>
      <c r="C414" s="6" t="str">
        <f>IF(OR($D$3=JU!$F407,$D$3=JU!$I407),JU!C407,"")</f>
        <v/>
      </c>
      <c r="D414" s="73" t="str">
        <f>IF(OR($D$3=JU!$F407,$D$3=JU!$I407),JU!D407,"")</f>
        <v/>
      </c>
      <c r="E414" s="74" t="str">
        <f>IF(OR($D$3=JU!$F407,$D$3=JU!$I407),JU!E407,"")</f>
        <v/>
      </c>
      <c r="F414" s="72">
        <f>IF($D$3=JU!F407,JU!H407,0)</f>
        <v>0</v>
      </c>
      <c r="G414" s="72">
        <f>IF($D$3=JU!I407,JU!K407,0)</f>
        <v>0</v>
      </c>
      <c r="H414" s="72">
        <f t="shared" si="7"/>
        <v>39428000</v>
      </c>
    </row>
    <row r="415" spans="2:8" hidden="1">
      <c r="B415" s="68" t="str">
        <f>IF(OR($D$3=JU!$F408,$D$3=JU!$I408),JU!B408,"")</f>
        <v/>
      </c>
      <c r="C415" s="6" t="str">
        <f>IF(OR($D$3=JU!$F408,$D$3=JU!$I408),JU!C408,"")</f>
        <v/>
      </c>
      <c r="D415" s="73" t="str">
        <f>IF(OR($D$3=JU!$F408,$D$3=JU!$I408),JU!D408,"")</f>
        <v/>
      </c>
      <c r="E415" s="74" t="str">
        <f>IF(OR($D$3=JU!$F408,$D$3=JU!$I408),JU!E408,"")</f>
        <v/>
      </c>
      <c r="F415" s="72">
        <f>IF($D$3=JU!F408,JU!H408,0)</f>
        <v>0</v>
      </c>
      <c r="G415" s="72">
        <f>IF($D$3=JU!I408,JU!K408,0)</f>
        <v>0</v>
      </c>
      <c r="H415" s="72">
        <f t="shared" si="7"/>
        <v>39428000</v>
      </c>
    </row>
    <row r="416" spans="2:8" hidden="1">
      <c r="B416" s="68" t="str">
        <f>IF(OR($D$3=JU!$F409,$D$3=JU!$I409),JU!B409,"")</f>
        <v/>
      </c>
      <c r="C416" s="6" t="str">
        <f>IF(OR($D$3=JU!$F409,$D$3=JU!$I409),JU!C409,"")</f>
        <v/>
      </c>
      <c r="D416" s="73" t="str">
        <f>IF(OR($D$3=JU!$F409,$D$3=JU!$I409),JU!D409,"")</f>
        <v/>
      </c>
      <c r="E416" s="74" t="str">
        <f>IF(OR($D$3=JU!$F409,$D$3=JU!$I409),JU!E409,"")</f>
        <v/>
      </c>
      <c r="F416" s="72">
        <f>IF($D$3=JU!F409,JU!H409,0)</f>
        <v>0</v>
      </c>
      <c r="G416" s="72">
        <f>IF($D$3=JU!I409,JU!K409,0)</f>
        <v>0</v>
      </c>
      <c r="H416" s="72">
        <f t="shared" si="7"/>
        <v>39428000</v>
      </c>
    </row>
    <row r="417" spans="2:8" hidden="1">
      <c r="B417" s="68" t="str">
        <f>IF(OR($D$3=JU!$F410,$D$3=JU!$I410),JU!B410,"")</f>
        <v/>
      </c>
      <c r="C417" s="6" t="str">
        <f>IF(OR($D$3=JU!$F410,$D$3=JU!$I410),JU!C410,"")</f>
        <v/>
      </c>
      <c r="D417" s="73" t="str">
        <f>IF(OR($D$3=JU!$F410,$D$3=JU!$I410),JU!D410,"")</f>
        <v/>
      </c>
      <c r="E417" s="74" t="str">
        <f>IF(OR($D$3=JU!$F410,$D$3=JU!$I410),JU!E410,"")</f>
        <v/>
      </c>
      <c r="F417" s="72">
        <f>IF($D$3=JU!F410,JU!H410,0)</f>
        <v>0</v>
      </c>
      <c r="G417" s="72">
        <f>IF($D$3=JU!I410,JU!K410,0)</f>
        <v>0</v>
      </c>
      <c r="H417" s="72">
        <f t="shared" si="7"/>
        <v>39428000</v>
      </c>
    </row>
    <row r="418" spans="2:8" hidden="1">
      <c r="B418" s="68" t="str">
        <f>IF(OR($D$3=JU!$F411,$D$3=JU!$I411),JU!B411,"")</f>
        <v/>
      </c>
      <c r="C418" s="6" t="str">
        <f>IF(OR($D$3=JU!$F411,$D$3=JU!$I411),JU!C411,"")</f>
        <v/>
      </c>
      <c r="D418" s="73" t="str">
        <f>IF(OR($D$3=JU!$F411,$D$3=JU!$I411),JU!D411,"")</f>
        <v/>
      </c>
      <c r="E418" s="74" t="str">
        <f>IF(OR($D$3=JU!$F411,$D$3=JU!$I411),JU!E411,"")</f>
        <v/>
      </c>
      <c r="F418" s="72">
        <f>IF($D$3=JU!F411,JU!H411,0)</f>
        <v>0</v>
      </c>
      <c r="G418" s="72">
        <f>IF($D$3=JU!I411,JU!K411,0)</f>
        <v>0</v>
      </c>
      <c r="H418" s="72">
        <f t="shared" si="7"/>
        <v>39428000</v>
      </c>
    </row>
    <row r="419" spans="2:8" hidden="1">
      <c r="B419" s="68" t="str">
        <f>IF(OR($D$3=JU!$F412,$D$3=JU!$I412),JU!B412,"")</f>
        <v/>
      </c>
      <c r="C419" s="6" t="str">
        <f>IF(OR($D$3=JU!$F412,$D$3=JU!$I412),JU!C412,"")</f>
        <v/>
      </c>
      <c r="D419" s="73" t="str">
        <f>IF(OR($D$3=JU!$F412,$D$3=JU!$I412),JU!D412,"")</f>
        <v/>
      </c>
      <c r="E419" s="74" t="str">
        <f>IF(OR($D$3=JU!$F412,$D$3=JU!$I412),JU!E412,"")</f>
        <v/>
      </c>
      <c r="F419" s="72">
        <f>IF($D$3=JU!F412,JU!H412,0)</f>
        <v>0</v>
      </c>
      <c r="G419" s="72">
        <f>IF($D$3=JU!I412,JU!K412,0)</f>
        <v>0</v>
      </c>
      <c r="H419" s="72">
        <f t="shared" si="7"/>
        <v>39428000</v>
      </c>
    </row>
    <row r="420" spans="2:8" hidden="1">
      <c r="B420" s="68" t="str">
        <f>IF(OR($D$3=JU!$F413,$D$3=JU!$I413),JU!B413,"")</f>
        <v/>
      </c>
      <c r="C420" s="6" t="str">
        <f>IF(OR($D$3=JU!$F413,$D$3=JU!$I413),JU!C413,"")</f>
        <v/>
      </c>
      <c r="D420" s="73" t="str">
        <f>IF(OR($D$3=JU!$F413,$D$3=JU!$I413),JU!D413,"")</f>
        <v/>
      </c>
      <c r="E420" s="74" t="str">
        <f>IF(OR($D$3=JU!$F413,$D$3=JU!$I413),JU!E413,"")</f>
        <v/>
      </c>
      <c r="F420" s="72">
        <f>IF($D$3=JU!F413,JU!H413,0)</f>
        <v>0</v>
      </c>
      <c r="G420" s="72">
        <f>IF($D$3=JU!I413,JU!K413,0)</f>
        <v>0</v>
      </c>
      <c r="H420" s="72">
        <f t="shared" si="7"/>
        <v>39428000</v>
      </c>
    </row>
    <row r="421" spans="2:8" hidden="1">
      <c r="B421" s="68" t="str">
        <f>IF(OR($D$3=JU!$F414,$D$3=JU!$I414),JU!B414,"")</f>
        <v/>
      </c>
      <c r="C421" s="6" t="str">
        <f>IF(OR($D$3=JU!$F414,$D$3=JU!$I414),JU!C414,"")</f>
        <v/>
      </c>
      <c r="D421" s="73" t="str">
        <f>IF(OR($D$3=JU!$F414,$D$3=JU!$I414),JU!D414,"")</f>
        <v/>
      </c>
      <c r="E421" s="74" t="str">
        <f>IF(OR($D$3=JU!$F414,$D$3=JU!$I414),JU!E414,"")</f>
        <v/>
      </c>
      <c r="F421" s="72">
        <f>IF($D$3=JU!F414,JU!H414,0)</f>
        <v>0</v>
      </c>
      <c r="G421" s="72">
        <f>IF($D$3=JU!I414,JU!K414,0)</f>
        <v>0</v>
      </c>
      <c r="H421" s="72">
        <f t="shared" si="7"/>
        <v>39428000</v>
      </c>
    </row>
    <row r="422" spans="2:8" hidden="1">
      <c r="B422" s="68" t="str">
        <f>IF(OR($D$3=JU!$F415,$D$3=JU!$I415),JU!B415,"")</f>
        <v/>
      </c>
      <c r="C422" s="6" t="str">
        <f>IF(OR($D$3=JU!$F415,$D$3=JU!$I415),JU!C415,"")</f>
        <v/>
      </c>
      <c r="D422" s="73" t="str">
        <f>IF(OR($D$3=JU!$F415,$D$3=JU!$I415),JU!D415,"")</f>
        <v/>
      </c>
      <c r="E422" s="74" t="str">
        <f>IF(OR($D$3=JU!$F415,$D$3=JU!$I415),JU!E415,"")</f>
        <v/>
      </c>
      <c r="F422" s="72">
        <f>IF($D$3=JU!F415,JU!H415,0)</f>
        <v>0</v>
      </c>
      <c r="G422" s="72">
        <f>IF($D$3=JU!I415,JU!K415,0)</f>
        <v>0</v>
      </c>
      <c r="H422" s="72">
        <f t="shared" si="7"/>
        <v>39428000</v>
      </c>
    </row>
    <row r="423" spans="2:8" hidden="1">
      <c r="B423" s="68" t="str">
        <f>IF(OR($D$3=JU!$F416,$D$3=JU!$I416),JU!B416,"")</f>
        <v/>
      </c>
      <c r="C423" s="6" t="str">
        <f>IF(OR($D$3=JU!$F416,$D$3=JU!$I416),JU!C416,"")</f>
        <v/>
      </c>
      <c r="D423" s="73" t="str">
        <f>IF(OR($D$3=JU!$F416,$D$3=JU!$I416),JU!D416,"")</f>
        <v/>
      </c>
      <c r="E423" s="74" t="str">
        <f>IF(OR($D$3=JU!$F416,$D$3=JU!$I416),JU!E416,"")</f>
        <v/>
      </c>
      <c r="F423" s="72">
        <f>IF($D$3=JU!F416,JU!H416,0)</f>
        <v>0</v>
      </c>
      <c r="G423" s="72">
        <f>IF($D$3=JU!I416,JU!K416,0)</f>
        <v>0</v>
      </c>
      <c r="H423" s="72">
        <f t="shared" si="7"/>
        <v>39428000</v>
      </c>
    </row>
    <row r="424" spans="2:8" hidden="1">
      <c r="B424" s="68" t="str">
        <f>IF(OR($D$3=JU!$F417,$D$3=JU!$I417),JU!B417,"")</f>
        <v/>
      </c>
      <c r="C424" s="6" t="str">
        <f>IF(OR($D$3=JU!$F417,$D$3=JU!$I417),JU!C417,"")</f>
        <v/>
      </c>
      <c r="D424" s="73" t="str">
        <f>IF(OR($D$3=JU!$F417,$D$3=JU!$I417),JU!D417,"")</f>
        <v/>
      </c>
      <c r="E424" s="74" t="str">
        <f>IF(OR($D$3=JU!$F417,$D$3=JU!$I417),JU!E417,"")</f>
        <v/>
      </c>
      <c r="F424" s="72">
        <f>IF($D$3=JU!F417,JU!H417,0)</f>
        <v>0</v>
      </c>
      <c r="G424" s="72">
        <f>IF($D$3=JU!I417,JU!K417,0)</f>
        <v>0</v>
      </c>
      <c r="H424" s="72">
        <f t="shared" si="7"/>
        <v>39428000</v>
      </c>
    </row>
    <row r="425" spans="2:8" hidden="1">
      <c r="B425" s="68" t="str">
        <f>IF(OR($D$3=JU!$F418,$D$3=JU!$I418),JU!B418,"")</f>
        <v/>
      </c>
      <c r="C425" s="6" t="str">
        <f>IF(OR($D$3=JU!$F418,$D$3=JU!$I418),JU!C418,"")</f>
        <v/>
      </c>
      <c r="D425" s="73" t="str">
        <f>IF(OR($D$3=JU!$F418,$D$3=JU!$I418),JU!D418,"")</f>
        <v/>
      </c>
      <c r="E425" s="74" t="str">
        <f>IF(OR($D$3=JU!$F418,$D$3=JU!$I418),JU!E418,"")</f>
        <v/>
      </c>
      <c r="F425" s="72">
        <f>IF($D$3=JU!F418,JU!H418,0)</f>
        <v>0</v>
      </c>
      <c r="G425" s="72">
        <f>IF($D$3=JU!I418,JU!K418,0)</f>
        <v>0</v>
      </c>
      <c r="H425" s="72">
        <f t="shared" si="7"/>
        <v>39428000</v>
      </c>
    </row>
    <row r="426" spans="2:8" hidden="1">
      <c r="B426" s="68" t="str">
        <f>IF(OR($D$3=JU!$F419,$D$3=JU!$I419),JU!B419,"")</f>
        <v/>
      </c>
      <c r="C426" s="6" t="str">
        <f>IF(OR($D$3=JU!$F419,$D$3=JU!$I419),JU!C419,"")</f>
        <v/>
      </c>
      <c r="D426" s="73" t="str">
        <f>IF(OR($D$3=JU!$F419,$D$3=JU!$I419),JU!D419,"")</f>
        <v/>
      </c>
      <c r="E426" s="74" t="str">
        <f>IF(OR($D$3=JU!$F419,$D$3=JU!$I419),JU!E419,"")</f>
        <v/>
      </c>
      <c r="F426" s="72">
        <f>IF($D$3=JU!F419,JU!H419,0)</f>
        <v>0</v>
      </c>
      <c r="G426" s="72">
        <f>IF($D$3=JU!I419,JU!K419,0)</f>
        <v>0</v>
      </c>
      <c r="H426" s="72">
        <f t="shared" si="7"/>
        <v>39428000</v>
      </c>
    </row>
    <row r="427" spans="2:8" hidden="1">
      <c r="B427" s="68" t="str">
        <f>IF(OR($D$3=JU!$F420,$D$3=JU!$I420),JU!B420,"")</f>
        <v/>
      </c>
      <c r="C427" s="6" t="str">
        <f>IF(OR($D$3=JU!$F420,$D$3=JU!$I420),JU!C420,"")</f>
        <v/>
      </c>
      <c r="D427" s="73" t="str">
        <f>IF(OR($D$3=JU!$F420,$D$3=JU!$I420),JU!D420,"")</f>
        <v/>
      </c>
      <c r="E427" s="74" t="str">
        <f>IF(OR($D$3=JU!$F420,$D$3=JU!$I420),JU!E420,"")</f>
        <v/>
      </c>
      <c r="F427" s="72">
        <f>IF($D$3=JU!F420,JU!H420,0)</f>
        <v>0</v>
      </c>
      <c r="G427" s="72">
        <f>IF($D$3=JU!I420,JU!K420,0)</f>
        <v>0</v>
      </c>
      <c r="H427" s="72">
        <f t="shared" si="7"/>
        <v>39428000</v>
      </c>
    </row>
    <row r="428" spans="2:8" hidden="1">
      <c r="B428" s="68" t="str">
        <f>IF(OR($D$3=JU!$F421,$D$3=JU!$I421),JU!B421,"")</f>
        <v/>
      </c>
      <c r="C428" s="6" t="str">
        <f>IF(OR($D$3=JU!$F421,$D$3=JU!$I421),JU!C421,"")</f>
        <v/>
      </c>
      <c r="D428" s="73" t="str">
        <f>IF(OR($D$3=JU!$F421,$D$3=JU!$I421),JU!D421,"")</f>
        <v/>
      </c>
      <c r="E428" s="74" t="str">
        <f>IF(OR($D$3=JU!$F421,$D$3=JU!$I421),JU!E421,"")</f>
        <v/>
      </c>
      <c r="F428" s="72">
        <f>IF($D$3=JU!F421,JU!H421,0)</f>
        <v>0</v>
      </c>
      <c r="G428" s="72">
        <f>IF($D$3=JU!I421,JU!K421,0)</f>
        <v>0</v>
      </c>
      <c r="H428" s="72">
        <f t="shared" si="7"/>
        <v>39428000</v>
      </c>
    </row>
    <row r="429" spans="2:8" hidden="1">
      <c r="B429" s="68" t="str">
        <f>IF(OR($D$3=JU!$F422,$D$3=JU!$I422),JU!B422,"")</f>
        <v/>
      </c>
      <c r="C429" s="6" t="str">
        <f>IF(OR($D$3=JU!$F422,$D$3=JU!$I422),JU!C422,"")</f>
        <v/>
      </c>
      <c r="D429" s="73" t="str">
        <f>IF(OR($D$3=JU!$F422,$D$3=JU!$I422),JU!D422,"")</f>
        <v/>
      </c>
      <c r="E429" s="74" t="str">
        <f>IF(OR($D$3=JU!$F422,$D$3=JU!$I422),JU!E422,"")</f>
        <v/>
      </c>
      <c r="F429" s="72">
        <f>IF($D$3=JU!F422,JU!H422,0)</f>
        <v>0</v>
      </c>
      <c r="G429" s="72">
        <f>IF($D$3=JU!I422,JU!K422,0)</f>
        <v>0</v>
      </c>
      <c r="H429" s="72">
        <f t="shared" si="7"/>
        <v>39428000</v>
      </c>
    </row>
    <row r="430" spans="2:8" hidden="1">
      <c r="B430" s="68" t="str">
        <f>IF(OR($D$3=JU!$F423,$D$3=JU!$I423),JU!B423,"")</f>
        <v/>
      </c>
      <c r="C430" s="6" t="str">
        <f>IF(OR($D$3=JU!$F423,$D$3=JU!$I423),JU!C423,"")</f>
        <v/>
      </c>
      <c r="D430" s="73" t="str">
        <f>IF(OR($D$3=JU!$F423,$D$3=JU!$I423),JU!D423,"")</f>
        <v/>
      </c>
      <c r="E430" s="74" t="str">
        <f>IF(OR($D$3=JU!$F423,$D$3=JU!$I423),JU!E423,"")</f>
        <v/>
      </c>
      <c r="F430" s="72">
        <f>IF($D$3=JU!F423,JU!H423,0)</f>
        <v>0</v>
      </c>
      <c r="G430" s="72">
        <f>IF($D$3=JU!I423,JU!K423,0)</f>
        <v>0</v>
      </c>
      <c r="H430" s="72">
        <f t="shared" si="7"/>
        <v>39428000</v>
      </c>
    </row>
    <row r="431" spans="2:8" hidden="1">
      <c r="B431" s="68" t="str">
        <f>IF(OR($D$3=JU!$F424,$D$3=JU!$I424),JU!B424,"")</f>
        <v/>
      </c>
      <c r="C431" s="6" t="str">
        <f>IF(OR($D$3=JU!$F424,$D$3=JU!$I424),JU!C424,"")</f>
        <v/>
      </c>
      <c r="D431" s="73" t="str">
        <f>IF(OR($D$3=JU!$F424,$D$3=JU!$I424),JU!D424,"")</f>
        <v/>
      </c>
      <c r="E431" s="74" t="str">
        <f>IF(OR($D$3=JU!$F424,$D$3=JU!$I424),JU!E424,"")</f>
        <v/>
      </c>
      <c r="F431" s="72">
        <f>IF($D$3=JU!F424,JU!H424,0)</f>
        <v>0</v>
      </c>
      <c r="G431" s="72">
        <f>IF($D$3=JU!I424,JU!K424,0)</f>
        <v>0</v>
      </c>
      <c r="H431" s="72">
        <f t="shared" si="7"/>
        <v>39428000</v>
      </c>
    </row>
    <row r="432" spans="2:8" hidden="1">
      <c r="B432" s="68" t="str">
        <f>IF(OR($D$3=JU!$F425,$D$3=JU!$I425),JU!B425,"")</f>
        <v/>
      </c>
      <c r="C432" s="6" t="str">
        <f>IF(OR($D$3=JU!$F425,$D$3=JU!$I425),JU!C425,"")</f>
        <v/>
      </c>
      <c r="D432" s="73" t="str">
        <f>IF(OR($D$3=JU!$F425,$D$3=JU!$I425),JU!D425,"")</f>
        <v/>
      </c>
      <c r="E432" s="74" t="str">
        <f>IF(OR($D$3=JU!$F425,$D$3=JU!$I425),JU!E425,"")</f>
        <v/>
      </c>
      <c r="F432" s="72">
        <f>IF($D$3=JU!F425,JU!H425,0)</f>
        <v>0</v>
      </c>
      <c r="G432" s="72">
        <f>IF($D$3=JU!I425,JU!K425,0)</f>
        <v>0</v>
      </c>
      <c r="H432" s="72">
        <f t="shared" si="7"/>
        <v>39428000</v>
      </c>
    </row>
    <row r="433" spans="2:8" hidden="1">
      <c r="B433" s="68" t="str">
        <f>IF(OR($D$3=JU!$F426,$D$3=JU!$I426),JU!B426,"")</f>
        <v/>
      </c>
      <c r="C433" s="6" t="str">
        <f>IF(OR($D$3=JU!$F426,$D$3=JU!$I426),JU!C426,"")</f>
        <v/>
      </c>
      <c r="D433" s="73" t="str">
        <f>IF(OR($D$3=JU!$F426,$D$3=JU!$I426),JU!D426,"")</f>
        <v/>
      </c>
      <c r="E433" s="74" t="str">
        <f>IF(OR($D$3=JU!$F426,$D$3=JU!$I426),JU!E426,"")</f>
        <v/>
      </c>
      <c r="F433" s="72">
        <f>IF($D$3=JU!F426,JU!H426,0)</f>
        <v>0</v>
      </c>
      <c r="G433" s="72">
        <f>IF($D$3=JU!I426,JU!K426,0)</f>
        <v>0</v>
      </c>
      <c r="H433" s="72">
        <f t="shared" si="7"/>
        <v>39428000</v>
      </c>
    </row>
    <row r="434" spans="2:8" hidden="1">
      <c r="B434" s="68" t="str">
        <f>IF(OR($D$3=JU!$F427,$D$3=JU!$I427),JU!B427,"")</f>
        <v/>
      </c>
      <c r="C434" s="6" t="str">
        <f>IF(OR($D$3=JU!$F427,$D$3=JU!$I427),JU!C427,"")</f>
        <v/>
      </c>
      <c r="D434" s="73" t="str">
        <f>IF(OR($D$3=JU!$F427,$D$3=JU!$I427),JU!D427,"")</f>
        <v/>
      </c>
      <c r="E434" s="74" t="str">
        <f>IF(OR($D$3=JU!$F427,$D$3=JU!$I427),JU!E427,"")</f>
        <v/>
      </c>
      <c r="F434" s="72">
        <f>IF($D$3=JU!F427,JU!H427,0)</f>
        <v>0</v>
      </c>
      <c r="G434" s="72">
        <f>IF($D$3=JU!I427,JU!K427,0)</f>
        <v>0</v>
      </c>
      <c r="H434" s="72">
        <f t="shared" si="7"/>
        <v>39428000</v>
      </c>
    </row>
    <row r="435" spans="2:8" hidden="1">
      <c r="B435" s="68" t="str">
        <f>IF(OR($D$3=JU!$F428,$D$3=JU!$I428),JU!B428,"")</f>
        <v/>
      </c>
      <c r="C435" s="6" t="str">
        <f>IF(OR($D$3=JU!$F428,$D$3=JU!$I428),JU!C428,"")</f>
        <v/>
      </c>
      <c r="D435" s="73" t="str">
        <f>IF(OR($D$3=JU!$F428,$D$3=JU!$I428),JU!D428,"")</f>
        <v/>
      </c>
      <c r="E435" s="74" t="str">
        <f>IF(OR($D$3=JU!$F428,$D$3=JU!$I428),JU!E428,"")</f>
        <v/>
      </c>
      <c r="F435" s="72">
        <f>IF($D$3=JU!F428,JU!H428,0)</f>
        <v>0</v>
      </c>
      <c r="G435" s="72">
        <f>IF($D$3=JU!I428,JU!K428,0)</f>
        <v>0</v>
      </c>
      <c r="H435" s="72">
        <f t="shared" si="7"/>
        <v>39428000</v>
      </c>
    </row>
    <row r="436" spans="2:8" hidden="1">
      <c r="B436" s="68" t="str">
        <f>IF(OR($D$3=JU!$F429,$D$3=JU!$I429),JU!B429,"")</f>
        <v/>
      </c>
      <c r="C436" s="6" t="str">
        <f>IF(OR($D$3=JU!$F429,$D$3=JU!$I429),JU!C429,"")</f>
        <v/>
      </c>
      <c r="D436" s="73" t="str">
        <f>IF(OR($D$3=JU!$F429,$D$3=JU!$I429),JU!D429,"")</f>
        <v/>
      </c>
      <c r="E436" s="74" t="str">
        <f>IF(OR($D$3=JU!$F429,$D$3=JU!$I429),JU!E429,"")</f>
        <v/>
      </c>
      <c r="F436" s="72">
        <f>IF($D$3=JU!F429,JU!H429,0)</f>
        <v>0</v>
      </c>
      <c r="G436" s="72">
        <f>IF($D$3=JU!I429,JU!K429,0)</f>
        <v>0</v>
      </c>
      <c r="H436" s="72">
        <f t="shared" si="7"/>
        <v>39428000</v>
      </c>
    </row>
    <row r="437" spans="2:8">
      <c r="B437" s="68">
        <f>IF(OR($D$3=JU!$F430,$D$3=JU!$I430),JU!B430,"")</f>
        <v>46080</v>
      </c>
      <c r="C437" s="6" t="str">
        <f>IF(OR($D$3=JU!$F430,$D$3=JU!$I430),JU!C430,"")</f>
        <v>PEMBAYARAN BIAYA NOTARIS D1 INDRIYANI TAHAP 3</v>
      </c>
      <c r="D437" s="73" t="str">
        <f>IF(OR($D$3=JU!$F430,$D$3=JU!$I430),JU!D430,"")</f>
        <v>By. Biaya PEMBAYARAN BIAYA NOTARIS D1 INDRIYANI TAHAP 3</v>
      </c>
      <c r="E437" s="74">
        <f>IF(OR($D$3=JU!$F430,$D$3=JU!$I430),JU!E430,"")</f>
        <v>0</v>
      </c>
      <c r="F437" s="72">
        <f>IF($D$3=JU!F430,JU!H430,0)</f>
        <v>4000000</v>
      </c>
      <c r="G437" s="72">
        <f>IF($D$3=JU!I430,JU!K430,0)</f>
        <v>0</v>
      </c>
      <c r="H437" s="72">
        <f t="shared" si="7"/>
        <v>43428000</v>
      </c>
    </row>
    <row r="438" spans="2:8" hidden="1">
      <c r="B438" s="68" t="str">
        <f>IF(OR($D$3=JU!$F431,$D$3=JU!$I431),JU!B431,"")</f>
        <v/>
      </c>
      <c r="C438" s="6" t="str">
        <f>IF(OR($D$3=JU!$F431,$D$3=JU!$I431),JU!C431,"")</f>
        <v/>
      </c>
      <c r="D438" s="73" t="str">
        <f>IF(OR($D$3=JU!$F431,$D$3=JU!$I431),JU!D431,"")</f>
        <v/>
      </c>
      <c r="E438" s="74" t="str">
        <f>IF(OR($D$3=JU!$F431,$D$3=JU!$I431),JU!E431,"")</f>
        <v/>
      </c>
      <c r="F438" s="72">
        <f>IF($D$3=JU!F431,JU!H431,0)</f>
        <v>0</v>
      </c>
      <c r="G438" s="72">
        <f>IF($D$3=JU!I431,JU!K431,0)</f>
        <v>0</v>
      </c>
      <c r="H438" s="72">
        <f t="shared" si="7"/>
        <v>43428000</v>
      </c>
    </row>
    <row r="439" spans="2:8" hidden="1">
      <c r="B439" s="68" t="str">
        <f>IF(OR($D$3=JU!$F432,$D$3=JU!$I432),JU!B432,"")</f>
        <v/>
      </c>
      <c r="C439" s="6" t="str">
        <f>IF(OR($D$3=JU!$F432,$D$3=JU!$I432),JU!C432,"")</f>
        <v/>
      </c>
      <c r="D439" s="73" t="str">
        <f>IF(OR($D$3=JU!$F432,$D$3=JU!$I432),JU!D432,"")</f>
        <v/>
      </c>
      <c r="E439" s="74" t="str">
        <f>IF(OR($D$3=JU!$F432,$D$3=JU!$I432),JU!E432,"")</f>
        <v/>
      </c>
      <c r="F439" s="72">
        <f>IF($D$3=JU!F432,JU!H432,0)</f>
        <v>0</v>
      </c>
      <c r="G439" s="72">
        <f>IF($D$3=JU!I432,JU!K432,0)</f>
        <v>0</v>
      </c>
      <c r="H439" s="72">
        <f t="shared" si="7"/>
        <v>43428000</v>
      </c>
    </row>
    <row r="440" spans="2:8" hidden="1">
      <c r="B440" s="68" t="str">
        <f>IF(OR($D$3=JU!$F433,$D$3=JU!$I433),JU!B433,"")</f>
        <v/>
      </c>
      <c r="C440" s="6" t="str">
        <f>IF(OR($D$3=JU!$F433,$D$3=JU!$I433),JU!C433,"")</f>
        <v/>
      </c>
      <c r="D440" s="73" t="str">
        <f>IF(OR($D$3=JU!$F433,$D$3=JU!$I433),JU!D433,"")</f>
        <v/>
      </c>
      <c r="E440" s="74" t="str">
        <f>IF(OR($D$3=JU!$F433,$D$3=JU!$I433),JU!E433,"")</f>
        <v/>
      </c>
      <c r="F440" s="72">
        <f>IF($D$3=JU!F433,JU!H433,0)</f>
        <v>0</v>
      </c>
      <c r="G440" s="72">
        <f>IF($D$3=JU!I433,JU!K433,0)</f>
        <v>0</v>
      </c>
      <c r="H440" s="72">
        <f t="shared" si="7"/>
        <v>43428000</v>
      </c>
    </row>
    <row r="441" spans="2:8" hidden="1">
      <c r="B441" s="68" t="str">
        <f>IF(OR($D$3=JU!$F434,$D$3=JU!$I434),JU!B434,"")</f>
        <v/>
      </c>
      <c r="C441" s="6" t="str">
        <f>IF(OR($D$3=JU!$F434,$D$3=JU!$I434),JU!C434,"")</f>
        <v/>
      </c>
      <c r="D441" s="73" t="str">
        <f>IF(OR($D$3=JU!$F434,$D$3=JU!$I434),JU!D434,"")</f>
        <v/>
      </c>
      <c r="E441" s="74" t="str">
        <f>IF(OR($D$3=JU!$F434,$D$3=JU!$I434),JU!E434,"")</f>
        <v/>
      </c>
      <c r="F441" s="72">
        <f>IF($D$3=JU!F434,JU!H434,0)</f>
        <v>0</v>
      </c>
      <c r="G441" s="72">
        <f>IF($D$3=JU!I434,JU!K434,0)</f>
        <v>0</v>
      </c>
      <c r="H441" s="72">
        <f t="shared" si="7"/>
        <v>43428000</v>
      </c>
    </row>
    <row r="442" spans="2:8" hidden="1">
      <c r="B442" s="68" t="str">
        <f>IF(OR($D$3=JU!$F435,$D$3=JU!$I435),JU!B435,"")</f>
        <v/>
      </c>
      <c r="C442" s="6" t="str">
        <f>IF(OR($D$3=JU!$F435,$D$3=JU!$I435),JU!C435,"")</f>
        <v/>
      </c>
      <c r="D442" s="73" t="str">
        <f>IF(OR($D$3=JU!$F435,$D$3=JU!$I435),JU!D435,"")</f>
        <v/>
      </c>
      <c r="E442" s="74" t="str">
        <f>IF(OR($D$3=JU!$F435,$D$3=JU!$I435),JU!E435,"")</f>
        <v/>
      </c>
      <c r="F442" s="72">
        <f>IF($D$3=JU!F435,JU!H435,0)</f>
        <v>0</v>
      </c>
      <c r="G442" s="72">
        <f>IF($D$3=JU!I435,JU!K435,0)</f>
        <v>0</v>
      </c>
      <c r="H442" s="72">
        <f t="shared" si="7"/>
        <v>43428000</v>
      </c>
    </row>
    <row r="443" spans="2:8" hidden="1">
      <c r="B443" s="68" t="str">
        <f>IF(OR($D$3=JU!$F436,$D$3=JU!$I436),JU!B436,"")</f>
        <v/>
      </c>
      <c r="C443" s="6" t="str">
        <f>IF(OR($D$3=JU!$F436,$D$3=JU!$I436),JU!C436,"")</f>
        <v/>
      </c>
      <c r="D443" s="73" t="str">
        <f>IF(OR($D$3=JU!$F436,$D$3=JU!$I436),JU!D436,"")</f>
        <v/>
      </c>
      <c r="E443" s="74" t="str">
        <f>IF(OR($D$3=JU!$F436,$D$3=JU!$I436),JU!E436,"")</f>
        <v/>
      </c>
      <c r="F443" s="72">
        <f>IF($D$3=JU!F436,JU!H436,0)</f>
        <v>0</v>
      </c>
      <c r="G443" s="72">
        <f>IF($D$3=JU!I436,JU!K436,0)</f>
        <v>0</v>
      </c>
      <c r="H443" s="72">
        <f t="shared" si="7"/>
        <v>43428000</v>
      </c>
    </row>
    <row r="444" spans="2:8" hidden="1">
      <c r="B444" s="68" t="str">
        <f>IF(OR($D$3=JU!$F437,$D$3=JU!$I437),JU!B437,"")</f>
        <v/>
      </c>
      <c r="C444" s="6" t="str">
        <f>IF(OR($D$3=JU!$F437,$D$3=JU!$I437),JU!C437,"")</f>
        <v/>
      </c>
      <c r="D444" s="73" t="str">
        <f>IF(OR($D$3=JU!$F437,$D$3=JU!$I437),JU!D437,"")</f>
        <v/>
      </c>
      <c r="E444" s="74" t="str">
        <f>IF(OR($D$3=JU!$F437,$D$3=JU!$I437),JU!E437,"")</f>
        <v/>
      </c>
      <c r="F444" s="72">
        <f>IF($D$3=JU!F437,JU!H437,0)</f>
        <v>0</v>
      </c>
      <c r="G444" s="72">
        <f>IF($D$3=JU!I437,JU!K437,0)</f>
        <v>0</v>
      </c>
      <c r="H444" s="72">
        <f t="shared" si="7"/>
        <v>43428000</v>
      </c>
    </row>
    <row r="445" spans="2:8" hidden="1">
      <c r="B445" s="68" t="str">
        <f>IF(OR($D$3=JU!$F438,$D$3=JU!$I438),JU!B438,"")</f>
        <v/>
      </c>
      <c r="C445" s="6" t="str">
        <f>IF(OR($D$3=JU!$F438,$D$3=JU!$I438),JU!C438,"")</f>
        <v/>
      </c>
      <c r="D445" s="73" t="str">
        <f>IF(OR($D$3=JU!$F438,$D$3=JU!$I438),JU!D438,"")</f>
        <v/>
      </c>
      <c r="E445" s="74" t="str">
        <f>IF(OR($D$3=JU!$F438,$D$3=JU!$I438),JU!E438,"")</f>
        <v/>
      </c>
      <c r="F445" s="72">
        <f>IF($D$3=JU!F438,JU!H438,0)</f>
        <v>0</v>
      </c>
      <c r="G445" s="72">
        <f>IF($D$3=JU!I438,JU!K438,0)</f>
        <v>0</v>
      </c>
      <c r="H445" s="72">
        <f t="shared" si="7"/>
        <v>43428000</v>
      </c>
    </row>
    <row r="446" spans="2:8" hidden="1">
      <c r="B446" s="68" t="str">
        <f>IF(OR($D$3=JU!$F439,$D$3=JU!$I439),JU!B439,"")</f>
        <v/>
      </c>
      <c r="C446" s="6" t="str">
        <f>IF(OR($D$3=JU!$F439,$D$3=JU!$I439),JU!C439,"")</f>
        <v/>
      </c>
      <c r="D446" s="73" t="str">
        <f>IF(OR($D$3=JU!$F439,$D$3=JU!$I439),JU!D439,"")</f>
        <v/>
      </c>
      <c r="E446" s="74" t="str">
        <f>IF(OR($D$3=JU!$F439,$D$3=JU!$I439),JU!E439,"")</f>
        <v/>
      </c>
      <c r="F446" s="72">
        <f>IF($D$3=JU!F439,JU!H439,0)</f>
        <v>0</v>
      </c>
      <c r="G446" s="72">
        <f>IF($D$3=JU!I439,JU!K439,0)</f>
        <v>0</v>
      </c>
      <c r="H446" s="72">
        <f t="shared" si="7"/>
        <v>43428000</v>
      </c>
    </row>
    <row r="447" spans="2:8" hidden="1">
      <c r="B447" s="68" t="str">
        <f>IF(OR($D$3=JU!$F440,$D$3=JU!$I440),JU!B440,"")</f>
        <v/>
      </c>
      <c r="C447" s="6" t="str">
        <f>IF(OR($D$3=JU!$F440,$D$3=JU!$I440),JU!C440,"")</f>
        <v/>
      </c>
      <c r="D447" s="73" t="str">
        <f>IF(OR($D$3=JU!$F440,$D$3=JU!$I440),JU!D440,"")</f>
        <v/>
      </c>
      <c r="E447" s="74" t="str">
        <f>IF(OR($D$3=JU!$F440,$D$3=JU!$I440),JU!E440,"")</f>
        <v/>
      </c>
      <c r="F447" s="72">
        <f>IF($D$3=JU!F440,JU!H440,0)</f>
        <v>0</v>
      </c>
      <c r="G447" s="72">
        <f>IF($D$3=JU!I440,JU!K440,0)</f>
        <v>0</v>
      </c>
      <c r="H447" s="72">
        <f t="shared" si="7"/>
        <v>43428000</v>
      </c>
    </row>
    <row r="448" spans="2:8" hidden="1">
      <c r="B448" s="68" t="str">
        <f>IF(OR($D$3=JU!$F441,$D$3=JU!$I441),JU!B441,"")</f>
        <v/>
      </c>
      <c r="C448" s="6" t="str">
        <f>IF(OR($D$3=JU!$F441,$D$3=JU!$I441),JU!C441,"")</f>
        <v/>
      </c>
      <c r="D448" s="73" t="str">
        <f>IF(OR($D$3=JU!$F441,$D$3=JU!$I441),JU!D441,"")</f>
        <v/>
      </c>
      <c r="E448" s="74" t="str">
        <f>IF(OR($D$3=JU!$F441,$D$3=JU!$I441),JU!E441,"")</f>
        <v/>
      </c>
      <c r="F448" s="72">
        <f>IF($D$3=JU!F441,JU!H441,0)</f>
        <v>0</v>
      </c>
      <c r="G448" s="72">
        <f>IF($D$3=JU!I441,JU!K441,0)</f>
        <v>0</v>
      </c>
      <c r="H448" s="72">
        <f t="shared" si="7"/>
        <v>43428000</v>
      </c>
    </row>
    <row r="449" spans="2:8" hidden="1">
      <c r="B449" s="68" t="str">
        <f>IF(OR($D$3=JU!$F442,$D$3=JU!$I442),JU!B442,"")</f>
        <v/>
      </c>
      <c r="C449" s="6" t="str">
        <f>IF(OR($D$3=JU!$F442,$D$3=JU!$I442),JU!C442,"")</f>
        <v/>
      </c>
      <c r="D449" s="73" t="str">
        <f>IF(OR($D$3=JU!$F442,$D$3=JU!$I442),JU!D442,"")</f>
        <v/>
      </c>
      <c r="E449" s="74" t="str">
        <f>IF(OR($D$3=JU!$F442,$D$3=JU!$I442),JU!E442,"")</f>
        <v/>
      </c>
      <c r="F449" s="72">
        <f>IF($D$3=JU!F442,JU!H442,0)</f>
        <v>0</v>
      </c>
      <c r="G449" s="72">
        <f>IF($D$3=JU!I442,JU!K442,0)</f>
        <v>0</v>
      </c>
      <c r="H449" s="72">
        <f t="shared" si="7"/>
        <v>43428000</v>
      </c>
    </row>
    <row r="450" spans="2:8" hidden="1">
      <c r="B450" s="68" t="str">
        <f>IF(OR($D$3=JU!$F443,$D$3=JU!$I443),JU!B443,"")</f>
        <v/>
      </c>
      <c r="C450" s="6" t="str">
        <f>IF(OR($D$3=JU!$F443,$D$3=JU!$I443),JU!C443,"")</f>
        <v/>
      </c>
      <c r="D450" s="73" t="str">
        <f>IF(OR($D$3=JU!$F443,$D$3=JU!$I443),JU!D443,"")</f>
        <v/>
      </c>
      <c r="E450" s="74" t="str">
        <f>IF(OR($D$3=JU!$F443,$D$3=JU!$I443),JU!E443,"")</f>
        <v/>
      </c>
      <c r="F450" s="72">
        <f>IF($D$3=JU!F443,JU!H443,0)</f>
        <v>0</v>
      </c>
      <c r="G450" s="72">
        <f>IF($D$3=JU!I443,JU!K443,0)</f>
        <v>0</v>
      </c>
      <c r="H450" s="72">
        <f t="shared" si="7"/>
        <v>43428000</v>
      </c>
    </row>
    <row r="451" spans="2:8" hidden="1">
      <c r="B451" s="68" t="str">
        <f>IF(OR($D$3=JU!$F444,$D$3=JU!$I444),JU!B444,"")</f>
        <v/>
      </c>
      <c r="C451" s="6" t="str">
        <f>IF(OR($D$3=JU!$F444,$D$3=JU!$I444),JU!C444,"")</f>
        <v/>
      </c>
      <c r="D451" s="73" t="str">
        <f>IF(OR($D$3=JU!$F444,$D$3=JU!$I444),JU!D444,"")</f>
        <v/>
      </c>
      <c r="E451" s="74" t="str">
        <f>IF(OR($D$3=JU!$F444,$D$3=JU!$I444),JU!E444,"")</f>
        <v/>
      </c>
      <c r="F451" s="72">
        <f>IF($D$3=JU!F444,JU!H444,0)</f>
        <v>0</v>
      </c>
      <c r="G451" s="72">
        <f>IF($D$3=JU!I444,JU!K444,0)</f>
        <v>0</v>
      </c>
      <c r="H451" s="72">
        <f t="shared" si="7"/>
        <v>43428000</v>
      </c>
    </row>
    <row r="452" spans="2:8" hidden="1">
      <c r="B452" s="68" t="str">
        <f>IF(OR($D$3=JU!$F445,$D$3=JU!$I445),JU!B445,"")</f>
        <v/>
      </c>
      <c r="C452" s="6" t="str">
        <f>IF(OR($D$3=JU!$F445,$D$3=JU!$I445),JU!C445,"")</f>
        <v/>
      </c>
      <c r="D452" s="73" t="str">
        <f>IF(OR($D$3=JU!$F445,$D$3=JU!$I445),JU!D445,"")</f>
        <v/>
      </c>
      <c r="E452" s="74" t="str">
        <f>IF(OR($D$3=JU!$F445,$D$3=JU!$I445),JU!E445,"")</f>
        <v/>
      </c>
      <c r="F452" s="72">
        <f>IF($D$3=JU!F445,JU!H445,0)</f>
        <v>0</v>
      </c>
      <c r="G452" s="72">
        <f>IF($D$3=JU!I445,JU!K445,0)</f>
        <v>0</v>
      </c>
      <c r="H452" s="72">
        <f t="shared" si="7"/>
        <v>43428000</v>
      </c>
    </row>
    <row r="453" spans="2:8" hidden="1">
      <c r="B453" s="68" t="str">
        <f>IF(OR($D$3=JU!$F446,$D$3=JU!$I446),JU!B446,"")</f>
        <v/>
      </c>
      <c r="C453" s="6" t="str">
        <f>IF(OR($D$3=JU!$F446,$D$3=JU!$I446),JU!C446,"")</f>
        <v/>
      </c>
      <c r="D453" s="73" t="str">
        <f>IF(OR($D$3=JU!$F446,$D$3=JU!$I446),JU!D446,"")</f>
        <v/>
      </c>
      <c r="E453" s="74" t="str">
        <f>IF(OR($D$3=JU!$F446,$D$3=JU!$I446),JU!E446,"")</f>
        <v/>
      </c>
      <c r="F453" s="72">
        <f>IF($D$3=JU!F446,JU!H446,0)</f>
        <v>0</v>
      </c>
      <c r="G453" s="72">
        <f>IF($D$3=JU!I446,JU!K446,0)</f>
        <v>0</v>
      </c>
      <c r="H453" s="72">
        <f t="shared" si="7"/>
        <v>43428000</v>
      </c>
    </row>
    <row r="454" spans="2:8" hidden="1">
      <c r="B454" s="68" t="str">
        <f>IF(OR($D$3=JU!$F447,$D$3=JU!$I447),JU!B447,"")</f>
        <v/>
      </c>
      <c r="C454" s="6" t="str">
        <f>IF(OR($D$3=JU!$F447,$D$3=JU!$I447),JU!C447,"")</f>
        <v/>
      </c>
      <c r="D454" s="73" t="str">
        <f>IF(OR($D$3=JU!$F447,$D$3=JU!$I447),JU!D447,"")</f>
        <v/>
      </c>
      <c r="E454" s="74" t="str">
        <f>IF(OR($D$3=JU!$F447,$D$3=JU!$I447),JU!E447,"")</f>
        <v/>
      </c>
      <c r="F454" s="72">
        <f>IF($D$3=JU!F447,JU!H447,0)</f>
        <v>0</v>
      </c>
      <c r="G454" s="72">
        <f>IF($D$3=JU!I447,JU!K447,0)</f>
        <v>0</v>
      </c>
      <c r="H454" s="72">
        <f t="shared" si="7"/>
        <v>43428000</v>
      </c>
    </row>
    <row r="455" spans="2:8" hidden="1">
      <c r="B455" s="68" t="str">
        <f>IF(OR($D$3=JU!$F448,$D$3=JU!$I448),JU!B448,"")</f>
        <v/>
      </c>
      <c r="C455" s="6" t="str">
        <f>IF(OR($D$3=JU!$F448,$D$3=JU!$I448),JU!C448,"")</f>
        <v/>
      </c>
      <c r="D455" s="73" t="str">
        <f>IF(OR($D$3=JU!$F448,$D$3=JU!$I448),JU!D448,"")</f>
        <v/>
      </c>
      <c r="E455" s="74" t="str">
        <f>IF(OR($D$3=JU!$F448,$D$3=JU!$I448),JU!E448,"")</f>
        <v/>
      </c>
      <c r="F455" s="72">
        <f>IF($D$3=JU!F448,JU!H448,0)</f>
        <v>0</v>
      </c>
      <c r="G455" s="72">
        <f>IF($D$3=JU!I448,JU!K448,0)</f>
        <v>0</v>
      </c>
      <c r="H455" s="72">
        <f t="shared" si="7"/>
        <v>43428000</v>
      </c>
    </row>
    <row r="456" spans="2:8" hidden="1">
      <c r="B456" s="68" t="str">
        <f>IF(OR($D$3=JU!$F449,$D$3=JU!$I449),JU!B449,"")</f>
        <v/>
      </c>
      <c r="C456" s="6" t="str">
        <f>IF(OR($D$3=JU!$F449,$D$3=JU!$I449),JU!C449,"")</f>
        <v/>
      </c>
      <c r="D456" s="73" t="str">
        <f>IF(OR($D$3=JU!$F449,$D$3=JU!$I449),JU!D449,"")</f>
        <v/>
      </c>
      <c r="E456" s="74" t="str">
        <f>IF(OR($D$3=JU!$F449,$D$3=JU!$I449),JU!E449,"")</f>
        <v/>
      </c>
      <c r="F456" s="72">
        <f>IF($D$3=JU!F449,JU!H449,0)</f>
        <v>0</v>
      </c>
      <c r="G456" s="72">
        <f>IF($D$3=JU!I449,JU!K449,0)</f>
        <v>0</v>
      </c>
      <c r="H456" s="72">
        <f t="shared" si="7"/>
        <v>43428000</v>
      </c>
    </row>
    <row r="457" spans="2:8" hidden="1">
      <c r="B457" s="68" t="str">
        <f>IF(OR($D$3=JU!$F450,$D$3=JU!$I450),JU!B450,"")</f>
        <v/>
      </c>
      <c r="C457" s="6" t="str">
        <f>IF(OR($D$3=JU!$F450,$D$3=JU!$I450),JU!C450,"")</f>
        <v/>
      </c>
      <c r="D457" s="73" t="str">
        <f>IF(OR($D$3=JU!$F450,$D$3=JU!$I450),JU!D450,"")</f>
        <v/>
      </c>
      <c r="E457" s="74" t="str">
        <f>IF(OR($D$3=JU!$F450,$D$3=JU!$I450),JU!E450,"")</f>
        <v/>
      </c>
      <c r="F457" s="72">
        <f>IF($D$3=JU!F450,JU!H450,0)</f>
        <v>0</v>
      </c>
      <c r="G457" s="72">
        <f>IF($D$3=JU!I450,JU!K450,0)</f>
        <v>0</v>
      </c>
      <c r="H457" s="72">
        <f t="shared" si="7"/>
        <v>43428000</v>
      </c>
    </row>
    <row r="458" spans="2:8" hidden="1">
      <c r="B458" s="68" t="str">
        <f>IF(OR($D$3=JU!$F451,$D$3=JU!$I451),JU!B451,"")</f>
        <v/>
      </c>
      <c r="C458" s="6" t="str">
        <f>IF(OR($D$3=JU!$F451,$D$3=JU!$I451),JU!C451,"")</f>
        <v/>
      </c>
      <c r="D458" s="73" t="str">
        <f>IF(OR($D$3=JU!$F451,$D$3=JU!$I451),JU!D451,"")</f>
        <v/>
      </c>
      <c r="E458" s="74" t="str">
        <f>IF(OR($D$3=JU!$F451,$D$3=JU!$I451),JU!E451,"")</f>
        <v/>
      </c>
      <c r="F458" s="72">
        <f>IF($D$3=JU!F451,JU!H451,0)</f>
        <v>0</v>
      </c>
      <c r="G458" s="72">
        <f>IF($D$3=JU!I451,JU!K451,0)</f>
        <v>0</v>
      </c>
      <c r="H458" s="72">
        <f t="shared" si="7"/>
        <v>43428000</v>
      </c>
    </row>
    <row r="459" spans="2:8" hidden="1">
      <c r="B459" s="68" t="str">
        <f>IF(OR($D$3=JU!$F452,$D$3=JU!$I452),JU!B452,"")</f>
        <v/>
      </c>
      <c r="C459" s="6" t="str">
        <f>IF(OR($D$3=JU!$F452,$D$3=JU!$I452),JU!C452,"")</f>
        <v/>
      </c>
      <c r="D459" s="73" t="str">
        <f>IF(OR($D$3=JU!$F452,$D$3=JU!$I452),JU!D452,"")</f>
        <v/>
      </c>
      <c r="E459" s="74" t="str">
        <f>IF(OR($D$3=JU!$F452,$D$3=JU!$I452),JU!E452,"")</f>
        <v/>
      </c>
      <c r="F459" s="72">
        <f>IF($D$3=JU!F452,JU!H452,0)</f>
        <v>0</v>
      </c>
      <c r="G459" s="72">
        <f>IF($D$3=JU!I452,JU!K452,0)</f>
        <v>0</v>
      </c>
      <c r="H459" s="72">
        <f t="shared" si="7"/>
        <v>43428000</v>
      </c>
    </row>
    <row r="460" spans="2:8" hidden="1">
      <c r="B460" s="68" t="str">
        <f>IF(OR($D$3=JU!$F453,$D$3=JU!$I453),JU!B453,"")</f>
        <v/>
      </c>
      <c r="C460" s="6" t="str">
        <f>IF(OR($D$3=JU!$F453,$D$3=JU!$I453),JU!C453,"")</f>
        <v/>
      </c>
      <c r="D460" s="73" t="str">
        <f>IF(OR($D$3=JU!$F453,$D$3=JU!$I453),JU!D453,"")</f>
        <v/>
      </c>
      <c r="E460" s="74" t="str">
        <f>IF(OR($D$3=JU!$F453,$D$3=JU!$I453),JU!E453,"")</f>
        <v/>
      </c>
      <c r="F460" s="72">
        <f>IF($D$3=JU!F453,JU!H453,0)</f>
        <v>0</v>
      </c>
      <c r="G460" s="72">
        <f>IF($D$3=JU!I453,JU!K453,0)</f>
        <v>0</v>
      </c>
      <c r="H460" s="72">
        <f t="shared" si="7"/>
        <v>43428000</v>
      </c>
    </row>
    <row r="461" spans="2:8" hidden="1">
      <c r="B461" s="68" t="str">
        <f>IF(OR($D$3=JU!$F454,$D$3=JU!$I454),JU!B454,"")</f>
        <v/>
      </c>
      <c r="C461" s="6" t="str">
        <f>IF(OR($D$3=JU!$F454,$D$3=JU!$I454),JU!C454,"")</f>
        <v/>
      </c>
      <c r="D461" s="73" t="str">
        <f>IF(OR($D$3=JU!$F454,$D$3=JU!$I454),JU!D454,"")</f>
        <v/>
      </c>
      <c r="E461" s="74" t="str">
        <f>IF(OR($D$3=JU!$F454,$D$3=JU!$I454),JU!E454,"")</f>
        <v/>
      </c>
      <c r="F461" s="72">
        <f>IF($D$3=JU!F454,JU!H454,0)</f>
        <v>0</v>
      </c>
      <c r="G461" s="72">
        <f>IF($D$3=JU!I454,JU!K454,0)</f>
        <v>0</v>
      </c>
      <c r="H461" s="72">
        <f t="shared" si="7"/>
        <v>43428000</v>
      </c>
    </row>
    <row r="462" spans="2:8" hidden="1">
      <c r="B462" s="68" t="str">
        <f>IF(OR($D$3=JU!$F455,$D$3=JU!$I455),JU!B455,"")</f>
        <v/>
      </c>
      <c r="C462" s="6" t="str">
        <f>IF(OR($D$3=JU!$F455,$D$3=JU!$I455),JU!C455,"")</f>
        <v/>
      </c>
      <c r="D462" s="73" t="str">
        <f>IF(OR($D$3=JU!$F455,$D$3=JU!$I455),JU!D455,"")</f>
        <v/>
      </c>
      <c r="E462" s="74" t="str">
        <f>IF(OR($D$3=JU!$F455,$D$3=JU!$I455),JU!E455,"")</f>
        <v/>
      </c>
      <c r="F462" s="72">
        <f>IF($D$3=JU!F455,JU!H455,0)</f>
        <v>0</v>
      </c>
      <c r="G462" s="72">
        <f>IF($D$3=JU!I455,JU!K455,0)</f>
        <v>0</v>
      </c>
      <c r="H462" s="72">
        <f t="shared" ref="H462:H525" si="8">IF($H$7="DEBET",H461+F462-G462,H461+G462-F462)</f>
        <v>43428000</v>
      </c>
    </row>
    <row r="463" spans="2:8" hidden="1">
      <c r="B463" s="68" t="str">
        <f>IF(OR($D$3=JU!$F456,$D$3=JU!$I456),JU!B456,"")</f>
        <v/>
      </c>
      <c r="C463" s="6" t="str">
        <f>IF(OR($D$3=JU!$F456,$D$3=JU!$I456),JU!C456,"")</f>
        <v/>
      </c>
      <c r="D463" s="73" t="str">
        <f>IF(OR($D$3=JU!$F456,$D$3=JU!$I456),JU!D456,"")</f>
        <v/>
      </c>
      <c r="E463" s="74" t="str">
        <f>IF(OR($D$3=JU!$F456,$D$3=JU!$I456),JU!E456,"")</f>
        <v/>
      </c>
      <c r="F463" s="72">
        <f>IF($D$3=JU!F456,JU!H456,0)</f>
        <v>0</v>
      </c>
      <c r="G463" s="72">
        <f>IF($D$3=JU!I456,JU!K456,0)</f>
        <v>0</v>
      </c>
      <c r="H463" s="72">
        <f t="shared" si="8"/>
        <v>43428000</v>
      </c>
    </row>
    <row r="464" spans="2:8" hidden="1">
      <c r="B464" s="68" t="str">
        <f>IF(OR($D$3=JU!$F457,$D$3=JU!$I457),JU!B457,"")</f>
        <v/>
      </c>
      <c r="C464" s="6" t="str">
        <f>IF(OR($D$3=JU!$F457,$D$3=JU!$I457),JU!C457,"")</f>
        <v/>
      </c>
      <c r="D464" s="73" t="str">
        <f>IF(OR($D$3=JU!$F457,$D$3=JU!$I457),JU!D457,"")</f>
        <v/>
      </c>
      <c r="E464" s="74" t="str">
        <f>IF(OR($D$3=JU!$F457,$D$3=JU!$I457),JU!E457,"")</f>
        <v/>
      </c>
      <c r="F464" s="72">
        <f>IF($D$3=JU!F457,JU!H457,0)</f>
        <v>0</v>
      </c>
      <c r="G464" s="72">
        <f>IF($D$3=JU!I457,JU!K457,0)</f>
        <v>0</v>
      </c>
      <c r="H464" s="72">
        <f t="shared" si="8"/>
        <v>43428000</v>
      </c>
    </row>
    <row r="465" spans="2:8" hidden="1">
      <c r="B465" s="68" t="str">
        <f>IF(OR($D$3=JU!$F458,$D$3=JU!$I458),JU!B458,"")</f>
        <v/>
      </c>
      <c r="C465" s="6" t="str">
        <f>IF(OR($D$3=JU!$F458,$D$3=JU!$I458),JU!C458,"")</f>
        <v/>
      </c>
      <c r="D465" s="73" t="str">
        <f>IF(OR($D$3=JU!$F458,$D$3=JU!$I458),JU!D458,"")</f>
        <v/>
      </c>
      <c r="E465" s="74" t="str">
        <f>IF(OR($D$3=JU!$F458,$D$3=JU!$I458),JU!E458,"")</f>
        <v/>
      </c>
      <c r="F465" s="72">
        <f>IF($D$3=JU!F458,JU!H458,0)</f>
        <v>0</v>
      </c>
      <c r="G465" s="72">
        <f>IF($D$3=JU!I458,JU!K458,0)</f>
        <v>0</v>
      </c>
      <c r="H465" s="72">
        <f t="shared" si="8"/>
        <v>43428000</v>
      </c>
    </row>
    <row r="466" spans="2:8" hidden="1">
      <c r="B466" s="68" t="str">
        <f>IF(OR($D$3=JU!$F459,$D$3=JU!$I459),JU!B459,"")</f>
        <v/>
      </c>
      <c r="C466" s="6" t="str">
        <f>IF(OR($D$3=JU!$F459,$D$3=JU!$I459),JU!C459,"")</f>
        <v/>
      </c>
      <c r="D466" s="73" t="str">
        <f>IF(OR($D$3=JU!$F459,$D$3=JU!$I459),JU!D459,"")</f>
        <v/>
      </c>
      <c r="E466" s="74" t="str">
        <f>IF(OR($D$3=JU!$F459,$D$3=JU!$I459),JU!E459,"")</f>
        <v/>
      </c>
      <c r="F466" s="72">
        <f>IF($D$3=JU!F459,JU!H459,0)</f>
        <v>0</v>
      </c>
      <c r="G466" s="72">
        <f>IF($D$3=JU!I459,JU!K459,0)</f>
        <v>0</v>
      </c>
      <c r="H466" s="72">
        <f t="shared" si="8"/>
        <v>43428000</v>
      </c>
    </row>
    <row r="467" spans="2:8" hidden="1">
      <c r="B467" s="68" t="str">
        <f>IF(OR($D$3=JU!$F460,$D$3=JU!$I460),JU!B460,"")</f>
        <v/>
      </c>
      <c r="C467" s="6" t="str">
        <f>IF(OR($D$3=JU!$F460,$D$3=JU!$I460),JU!C460,"")</f>
        <v/>
      </c>
      <c r="D467" s="73" t="str">
        <f>IF(OR($D$3=JU!$F460,$D$3=JU!$I460),JU!D460,"")</f>
        <v/>
      </c>
      <c r="E467" s="74" t="str">
        <f>IF(OR($D$3=JU!$F460,$D$3=JU!$I460),JU!E460,"")</f>
        <v/>
      </c>
      <c r="F467" s="72">
        <f>IF($D$3=JU!F460,JU!H460,0)</f>
        <v>0</v>
      </c>
      <c r="G467" s="72">
        <f>IF($D$3=JU!I460,JU!K460,0)</f>
        <v>0</v>
      </c>
      <c r="H467" s="72">
        <f t="shared" si="8"/>
        <v>43428000</v>
      </c>
    </row>
    <row r="468" spans="2:8" hidden="1">
      <c r="B468" s="68" t="str">
        <f>IF(OR($D$3=JU!$F461,$D$3=JU!$I461),JU!B461,"")</f>
        <v/>
      </c>
      <c r="C468" s="6" t="str">
        <f>IF(OR($D$3=JU!$F461,$D$3=JU!$I461),JU!C461,"")</f>
        <v/>
      </c>
      <c r="D468" s="73" t="str">
        <f>IF(OR($D$3=JU!$F461,$D$3=JU!$I461),JU!D461,"")</f>
        <v/>
      </c>
      <c r="E468" s="74" t="str">
        <f>IF(OR($D$3=JU!$F461,$D$3=JU!$I461),JU!E461,"")</f>
        <v/>
      </c>
      <c r="F468" s="72">
        <f>IF($D$3=JU!F461,JU!H461,0)</f>
        <v>0</v>
      </c>
      <c r="G468" s="72">
        <f>IF($D$3=JU!I461,JU!K461,0)</f>
        <v>0</v>
      </c>
      <c r="H468" s="72">
        <f t="shared" si="8"/>
        <v>43428000</v>
      </c>
    </row>
    <row r="469" spans="2:8" hidden="1">
      <c r="B469" s="68" t="str">
        <f>IF(OR($D$3=JU!$F462,$D$3=JU!$I462),JU!B462,"")</f>
        <v/>
      </c>
      <c r="C469" s="6" t="str">
        <f>IF(OR($D$3=JU!$F462,$D$3=JU!$I462),JU!C462,"")</f>
        <v/>
      </c>
      <c r="D469" s="73" t="str">
        <f>IF(OR($D$3=JU!$F462,$D$3=JU!$I462),JU!D462,"")</f>
        <v/>
      </c>
      <c r="E469" s="74" t="str">
        <f>IF(OR($D$3=JU!$F462,$D$3=JU!$I462),JU!E462,"")</f>
        <v/>
      </c>
      <c r="F469" s="72">
        <f>IF($D$3=JU!F462,JU!H462,0)</f>
        <v>0</v>
      </c>
      <c r="G469" s="72">
        <f>IF($D$3=JU!I462,JU!K462,0)</f>
        <v>0</v>
      </c>
      <c r="H469" s="72">
        <f t="shared" si="8"/>
        <v>43428000</v>
      </c>
    </row>
    <row r="470" spans="2:8" hidden="1">
      <c r="B470" s="68" t="str">
        <f>IF(OR($D$3=JU!$F463,$D$3=JU!$I463),JU!B463,"")</f>
        <v/>
      </c>
      <c r="C470" s="6" t="str">
        <f>IF(OR($D$3=JU!$F463,$D$3=JU!$I463),JU!C463,"")</f>
        <v/>
      </c>
      <c r="D470" s="73" t="str">
        <f>IF(OR($D$3=JU!$F463,$D$3=JU!$I463),JU!D463,"")</f>
        <v/>
      </c>
      <c r="E470" s="74" t="str">
        <f>IF(OR($D$3=JU!$F463,$D$3=JU!$I463),JU!E463,"")</f>
        <v/>
      </c>
      <c r="F470" s="72">
        <f>IF($D$3=JU!F463,JU!H463,0)</f>
        <v>0</v>
      </c>
      <c r="G470" s="72">
        <f>IF($D$3=JU!I463,JU!K463,0)</f>
        <v>0</v>
      </c>
      <c r="H470" s="72">
        <f t="shared" si="8"/>
        <v>43428000</v>
      </c>
    </row>
    <row r="471" spans="2:8" hidden="1">
      <c r="B471" s="68" t="str">
        <f>IF(OR($D$3=JU!$F464,$D$3=JU!$I464),JU!B464,"")</f>
        <v/>
      </c>
      <c r="C471" s="6" t="str">
        <f>IF(OR($D$3=JU!$F464,$D$3=JU!$I464),JU!C464,"")</f>
        <v/>
      </c>
      <c r="D471" s="73" t="str">
        <f>IF(OR($D$3=JU!$F464,$D$3=JU!$I464),JU!D464,"")</f>
        <v/>
      </c>
      <c r="E471" s="74" t="str">
        <f>IF(OR($D$3=JU!$F464,$D$3=JU!$I464),JU!E464,"")</f>
        <v/>
      </c>
      <c r="F471" s="72">
        <f>IF($D$3=JU!F464,JU!H464,0)</f>
        <v>0</v>
      </c>
      <c r="G471" s="72">
        <f>IF($D$3=JU!I464,JU!K464,0)</f>
        <v>0</v>
      </c>
      <c r="H471" s="72">
        <f t="shared" si="8"/>
        <v>43428000</v>
      </c>
    </row>
    <row r="472" spans="2:8" hidden="1">
      <c r="B472" s="68" t="str">
        <f>IF(OR($D$3=JU!$F465,$D$3=JU!$I465),JU!B465,"")</f>
        <v/>
      </c>
      <c r="C472" s="6" t="str">
        <f>IF(OR($D$3=JU!$F465,$D$3=JU!$I465),JU!C465,"")</f>
        <v/>
      </c>
      <c r="D472" s="73" t="str">
        <f>IF(OR($D$3=JU!$F465,$D$3=JU!$I465),JU!D465,"")</f>
        <v/>
      </c>
      <c r="E472" s="74" t="str">
        <f>IF(OR($D$3=JU!$F465,$D$3=JU!$I465),JU!E465,"")</f>
        <v/>
      </c>
      <c r="F472" s="72">
        <f>IF($D$3=JU!F465,JU!H465,0)</f>
        <v>0</v>
      </c>
      <c r="G472" s="72">
        <f>IF($D$3=JU!I465,JU!K465,0)</f>
        <v>0</v>
      </c>
      <c r="H472" s="72">
        <f t="shared" si="8"/>
        <v>43428000</v>
      </c>
    </row>
    <row r="473" spans="2:8" hidden="1">
      <c r="B473" s="68" t="str">
        <f>IF(OR($D$3=JU!$F466,$D$3=JU!$I466),JU!B466,"")</f>
        <v/>
      </c>
      <c r="C473" s="6" t="str">
        <f>IF(OR($D$3=JU!$F466,$D$3=JU!$I466),JU!C466,"")</f>
        <v/>
      </c>
      <c r="D473" s="73" t="str">
        <f>IF(OR($D$3=JU!$F466,$D$3=JU!$I466),JU!D466,"")</f>
        <v/>
      </c>
      <c r="E473" s="74" t="str">
        <f>IF(OR($D$3=JU!$F466,$D$3=JU!$I466),JU!E466,"")</f>
        <v/>
      </c>
      <c r="F473" s="72">
        <f>IF($D$3=JU!F466,JU!H466,0)</f>
        <v>0</v>
      </c>
      <c r="G473" s="72">
        <f>IF($D$3=JU!I466,JU!K466,0)</f>
        <v>0</v>
      </c>
      <c r="H473" s="72">
        <f t="shared" si="8"/>
        <v>43428000</v>
      </c>
    </row>
    <row r="474" spans="2:8" hidden="1">
      <c r="B474" s="68" t="str">
        <f>IF(OR($D$3=JU!$F467,$D$3=JU!$I467),JU!B467,"")</f>
        <v/>
      </c>
      <c r="C474" s="6" t="str">
        <f>IF(OR($D$3=JU!$F467,$D$3=JU!$I467),JU!C467,"")</f>
        <v/>
      </c>
      <c r="D474" s="73" t="str">
        <f>IF(OR($D$3=JU!$F467,$D$3=JU!$I467),JU!D467,"")</f>
        <v/>
      </c>
      <c r="E474" s="74" t="str">
        <f>IF(OR($D$3=JU!$F467,$D$3=JU!$I467),JU!E467,"")</f>
        <v/>
      </c>
      <c r="F474" s="72">
        <f>IF($D$3=JU!F467,JU!H467,0)</f>
        <v>0</v>
      </c>
      <c r="G474" s="72">
        <f>IF($D$3=JU!I467,JU!K467,0)</f>
        <v>0</v>
      </c>
      <c r="H474" s="72">
        <f t="shared" si="8"/>
        <v>43428000</v>
      </c>
    </row>
    <row r="475" spans="2:8" hidden="1">
      <c r="B475" s="68" t="str">
        <f>IF(OR($D$3=JU!$F468,$D$3=JU!$I468),JU!B468,"")</f>
        <v/>
      </c>
      <c r="C475" s="6" t="str">
        <f>IF(OR($D$3=JU!$F468,$D$3=JU!$I468),JU!C468,"")</f>
        <v/>
      </c>
      <c r="D475" s="73" t="str">
        <f>IF(OR($D$3=JU!$F468,$D$3=JU!$I468),JU!D468,"")</f>
        <v/>
      </c>
      <c r="E475" s="74" t="str">
        <f>IF(OR($D$3=JU!$F468,$D$3=JU!$I468),JU!E468,"")</f>
        <v/>
      </c>
      <c r="F475" s="72">
        <f>IF($D$3=JU!F468,JU!H468,0)</f>
        <v>0</v>
      </c>
      <c r="G475" s="72">
        <f>IF($D$3=JU!I468,JU!K468,0)</f>
        <v>0</v>
      </c>
      <c r="H475" s="72">
        <f t="shared" si="8"/>
        <v>43428000</v>
      </c>
    </row>
    <row r="476" spans="2:8" hidden="1">
      <c r="B476" s="68" t="str">
        <f>IF(OR($D$3=JU!$F469,$D$3=JU!$I469),JU!B469,"")</f>
        <v/>
      </c>
      <c r="C476" s="6" t="str">
        <f>IF(OR($D$3=JU!$F469,$D$3=JU!$I469),JU!C469,"")</f>
        <v/>
      </c>
      <c r="D476" s="73" t="str">
        <f>IF(OR($D$3=JU!$F469,$D$3=JU!$I469),JU!D469,"")</f>
        <v/>
      </c>
      <c r="E476" s="74" t="str">
        <f>IF(OR($D$3=JU!$F469,$D$3=JU!$I469),JU!E469,"")</f>
        <v/>
      </c>
      <c r="F476" s="72">
        <f>IF($D$3=JU!F469,JU!H469,0)</f>
        <v>0</v>
      </c>
      <c r="G476" s="72">
        <f>IF($D$3=JU!I469,JU!K469,0)</f>
        <v>0</v>
      </c>
      <c r="H476" s="72">
        <f t="shared" si="8"/>
        <v>43428000</v>
      </c>
    </row>
    <row r="477" spans="2:8" hidden="1">
      <c r="B477" s="68" t="str">
        <f>IF(OR($D$3=JU!$F470,$D$3=JU!$I470),JU!B470,"")</f>
        <v/>
      </c>
      <c r="C477" s="6" t="str">
        <f>IF(OR($D$3=JU!$F470,$D$3=JU!$I470),JU!C470,"")</f>
        <v/>
      </c>
      <c r="D477" s="73" t="str">
        <f>IF(OR($D$3=JU!$F470,$D$3=JU!$I470),JU!D470,"")</f>
        <v/>
      </c>
      <c r="E477" s="74" t="str">
        <f>IF(OR($D$3=JU!$F470,$D$3=JU!$I470),JU!E470,"")</f>
        <v/>
      </c>
      <c r="F477" s="72">
        <f>IF($D$3=JU!F470,JU!H470,0)</f>
        <v>0</v>
      </c>
      <c r="G477" s="72">
        <f>IF($D$3=JU!I470,JU!K470,0)</f>
        <v>0</v>
      </c>
      <c r="H477" s="72">
        <f t="shared" si="8"/>
        <v>43428000</v>
      </c>
    </row>
    <row r="478" spans="2:8" hidden="1">
      <c r="B478" s="68" t="str">
        <f>IF(OR($D$3=JU!$F471,$D$3=JU!$I471),JU!B471,"")</f>
        <v/>
      </c>
      <c r="C478" s="6" t="str">
        <f>IF(OR($D$3=JU!$F471,$D$3=JU!$I471),JU!C471,"")</f>
        <v/>
      </c>
      <c r="D478" s="73" t="str">
        <f>IF(OR($D$3=JU!$F471,$D$3=JU!$I471),JU!D471,"")</f>
        <v/>
      </c>
      <c r="E478" s="74" t="str">
        <f>IF(OR($D$3=JU!$F471,$D$3=JU!$I471),JU!E471,"")</f>
        <v/>
      </c>
      <c r="F478" s="72">
        <f>IF($D$3=JU!F471,JU!H471,0)</f>
        <v>0</v>
      </c>
      <c r="G478" s="72">
        <f>IF($D$3=JU!I471,JU!K471,0)</f>
        <v>0</v>
      </c>
      <c r="H478" s="72">
        <f t="shared" si="8"/>
        <v>43428000</v>
      </c>
    </row>
    <row r="479" spans="2:8" hidden="1">
      <c r="B479" s="68" t="str">
        <f>IF(OR($D$3=JU!$F472,$D$3=JU!$I472),JU!B472,"")</f>
        <v/>
      </c>
      <c r="C479" s="6" t="str">
        <f>IF(OR($D$3=JU!$F472,$D$3=JU!$I472),JU!C472,"")</f>
        <v/>
      </c>
      <c r="D479" s="73" t="str">
        <f>IF(OR($D$3=JU!$F472,$D$3=JU!$I472),JU!D472,"")</f>
        <v/>
      </c>
      <c r="E479" s="74" t="str">
        <f>IF(OR($D$3=JU!$F472,$D$3=JU!$I472),JU!E472,"")</f>
        <v/>
      </c>
      <c r="F479" s="72">
        <f>IF($D$3=JU!F472,JU!H472,0)</f>
        <v>0</v>
      </c>
      <c r="G479" s="72">
        <f>IF($D$3=JU!I472,JU!K472,0)</f>
        <v>0</v>
      </c>
      <c r="H479" s="72">
        <f t="shared" si="8"/>
        <v>43428000</v>
      </c>
    </row>
    <row r="480" spans="2:8" hidden="1">
      <c r="B480" s="68" t="str">
        <f>IF(OR($D$3=JU!$F473,$D$3=JU!$I473),JU!B473,"")</f>
        <v/>
      </c>
      <c r="C480" s="6" t="str">
        <f>IF(OR($D$3=JU!$F473,$D$3=JU!$I473),JU!C473,"")</f>
        <v/>
      </c>
      <c r="D480" s="73" t="str">
        <f>IF(OR($D$3=JU!$F473,$D$3=JU!$I473),JU!D473,"")</f>
        <v/>
      </c>
      <c r="E480" s="74" t="str">
        <f>IF(OR($D$3=JU!$F473,$D$3=JU!$I473),JU!E473,"")</f>
        <v/>
      </c>
      <c r="F480" s="72">
        <f>IF($D$3=JU!F473,JU!H473,0)</f>
        <v>0</v>
      </c>
      <c r="G480" s="72">
        <f>IF($D$3=JU!I473,JU!K473,0)</f>
        <v>0</v>
      </c>
      <c r="H480" s="72">
        <f t="shared" si="8"/>
        <v>43428000</v>
      </c>
    </row>
    <row r="481" spans="2:8" hidden="1">
      <c r="B481" s="68" t="str">
        <f>IF(OR($D$3=JU!$F474,$D$3=JU!$I474),JU!B474,"")</f>
        <v/>
      </c>
      <c r="C481" s="6" t="str">
        <f>IF(OR($D$3=JU!$F474,$D$3=JU!$I474),JU!C474,"")</f>
        <v/>
      </c>
      <c r="D481" s="73" t="str">
        <f>IF(OR($D$3=JU!$F474,$D$3=JU!$I474),JU!D474,"")</f>
        <v/>
      </c>
      <c r="E481" s="74" t="str">
        <f>IF(OR($D$3=JU!$F474,$D$3=JU!$I474),JU!E474,"")</f>
        <v/>
      </c>
      <c r="F481" s="72">
        <f>IF($D$3=JU!F474,JU!H474,0)</f>
        <v>0</v>
      </c>
      <c r="G481" s="72">
        <f>IF($D$3=JU!I474,JU!K474,0)</f>
        <v>0</v>
      </c>
      <c r="H481" s="72">
        <f t="shared" si="8"/>
        <v>43428000</v>
      </c>
    </row>
    <row r="482" spans="2:8" hidden="1">
      <c r="B482" s="68" t="str">
        <f>IF(OR($D$3=JU!$F475,$D$3=JU!$I475),JU!B475,"")</f>
        <v/>
      </c>
      <c r="C482" s="6" t="str">
        <f>IF(OR($D$3=JU!$F475,$D$3=JU!$I475),JU!C475,"")</f>
        <v/>
      </c>
      <c r="D482" s="73" t="str">
        <f>IF(OR($D$3=JU!$F475,$D$3=JU!$I475),JU!D475,"")</f>
        <v/>
      </c>
      <c r="E482" s="74" t="str">
        <f>IF(OR($D$3=JU!$F475,$D$3=JU!$I475),JU!E475,"")</f>
        <v/>
      </c>
      <c r="F482" s="72">
        <f>IF($D$3=JU!F475,JU!H475,0)</f>
        <v>0</v>
      </c>
      <c r="G482" s="72">
        <f>IF($D$3=JU!I475,JU!K475,0)</f>
        <v>0</v>
      </c>
      <c r="H482" s="72">
        <f t="shared" si="8"/>
        <v>43428000</v>
      </c>
    </row>
    <row r="483" spans="2:8" hidden="1">
      <c r="B483" s="68" t="str">
        <f>IF(OR($D$3=JU!$F476,$D$3=JU!$I476),JU!B476,"")</f>
        <v/>
      </c>
      <c r="C483" s="6" t="str">
        <f>IF(OR($D$3=JU!$F476,$D$3=JU!$I476),JU!C476,"")</f>
        <v/>
      </c>
      <c r="D483" s="73" t="str">
        <f>IF(OR($D$3=JU!$F476,$D$3=JU!$I476),JU!D476,"")</f>
        <v/>
      </c>
      <c r="E483" s="74" t="str">
        <f>IF(OR($D$3=JU!$F476,$D$3=JU!$I476),JU!E476,"")</f>
        <v/>
      </c>
      <c r="F483" s="72">
        <f>IF($D$3=JU!F476,JU!H476,0)</f>
        <v>0</v>
      </c>
      <c r="G483" s="72">
        <f>IF($D$3=JU!I476,JU!K476,0)</f>
        <v>0</v>
      </c>
      <c r="H483" s="72">
        <f t="shared" si="8"/>
        <v>43428000</v>
      </c>
    </row>
    <row r="484" spans="2:8" hidden="1">
      <c r="B484" s="68" t="str">
        <f>IF(OR($D$3=JU!$F477,$D$3=JU!$I477),JU!B477,"")</f>
        <v/>
      </c>
      <c r="C484" s="6" t="str">
        <f>IF(OR($D$3=JU!$F477,$D$3=JU!$I477),JU!C477,"")</f>
        <v/>
      </c>
      <c r="D484" s="73" t="str">
        <f>IF(OR($D$3=JU!$F477,$D$3=JU!$I477),JU!D477,"")</f>
        <v/>
      </c>
      <c r="E484" s="74" t="str">
        <f>IF(OR($D$3=JU!$F477,$D$3=JU!$I477),JU!E477,"")</f>
        <v/>
      </c>
      <c r="F484" s="72">
        <f>IF($D$3=JU!F477,JU!H477,0)</f>
        <v>0</v>
      </c>
      <c r="G484" s="72">
        <f>IF($D$3=JU!I477,JU!K477,0)</f>
        <v>0</v>
      </c>
      <c r="H484" s="72">
        <f t="shared" si="8"/>
        <v>43428000</v>
      </c>
    </row>
    <row r="485" spans="2:8" hidden="1">
      <c r="B485" s="68" t="str">
        <f>IF(OR($D$3=JU!$F478,$D$3=JU!$I478),JU!B478,"")</f>
        <v/>
      </c>
      <c r="C485" s="6" t="str">
        <f>IF(OR($D$3=JU!$F478,$D$3=JU!$I478),JU!C478,"")</f>
        <v/>
      </c>
      <c r="D485" s="73" t="str">
        <f>IF(OR($D$3=JU!$F478,$D$3=JU!$I478),JU!D478,"")</f>
        <v/>
      </c>
      <c r="E485" s="74" t="str">
        <f>IF(OR($D$3=JU!$F478,$D$3=JU!$I478),JU!E478,"")</f>
        <v/>
      </c>
      <c r="F485" s="72">
        <f>IF($D$3=JU!F478,JU!H478,0)</f>
        <v>0</v>
      </c>
      <c r="G485" s="72">
        <f>IF($D$3=JU!I478,JU!K478,0)</f>
        <v>0</v>
      </c>
      <c r="H485" s="72">
        <f t="shared" si="8"/>
        <v>43428000</v>
      </c>
    </row>
    <row r="486" spans="2:8" hidden="1">
      <c r="B486" s="68" t="str">
        <f>IF(OR($D$3=JU!$F479,$D$3=JU!$I479),JU!B479,"")</f>
        <v/>
      </c>
      <c r="C486" s="6" t="str">
        <f>IF(OR($D$3=JU!$F479,$D$3=JU!$I479),JU!C479,"")</f>
        <v/>
      </c>
      <c r="D486" s="73" t="str">
        <f>IF(OR($D$3=JU!$F479,$D$3=JU!$I479),JU!D479,"")</f>
        <v/>
      </c>
      <c r="E486" s="74" t="str">
        <f>IF(OR($D$3=JU!$F479,$D$3=JU!$I479),JU!E479,"")</f>
        <v/>
      </c>
      <c r="F486" s="72">
        <f>IF($D$3=JU!F479,JU!H479,0)</f>
        <v>0</v>
      </c>
      <c r="G486" s="72">
        <f>IF($D$3=JU!I479,JU!K479,0)</f>
        <v>0</v>
      </c>
      <c r="H486" s="72">
        <f t="shared" si="8"/>
        <v>43428000</v>
      </c>
    </row>
    <row r="487" spans="2:8" hidden="1">
      <c r="B487" s="68" t="str">
        <f>IF(OR($D$3=JU!$F480,$D$3=JU!$I480),JU!B480,"")</f>
        <v/>
      </c>
      <c r="C487" s="6" t="str">
        <f>IF(OR($D$3=JU!$F480,$D$3=JU!$I480),JU!C480,"")</f>
        <v/>
      </c>
      <c r="D487" s="73" t="str">
        <f>IF(OR($D$3=JU!$F480,$D$3=JU!$I480),JU!D480,"")</f>
        <v/>
      </c>
      <c r="E487" s="74" t="str">
        <f>IF(OR($D$3=JU!$F480,$D$3=JU!$I480),JU!E480,"")</f>
        <v/>
      </c>
      <c r="F487" s="72">
        <f>IF($D$3=JU!F480,JU!H480,0)</f>
        <v>0</v>
      </c>
      <c r="G487" s="72">
        <f>IF($D$3=JU!I480,JU!K480,0)</f>
        <v>0</v>
      </c>
      <c r="H487" s="72">
        <f t="shared" si="8"/>
        <v>43428000</v>
      </c>
    </row>
    <row r="488" spans="2:8" hidden="1">
      <c r="B488" s="68" t="str">
        <f>IF(OR($D$3=JU!$F481,$D$3=JU!$I481),JU!B481,"")</f>
        <v/>
      </c>
      <c r="C488" s="6" t="str">
        <f>IF(OR($D$3=JU!$F481,$D$3=JU!$I481),JU!C481,"")</f>
        <v/>
      </c>
      <c r="D488" s="73" t="str">
        <f>IF(OR($D$3=JU!$F481,$D$3=JU!$I481),JU!D481,"")</f>
        <v/>
      </c>
      <c r="E488" s="74" t="str">
        <f>IF(OR($D$3=JU!$F481,$D$3=JU!$I481),JU!E481,"")</f>
        <v/>
      </c>
      <c r="F488" s="72">
        <f>IF($D$3=JU!F481,JU!H481,0)</f>
        <v>0</v>
      </c>
      <c r="G488" s="72">
        <f>IF($D$3=JU!I481,JU!K481,0)</f>
        <v>0</v>
      </c>
      <c r="H488" s="72">
        <f t="shared" si="8"/>
        <v>43428000</v>
      </c>
    </row>
    <row r="489" spans="2:8" hidden="1">
      <c r="B489" s="68" t="str">
        <f>IF(OR($D$3=JU!$F482,$D$3=JU!$I482),JU!B482,"")</f>
        <v/>
      </c>
      <c r="C489" s="6" t="str">
        <f>IF(OR($D$3=JU!$F482,$D$3=JU!$I482),JU!C482,"")</f>
        <v/>
      </c>
      <c r="D489" s="73" t="str">
        <f>IF(OR($D$3=JU!$F482,$D$3=JU!$I482),JU!D482,"")</f>
        <v/>
      </c>
      <c r="E489" s="74" t="str">
        <f>IF(OR($D$3=JU!$F482,$D$3=JU!$I482),JU!E482,"")</f>
        <v/>
      </c>
      <c r="F489" s="72">
        <f>IF($D$3=JU!F482,JU!H482,0)</f>
        <v>0</v>
      </c>
      <c r="G489" s="72">
        <f>IF($D$3=JU!I482,JU!K482,0)</f>
        <v>0</v>
      </c>
      <c r="H489" s="72">
        <f t="shared" si="8"/>
        <v>43428000</v>
      </c>
    </row>
    <row r="490" spans="2:8" hidden="1">
      <c r="B490" s="68" t="str">
        <f>IF(OR($D$3=JU!$F483,$D$3=JU!$I483),JU!B483,"")</f>
        <v/>
      </c>
      <c r="C490" s="6" t="str">
        <f>IF(OR($D$3=JU!$F483,$D$3=JU!$I483),JU!C483,"")</f>
        <v/>
      </c>
      <c r="D490" s="73" t="str">
        <f>IF(OR($D$3=JU!$F483,$D$3=JU!$I483),JU!D483,"")</f>
        <v/>
      </c>
      <c r="E490" s="74" t="str">
        <f>IF(OR($D$3=JU!$F483,$D$3=JU!$I483),JU!E483,"")</f>
        <v/>
      </c>
      <c r="F490" s="72">
        <f>IF($D$3=JU!F483,JU!H483,0)</f>
        <v>0</v>
      </c>
      <c r="G490" s="72">
        <f>IF($D$3=JU!I483,JU!K483,0)</f>
        <v>0</v>
      </c>
      <c r="H490" s="72">
        <f t="shared" si="8"/>
        <v>43428000</v>
      </c>
    </row>
    <row r="491" spans="2:8" hidden="1">
      <c r="B491" s="68" t="str">
        <f>IF(OR($D$3=JU!$F484,$D$3=JU!$I484),JU!B484,"")</f>
        <v/>
      </c>
      <c r="C491" s="6" t="str">
        <f>IF(OR($D$3=JU!$F484,$D$3=JU!$I484),JU!C484,"")</f>
        <v/>
      </c>
      <c r="D491" s="73" t="str">
        <f>IF(OR($D$3=JU!$F484,$D$3=JU!$I484),JU!D484,"")</f>
        <v/>
      </c>
      <c r="E491" s="74" t="str">
        <f>IF(OR($D$3=JU!$F484,$D$3=JU!$I484),JU!E484,"")</f>
        <v/>
      </c>
      <c r="F491" s="72">
        <f>IF($D$3=JU!F484,JU!H484,0)</f>
        <v>0</v>
      </c>
      <c r="G491" s="72">
        <f>IF($D$3=JU!I484,JU!K484,0)</f>
        <v>0</v>
      </c>
      <c r="H491" s="72">
        <f t="shared" si="8"/>
        <v>43428000</v>
      </c>
    </row>
    <row r="492" spans="2:8" hidden="1">
      <c r="B492" s="68" t="str">
        <f>IF(OR($D$3=JU!$F485,$D$3=JU!$I485),JU!B485,"")</f>
        <v/>
      </c>
      <c r="C492" s="6" t="str">
        <f>IF(OR($D$3=JU!$F485,$D$3=JU!$I485),JU!C485,"")</f>
        <v/>
      </c>
      <c r="D492" s="73" t="str">
        <f>IF(OR($D$3=JU!$F485,$D$3=JU!$I485),JU!D485,"")</f>
        <v/>
      </c>
      <c r="E492" s="74" t="str">
        <f>IF(OR($D$3=JU!$F485,$D$3=JU!$I485),JU!E485,"")</f>
        <v/>
      </c>
      <c r="F492" s="72">
        <f>IF($D$3=JU!F485,JU!H485,0)</f>
        <v>0</v>
      </c>
      <c r="G492" s="72">
        <f>IF($D$3=JU!I485,JU!K485,0)</f>
        <v>0</v>
      </c>
      <c r="H492" s="72">
        <f t="shared" si="8"/>
        <v>43428000</v>
      </c>
    </row>
    <row r="493" spans="2:8" hidden="1">
      <c r="B493" s="68" t="str">
        <f>IF(OR($D$3=JU!$F486,$D$3=JU!$I486),JU!B486,"")</f>
        <v/>
      </c>
      <c r="C493" s="6" t="str">
        <f>IF(OR($D$3=JU!$F486,$D$3=JU!$I486),JU!C486,"")</f>
        <v/>
      </c>
      <c r="D493" s="73" t="str">
        <f>IF(OR($D$3=JU!$F486,$D$3=JU!$I486),JU!D486,"")</f>
        <v/>
      </c>
      <c r="E493" s="74" t="str">
        <f>IF(OR($D$3=JU!$F486,$D$3=JU!$I486),JU!E486,"")</f>
        <v/>
      </c>
      <c r="F493" s="72">
        <f>IF($D$3=JU!F486,JU!H486,0)</f>
        <v>0</v>
      </c>
      <c r="G493" s="72">
        <f>IF($D$3=JU!I486,JU!K486,0)</f>
        <v>0</v>
      </c>
      <c r="H493" s="72">
        <f t="shared" si="8"/>
        <v>43428000</v>
      </c>
    </row>
    <row r="494" spans="2:8" hidden="1">
      <c r="B494" s="68" t="str">
        <f>IF(OR($D$3=JU!$F487,$D$3=JU!$I487),JU!B487,"")</f>
        <v/>
      </c>
      <c r="C494" s="6" t="str">
        <f>IF(OR($D$3=JU!$F487,$D$3=JU!$I487),JU!C487,"")</f>
        <v/>
      </c>
      <c r="D494" s="73" t="str">
        <f>IF(OR($D$3=JU!$F487,$D$3=JU!$I487),JU!D487,"")</f>
        <v/>
      </c>
      <c r="E494" s="74" t="str">
        <f>IF(OR($D$3=JU!$F487,$D$3=JU!$I487),JU!E487,"")</f>
        <v/>
      </c>
      <c r="F494" s="72">
        <f>IF($D$3=JU!F487,JU!H487,0)</f>
        <v>0</v>
      </c>
      <c r="G494" s="72">
        <f>IF($D$3=JU!I487,JU!K487,0)</f>
        <v>0</v>
      </c>
      <c r="H494" s="72">
        <f t="shared" si="8"/>
        <v>43428000</v>
      </c>
    </row>
    <row r="495" spans="2:8" hidden="1">
      <c r="B495" s="68" t="str">
        <f>IF(OR($D$3=JU!$F488,$D$3=JU!$I488),JU!B488,"")</f>
        <v/>
      </c>
      <c r="C495" s="6" t="str">
        <f>IF(OR($D$3=JU!$F488,$D$3=JU!$I488),JU!C488,"")</f>
        <v/>
      </c>
      <c r="D495" s="73" t="str">
        <f>IF(OR($D$3=JU!$F488,$D$3=JU!$I488),JU!D488,"")</f>
        <v/>
      </c>
      <c r="E495" s="74" t="str">
        <f>IF(OR($D$3=JU!$F488,$D$3=JU!$I488),JU!E488,"")</f>
        <v/>
      </c>
      <c r="F495" s="72">
        <f>IF($D$3=JU!F488,JU!H488,0)</f>
        <v>0</v>
      </c>
      <c r="G495" s="72">
        <f>IF($D$3=JU!I488,JU!K488,0)</f>
        <v>0</v>
      </c>
      <c r="H495" s="72">
        <f t="shared" si="8"/>
        <v>43428000</v>
      </c>
    </row>
    <row r="496" spans="2:8" hidden="1">
      <c r="B496" s="68" t="str">
        <f>IF(OR($D$3=JU!$F489,$D$3=JU!$I489),JU!B489,"")</f>
        <v/>
      </c>
      <c r="C496" s="6" t="str">
        <f>IF(OR($D$3=JU!$F489,$D$3=JU!$I489),JU!C489,"")</f>
        <v/>
      </c>
      <c r="D496" s="73" t="str">
        <f>IF(OR($D$3=JU!$F489,$D$3=JU!$I489),JU!D489,"")</f>
        <v/>
      </c>
      <c r="E496" s="74" t="str">
        <f>IF(OR($D$3=JU!$F489,$D$3=JU!$I489),JU!E489,"")</f>
        <v/>
      </c>
      <c r="F496" s="72">
        <f>IF($D$3=JU!F489,JU!H489,0)</f>
        <v>0</v>
      </c>
      <c r="G496" s="72">
        <f>IF($D$3=JU!I489,JU!K489,0)</f>
        <v>0</v>
      </c>
      <c r="H496" s="72">
        <f t="shared" si="8"/>
        <v>43428000</v>
      </c>
    </row>
    <row r="497" spans="2:8" hidden="1">
      <c r="B497" s="68" t="str">
        <f>IF(OR($D$3=JU!$F490,$D$3=JU!$I490),JU!B490,"")</f>
        <v/>
      </c>
      <c r="C497" s="6" t="str">
        <f>IF(OR($D$3=JU!$F490,$D$3=JU!$I490),JU!C490,"")</f>
        <v/>
      </c>
      <c r="D497" s="73" t="str">
        <f>IF(OR($D$3=JU!$F490,$D$3=JU!$I490),JU!D490,"")</f>
        <v/>
      </c>
      <c r="E497" s="74" t="str">
        <f>IF(OR($D$3=JU!$F490,$D$3=JU!$I490),JU!E490,"")</f>
        <v/>
      </c>
      <c r="F497" s="72">
        <f>IF($D$3=JU!F490,JU!H490,0)</f>
        <v>0</v>
      </c>
      <c r="G497" s="72">
        <f>IF($D$3=JU!I490,JU!K490,0)</f>
        <v>0</v>
      </c>
      <c r="H497" s="72">
        <f t="shared" si="8"/>
        <v>43428000</v>
      </c>
    </row>
    <row r="498" spans="2:8" hidden="1">
      <c r="B498" s="68" t="str">
        <f>IF(OR($D$3=JU!$F491,$D$3=JU!$I491),JU!B491,"")</f>
        <v/>
      </c>
      <c r="C498" s="6" t="str">
        <f>IF(OR($D$3=JU!$F491,$D$3=JU!$I491),JU!C491,"")</f>
        <v/>
      </c>
      <c r="D498" s="73" t="str">
        <f>IF(OR($D$3=JU!$F491,$D$3=JU!$I491),JU!D491,"")</f>
        <v/>
      </c>
      <c r="E498" s="74" t="str">
        <f>IF(OR($D$3=JU!$F491,$D$3=JU!$I491),JU!E491,"")</f>
        <v/>
      </c>
      <c r="F498" s="72">
        <f>IF($D$3=JU!F491,JU!H491,0)</f>
        <v>0</v>
      </c>
      <c r="G498" s="72">
        <f>IF($D$3=JU!I491,JU!K491,0)</f>
        <v>0</v>
      </c>
      <c r="H498" s="72">
        <f t="shared" si="8"/>
        <v>43428000</v>
      </c>
    </row>
    <row r="499" spans="2:8" hidden="1">
      <c r="B499" s="68" t="str">
        <f>IF(OR($D$3=JU!$F492,$D$3=JU!$I492),JU!B492,"")</f>
        <v/>
      </c>
      <c r="C499" s="6" t="str">
        <f>IF(OR($D$3=JU!$F492,$D$3=JU!$I492),JU!C492,"")</f>
        <v/>
      </c>
      <c r="D499" s="73" t="str">
        <f>IF(OR($D$3=JU!$F492,$D$3=JU!$I492),JU!D492,"")</f>
        <v/>
      </c>
      <c r="E499" s="74" t="str">
        <f>IF(OR($D$3=JU!$F492,$D$3=JU!$I492),JU!E492,"")</f>
        <v/>
      </c>
      <c r="F499" s="72">
        <f>IF($D$3=JU!F492,JU!H492,0)</f>
        <v>0</v>
      </c>
      <c r="G499" s="72">
        <f>IF($D$3=JU!I492,JU!K492,0)</f>
        <v>0</v>
      </c>
      <c r="H499" s="72">
        <f t="shared" si="8"/>
        <v>43428000</v>
      </c>
    </row>
    <row r="500" spans="2:8" hidden="1">
      <c r="B500" s="68" t="str">
        <f>IF(OR($D$3=JU!$F493,$D$3=JU!$I493),JU!B493,"")</f>
        <v/>
      </c>
      <c r="C500" s="6" t="str">
        <f>IF(OR($D$3=JU!$F493,$D$3=JU!$I493),JU!C493,"")</f>
        <v/>
      </c>
      <c r="D500" s="73" t="str">
        <f>IF(OR($D$3=JU!$F493,$D$3=JU!$I493),JU!D493,"")</f>
        <v/>
      </c>
      <c r="E500" s="74" t="str">
        <f>IF(OR($D$3=JU!$F493,$D$3=JU!$I493),JU!E493,"")</f>
        <v/>
      </c>
      <c r="F500" s="72">
        <f>IF($D$3=JU!F493,JU!H493,0)</f>
        <v>0</v>
      </c>
      <c r="G500" s="72">
        <f>IF($D$3=JU!I493,JU!K493,0)</f>
        <v>0</v>
      </c>
      <c r="H500" s="72">
        <f t="shared" si="8"/>
        <v>43428000</v>
      </c>
    </row>
    <row r="501" spans="2:8" hidden="1">
      <c r="B501" s="68" t="str">
        <f>IF(OR($D$3=JU!$F494,$D$3=JU!$I494),JU!B494,"")</f>
        <v/>
      </c>
      <c r="C501" s="6" t="str">
        <f>IF(OR($D$3=JU!$F494,$D$3=JU!$I494),JU!C494,"")</f>
        <v/>
      </c>
      <c r="D501" s="73" t="str">
        <f>IF(OR($D$3=JU!$F494,$D$3=JU!$I494),JU!D494,"")</f>
        <v/>
      </c>
      <c r="E501" s="74" t="str">
        <f>IF(OR($D$3=JU!$F494,$D$3=JU!$I494),JU!E494,"")</f>
        <v/>
      </c>
      <c r="F501" s="72">
        <f>IF($D$3=JU!F494,JU!H494,0)</f>
        <v>0</v>
      </c>
      <c r="G501" s="72">
        <f>IF($D$3=JU!I494,JU!K494,0)</f>
        <v>0</v>
      </c>
      <c r="H501" s="72">
        <f t="shared" si="8"/>
        <v>43428000</v>
      </c>
    </row>
    <row r="502" spans="2:8" hidden="1">
      <c r="B502" s="68" t="str">
        <f>IF(OR($D$3=JU!$F495,$D$3=JU!$I495),JU!B495,"")</f>
        <v/>
      </c>
      <c r="C502" s="6" t="str">
        <f>IF(OR($D$3=JU!$F495,$D$3=JU!$I495),JU!C495,"")</f>
        <v/>
      </c>
      <c r="D502" s="73" t="str">
        <f>IF(OR($D$3=JU!$F495,$D$3=JU!$I495),JU!D495,"")</f>
        <v/>
      </c>
      <c r="E502" s="74" t="str">
        <f>IF(OR($D$3=JU!$F495,$D$3=JU!$I495),JU!E495,"")</f>
        <v/>
      </c>
      <c r="F502" s="72">
        <f>IF($D$3=JU!F495,JU!H495,0)</f>
        <v>0</v>
      </c>
      <c r="G502" s="72">
        <f>IF($D$3=JU!I495,JU!K495,0)</f>
        <v>0</v>
      </c>
      <c r="H502" s="72">
        <f t="shared" si="8"/>
        <v>43428000</v>
      </c>
    </row>
    <row r="503" spans="2:8" hidden="1">
      <c r="B503" s="68" t="str">
        <f>IF(OR($D$3=JU!$F496,$D$3=JU!$I496),JU!B496,"")</f>
        <v/>
      </c>
      <c r="C503" s="6" t="str">
        <f>IF(OR($D$3=JU!$F496,$D$3=JU!$I496),JU!C496,"")</f>
        <v/>
      </c>
      <c r="D503" s="73" t="str">
        <f>IF(OR($D$3=JU!$F496,$D$3=JU!$I496),JU!D496,"")</f>
        <v/>
      </c>
      <c r="E503" s="74" t="str">
        <f>IF(OR($D$3=JU!$F496,$D$3=JU!$I496),JU!E496,"")</f>
        <v/>
      </c>
      <c r="F503" s="72">
        <f>IF($D$3=JU!F496,JU!H496,0)</f>
        <v>0</v>
      </c>
      <c r="G503" s="72">
        <f>IF($D$3=JU!I496,JU!K496,0)</f>
        <v>0</v>
      </c>
      <c r="H503" s="72">
        <f t="shared" si="8"/>
        <v>43428000</v>
      </c>
    </row>
    <row r="504" spans="2:8" hidden="1">
      <c r="B504" s="68" t="str">
        <f>IF(OR($D$3=JU!$F497,$D$3=JU!$I497),JU!B497,"")</f>
        <v/>
      </c>
      <c r="C504" s="6" t="str">
        <f>IF(OR($D$3=JU!$F497,$D$3=JU!$I497),JU!C497,"")</f>
        <v/>
      </c>
      <c r="D504" s="73" t="str">
        <f>IF(OR($D$3=JU!$F497,$D$3=JU!$I497),JU!D497,"")</f>
        <v/>
      </c>
      <c r="E504" s="74" t="str">
        <f>IF(OR($D$3=JU!$F497,$D$3=JU!$I497),JU!E497,"")</f>
        <v/>
      </c>
      <c r="F504" s="72">
        <f>IF($D$3=JU!F497,JU!H497,0)</f>
        <v>0</v>
      </c>
      <c r="G504" s="72">
        <f>IF($D$3=JU!I497,JU!K497,0)</f>
        <v>0</v>
      </c>
      <c r="H504" s="72">
        <f t="shared" si="8"/>
        <v>43428000</v>
      </c>
    </row>
    <row r="505" spans="2:8" hidden="1">
      <c r="B505" s="68" t="str">
        <f>IF(OR($D$3=JU!$F498,$D$3=JU!$I498),JU!B498,"")</f>
        <v/>
      </c>
      <c r="C505" s="6" t="str">
        <f>IF(OR($D$3=JU!$F498,$D$3=JU!$I498),JU!C498,"")</f>
        <v/>
      </c>
      <c r="D505" s="73" t="str">
        <f>IF(OR($D$3=JU!$F498,$D$3=JU!$I498),JU!D498,"")</f>
        <v/>
      </c>
      <c r="E505" s="74" t="str">
        <f>IF(OR($D$3=JU!$F498,$D$3=JU!$I498),JU!E498,"")</f>
        <v/>
      </c>
      <c r="F505" s="72">
        <f>IF($D$3=JU!F498,JU!H498,0)</f>
        <v>0</v>
      </c>
      <c r="G505" s="72">
        <f>IF($D$3=JU!I498,JU!K498,0)</f>
        <v>0</v>
      </c>
      <c r="H505" s="72">
        <f t="shared" si="8"/>
        <v>43428000</v>
      </c>
    </row>
    <row r="506" spans="2:8" hidden="1">
      <c r="B506" s="68" t="str">
        <f>IF(OR($D$3=JU!$F499,$D$3=JU!$I499),JU!B499,"")</f>
        <v/>
      </c>
      <c r="C506" s="6" t="str">
        <f>IF(OR($D$3=JU!$F499,$D$3=JU!$I499),JU!C499,"")</f>
        <v/>
      </c>
      <c r="D506" s="73" t="str">
        <f>IF(OR($D$3=JU!$F499,$D$3=JU!$I499),JU!D499,"")</f>
        <v/>
      </c>
      <c r="E506" s="74" t="str">
        <f>IF(OR($D$3=JU!$F499,$D$3=JU!$I499),JU!E499,"")</f>
        <v/>
      </c>
      <c r="F506" s="72">
        <f>IF($D$3=JU!F499,JU!H499,0)</f>
        <v>0</v>
      </c>
      <c r="G506" s="72">
        <f>IF($D$3=JU!I499,JU!K499,0)</f>
        <v>0</v>
      </c>
      <c r="H506" s="72">
        <f t="shared" si="8"/>
        <v>43428000</v>
      </c>
    </row>
    <row r="507" spans="2:8" hidden="1">
      <c r="B507" s="68" t="str">
        <f>IF(OR($D$3=JU!$F500,$D$3=JU!$I500),JU!B500,"")</f>
        <v/>
      </c>
      <c r="C507" s="6" t="str">
        <f>IF(OR($D$3=JU!$F500,$D$3=JU!$I500),JU!C500,"")</f>
        <v/>
      </c>
      <c r="D507" s="73" t="str">
        <f>IF(OR($D$3=JU!$F500,$D$3=JU!$I500),JU!D500,"")</f>
        <v/>
      </c>
      <c r="E507" s="74" t="str">
        <f>IF(OR($D$3=JU!$F500,$D$3=JU!$I500),JU!E500,"")</f>
        <v/>
      </c>
      <c r="F507" s="72">
        <f>IF($D$3=JU!F500,JU!H500,0)</f>
        <v>0</v>
      </c>
      <c r="G507" s="72">
        <f>IF($D$3=JU!I500,JU!K500,0)</f>
        <v>0</v>
      </c>
      <c r="H507" s="72">
        <f t="shared" si="8"/>
        <v>43428000</v>
      </c>
    </row>
    <row r="508" spans="2:8">
      <c r="B508" s="68">
        <f>IF(OR($D$3=JU!$F501,$D$3=JU!$I501),JU!B501,"")</f>
        <v>46092</v>
      </c>
      <c r="C508" s="6" t="str">
        <f>IF(OR($D$3=JU!$F501,$D$3=JU!$I501),JU!C501,"")</f>
        <v>PEMBAYARAN BIAYA NOTARIS E25 MUHAMMAD YUSRI SN3 TAHAP 3</v>
      </c>
      <c r="D508" s="73" t="str">
        <f>IF(OR($D$3=JU!$F501,$D$3=JU!$I501),JU!D501,"")</f>
        <v>By. Biaya PEMBAYARAN BIAYA NOTARIS E25 MUHAMMAD YUSRI SN3 TAHAP 3</v>
      </c>
      <c r="E508" s="74">
        <f>IF(OR($D$3=JU!$F501,$D$3=JU!$I501),JU!E501,"")</f>
        <v>0</v>
      </c>
      <c r="F508" s="72">
        <f>IF($D$3=JU!F501,JU!H501,0)</f>
        <v>4000000</v>
      </c>
      <c r="G508" s="72">
        <f>IF($D$3=JU!I501,JU!K501,0)</f>
        <v>0</v>
      </c>
      <c r="H508" s="72">
        <f t="shared" si="8"/>
        <v>47428000</v>
      </c>
    </row>
    <row r="509" spans="2:8" hidden="1">
      <c r="B509" s="68" t="str">
        <f>IF(OR($D$3=JU!$F502,$D$3=JU!$I502),JU!B502,"")</f>
        <v/>
      </c>
      <c r="C509" s="6" t="str">
        <f>IF(OR($D$3=JU!$F502,$D$3=JU!$I502),JU!C502,"")</f>
        <v/>
      </c>
      <c r="D509" s="73" t="str">
        <f>IF(OR($D$3=JU!$F502,$D$3=JU!$I502),JU!D502,"")</f>
        <v/>
      </c>
      <c r="E509" s="74" t="str">
        <f>IF(OR($D$3=JU!$F502,$D$3=JU!$I502),JU!E502,"")</f>
        <v/>
      </c>
      <c r="F509" s="72">
        <f>IF($D$3=JU!F502,JU!H502,0)</f>
        <v>0</v>
      </c>
      <c r="G509" s="72">
        <f>IF($D$3=JU!I502,JU!K502,0)</f>
        <v>0</v>
      </c>
      <c r="H509" s="72">
        <f t="shared" si="8"/>
        <v>47428000</v>
      </c>
    </row>
    <row r="510" spans="2:8" hidden="1">
      <c r="B510" s="68" t="str">
        <f>IF(OR($D$3=JU!$F503,$D$3=JU!$I503),JU!B503,"")</f>
        <v/>
      </c>
      <c r="C510" s="6" t="str">
        <f>IF(OR($D$3=JU!$F503,$D$3=JU!$I503),JU!C503,"")</f>
        <v/>
      </c>
      <c r="D510" s="73" t="str">
        <f>IF(OR($D$3=JU!$F503,$D$3=JU!$I503),JU!D503,"")</f>
        <v/>
      </c>
      <c r="E510" s="74" t="str">
        <f>IF(OR($D$3=JU!$F503,$D$3=JU!$I503),JU!E503,"")</f>
        <v/>
      </c>
      <c r="F510" s="72">
        <f>IF($D$3=JU!F503,JU!H503,0)</f>
        <v>0</v>
      </c>
      <c r="G510" s="72">
        <f>IF($D$3=JU!I503,JU!K503,0)</f>
        <v>0</v>
      </c>
      <c r="H510" s="72">
        <f t="shared" si="8"/>
        <v>47428000</v>
      </c>
    </row>
    <row r="511" spans="2:8">
      <c r="B511" s="68">
        <f>IF(OR($D$3=JU!$F504,$D$3=JU!$I504),JU!B504,"")</f>
        <v>46092</v>
      </c>
      <c r="C511" s="6" t="str">
        <f>IF(OR($D$3=JU!$F504,$D$3=JU!$I504),JU!C504,"")</f>
        <v>PEMBAYARAN MATERAI AKAD E25 MUHAMMAD YUSRI TAHAP 3</v>
      </c>
      <c r="D511" s="73" t="str">
        <f>IF(OR($D$3=JU!$F504,$D$3=JU!$I504),JU!D504,"")</f>
        <v>By. Biaya PEMBAYARAN MATERAI AKAD E25 MUHAMMAD YUSRI TAHAP 3</v>
      </c>
      <c r="E511" s="74">
        <f>IF(OR($D$3=JU!$F504,$D$3=JU!$I504),JU!E504,"")</f>
        <v>0</v>
      </c>
      <c r="F511" s="72">
        <f>IF($D$3=JU!F504,JU!H504,0)</f>
        <v>500000</v>
      </c>
      <c r="G511" s="72">
        <f>IF($D$3=JU!I504,JU!K504,0)</f>
        <v>0</v>
      </c>
      <c r="H511" s="72">
        <f t="shared" si="8"/>
        <v>47928000</v>
      </c>
    </row>
    <row r="512" spans="2:8" hidden="1">
      <c r="B512" s="68" t="str">
        <f>IF(OR($D$3=JU!$F505,$D$3=JU!$I505),JU!B505,"")</f>
        <v/>
      </c>
      <c r="C512" s="6" t="str">
        <f>IF(OR($D$3=JU!$F505,$D$3=JU!$I505),JU!C505,"")</f>
        <v/>
      </c>
      <c r="D512" s="73" t="str">
        <f>IF(OR($D$3=JU!$F505,$D$3=JU!$I505),JU!D505,"")</f>
        <v/>
      </c>
      <c r="E512" s="74" t="str">
        <f>IF(OR($D$3=JU!$F505,$D$3=JU!$I505),JU!E505,"")</f>
        <v/>
      </c>
      <c r="F512" s="72">
        <f>IF($D$3=JU!F505,JU!H505,0)</f>
        <v>0</v>
      </c>
      <c r="G512" s="72">
        <f>IF($D$3=JU!I505,JU!K505,0)</f>
        <v>0</v>
      </c>
      <c r="H512" s="72">
        <f t="shared" si="8"/>
        <v>47928000</v>
      </c>
    </row>
    <row r="513" spans="2:8" hidden="1">
      <c r="B513" s="68" t="str">
        <f>IF(OR($D$3=JU!$F506,$D$3=JU!$I506),JU!B506,"")</f>
        <v/>
      </c>
      <c r="C513" s="6" t="str">
        <f>IF(OR($D$3=JU!$F506,$D$3=JU!$I506),JU!C506,"")</f>
        <v/>
      </c>
      <c r="D513" s="73" t="str">
        <f>IF(OR($D$3=JU!$F506,$D$3=JU!$I506),JU!D506,"")</f>
        <v/>
      </c>
      <c r="E513" s="74" t="str">
        <f>IF(OR($D$3=JU!$F506,$D$3=JU!$I506),JU!E506,"")</f>
        <v/>
      </c>
      <c r="F513" s="72">
        <f>IF($D$3=JU!F506,JU!H506,0)</f>
        <v>0</v>
      </c>
      <c r="G513" s="72">
        <f>IF($D$3=JU!I506,JU!K506,0)</f>
        <v>0</v>
      </c>
      <c r="H513" s="72">
        <f t="shared" si="8"/>
        <v>47928000</v>
      </c>
    </row>
    <row r="514" spans="2:8" hidden="1">
      <c r="B514" s="68" t="str">
        <f>IF(OR($D$3=JU!$F507,$D$3=JU!$I507),JU!B507,"")</f>
        <v/>
      </c>
      <c r="C514" s="6" t="str">
        <f>IF(OR($D$3=JU!$F507,$D$3=JU!$I507),JU!C507,"")</f>
        <v/>
      </c>
      <c r="D514" s="73" t="str">
        <f>IF(OR($D$3=JU!$F507,$D$3=JU!$I507),JU!D507,"")</f>
        <v/>
      </c>
      <c r="E514" s="74" t="str">
        <f>IF(OR($D$3=JU!$F507,$D$3=JU!$I507),JU!E507,"")</f>
        <v/>
      </c>
      <c r="F514" s="72">
        <f>IF($D$3=JU!F507,JU!H507,0)</f>
        <v>0</v>
      </c>
      <c r="G514" s="72">
        <f>IF($D$3=JU!I507,JU!K507,0)</f>
        <v>0</v>
      </c>
      <c r="H514" s="72">
        <f t="shared" si="8"/>
        <v>47928000</v>
      </c>
    </row>
    <row r="515" spans="2:8" hidden="1">
      <c r="B515" s="68" t="str">
        <f>IF(OR($D$3=JU!$F508,$D$3=JU!$I508),JU!B508,"")</f>
        <v/>
      </c>
      <c r="C515" s="6" t="str">
        <f>IF(OR($D$3=JU!$F508,$D$3=JU!$I508),JU!C508,"")</f>
        <v/>
      </c>
      <c r="D515" s="73" t="str">
        <f>IF(OR($D$3=JU!$F508,$D$3=JU!$I508),JU!D508,"")</f>
        <v/>
      </c>
      <c r="E515" s="74" t="str">
        <f>IF(OR($D$3=JU!$F508,$D$3=JU!$I508),JU!E508,"")</f>
        <v/>
      </c>
      <c r="F515" s="72">
        <f>IF($D$3=JU!F508,JU!H508,0)</f>
        <v>0</v>
      </c>
      <c r="G515" s="72">
        <f>IF($D$3=JU!I508,JU!K508,0)</f>
        <v>0</v>
      </c>
      <c r="H515" s="72">
        <f t="shared" si="8"/>
        <v>47928000</v>
      </c>
    </row>
    <row r="516" spans="2:8" hidden="1">
      <c r="B516" s="68" t="str">
        <f>IF(OR($D$3=JU!$F509,$D$3=JU!$I509),JU!B509,"")</f>
        <v/>
      </c>
      <c r="C516" s="6" t="str">
        <f>IF(OR($D$3=JU!$F509,$D$3=JU!$I509),JU!C509,"")</f>
        <v/>
      </c>
      <c r="D516" s="73" t="str">
        <f>IF(OR($D$3=JU!$F509,$D$3=JU!$I509),JU!D509,"")</f>
        <v/>
      </c>
      <c r="E516" s="74" t="str">
        <f>IF(OR($D$3=JU!$F509,$D$3=JU!$I509),JU!E509,"")</f>
        <v/>
      </c>
      <c r="F516" s="72">
        <f>IF($D$3=JU!F509,JU!H509,0)</f>
        <v>0</v>
      </c>
      <c r="G516" s="72">
        <f>IF($D$3=JU!I509,JU!K509,0)</f>
        <v>0</v>
      </c>
      <c r="H516" s="72">
        <f t="shared" si="8"/>
        <v>47928000</v>
      </c>
    </row>
    <row r="517" spans="2:8" hidden="1">
      <c r="B517" s="68" t="str">
        <f>IF(OR($D$3=JU!$F510,$D$3=JU!$I510),JU!B510,"")</f>
        <v/>
      </c>
      <c r="C517" s="6" t="str">
        <f>IF(OR($D$3=JU!$F510,$D$3=JU!$I510),JU!C510,"")</f>
        <v/>
      </c>
      <c r="D517" s="73" t="str">
        <f>IF(OR($D$3=JU!$F510,$D$3=JU!$I510),JU!D510,"")</f>
        <v/>
      </c>
      <c r="E517" s="74" t="str">
        <f>IF(OR($D$3=JU!$F510,$D$3=JU!$I510),JU!E510,"")</f>
        <v/>
      </c>
      <c r="F517" s="72">
        <f>IF($D$3=JU!F510,JU!H510,0)</f>
        <v>0</v>
      </c>
      <c r="G517" s="72">
        <f>IF($D$3=JU!I510,JU!K510,0)</f>
        <v>0</v>
      </c>
      <c r="H517" s="72">
        <f t="shared" si="8"/>
        <v>47928000</v>
      </c>
    </row>
    <row r="518" spans="2:8" hidden="1">
      <c r="B518" s="68" t="str">
        <f>IF(OR($D$3=JU!$F511,$D$3=JU!$I511),JU!B511,"")</f>
        <v/>
      </c>
      <c r="C518" s="6" t="str">
        <f>IF(OR($D$3=JU!$F511,$D$3=JU!$I511),JU!C511,"")</f>
        <v/>
      </c>
      <c r="D518" s="73" t="str">
        <f>IF(OR($D$3=JU!$F511,$D$3=JU!$I511),JU!D511,"")</f>
        <v/>
      </c>
      <c r="E518" s="74" t="str">
        <f>IF(OR($D$3=JU!$F511,$D$3=JU!$I511),JU!E511,"")</f>
        <v/>
      </c>
      <c r="F518" s="72">
        <f>IF($D$3=JU!F511,JU!H511,0)</f>
        <v>0</v>
      </c>
      <c r="G518" s="72">
        <f>IF($D$3=JU!I511,JU!K511,0)</f>
        <v>0</v>
      </c>
      <c r="H518" s="72">
        <f t="shared" si="8"/>
        <v>47928000</v>
      </c>
    </row>
    <row r="519" spans="2:8" hidden="1">
      <c r="B519" s="68" t="str">
        <f>IF(OR($D$3=JU!$F512,$D$3=JU!$I512),JU!B512,"")</f>
        <v/>
      </c>
      <c r="C519" s="6" t="str">
        <f>IF(OR($D$3=JU!$F512,$D$3=JU!$I512),JU!C512,"")</f>
        <v/>
      </c>
      <c r="D519" s="73" t="str">
        <f>IF(OR($D$3=JU!$F512,$D$3=JU!$I512),JU!D512,"")</f>
        <v/>
      </c>
      <c r="E519" s="74" t="str">
        <f>IF(OR($D$3=JU!$F512,$D$3=JU!$I512),JU!E512,"")</f>
        <v/>
      </c>
      <c r="F519" s="72">
        <f>IF($D$3=JU!F512,JU!H512,0)</f>
        <v>0</v>
      </c>
      <c r="G519" s="72">
        <f>IF($D$3=JU!I512,JU!K512,0)</f>
        <v>0</v>
      </c>
      <c r="H519" s="72">
        <f t="shared" si="8"/>
        <v>47928000</v>
      </c>
    </row>
    <row r="520" spans="2:8" hidden="1">
      <c r="B520" s="68" t="str">
        <f>IF(OR($D$3=JU!$F513,$D$3=JU!$I513),JU!B513,"")</f>
        <v/>
      </c>
      <c r="C520" s="6" t="str">
        <f>IF(OR($D$3=JU!$F513,$D$3=JU!$I513),JU!C513,"")</f>
        <v/>
      </c>
      <c r="D520" s="73" t="str">
        <f>IF(OR($D$3=JU!$F513,$D$3=JU!$I513),JU!D513,"")</f>
        <v/>
      </c>
      <c r="E520" s="74" t="str">
        <f>IF(OR($D$3=JU!$F513,$D$3=JU!$I513),JU!E513,"")</f>
        <v/>
      </c>
      <c r="F520" s="72">
        <f>IF($D$3=JU!F513,JU!H513,0)</f>
        <v>0</v>
      </c>
      <c r="G520" s="72">
        <f>IF($D$3=JU!I513,JU!K513,0)</f>
        <v>0</v>
      </c>
      <c r="H520" s="72">
        <f t="shared" si="8"/>
        <v>47928000</v>
      </c>
    </row>
    <row r="521" spans="2:8">
      <c r="B521" s="68">
        <f>IF(OR($D$3=JU!$F514,$D$3=JU!$I514),JU!B514,"")</f>
        <v>46094</v>
      </c>
      <c r="C521" s="6" t="str">
        <f>IF(OR($D$3=JU!$F514,$D$3=JU!$I514),JU!C514,"")</f>
        <v>PEMBELIAN MATERAI 50 LBR D3 ALFAREZA TAHAP 3</v>
      </c>
      <c r="D521" s="73" t="str">
        <f>IF(OR($D$3=JU!$F514,$D$3=JU!$I514),JU!D514,"")</f>
        <v>By. Biaya PEMBELIAN MATERAI 50 LBR D3 ALFAREZA TAHAP 3</v>
      </c>
      <c r="E521" s="74">
        <f>IF(OR($D$3=JU!$F514,$D$3=JU!$I514),JU!E514,"")</f>
        <v>0</v>
      </c>
      <c r="F521" s="72">
        <f>IF($D$3=JU!F514,JU!H514,0)</f>
        <v>500000</v>
      </c>
      <c r="G521" s="72">
        <f>IF($D$3=JU!I514,JU!K514,0)</f>
        <v>0</v>
      </c>
      <c r="H521" s="72">
        <f t="shared" si="8"/>
        <v>48428000</v>
      </c>
    </row>
    <row r="522" spans="2:8" hidden="1">
      <c r="B522" s="68" t="str">
        <f>IF(OR($D$3=JU!$F515,$D$3=JU!$I515),JU!B515,"")</f>
        <v/>
      </c>
      <c r="C522" s="6" t="str">
        <f>IF(OR($D$3=JU!$F515,$D$3=JU!$I515),JU!C515,"")</f>
        <v/>
      </c>
      <c r="D522" s="73" t="str">
        <f>IF(OR($D$3=JU!$F515,$D$3=JU!$I515),JU!D515,"")</f>
        <v/>
      </c>
      <c r="E522" s="74" t="str">
        <f>IF(OR($D$3=JU!$F515,$D$3=JU!$I515),JU!E515,"")</f>
        <v/>
      </c>
      <c r="F522" s="72">
        <f>IF($D$3=JU!F515,JU!H515,0)</f>
        <v>0</v>
      </c>
      <c r="G522" s="72">
        <f>IF($D$3=JU!I515,JU!K515,0)</f>
        <v>0</v>
      </c>
      <c r="H522" s="72">
        <f t="shared" si="8"/>
        <v>48428000</v>
      </c>
    </row>
    <row r="523" spans="2:8" hidden="1">
      <c r="B523" s="68" t="str">
        <f>IF(OR($D$3=JU!$F516,$D$3=JU!$I516),JU!B516,"")</f>
        <v/>
      </c>
      <c r="C523" s="6" t="str">
        <f>IF(OR($D$3=JU!$F516,$D$3=JU!$I516),JU!C516,"")</f>
        <v/>
      </c>
      <c r="D523" s="73" t="str">
        <f>IF(OR($D$3=JU!$F516,$D$3=JU!$I516),JU!D516,"")</f>
        <v/>
      </c>
      <c r="E523" s="74" t="str">
        <f>IF(OR($D$3=JU!$F516,$D$3=JU!$I516),JU!E516,"")</f>
        <v/>
      </c>
      <c r="F523" s="72">
        <f>IF($D$3=JU!F516,JU!H516,0)</f>
        <v>0</v>
      </c>
      <c r="G523" s="72">
        <f>IF($D$3=JU!I516,JU!K516,0)</f>
        <v>0</v>
      </c>
      <c r="H523" s="72">
        <f t="shared" si="8"/>
        <v>48428000</v>
      </c>
    </row>
    <row r="524" spans="2:8" hidden="1">
      <c r="B524" s="68" t="str">
        <f>IF(OR($D$3=JU!$F517,$D$3=JU!$I517),JU!B517,"")</f>
        <v/>
      </c>
      <c r="C524" s="6" t="str">
        <f>IF(OR($D$3=JU!$F517,$D$3=JU!$I517),JU!C517,"")</f>
        <v/>
      </c>
      <c r="D524" s="73" t="str">
        <f>IF(OR($D$3=JU!$F517,$D$3=JU!$I517),JU!D517,"")</f>
        <v/>
      </c>
      <c r="E524" s="74" t="str">
        <f>IF(OR($D$3=JU!$F517,$D$3=JU!$I517),JU!E517,"")</f>
        <v/>
      </c>
      <c r="F524" s="72">
        <f>IF($D$3=JU!F517,JU!H517,0)</f>
        <v>0</v>
      </c>
      <c r="G524" s="72">
        <f>IF($D$3=JU!I517,JU!K517,0)</f>
        <v>0</v>
      </c>
      <c r="H524" s="72">
        <f t="shared" si="8"/>
        <v>48428000</v>
      </c>
    </row>
    <row r="525" spans="2:8" hidden="1">
      <c r="B525" s="68" t="str">
        <f>IF(OR($D$3=JU!$F518,$D$3=JU!$I518),JU!B518,"")</f>
        <v/>
      </c>
      <c r="C525" s="6" t="str">
        <f>IF(OR($D$3=JU!$F518,$D$3=JU!$I518),JU!C518,"")</f>
        <v/>
      </c>
      <c r="D525" s="73" t="str">
        <f>IF(OR($D$3=JU!$F518,$D$3=JU!$I518),JU!D518,"")</f>
        <v/>
      </c>
      <c r="E525" s="74" t="str">
        <f>IF(OR($D$3=JU!$F518,$D$3=JU!$I518),JU!E518,"")</f>
        <v/>
      </c>
      <c r="F525" s="72">
        <f>IF($D$3=JU!F518,JU!H518,0)</f>
        <v>0</v>
      </c>
      <c r="G525" s="72">
        <f>IF($D$3=JU!I518,JU!K518,0)</f>
        <v>0</v>
      </c>
      <c r="H525" s="72">
        <f t="shared" si="8"/>
        <v>48428000</v>
      </c>
    </row>
    <row r="526" spans="2:8" hidden="1">
      <c r="B526" s="68" t="str">
        <f>IF(OR($D$3=JU!$F519,$D$3=JU!$I519),JU!B519,"")</f>
        <v/>
      </c>
      <c r="C526" s="6" t="str">
        <f>IF(OR($D$3=JU!$F519,$D$3=JU!$I519),JU!C519,"")</f>
        <v/>
      </c>
      <c r="D526" s="73" t="str">
        <f>IF(OR($D$3=JU!$F519,$D$3=JU!$I519),JU!D519,"")</f>
        <v/>
      </c>
      <c r="E526" s="74" t="str">
        <f>IF(OR($D$3=JU!$F519,$D$3=JU!$I519),JU!E519,"")</f>
        <v/>
      </c>
      <c r="F526" s="72">
        <f>IF($D$3=JU!F519,JU!H519,0)</f>
        <v>0</v>
      </c>
      <c r="G526" s="72">
        <f>IF($D$3=JU!I519,JU!K519,0)</f>
        <v>0</v>
      </c>
      <c r="H526" s="72">
        <f t="shared" ref="H526:H589" si="9">IF($H$7="DEBET",H525+F526-G526,H525+G526-F526)</f>
        <v>48428000</v>
      </c>
    </row>
    <row r="527" spans="2:8" hidden="1">
      <c r="B527" s="68" t="str">
        <f>IF(OR($D$3=JU!$F520,$D$3=JU!$I520),JU!B520,"")</f>
        <v/>
      </c>
      <c r="C527" s="6" t="str">
        <f>IF(OR($D$3=JU!$F520,$D$3=JU!$I520),JU!C520,"")</f>
        <v/>
      </c>
      <c r="D527" s="73" t="str">
        <f>IF(OR($D$3=JU!$F520,$D$3=JU!$I520),JU!D520,"")</f>
        <v/>
      </c>
      <c r="E527" s="74" t="str">
        <f>IF(OR($D$3=JU!$F520,$D$3=JU!$I520),JU!E520,"")</f>
        <v/>
      </c>
      <c r="F527" s="72">
        <f>IF($D$3=JU!F520,JU!H520,0)</f>
        <v>0</v>
      </c>
      <c r="G527" s="72">
        <f>IF($D$3=JU!I520,JU!K520,0)</f>
        <v>0</v>
      </c>
      <c r="H527" s="72">
        <f t="shared" si="9"/>
        <v>48428000</v>
      </c>
    </row>
    <row r="528" spans="2:8" hidden="1">
      <c r="B528" s="68" t="str">
        <f>IF(OR($D$3=JU!$F521,$D$3=JU!$I521),JU!B521,"")</f>
        <v/>
      </c>
      <c r="C528" s="6" t="str">
        <f>IF(OR($D$3=JU!$F521,$D$3=JU!$I521),JU!C521,"")</f>
        <v/>
      </c>
      <c r="D528" s="73" t="str">
        <f>IF(OR($D$3=JU!$F521,$D$3=JU!$I521),JU!D521,"")</f>
        <v/>
      </c>
      <c r="E528" s="74" t="str">
        <f>IF(OR($D$3=JU!$F521,$D$3=JU!$I521),JU!E521,"")</f>
        <v/>
      </c>
      <c r="F528" s="72">
        <f>IF($D$3=JU!F521,JU!H521,0)</f>
        <v>0</v>
      </c>
      <c r="G528" s="72">
        <f>IF($D$3=JU!I521,JU!K521,0)</f>
        <v>0</v>
      </c>
      <c r="H528" s="72">
        <f t="shared" si="9"/>
        <v>48428000</v>
      </c>
    </row>
    <row r="529" spans="2:8" hidden="1">
      <c r="B529" s="68" t="str">
        <f>IF(OR($D$3=JU!$F522,$D$3=JU!$I522),JU!B522,"")</f>
        <v/>
      </c>
      <c r="C529" s="6" t="str">
        <f>IF(OR($D$3=JU!$F522,$D$3=JU!$I522),JU!C522,"")</f>
        <v/>
      </c>
      <c r="D529" s="73" t="str">
        <f>IF(OR($D$3=JU!$F522,$D$3=JU!$I522),JU!D522,"")</f>
        <v/>
      </c>
      <c r="E529" s="74" t="str">
        <f>IF(OR($D$3=JU!$F522,$D$3=JU!$I522),JU!E522,"")</f>
        <v/>
      </c>
      <c r="F529" s="72">
        <f>IF($D$3=JU!F522,JU!H522,0)</f>
        <v>0</v>
      </c>
      <c r="G529" s="72">
        <f>IF($D$3=JU!I522,JU!K522,0)</f>
        <v>0</v>
      </c>
      <c r="H529" s="72">
        <f t="shared" si="9"/>
        <v>48428000</v>
      </c>
    </row>
    <row r="530" spans="2:8" hidden="1">
      <c r="B530" s="68" t="str">
        <f>IF(OR($D$3=JU!$F523,$D$3=JU!$I523),JU!B523,"")</f>
        <v/>
      </c>
      <c r="C530" s="6" t="str">
        <f>IF(OR($D$3=JU!$F523,$D$3=JU!$I523),JU!C523,"")</f>
        <v/>
      </c>
      <c r="D530" s="73" t="str">
        <f>IF(OR($D$3=JU!$F523,$D$3=JU!$I523),JU!D523,"")</f>
        <v/>
      </c>
      <c r="E530" s="74" t="str">
        <f>IF(OR($D$3=JU!$F523,$D$3=JU!$I523),JU!E523,"")</f>
        <v/>
      </c>
      <c r="F530" s="72">
        <f>IF($D$3=JU!F523,JU!H523,0)</f>
        <v>0</v>
      </c>
      <c r="G530" s="72">
        <f>IF($D$3=JU!I523,JU!K523,0)</f>
        <v>0</v>
      </c>
      <c r="H530" s="72">
        <f t="shared" si="9"/>
        <v>48428000</v>
      </c>
    </row>
    <row r="531" spans="2:8" hidden="1">
      <c r="B531" s="68" t="str">
        <f>IF(OR($D$3=JU!$F524,$D$3=JU!$I524),JU!B524,"")</f>
        <v/>
      </c>
      <c r="C531" s="6" t="str">
        <f>IF(OR($D$3=JU!$F524,$D$3=JU!$I524),JU!C524,"")</f>
        <v/>
      </c>
      <c r="D531" s="73" t="str">
        <f>IF(OR($D$3=JU!$F524,$D$3=JU!$I524),JU!D524,"")</f>
        <v/>
      </c>
      <c r="E531" s="74" t="str">
        <f>IF(OR($D$3=JU!$F524,$D$3=JU!$I524),JU!E524,"")</f>
        <v/>
      </c>
      <c r="F531" s="72">
        <f>IF($D$3=JU!F524,JU!H524,0)</f>
        <v>0</v>
      </c>
      <c r="G531" s="72">
        <f>IF($D$3=JU!I524,JU!K524,0)</f>
        <v>0</v>
      </c>
      <c r="H531" s="72">
        <f t="shared" si="9"/>
        <v>48428000</v>
      </c>
    </row>
    <row r="532" spans="2:8" hidden="1">
      <c r="B532" s="68" t="str">
        <f>IF(OR($D$3=JU!$F525,$D$3=JU!$I525),JU!B525,"")</f>
        <v/>
      </c>
      <c r="C532" s="6" t="str">
        <f>IF(OR($D$3=JU!$F525,$D$3=JU!$I525),JU!C525,"")</f>
        <v/>
      </c>
      <c r="D532" s="73" t="str">
        <f>IF(OR($D$3=JU!$F525,$D$3=JU!$I525),JU!D525,"")</f>
        <v/>
      </c>
      <c r="E532" s="74" t="str">
        <f>IF(OR($D$3=JU!$F525,$D$3=JU!$I525),JU!E525,"")</f>
        <v/>
      </c>
      <c r="F532" s="72">
        <f>IF($D$3=JU!F525,JU!H525,0)</f>
        <v>0</v>
      </c>
      <c r="G532" s="72">
        <f>IF($D$3=JU!I525,JU!K525,0)</f>
        <v>0</v>
      </c>
      <c r="H532" s="72">
        <f t="shared" si="9"/>
        <v>48428000</v>
      </c>
    </row>
    <row r="533" spans="2:8" hidden="1">
      <c r="B533" s="68" t="str">
        <f>IF(OR($D$3=JU!$F526,$D$3=JU!$I526),JU!B526,"")</f>
        <v/>
      </c>
      <c r="C533" s="6" t="str">
        <f>IF(OR($D$3=JU!$F526,$D$3=JU!$I526),JU!C526,"")</f>
        <v/>
      </c>
      <c r="D533" s="73" t="str">
        <f>IF(OR($D$3=JU!$F526,$D$3=JU!$I526),JU!D526,"")</f>
        <v/>
      </c>
      <c r="E533" s="74" t="str">
        <f>IF(OR($D$3=JU!$F526,$D$3=JU!$I526),JU!E526,"")</f>
        <v/>
      </c>
      <c r="F533" s="72">
        <f>IF($D$3=JU!F526,JU!H526,0)</f>
        <v>0</v>
      </c>
      <c r="G533" s="72">
        <f>IF($D$3=JU!I526,JU!K526,0)</f>
        <v>0</v>
      </c>
      <c r="H533" s="72">
        <f t="shared" si="9"/>
        <v>48428000</v>
      </c>
    </row>
    <row r="534" spans="2:8" hidden="1">
      <c r="B534" s="68" t="str">
        <f>IF(OR($D$3=JU!$F527,$D$3=JU!$I527),JU!B527,"")</f>
        <v/>
      </c>
      <c r="C534" s="6" t="str">
        <f>IF(OR($D$3=JU!$F527,$D$3=JU!$I527),JU!C527,"")</f>
        <v/>
      </c>
      <c r="D534" s="73" t="str">
        <f>IF(OR($D$3=JU!$F527,$D$3=JU!$I527),JU!D527,"")</f>
        <v/>
      </c>
      <c r="E534" s="74" t="str">
        <f>IF(OR($D$3=JU!$F527,$D$3=JU!$I527),JU!E527,"")</f>
        <v/>
      </c>
      <c r="F534" s="72">
        <f>IF($D$3=JU!F527,JU!H527,0)</f>
        <v>0</v>
      </c>
      <c r="G534" s="72">
        <f>IF($D$3=JU!I527,JU!K527,0)</f>
        <v>0</v>
      </c>
      <c r="H534" s="72">
        <f t="shared" si="9"/>
        <v>48428000</v>
      </c>
    </row>
    <row r="535" spans="2:8" hidden="1">
      <c r="B535" s="68" t="str">
        <f>IF(OR($D$3=JU!$F528,$D$3=JU!$I528),JU!B528,"")</f>
        <v/>
      </c>
      <c r="C535" s="6" t="str">
        <f>IF(OR($D$3=JU!$F528,$D$3=JU!$I528),JU!C528,"")</f>
        <v/>
      </c>
      <c r="D535" s="73" t="str">
        <f>IF(OR($D$3=JU!$F528,$D$3=JU!$I528),JU!D528,"")</f>
        <v/>
      </c>
      <c r="E535" s="74" t="str">
        <f>IF(OR($D$3=JU!$F528,$D$3=JU!$I528),JU!E528,"")</f>
        <v/>
      </c>
      <c r="F535" s="72">
        <f>IF($D$3=JU!F528,JU!H528,0)</f>
        <v>0</v>
      </c>
      <c r="G535" s="72">
        <f>IF($D$3=JU!I528,JU!K528,0)</f>
        <v>0</v>
      </c>
      <c r="H535" s="72">
        <f t="shared" si="9"/>
        <v>48428000</v>
      </c>
    </row>
    <row r="536" spans="2:8" hidden="1">
      <c r="B536" s="68" t="str">
        <f>IF(OR($D$3=JU!$F529,$D$3=JU!$I529),JU!B529,"")</f>
        <v/>
      </c>
      <c r="C536" s="6" t="str">
        <f>IF(OR($D$3=JU!$F529,$D$3=JU!$I529),JU!C529,"")</f>
        <v/>
      </c>
      <c r="D536" s="73" t="str">
        <f>IF(OR($D$3=JU!$F529,$D$3=JU!$I529),JU!D529,"")</f>
        <v/>
      </c>
      <c r="E536" s="74" t="str">
        <f>IF(OR($D$3=JU!$F529,$D$3=JU!$I529),JU!E529,"")</f>
        <v/>
      </c>
      <c r="F536" s="72">
        <f>IF($D$3=JU!F529,JU!H529,0)</f>
        <v>0</v>
      </c>
      <c r="G536" s="72">
        <f>IF($D$3=JU!I529,JU!K529,0)</f>
        <v>0</v>
      </c>
      <c r="H536" s="72">
        <f t="shared" si="9"/>
        <v>48428000</v>
      </c>
    </row>
    <row r="537" spans="2:8" hidden="1">
      <c r="B537" s="68" t="str">
        <f>IF(OR($D$3=JU!$F530,$D$3=JU!$I530),JU!B530,"")</f>
        <v/>
      </c>
      <c r="C537" s="6" t="str">
        <f>IF(OR($D$3=JU!$F530,$D$3=JU!$I530),JU!C530,"")</f>
        <v/>
      </c>
      <c r="D537" s="73" t="str">
        <f>IF(OR($D$3=JU!$F530,$D$3=JU!$I530),JU!D530,"")</f>
        <v/>
      </c>
      <c r="E537" s="74" t="str">
        <f>IF(OR($D$3=JU!$F530,$D$3=JU!$I530),JU!E530,"")</f>
        <v/>
      </c>
      <c r="F537" s="72">
        <f>IF($D$3=JU!F530,JU!H530,0)</f>
        <v>0</v>
      </c>
      <c r="G537" s="72">
        <f>IF($D$3=JU!I530,JU!K530,0)</f>
        <v>0</v>
      </c>
      <c r="H537" s="72">
        <f t="shared" si="9"/>
        <v>48428000</v>
      </c>
    </row>
    <row r="538" spans="2:8">
      <c r="B538" s="68">
        <f>IF(OR($D$3=JU!$F531,$D$3=JU!$I531),JU!B531,"")</f>
        <v>46094</v>
      </c>
      <c r="C538" s="6" t="str">
        <f>IF(OR($D$3=JU!$F531,$D$3=JU!$I531),JU!C531,"")</f>
        <v>PEMBAYARAN BIAYA NOTARIS D3 ALFAREZA TAHAP 3</v>
      </c>
      <c r="D538" s="73" t="str">
        <f>IF(OR($D$3=JU!$F531,$D$3=JU!$I531),JU!D531,"")</f>
        <v>By. Biaya PEMBAYARAN BIAYA NOTARIS D3 ALFAREZA TAHAP 3</v>
      </c>
      <c r="E538" s="74">
        <f>IF(OR($D$3=JU!$F531,$D$3=JU!$I531),JU!E531,"")</f>
        <v>0</v>
      </c>
      <c r="F538" s="72">
        <f>IF($D$3=JU!F531,JU!H531,0)</f>
        <v>4000000</v>
      </c>
      <c r="G538" s="72">
        <f>IF($D$3=JU!I531,JU!K531,0)</f>
        <v>0</v>
      </c>
      <c r="H538" s="72">
        <f t="shared" si="9"/>
        <v>52428000</v>
      </c>
    </row>
    <row r="539" spans="2:8" hidden="1">
      <c r="B539" s="68" t="str">
        <f>IF(OR($D$3=JU!$F532,$D$3=JU!$I532),JU!B532,"")</f>
        <v/>
      </c>
      <c r="C539" s="6" t="str">
        <f>IF(OR($D$3=JU!$F532,$D$3=JU!$I532),JU!C532,"")</f>
        <v/>
      </c>
      <c r="D539" s="73" t="str">
        <f>IF(OR($D$3=JU!$F532,$D$3=JU!$I532),JU!D532,"")</f>
        <v/>
      </c>
      <c r="E539" s="74" t="str">
        <f>IF(OR($D$3=JU!$F532,$D$3=JU!$I532),JU!E532,"")</f>
        <v/>
      </c>
      <c r="F539" s="72">
        <f>IF($D$3=JU!F532,JU!H532,0)</f>
        <v>0</v>
      </c>
      <c r="G539" s="72">
        <f>IF($D$3=JU!I532,JU!K532,0)</f>
        <v>0</v>
      </c>
      <c r="H539" s="72">
        <f t="shared" si="9"/>
        <v>52428000</v>
      </c>
    </row>
    <row r="540" spans="2:8" hidden="1">
      <c r="B540" s="68" t="str">
        <f>IF(OR($D$3=JU!$F533,$D$3=JU!$I533),JU!B533,"")</f>
        <v/>
      </c>
      <c r="C540" s="6" t="str">
        <f>IF(OR($D$3=JU!$F533,$D$3=JU!$I533),JU!C533,"")</f>
        <v/>
      </c>
      <c r="D540" s="73" t="str">
        <f>IF(OR($D$3=JU!$F533,$D$3=JU!$I533),JU!D533,"")</f>
        <v/>
      </c>
      <c r="E540" s="74" t="str">
        <f>IF(OR($D$3=JU!$F533,$D$3=JU!$I533),JU!E533,"")</f>
        <v/>
      </c>
      <c r="F540" s="72">
        <f>IF($D$3=JU!F533,JU!H533,0)</f>
        <v>0</v>
      </c>
      <c r="G540" s="72">
        <f>IF($D$3=JU!I533,JU!K533,0)</f>
        <v>0</v>
      </c>
      <c r="H540" s="72">
        <f t="shared" si="9"/>
        <v>52428000</v>
      </c>
    </row>
    <row r="541" spans="2:8" hidden="1">
      <c r="B541" s="68" t="str">
        <f>IF(OR($D$3=JU!$F534,$D$3=JU!$I534),JU!B534,"")</f>
        <v/>
      </c>
      <c r="C541" s="6" t="str">
        <f>IF(OR($D$3=JU!$F534,$D$3=JU!$I534),JU!C534,"")</f>
        <v/>
      </c>
      <c r="D541" s="73" t="str">
        <f>IF(OR($D$3=JU!$F534,$D$3=JU!$I534),JU!D534,"")</f>
        <v/>
      </c>
      <c r="E541" s="74" t="str">
        <f>IF(OR($D$3=JU!$F534,$D$3=JU!$I534),JU!E534,"")</f>
        <v/>
      </c>
      <c r="F541" s="72">
        <f>IF($D$3=JU!F534,JU!H534,0)</f>
        <v>0</v>
      </c>
      <c r="G541" s="72">
        <f>IF($D$3=JU!I534,JU!K534,0)</f>
        <v>0</v>
      </c>
      <c r="H541" s="72">
        <f t="shared" si="9"/>
        <v>52428000</v>
      </c>
    </row>
    <row r="542" spans="2:8" hidden="1">
      <c r="B542" s="68" t="str">
        <f>IF(OR($D$3=JU!$F535,$D$3=JU!$I535),JU!B535,"")</f>
        <v/>
      </c>
      <c r="C542" s="6" t="str">
        <f>IF(OR($D$3=JU!$F535,$D$3=JU!$I535),JU!C535,"")</f>
        <v/>
      </c>
      <c r="D542" s="73" t="str">
        <f>IF(OR($D$3=JU!$F535,$D$3=JU!$I535),JU!D535,"")</f>
        <v/>
      </c>
      <c r="E542" s="74" t="str">
        <f>IF(OR($D$3=JU!$F535,$D$3=JU!$I535),JU!E535,"")</f>
        <v/>
      </c>
      <c r="F542" s="72">
        <f>IF($D$3=JU!F535,JU!H535,0)</f>
        <v>0</v>
      </c>
      <c r="G542" s="72">
        <f>IF($D$3=JU!I535,JU!K535,0)</f>
        <v>0</v>
      </c>
      <c r="H542" s="72">
        <f t="shared" si="9"/>
        <v>52428000</v>
      </c>
    </row>
    <row r="543" spans="2:8" hidden="1">
      <c r="B543" s="68" t="str">
        <f>IF(OR($D$3=JU!$F536,$D$3=JU!$I536),JU!B536,"")</f>
        <v/>
      </c>
      <c r="C543" s="6" t="str">
        <f>IF(OR($D$3=JU!$F536,$D$3=JU!$I536),JU!C536,"")</f>
        <v/>
      </c>
      <c r="D543" s="73" t="str">
        <f>IF(OR($D$3=JU!$F536,$D$3=JU!$I536),JU!D536,"")</f>
        <v/>
      </c>
      <c r="E543" s="74" t="str">
        <f>IF(OR($D$3=JU!$F536,$D$3=JU!$I536),JU!E536,"")</f>
        <v/>
      </c>
      <c r="F543" s="72">
        <f>IF($D$3=JU!F536,JU!H536,0)</f>
        <v>0</v>
      </c>
      <c r="G543" s="72">
        <f>IF($D$3=JU!I536,JU!K536,0)</f>
        <v>0</v>
      </c>
      <c r="H543" s="72">
        <f t="shared" si="9"/>
        <v>52428000</v>
      </c>
    </row>
    <row r="544" spans="2:8" hidden="1">
      <c r="B544" s="68" t="str">
        <f>IF(OR($D$3=JU!$F537,$D$3=JU!$I537),JU!B537,"")</f>
        <v/>
      </c>
      <c r="C544" s="6" t="str">
        <f>IF(OR($D$3=JU!$F537,$D$3=JU!$I537),JU!C537,"")</f>
        <v/>
      </c>
      <c r="D544" s="73" t="str">
        <f>IF(OR($D$3=JU!$F537,$D$3=JU!$I537),JU!D537,"")</f>
        <v/>
      </c>
      <c r="E544" s="74" t="str">
        <f>IF(OR($D$3=JU!$F537,$D$3=JU!$I537),JU!E537,"")</f>
        <v/>
      </c>
      <c r="F544" s="72">
        <f>IF($D$3=JU!F537,JU!H537,0)</f>
        <v>0</v>
      </c>
      <c r="G544" s="72">
        <f>IF($D$3=JU!I537,JU!K537,0)</f>
        <v>0</v>
      </c>
      <c r="H544" s="72">
        <f t="shared" si="9"/>
        <v>52428000</v>
      </c>
    </row>
    <row r="545" spans="2:8" hidden="1">
      <c r="B545" s="68" t="str">
        <f>IF(OR($D$3=JU!$F538,$D$3=JU!$I538),JU!B538,"")</f>
        <v/>
      </c>
      <c r="C545" s="6" t="str">
        <f>IF(OR($D$3=JU!$F538,$D$3=JU!$I538),JU!C538,"")</f>
        <v/>
      </c>
      <c r="D545" s="73" t="str">
        <f>IF(OR($D$3=JU!$F538,$D$3=JU!$I538),JU!D538,"")</f>
        <v/>
      </c>
      <c r="E545" s="74" t="str">
        <f>IF(OR($D$3=JU!$F538,$D$3=JU!$I538),JU!E538,"")</f>
        <v/>
      </c>
      <c r="F545" s="72">
        <f>IF($D$3=JU!F538,JU!H538,0)</f>
        <v>0</v>
      </c>
      <c r="G545" s="72">
        <f>IF($D$3=JU!I538,JU!K538,0)</f>
        <v>0</v>
      </c>
      <c r="H545" s="72">
        <f t="shared" si="9"/>
        <v>52428000</v>
      </c>
    </row>
    <row r="546" spans="2:8" hidden="1">
      <c r="B546" s="68" t="str">
        <f>IF(OR($D$3=JU!$F539,$D$3=JU!$I539),JU!B539,"")</f>
        <v/>
      </c>
      <c r="C546" s="6" t="str">
        <f>IF(OR($D$3=JU!$F539,$D$3=JU!$I539),JU!C539,"")</f>
        <v/>
      </c>
      <c r="D546" s="73" t="str">
        <f>IF(OR($D$3=JU!$F539,$D$3=JU!$I539),JU!D539,"")</f>
        <v/>
      </c>
      <c r="E546" s="74" t="str">
        <f>IF(OR($D$3=JU!$F539,$D$3=JU!$I539),JU!E539,"")</f>
        <v/>
      </c>
      <c r="F546" s="72">
        <f>IF($D$3=JU!F539,JU!H539,0)</f>
        <v>0</v>
      </c>
      <c r="G546" s="72">
        <f>IF($D$3=JU!I539,JU!K539,0)</f>
        <v>0</v>
      </c>
      <c r="H546" s="72">
        <f t="shared" si="9"/>
        <v>52428000</v>
      </c>
    </row>
    <row r="547" spans="2:8" hidden="1">
      <c r="B547" s="68" t="str">
        <f>IF(OR($D$3=JU!$F540,$D$3=JU!$I540),JU!B540,"")</f>
        <v/>
      </c>
      <c r="C547" s="6" t="str">
        <f>IF(OR($D$3=JU!$F540,$D$3=JU!$I540),JU!C540,"")</f>
        <v/>
      </c>
      <c r="D547" s="73" t="str">
        <f>IF(OR($D$3=JU!$F540,$D$3=JU!$I540),JU!D540,"")</f>
        <v/>
      </c>
      <c r="E547" s="74" t="str">
        <f>IF(OR($D$3=JU!$F540,$D$3=JU!$I540),JU!E540,"")</f>
        <v/>
      </c>
      <c r="F547" s="72">
        <f>IF($D$3=JU!F540,JU!H540,0)</f>
        <v>0</v>
      </c>
      <c r="G547" s="72">
        <f>IF($D$3=JU!I540,JU!K540,0)</f>
        <v>0</v>
      </c>
      <c r="H547" s="72">
        <f t="shared" si="9"/>
        <v>52428000</v>
      </c>
    </row>
    <row r="548" spans="2:8" hidden="1">
      <c r="B548" s="68" t="str">
        <f>IF(OR($D$3=JU!$F541,$D$3=JU!$I541),JU!B541,"")</f>
        <v/>
      </c>
      <c r="C548" s="6" t="str">
        <f>IF(OR($D$3=JU!$F541,$D$3=JU!$I541),JU!C541,"")</f>
        <v/>
      </c>
      <c r="D548" s="73" t="str">
        <f>IF(OR($D$3=JU!$F541,$D$3=JU!$I541),JU!D541,"")</f>
        <v/>
      </c>
      <c r="E548" s="74" t="str">
        <f>IF(OR($D$3=JU!$F541,$D$3=JU!$I541),JU!E541,"")</f>
        <v/>
      </c>
      <c r="F548" s="72">
        <f>IF($D$3=JU!F541,JU!H541,0)</f>
        <v>0</v>
      </c>
      <c r="G548" s="72">
        <f>IF($D$3=JU!I541,JU!K541,0)</f>
        <v>0</v>
      </c>
      <c r="H548" s="72">
        <f t="shared" si="9"/>
        <v>52428000</v>
      </c>
    </row>
    <row r="549" spans="2:8" hidden="1">
      <c r="B549" s="68" t="str">
        <f>IF(OR($D$3=JU!$F542,$D$3=JU!$I542),JU!B542,"")</f>
        <v/>
      </c>
      <c r="C549" s="6" t="str">
        <f>IF(OR($D$3=JU!$F542,$D$3=JU!$I542),JU!C542,"")</f>
        <v/>
      </c>
      <c r="D549" s="73" t="str">
        <f>IF(OR($D$3=JU!$F542,$D$3=JU!$I542),JU!D542,"")</f>
        <v/>
      </c>
      <c r="E549" s="74" t="str">
        <f>IF(OR($D$3=JU!$F542,$D$3=JU!$I542),JU!E542,"")</f>
        <v/>
      </c>
      <c r="F549" s="72">
        <f>IF($D$3=JU!F542,JU!H542,0)</f>
        <v>0</v>
      </c>
      <c r="G549" s="72">
        <f>IF($D$3=JU!I542,JU!K542,0)</f>
        <v>0</v>
      </c>
      <c r="H549" s="72">
        <f t="shared" si="9"/>
        <v>52428000</v>
      </c>
    </row>
    <row r="550" spans="2:8" hidden="1">
      <c r="B550" s="68" t="str">
        <f>IF(OR($D$3=JU!$F543,$D$3=JU!$I543),JU!B543,"")</f>
        <v/>
      </c>
      <c r="C550" s="6" t="str">
        <f>IF(OR($D$3=JU!$F543,$D$3=JU!$I543),JU!C543,"")</f>
        <v/>
      </c>
      <c r="D550" s="73" t="str">
        <f>IF(OR($D$3=JU!$F543,$D$3=JU!$I543),JU!D543,"")</f>
        <v/>
      </c>
      <c r="E550" s="74" t="str">
        <f>IF(OR($D$3=JU!$F543,$D$3=JU!$I543),JU!E543,"")</f>
        <v/>
      </c>
      <c r="F550" s="72">
        <f>IF($D$3=JU!F543,JU!H543,0)</f>
        <v>0</v>
      </c>
      <c r="G550" s="72">
        <f>IF($D$3=JU!I543,JU!K543,0)</f>
        <v>0</v>
      </c>
      <c r="H550" s="72">
        <f t="shared" si="9"/>
        <v>52428000</v>
      </c>
    </row>
    <row r="551" spans="2:8" hidden="1">
      <c r="B551" s="68" t="str">
        <f>IF(OR($D$3=JU!$F544,$D$3=JU!$I544),JU!B544,"")</f>
        <v/>
      </c>
      <c r="C551" s="6" t="str">
        <f>IF(OR($D$3=JU!$F544,$D$3=JU!$I544),JU!C544,"")</f>
        <v/>
      </c>
      <c r="D551" s="73" t="str">
        <f>IF(OR($D$3=JU!$F544,$D$3=JU!$I544),JU!D544,"")</f>
        <v/>
      </c>
      <c r="E551" s="74" t="str">
        <f>IF(OR($D$3=JU!$F544,$D$3=JU!$I544),JU!E544,"")</f>
        <v/>
      </c>
      <c r="F551" s="72">
        <f>IF($D$3=JU!F544,JU!H544,0)</f>
        <v>0</v>
      </c>
      <c r="G551" s="72">
        <f>IF($D$3=JU!I544,JU!K544,0)</f>
        <v>0</v>
      </c>
      <c r="H551" s="72">
        <f t="shared" si="9"/>
        <v>52428000</v>
      </c>
    </row>
    <row r="552" spans="2:8" hidden="1">
      <c r="B552" s="68" t="str">
        <f>IF(OR($D$3=JU!$F545,$D$3=JU!$I545),JU!B545,"")</f>
        <v/>
      </c>
      <c r="C552" s="6" t="str">
        <f>IF(OR($D$3=JU!$F545,$D$3=JU!$I545),JU!C545,"")</f>
        <v/>
      </c>
      <c r="D552" s="73" t="str">
        <f>IF(OR($D$3=JU!$F545,$D$3=JU!$I545),JU!D545,"")</f>
        <v/>
      </c>
      <c r="E552" s="74" t="str">
        <f>IF(OR($D$3=JU!$F545,$D$3=JU!$I545),JU!E545,"")</f>
        <v/>
      </c>
      <c r="F552" s="72">
        <f>IF($D$3=JU!F545,JU!H545,0)</f>
        <v>0</v>
      </c>
      <c r="G552" s="72">
        <f>IF($D$3=JU!I545,JU!K545,0)</f>
        <v>0</v>
      </c>
      <c r="H552" s="72">
        <f t="shared" si="9"/>
        <v>52428000</v>
      </c>
    </row>
    <row r="553" spans="2:8" hidden="1">
      <c r="B553" s="68" t="str">
        <f>IF(OR($D$3=JU!$F546,$D$3=JU!$I546),JU!B546,"")</f>
        <v/>
      </c>
      <c r="C553" s="6" t="str">
        <f>IF(OR($D$3=JU!$F546,$D$3=JU!$I546),JU!C546,"")</f>
        <v/>
      </c>
      <c r="D553" s="73" t="str">
        <f>IF(OR($D$3=JU!$F546,$D$3=JU!$I546),JU!D546,"")</f>
        <v/>
      </c>
      <c r="E553" s="74" t="str">
        <f>IF(OR($D$3=JU!$F546,$D$3=JU!$I546),JU!E546,"")</f>
        <v/>
      </c>
      <c r="F553" s="72">
        <f>IF($D$3=JU!F546,JU!H546,0)</f>
        <v>0</v>
      </c>
      <c r="G553" s="72">
        <f>IF($D$3=JU!I546,JU!K546,0)</f>
        <v>0</v>
      </c>
      <c r="H553" s="72">
        <f t="shared" si="9"/>
        <v>52428000</v>
      </c>
    </row>
    <row r="554" spans="2:8" hidden="1">
      <c r="B554" s="68" t="str">
        <f>IF(OR($D$3=JU!$F547,$D$3=JU!$I547),JU!B547,"")</f>
        <v/>
      </c>
      <c r="C554" s="6" t="str">
        <f>IF(OR($D$3=JU!$F547,$D$3=JU!$I547),JU!C547,"")</f>
        <v/>
      </c>
      <c r="D554" s="73" t="str">
        <f>IF(OR($D$3=JU!$F547,$D$3=JU!$I547),JU!D547,"")</f>
        <v/>
      </c>
      <c r="E554" s="74" t="str">
        <f>IF(OR($D$3=JU!$F547,$D$3=JU!$I547),JU!E547,"")</f>
        <v/>
      </c>
      <c r="F554" s="72">
        <f>IF($D$3=JU!F547,JU!H547,0)</f>
        <v>0</v>
      </c>
      <c r="G554" s="72">
        <f>IF($D$3=JU!I547,JU!K547,0)</f>
        <v>0</v>
      </c>
      <c r="H554" s="72">
        <f t="shared" si="9"/>
        <v>52428000</v>
      </c>
    </row>
    <row r="555" spans="2:8" hidden="1">
      <c r="B555" s="68" t="str">
        <f>IF(OR($D$3=JU!$F548,$D$3=JU!$I548),JU!B548,"")</f>
        <v/>
      </c>
      <c r="C555" s="6" t="str">
        <f>IF(OR($D$3=JU!$F548,$D$3=JU!$I548),JU!C548,"")</f>
        <v/>
      </c>
      <c r="D555" s="73" t="str">
        <f>IF(OR($D$3=JU!$F548,$D$3=JU!$I548),JU!D548,"")</f>
        <v/>
      </c>
      <c r="E555" s="74" t="str">
        <f>IF(OR($D$3=JU!$F548,$D$3=JU!$I548),JU!E548,"")</f>
        <v/>
      </c>
      <c r="F555" s="72">
        <f>IF($D$3=JU!F548,JU!H548,0)</f>
        <v>0</v>
      </c>
      <c r="G555" s="72">
        <f>IF($D$3=JU!I548,JU!K548,0)</f>
        <v>0</v>
      </c>
      <c r="H555" s="72">
        <f t="shared" si="9"/>
        <v>52428000</v>
      </c>
    </row>
    <row r="556" spans="2:8" hidden="1">
      <c r="B556" s="68" t="str">
        <f>IF(OR($D$3=JU!$F549,$D$3=JU!$I549),JU!B549,"")</f>
        <v/>
      </c>
      <c r="C556" s="6" t="str">
        <f>IF(OR($D$3=JU!$F549,$D$3=JU!$I549),JU!C549,"")</f>
        <v/>
      </c>
      <c r="D556" s="73" t="str">
        <f>IF(OR($D$3=JU!$F549,$D$3=JU!$I549),JU!D549,"")</f>
        <v/>
      </c>
      <c r="E556" s="74" t="str">
        <f>IF(OR($D$3=JU!$F549,$D$3=JU!$I549),JU!E549,"")</f>
        <v/>
      </c>
      <c r="F556" s="72">
        <f>IF($D$3=JU!F549,JU!H549,0)</f>
        <v>0</v>
      </c>
      <c r="G556" s="72">
        <f>IF($D$3=JU!I549,JU!K549,0)</f>
        <v>0</v>
      </c>
      <c r="H556" s="72">
        <f t="shared" si="9"/>
        <v>52428000</v>
      </c>
    </row>
    <row r="557" spans="2:8" hidden="1">
      <c r="B557" s="68" t="str">
        <f>IF(OR($D$3=JU!$F550,$D$3=JU!$I550),JU!B550,"")</f>
        <v/>
      </c>
      <c r="C557" s="6" t="str">
        <f>IF(OR($D$3=JU!$F550,$D$3=JU!$I550),JU!C550,"")</f>
        <v/>
      </c>
      <c r="D557" s="73" t="str">
        <f>IF(OR($D$3=JU!$F550,$D$3=JU!$I550),JU!D550,"")</f>
        <v/>
      </c>
      <c r="E557" s="74" t="str">
        <f>IF(OR($D$3=JU!$F550,$D$3=JU!$I550),JU!E550,"")</f>
        <v/>
      </c>
      <c r="F557" s="72">
        <f>IF($D$3=JU!F550,JU!H550,0)</f>
        <v>0</v>
      </c>
      <c r="G557" s="72">
        <f>IF($D$3=JU!I550,JU!K550,0)</f>
        <v>0</v>
      </c>
      <c r="H557" s="72">
        <f t="shared" si="9"/>
        <v>52428000</v>
      </c>
    </row>
    <row r="558" spans="2:8" hidden="1">
      <c r="B558" s="68" t="str">
        <f>IF(OR($D$3=JU!$F551,$D$3=JU!$I551),JU!B551,"")</f>
        <v/>
      </c>
      <c r="C558" s="6" t="str">
        <f>IF(OR($D$3=JU!$F551,$D$3=JU!$I551),JU!C551,"")</f>
        <v/>
      </c>
      <c r="D558" s="73" t="str">
        <f>IF(OR($D$3=JU!$F551,$D$3=JU!$I551),JU!D551,"")</f>
        <v/>
      </c>
      <c r="E558" s="74" t="str">
        <f>IF(OR($D$3=JU!$F551,$D$3=JU!$I551),JU!E551,"")</f>
        <v/>
      </c>
      <c r="F558" s="72">
        <f>IF($D$3=JU!F551,JU!H551,0)</f>
        <v>0</v>
      </c>
      <c r="G558" s="72">
        <f>IF($D$3=JU!I551,JU!K551,0)</f>
        <v>0</v>
      </c>
      <c r="H558" s="72">
        <f t="shared" si="9"/>
        <v>52428000</v>
      </c>
    </row>
    <row r="559" spans="2:8" hidden="1">
      <c r="B559" s="68" t="str">
        <f>IF(OR($D$3=JU!$F552,$D$3=JU!$I552),JU!B552,"")</f>
        <v/>
      </c>
      <c r="C559" s="6" t="str">
        <f>IF(OR($D$3=JU!$F552,$D$3=JU!$I552),JU!C552,"")</f>
        <v/>
      </c>
      <c r="D559" s="73" t="str">
        <f>IF(OR($D$3=JU!$F552,$D$3=JU!$I552),JU!D552,"")</f>
        <v/>
      </c>
      <c r="E559" s="74" t="str">
        <f>IF(OR($D$3=JU!$F552,$D$3=JU!$I552),JU!E552,"")</f>
        <v/>
      </c>
      <c r="F559" s="72">
        <f>IF($D$3=JU!F552,JU!H552,0)</f>
        <v>0</v>
      </c>
      <c r="G559" s="72">
        <f>IF($D$3=JU!I552,JU!K552,0)</f>
        <v>0</v>
      </c>
      <c r="H559" s="72">
        <f t="shared" si="9"/>
        <v>52428000</v>
      </c>
    </row>
    <row r="560" spans="2:8" hidden="1">
      <c r="B560" s="68" t="str">
        <f>IF(OR($D$3=JU!$F553,$D$3=JU!$I553),JU!B553,"")</f>
        <v/>
      </c>
      <c r="C560" s="6" t="str">
        <f>IF(OR($D$3=JU!$F553,$D$3=JU!$I553),JU!C553,"")</f>
        <v/>
      </c>
      <c r="D560" s="73" t="str">
        <f>IF(OR($D$3=JU!$F553,$D$3=JU!$I553),JU!D553,"")</f>
        <v/>
      </c>
      <c r="E560" s="74" t="str">
        <f>IF(OR($D$3=JU!$F553,$D$3=JU!$I553),JU!E553,"")</f>
        <v/>
      </c>
      <c r="F560" s="72">
        <f>IF($D$3=JU!F553,JU!H553,0)</f>
        <v>0</v>
      </c>
      <c r="G560" s="72">
        <f>IF($D$3=JU!I553,JU!K553,0)</f>
        <v>0</v>
      </c>
      <c r="H560" s="72">
        <f t="shared" si="9"/>
        <v>52428000</v>
      </c>
    </row>
    <row r="561" spans="2:8" hidden="1">
      <c r="B561" s="68" t="str">
        <f>IF(OR($D$3=JU!$F554,$D$3=JU!$I554),JU!B554,"")</f>
        <v/>
      </c>
      <c r="C561" s="6" t="str">
        <f>IF(OR($D$3=JU!$F554,$D$3=JU!$I554),JU!C554,"")</f>
        <v/>
      </c>
      <c r="D561" s="73" t="str">
        <f>IF(OR($D$3=JU!$F554,$D$3=JU!$I554),JU!D554,"")</f>
        <v/>
      </c>
      <c r="E561" s="74" t="str">
        <f>IF(OR($D$3=JU!$F554,$D$3=JU!$I554),JU!E554,"")</f>
        <v/>
      </c>
      <c r="F561" s="72">
        <f>IF($D$3=JU!F554,JU!H554,0)</f>
        <v>0</v>
      </c>
      <c r="G561" s="72">
        <f>IF($D$3=JU!I554,JU!K554,0)</f>
        <v>0</v>
      </c>
      <c r="H561" s="72">
        <f t="shared" si="9"/>
        <v>52428000</v>
      </c>
    </row>
    <row r="562" spans="2:8" hidden="1">
      <c r="B562" s="68" t="str">
        <f>IF(OR($D$3=JU!$F555,$D$3=JU!$I555),JU!B555,"")</f>
        <v/>
      </c>
      <c r="C562" s="6" t="str">
        <f>IF(OR($D$3=JU!$F555,$D$3=JU!$I555),JU!C555,"")</f>
        <v/>
      </c>
      <c r="D562" s="73" t="str">
        <f>IF(OR($D$3=JU!$F555,$D$3=JU!$I555),JU!D555,"")</f>
        <v/>
      </c>
      <c r="E562" s="74" t="str">
        <f>IF(OR($D$3=JU!$F555,$D$3=JU!$I555),JU!E555,"")</f>
        <v/>
      </c>
      <c r="F562" s="72">
        <f>IF($D$3=JU!F555,JU!H555,0)</f>
        <v>0</v>
      </c>
      <c r="G562" s="72">
        <f>IF($D$3=JU!I555,JU!K555,0)</f>
        <v>0</v>
      </c>
      <c r="H562" s="72">
        <f t="shared" si="9"/>
        <v>52428000</v>
      </c>
    </row>
    <row r="563" spans="2:8" hidden="1">
      <c r="B563" s="68" t="str">
        <f>IF(OR($D$3=JU!$F556,$D$3=JU!$I556),JU!B556,"")</f>
        <v/>
      </c>
      <c r="C563" s="6" t="str">
        <f>IF(OR($D$3=JU!$F556,$D$3=JU!$I556),JU!C556,"")</f>
        <v/>
      </c>
      <c r="D563" s="73" t="str">
        <f>IF(OR($D$3=JU!$F556,$D$3=JU!$I556),JU!D556,"")</f>
        <v/>
      </c>
      <c r="E563" s="74" t="str">
        <f>IF(OR($D$3=JU!$F556,$D$3=JU!$I556),JU!E556,"")</f>
        <v/>
      </c>
      <c r="F563" s="72">
        <f>IF($D$3=JU!F556,JU!H556,0)</f>
        <v>0</v>
      </c>
      <c r="G563" s="72">
        <f>IF($D$3=JU!I556,JU!K556,0)</f>
        <v>0</v>
      </c>
      <c r="H563" s="72">
        <f t="shared" si="9"/>
        <v>52428000</v>
      </c>
    </row>
    <row r="564" spans="2:8" hidden="1">
      <c r="B564" s="68" t="str">
        <f>IF(OR($D$3=JU!$F557,$D$3=JU!$I557),JU!B557,"")</f>
        <v/>
      </c>
      <c r="C564" s="6" t="str">
        <f>IF(OR($D$3=JU!$F557,$D$3=JU!$I557),JU!C557,"")</f>
        <v/>
      </c>
      <c r="D564" s="73" t="str">
        <f>IF(OR($D$3=JU!$F557,$D$3=JU!$I557),JU!D557,"")</f>
        <v/>
      </c>
      <c r="E564" s="74" t="str">
        <f>IF(OR($D$3=JU!$F557,$D$3=JU!$I557),JU!E557,"")</f>
        <v/>
      </c>
      <c r="F564" s="72">
        <f>IF($D$3=JU!F557,JU!H557,0)</f>
        <v>0</v>
      </c>
      <c r="G564" s="72">
        <f>IF($D$3=JU!I557,JU!K557,0)</f>
        <v>0</v>
      </c>
      <c r="H564" s="72">
        <f t="shared" si="9"/>
        <v>52428000</v>
      </c>
    </row>
    <row r="565" spans="2:8" hidden="1">
      <c r="B565" s="68" t="str">
        <f>IF(OR($D$3=JU!$F558,$D$3=JU!$I558),JU!B558,"")</f>
        <v/>
      </c>
      <c r="C565" s="6" t="str">
        <f>IF(OR($D$3=JU!$F558,$D$3=JU!$I558),JU!C558,"")</f>
        <v/>
      </c>
      <c r="D565" s="73" t="str">
        <f>IF(OR($D$3=JU!$F558,$D$3=JU!$I558),JU!D558,"")</f>
        <v/>
      </c>
      <c r="E565" s="74" t="str">
        <f>IF(OR($D$3=JU!$F558,$D$3=JU!$I558),JU!E558,"")</f>
        <v/>
      </c>
      <c r="F565" s="72">
        <f>IF($D$3=JU!F558,JU!H558,0)</f>
        <v>0</v>
      </c>
      <c r="G565" s="72">
        <f>IF($D$3=JU!I558,JU!K558,0)</f>
        <v>0</v>
      </c>
      <c r="H565" s="72">
        <f t="shared" si="9"/>
        <v>52428000</v>
      </c>
    </row>
    <row r="566" spans="2:8" hidden="1">
      <c r="B566" s="68" t="str">
        <f>IF(OR($D$3=JU!$F559,$D$3=JU!$I559),JU!B559,"")</f>
        <v/>
      </c>
      <c r="C566" s="6" t="str">
        <f>IF(OR($D$3=JU!$F559,$D$3=JU!$I559),JU!C559,"")</f>
        <v/>
      </c>
      <c r="D566" s="73" t="str">
        <f>IF(OR($D$3=JU!$F559,$D$3=JU!$I559),JU!D559,"")</f>
        <v/>
      </c>
      <c r="E566" s="74" t="str">
        <f>IF(OR($D$3=JU!$F559,$D$3=JU!$I559),JU!E559,"")</f>
        <v/>
      </c>
      <c r="F566" s="72">
        <f>IF($D$3=JU!F559,JU!H559,0)</f>
        <v>0</v>
      </c>
      <c r="G566" s="72">
        <f>IF($D$3=JU!I559,JU!K559,0)</f>
        <v>0</v>
      </c>
      <c r="H566" s="72">
        <f t="shared" si="9"/>
        <v>52428000</v>
      </c>
    </row>
    <row r="567" spans="2:8" hidden="1">
      <c r="B567" s="68" t="str">
        <f>IF(OR($D$3=JU!$F560,$D$3=JU!$I560),JU!B560,"")</f>
        <v/>
      </c>
      <c r="C567" s="6" t="str">
        <f>IF(OR($D$3=JU!$F560,$D$3=JU!$I560),JU!C560,"")</f>
        <v/>
      </c>
      <c r="D567" s="73" t="str">
        <f>IF(OR($D$3=JU!$F560,$D$3=JU!$I560),JU!D560,"")</f>
        <v/>
      </c>
      <c r="E567" s="74" t="str">
        <f>IF(OR($D$3=JU!$F560,$D$3=JU!$I560),JU!E560,"")</f>
        <v/>
      </c>
      <c r="F567" s="72">
        <f>IF($D$3=JU!F560,JU!H560,0)</f>
        <v>0</v>
      </c>
      <c r="G567" s="72">
        <f>IF($D$3=JU!I560,JU!K560,0)</f>
        <v>0</v>
      </c>
      <c r="H567" s="72">
        <f t="shared" si="9"/>
        <v>52428000</v>
      </c>
    </row>
    <row r="568" spans="2:8" hidden="1">
      <c r="B568" s="68" t="str">
        <f>IF(OR($D$3=JU!$F561,$D$3=JU!$I561),JU!B561,"")</f>
        <v/>
      </c>
      <c r="C568" s="6" t="str">
        <f>IF(OR($D$3=JU!$F561,$D$3=JU!$I561),JU!C561,"")</f>
        <v/>
      </c>
      <c r="D568" s="73" t="str">
        <f>IF(OR($D$3=JU!$F561,$D$3=JU!$I561),JU!D561,"")</f>
        <v/>
      </c>
      <c r="E568" s="74" t="str">
        <f>IF(OR($D$3=JU!$F561,$D$3=JU!$I561),JU!E561,"")</f>
        <v/>
      </c>
      <c r="F568" s="72">
        <f>IF($D$3=JU!F561,JU!H561,0)</f>
        <v>0</v>
      </c>
      <c r="G568" s="72">
        <f>IF($D$3=JU!I561,JU!K561,0)</f>
        <v>0</v>
      </c>
      <c r="H568" s="72">
        <f t="shared" si="9"/>
        <v>52428000</v>
      </c>
    </row>
    <row r="569" spans="2:8" hidden="1">
      <c r="B569" s="68" t="str">
        <f>IF(OR($D$3=JU!$F562,$D$3=JU!$I562),JU!B562,"")</f>
        <v/>
      </c>
      <c r="C569" s="6" t="str">
        <f>IF(OR($D$3=JU!$F562,$D$3=JU!$I562),JU!C562,"")</f>
        <v/>
      </c>
      <c r="D569" s="73" t="str">
        <f>IF(OR($D$3=JU!$F562,$D$3=JU!$I562),JU!D562,"")</f>
        <v/>
      </c>
      <c r="E569" s="74" t="str">
        <f>IF(OR($D$3=JU!$F562,$D$3=JU!$I562),JU!E562,"")</f>
        <v/>
      </c>
      <c r="F569" s="72">
        <f>IF($D$3=JU!F562,JU!H562,0)</f>
        <v>0</v>
      </c>
      <c r="G569" s="72">
        <f>IF($D$3=JU!I562,JU!K562,0)</f>
        <v>0</v>
      </c>
      <c r="H569" s="72">
        <f t="shared" si="9"/>
        <v>52428000</v>
      </c>
    </row>
    <row r="570" spans="2:8" hidden="1">
      <c r="B570" s="68" t="str">
        <f>IF(OR($D$3=JU!$F563,$D$3=JU!$I563),JU!B563,"")</f>
        <v/>
      </c>
      <c r="C570" s="6" t="str">
        <f>IF(OR($D$3=JU!$F563,$D$3=JU!$I563),JU!C563,"")</f>
        <v/>
      </c>
      <c r="D570" s="73" t="str">
        <f>IF(OR($D$3=JU!$F563,$D$3=JU!$I563),JU!D563,"")</f>
        <v/>
      </c>
      <c r="E570" s="74" t="str">
        <f>IF(OR($D$3=JU!$F563,$D$3=JU!$I563),JU!E563,"")</f>
        <v/>
      </c>
      <c r="F570" s="72">
        <f>IF($D$3=JU!F563,JU!H563,0)</f>
        <v>0</v>
      </c>
      <c r="G570" s="72">
        <f>IF($D$3=JU!I563,JU!K563,0)</f>
        <v>0</v>
      </c>
      <c r="H570" s="72">
        <f t="shared" si="9"/>
        <v>52428000</v>
      </c>
    </row>
    <row r="571" spans="2:8" hidden="1">
      <c r="B571" s="68" t="str">
        <f>IF(OR($D$3=JU!$F564,$D$3=JU!$I564),JU!B564,"")</f>
        <v/>
      </c>
      <c r="C571" s="6" t="str">
        <f>IF(OR($D$3=JU!$F564,$D$3=JU!$I564),JU!C564,"")</f>
        <v/>
      </c>
      <c r="D571" s="73" t="str">
        <f>IF(OR($D$3=JU!$F564,$D$3=JU!$I564),JU!D564,"")</f>
        <v/>
      </c>
      <c r="E571" s="74" t="str">
        <f>IF(OR($D$3=JU!$F564,$D$3=JU!$I564),JU!E564,"")</f>
        <v/>
      </c>
      <c r="F571" s="72">
        <f>IF($D$3=JU!F564,JU!H564,0)</f>
        <v>0</v>
      </c>
      <c r="G571" s="72">
        <f>IF($D$3=JU!I564,JU!K564,0)</f>
        <v>0</v>
      </c>
      <c r="H571" s="72">
        <f t="shared" si="9"/>
        <v>52428000</v>
      </c>
    </row>
    <row r="572" spans="2:8" hidden="1">
      <c r="B572" s="68" t="str">
        <f>IF(OR($D$3=JU!$F565,$D$3=JU!$I565),JU!B565,"")</f>
        <v/>
      </c>
      <c r="C572" s="6" t="str">
        <f>IF(OR($D$3=JU!$F565,$D$3=JU!$I565),JU!C565,"")</f>
        <v/>
      </c>
      <c r="D572" s="73" t="str">
        <f>IF(OR($D$3=JU!$F565,$D$3=JU!$I565),JU!D565,"")</f>
        <v/>
      </c>
      <c r="E572" s="74" t="str">
        <f>IF(OR($D$3=JU!$F565,$D$3=JU!$I565),JU!E565,"")</f>
        <v/>
      </c>
      <c r="F572" s="72">
        <f>IF($D$3=JU!F565,JU!H565,0)</f>
        <v>0</v>
      </c>
      <c r="G572" s="72">
        <f>IF($D$3=JU!I565,JU!K565,0)</f>
        <v>0</v>
      </c>
      <c r="H572" s="72">
        <f t="shared" si="9"/>
        <v>52428000</v>
      </c>
    </row>
    <row r="573" spans="2:8" hidden="1">
      <c r="B573" s="68" t="str">
        <f>IF(OR($D$3=JU!$F566,$D$3=JU!$I566),JU!B566,"")</f>
        <v/>
      </c>
      <c r="C573" s="6" t="str">
        <f>IF(OR($D$3=JU!$F566,$D$3=JU!$I566),JU!C566,"")</f>
        <v/>
      </c>
      <c r="D573" s="73" t="str">
        <f>IF(OR($D$3=JU!$F566,$D$3=JU!$I566),JU!D566,"")</f>
        <v/>
      </c>
      <c r="E573" s="74" t="str">
        <f>IF(OR($D$3=JU!$F566,$D$3=JU!$I566),JU!E566,"")</f>
        <v/>
      </c>
      <c r="F573" s="72">
        <f>IF($D$3=JU!F566,JU!H566,0)</f>
        <v>0</v>
      </c>
      <c r="G573" s="72">
        <f>IF($D$3=JU!I566,JU!K566,0)</f>
        <v>0</v>
      </c>
      <c r="H573" s="72">
        <f t="shared" si="9"/>
        <v>52428000</v>
      </c>
    </row>
    <row r="574" spans="2:8" hidden="1">
      <c r="B574" s="68" t="str">
        <f>IF(OR($D$3=JU!$F567,$D$3=JU!$I567),JU!B567,"")</f>
        <v/>
      </c>
      <c r="C574" s="6" t="str">
        <f>IF(OR($D$3=JU!$F567,$D$3=JU!$I567),JU!C567,"")</f>
        <v/>
      </c>
      <c r="D574" s="73" t="str">
        <f>IF(OR($D$3=JU!$F567,$D$3=JU!$I567),JU!D567,"")</f>
        <v/>
      </c>
      <c r="E574" s="74" t="str">
        <f>IF(OR($D$3=JU!$F567,$D$3=JU!$I567),JU!E567,"")</f>
        <v/>
      </c>
      <c r="F574" s="72">
        <f>IF($D$3=JU!F567,JU!H567,0)</f>
        <v>0</v>
      </c>
      <c r="G574" s="72">
        <f>IF($D$3=JU!I567,JU!K567,0)</f>
        <v>0</v>
      </c>
      <c r="H574" s="72">
        <f t="shared" si="9"/>
        <v>52428000</v>
      </c>
    </row>
    <row r="575" spans="2:8" hidden="1">
      <c r="B575" s="68" t="str">
        <f>IF(OR($D$3=JU!$F568,$D$3=JU!$I568),JU!B568,"")</f>
        <v/>
      </c>
      <c r="C575" s="6" t="str">
        <f>IF(OR($D$3=JU!$F568,$D$3=JU!$I568),JU!C568,"")</f>
        <v/>
      </c>
      <c r="D575" s="73" t="str">
        <f>IF(OR($D$3=JU!$F568,$D$3=JU!$I568),JU!D568,"")</f>
        <v/>
      </c>
      <c r="E575" s="74" t="str">
        <f>IF(OR($D$3=JU!$F568,$D$3=JU!$I568),JU!E568,"")</f>
        <v/>
      </c>
      <c r="F575" s="72">
        <f>IF($D$3=JU!F568,JU!H568,0)</f>
        <v>0</v>
      </c>
      <c r="G575" s="72">
        <f>IF($D$3=JU!I568,JU!K568,0)</f>
        <v>0</v>
      </c>
      <c r="H575" s="72">
        <f t="shared" si="9"/>
        <v>52428000</v>
      </c>
    </row>
    <row r="576" spans="2:8" hidden="1">
      <c r="B576" s="68" t="str">
        <f>IF(OR($D$3=JU!$F569,$D$3=JU!$I569),JU!B569,"")</f>
        <v/>
      </c>
      <c r="C576" s="6" t="str">
        <f>IF(OR($D$3=JU!$F569,$D$3=JU!$I569),JU!C569,"")</f>
        <v/>
      </c>
      <c r="D576" s="73" t="str">
        <f>IF(OR($D$3=JU!$F569,$D$3=JU!$I569),JU!D569,"")</f>
        <v/>
      </c>
      <c r="E576" s="74" t="str">
        <f>IF(OR($D$3=JU!$F569,$D$3=JU!$I569),JU!E569,"")</f>
        <v/>
      </c>
      <c r="F576" s="72">
        <f>IF($D$3=JU!F569,JU!H569,0)</f>
        <v>0</v>
      </c>
      <c r="G576" s="72">
        <f>IF($D$3=JU!I569,JU!K569,0)</f>
        <v>0</v>
      </c>
      <c r="H576" s="72">
        <f t="shared" si="9"/>
        <v>52428000</v>
      </c>
    </row>
    <row r="577" spans="2:8" hidden="1">
      <c r="B577" s="68" t="str">
        <f>IF(OR($D$3=JU!$F570,$D$3=JU!$I570),JU!B570,"")</f>
        <v/>
      </c>
      <c r="C577" s="6" t="str">
        <f>IF(OR($D$3=JU!$F570,$D$3=JU!$I570),JU!C570,"")</f>
        <v/>
      </c>
      <c r="D577" s="73" t="str">
        <f>IF(OR($D$3=JU!$F570,$D$3=JU!$I570),JU!D570,"")</f>
        <v/>
      </c>
      <c r="E577" s="74" t="str">
        <f>IF(OR($D$3=JU!$F570,$D$3=JU!$I570),JU!E570,"")</f>
        <v/>
      </c>
      <c r="F577" s="72">
        <f>IF($D$3=JU!F570,JU!H570,0)</f>
        <v>0</v>
      </c>
      <c r="G577" s="72">
        <f>IF($D$3=JU!I570,JU!K570,0)</f>
        <v>0</v>
      </c>
      <c r="H577" s="72">
        <f t="shared" si="9"/>
        <v>52428000</v>
      </c>
    </row>
    <row r="578" spans="2:8" hidden="1">
      <c r="B578" s="68" t="str">
        <f>IF(OR($D$3=JU!$F571,$D$3=JU!$I571),JU!B571,"")</f>
        <v/>
      </c>
      <c r="C578" s="6" t="str">
        <f>IF(OR($D$3=JU!$F571,$D$3=JU!$I571),JU!C571,"")</f>
        <v/>
      </c>
      <c r="D578" s="73" t="str">
        <f>IF(OR($D$3=JU!$F571,$D$3=JU!$I571),JU!D571,"")</f>
        <v/>
      </c>
      <c r="E578" s="74" t="str">
        <f>IF(OR($D$3=JU!$F571,$D$3=JU!$I571),JU!E571,"")</f>
        <v/>
      </c>
      <c r="F578" s="72">
        <f>IF($D$3=JU!F571,JU!H571,0)</f>
        <v>0</v>
      </c>
      <c r="G578" s="72">
        <f>IF($D$3=JU!I571,JU!K571,0)</f>
        <v>0</v>
      </c>
      <c r="H578" s="72">
        <f t="shared" si="9"/>
        <v>52428000</v>
      </c>
    </row>
    <row r="579" spans="2:8" hidden="1">
      <c r="B579" s="68" t="str">
        <f>IF(OR($D$3=JU!$F572,$D$3=JU!$I572),JU!B572,"")</f>
        <v/>
      </c>
      <c r="C579" s="6" t="str">
        <f>IF(OR($D$3=JU!$F572,$D$3=JU!$I572),JU!C572,"")</f>
        <v/>
      </c>
      <c r="D579" s="73" t="str">
        <f>IF(OR($D$3=JU!$F572,$D$3=JU!$I572),JU!D572,"")</f>
        <v/>
      </c>
      <c r="E579" s="74" t="str">
        <f>IF(OR($D$3=JU!$F572,$D$3=JU!$I572),JU!E572,"")</f>
        <v/>
      </c>
      <c r="F579" s="72">
        <f>IF($D$3=JU!F572,JU!H572,0)</f>
        <v>0</v>
      </c>
      <c r="G579" s="72">
        <f>IF($D$3=JU!I572,JU!K572,0)</f>
        <v>0</v>
      </c>
      <c r="H579" s="72">
        <f t="shared" si="9"/>
        <v>52428000</v>
      </c>
    </row>
    <row r="580" spans="2:8" hidden="1">
      <c r="B580" s="68" t="str">
        <f>IF(OR($D$3=JU!$F573,$D$3=JU!$I573),JU!B573,"")</f>
        <v/>
      </c>
      <c r="C580" s="6" t="str">
        <f>IF(OR($D$3=JU!$F573,$D$3=JU!$I573),JU!C573,"")</f>
        <v/>
      </c>
      <c r="D580" s="73" t="str">
        <f>IF(OR($D$3=JU!$F573,$D$3=JU!$I573),JU!D573,"")</f>
        <v/>
      </c>
      <c r="E580" s="74" t="str">
        <f>IF(OR($D$3=JU!$F573,$D$3=JU!$I573),JU!E573,"")</f>
        <v/>
      </c>
      <c r="F580" s="72">
        <f>IF($D$3=JU!F573,JU!H573,0)</f>
        <v>0</v>
      </c>
      <c r="G580" s="72">
        <f>IF($D$3=JU!I573,JU!K573,0)</f>
        <v>0</v>
      </c>
      <c r="H580" s="72">
        <f t="shared" si="9"/>
        <v>52428000</v>
      </c>
    </row>
    <row r="581" spans="2:8" hidden="1">
      <c r="B581" s="68" t="str">
        <f>IF(OR($D$3=JU!$F574,$D$3=JU!$I574),JU!B574,"")</f>
        <v/>
      </c>
      <c r="C581" s="6" t="str">
        <f>IF(OR($D$3=JU!$F574,$D$3=JU!$I574),JU!C574,"")</f>
        <v/>
      </c>
      <c r="D581" s="73" t="str">
        <f>IF(OR($D$3=JU!$F574,$D$3=JU!$I574),JU!D574,"")</f>
        <v/>
      </c>
      <c r="E581" s="74" t="str">
        <f>IF(OR($D$3=JU!$F574,$D$3=JU!$I574),JU!E574,"")</f>
        <v/>
      </c>
      <c r="F581" s="72">
        <f>IF($D$3=JU!F574,JU!H574,0)</f>
        <v>0</v>
      </c>
      <c r="G581" s="72">
        <f>IF($D$3=JU!I574,JU!K574,0)</f>
        <v>0</v>
      </c>
      <c r="H581" s="72">
        <f t="shared" si="9"/>
        <v>52428000</v>
      </c>
    </row>
    <row r="582" spans="2:8" hidden="1">
      <c r="B582" s="68" t="str">
        <f>IF(OR($D$3=JU!$F575,$D$3=JU!$I575),JU!B575,"")</f>
        <v/>
      </c>
      <c r="C582" s="6" t="str">
        <f>IF(OR($D$3=JU!$F575,$D$3=JU!$I575),JU!C575,"")</f>
        <v/>
      </c>
      <c r="D582" s="73" t="str">
        <f>IF(OR($D$3=JU!$F575,$D$3=JU!$I575),JU!D575,"")</f>
        <v/>
      </c>
      <c r="E582" s="74" t="str">
        <f>IF(OR($D$3=JU!$F575,$D$3=JU!$I575),JU!E575,"")</f>
        <v/>
      </c>
      <c r="F582" s="72">
        <f>IF($D$3=JU!F575,JU!H575,0)</f>
        <v>0</v>
      </c>
      <c r="G582" s="72">
        <f>IF($D$3=JU!I575,JU!K575,0)</f>
        <v>0</v>
      </c>
      <c r="H582" s="72">
        <f t="shared" si="9"/>
        <v>52428000</v>
      </c>
    </row>
    <row r="583" spans="2:8" hidden="1">
      <c r="B583" s="68" t="str">
        <f>IF(OR($D$3=JU!$F576,$D$3=JU!$I576),JU!B576,"")</f>
        <v/>
      </c>
      <c r="C583" s="6" t="str">
        <f>IF(OR($D$3=JU!$F576,$D$3=JU!$I576),JU!C576,"")</f>
        <v/>
      </c>
      <c r="D583" s="73" t="str">
        <f>IF(OR($D$3=JU!$F576,$D$3=JU!$I576),JU!D576,"")</f>
        <v/>
      </c>
      <c r="E583" s="74" t="str">
        <f>IF(OR($D$3=JU!$F576,$D$3=JU!$I576),JU!E576,"")</f>
        <v/>
      </c>
      <c r="F583" s="72">
        <f>IF($D$3=JU!F576,JU!H576,0)</f>
        <v>0</v>
      </c>
      <c r="G583" s="72">
        <f>IF($D$3=JU!I576,JU!K576,0)</f>
        <v>0</v>
      </c>
      <c r="H583" s="72">
        <f t="shared" si="9"/>
        <v>52428000</v>
      </c>
    </row>
    <row r="584" spans="2:8" hidden="1">
      <c r="B584" s="68" t="str">
        <f>IF(OR($D$3=JU!$F577,$D$3=JU!$I577),JU!B577,"")</f>
        <v/>
      </c>
      <c r="C584" s="6" t="str">
        <f>IF(OR($D$3=JU!$F577,$D$3=JU!$I577),JU!C577,"")</f>
        <v/>
      </c>
      <c r="D584" s="73" t="str">
        <f>IF(OR($D$3=JU!$F577,$D$3=JU!$I577),JU!D577,"")</f>
        <v/>
      </c>
      <c r="E584" s="74" t="str">
        <f>IF(OR($D$3=JU!$F577,$D$3=JU!$I577),JU!E577,"")</f>
        <v/>
      </c>
      <c r="F584" s="72">
        <f>IF($D$3=JU!F577,JU!H577,0)</f>
        <v>0</v>
      </c>
      <c r="G584" s="72">
        <f>IF($D$3=JU!I577,JU!K577,0)</f>
        <v>0</v>
      </c>
      <c r="H584" s="72">
        <f t="shared" si="9"/>
        <v>52428000</v>
      </c>
    </row>
    <row r="585" spans="2:8" hidden="1">
      <c r="B585" s="68" t="str">
        <f>IF(OR($D$3=JU!$F578,$D$3=JU!$I578),JU!B578,"")</f>
        <v/>
      </c>
      <c r="C585" s="6" t="str">
        <f>IF(OR($D$3=JU!$F578,$D$3=JU!$I578),JU!C578,"")</f>
        <v/>
      </c>
      <c r="D585" s="73" t="str">
        <f>IF(OR($D$3=JU!$F578,$D$3=JU!$I578),JU!D578,"")</f>
        <v/>
      </c>
      <c r="E585" s="74" t="str">
        <f>IF(OR($D$3=JU!$F578,$D$3=JU!$I578),JU!E578,"")</f>
        <v/>
      </c>
      <c r="F585" s="72">
        <f>IF($D$3=JU!F578,JU!H578,0)</f>
        <v>0</v>
      </c>
      <c r="G585" s="72">
        <f>IF($D$3=JU!I578,JU!K578,0)</f>
        <v>0</v>
      </c>
      <c r="H585" s="72">
        <f t="shared" si="9"/>
        <v>52428000</v>
      </c>
    </row>
    <row r="586" spans="2:8" hidden="1">
      <c r="B586" s="68" t="str">
        <f>IF(OR($D$3=JU!$F579,$D$3=JU!$I579),JU!B579,"")</f>
        <v/>
      </c>
      <c r="C586" s="6" t="str">
        <f>IF(OR($D$3=JU!$F579,$D$3=JU!$I579),JU!C579,"")</f>
        <v/>
      </c>
      <c r="D586" s="73" t="str">
        <f>IF(OR($D$3=JU!$F579,$D$3=JU!$I579),JU!D579,"")</f>
        <v/>
      </c>
      <c r="E586" s="74" t="str">
        <f>IF(OR($D$3=JU!$F579,$D$3=JU!$I579),JU!E579,"")</f>
        <v/>
      </c>
      <c r="F586" s="72">
        <f>IF($D$3=JU!F579,JU!H579,0)</f>
        <v>0</v>
      </c>
      <c r="G586" s="72">
        <f>IF($D$3=JU!I579,JU!K579,0)</f>
        <v>0</v>
      </c>
      <c r="H586" s="72">
        <f t="shared" si="9"/>
        <v>52428000</v>
      </c>
    </row>
    <row r="587" spans="2:8" hidden="1">
      <c r="B587" s="68" t="str">
        <f>IF(OR($D$3=JU!$F580,$D$3=JU!$I580),JU!B580,"")</f>
        <v/>
      </c>
      <c r="C587" s="6" t="str">
        <f>IF(OR($D$3=JU!$F580,$D$3=JU!$I580),JU!C580,"")</f>
        <v/>
      </c>
      <c r="D587" s="73" t="str">
        <f>IF(OR($D$3=JU!$F580,$D$3=JU!$I580),JU!D580,"")</f>
        <v/>
      </c>
      <c r="E587" s="74" t="str">
        <f>IF(OR($D$3=JU!$F580,$D$3=JU!$I580),JU!E580,"")</f>
        <v/>
      </c>
      <c r="F587" s="72">
        <f>IF($D$3=JU!F580,JU!H580,0)</f>
        <v>0</v>
      </c>
      <c r="G587" s="72">
        <f>IF($D$3=JU!I580,JU!K580,0)</f>
        <v>0</v>
      </c>
      <c r="H587" s="72">
        <f t="shared" si="9"/>
        <v>52428000</v>
      </c>
    </row>
    <row r="588" spans="2:8" hidden="1">
      <c r="B588" s="68" t="str">
        <f>IF(OR($D$3=JU!$F581,$D$3=JU!$I581),JU!B581,"")</f>
        <v/>
      </c>
      <c r="C588" s="6" t="str">
        <f>IF(OR($D$3=JU!$F581,$D$3=JU!$I581),JU!C581,"")</f>
        <v/>
      </c>
      <c r="D588" s="73" t="str">
        <f>IF(OR($D$3=JU!$F581,$D$3=JU!$I581),JU!D581,"")</f>
        <v/>
      </c>
      <c r="E588" s="74" t="str">
        <f>IF(OR($D$3=JU!$F581,$D$3=JU!$I581),JU!E581,"")</f>
        <v/>
      </c>
      <c r="F588" s="72">
        <f>IF($D$3=JU!F581,JU!H581,0)</f>
        <v>0</v>
      </c>
      <c r="G588" s="72">
        <f>IF($D$3=JU!I581,JU!K581,0)</f>
        <v>0</v>
      </c>
      <c r="H588" s="72">
        <f t="shared" si="9"/>
        <v>52428000</v>
      </c>
    </row>
    <row r="589" spans="2:8" hidden="1">
      <c r="B589" s="68" t="str">
        <f>IF(OR($D$3=JU!$F582,$D$3=JU!$I582),JU!B582,"")</f>
        <v/>
      </c>
      <c r="C589" s="6" t="str">
        <f>IF(OR($D$3=JU!$F582,$D$3=JU!$I582),JU!C582,"")</f>
        <v/>
      </c>
      <c r="D589" s="73" t="str">
        <f>IF(OR($D$3=JU!$F582,$D$3=JU!$I582),JU!D582,"")</f>
        <v/>
      </c>
      <c r="E589" s="74" t="str">
        <f>IF(OR($D$3=JU!$F582,$D$3=JU!$I582),JU!E582,"")</f>
        <v/>
      </c>
      <c r="F589" s="72">
        <f>IF($D$3=JU!F582,JU!H582,0)</f>
        <v>0</v>
      </c>
      <c r="G589" s="72">
        <f>IF($D$3=JU!I582,JU!K582,0)</f>
        <v>0</v>
      </c>
      <c r="H589" s="72">
        <f t="shared" si="9"/>
        <v>52428000</v>
      </c>
    </row>
    <row r="590" spans="2:8" hidden="1">
      <c r="B590" s="68" t="str">
        <f>IF(OR($D$3=JU!$F583,$D$3=JU!$I583),JU!B583,"")</f>
        <v/>
      </c>
      <c r="C590" s="6" t="str">
        <f>IF(OR($D$3=JU!$F583,$D$3=JU!$I583),JU!C583,"")</f>
        <v/>
      </c>
      <c r="D590" s="73" t="str">
        <f>IF(OR($D$3=JU!$F583,$D$3=JU!$I583),JU!D583,"")</f>
        <v/>
      </c>
      <c r="E590" s="74" t="str">
        <f>IF(OR($D$3=JU!$F583,$D$3=JU!$I583),JU!E583,"")</f>
        <v/>
      </c>
      <c r="F590" s="72">
        <f>IF($D$3=JU!F583,JU!H583,0)</f>
        <v>0</v>
      </c>
      <c r="G590" s="72">
        <f>IF($D$3=JU!I583,JU!K583,0)</f>
        <v>0</v>
      </c>
      <c r="H590" s="72">
        <f t="shared" ref="H590:H653" si="10">IF($H$7="DEBET",H589+F590-G590,H589+G590-F590)</f>
        <v>52428000</v>
      </c>
    </row>
    <row r="591" spans="2:8" hidden="1">
      <c r="B591" s="68" t="str">
        <f>IF(OR($D$3=JU!$F584,$D$3=JU!$I584),JU!B584,"")</f>
        <v/>
      </c>
      <c r="C591" s="6" t="str">
        <f>IF(OR($D$3=JU!$F584,$D$3=JU!$I584),JU!C584,"")</f>
        <v/>
      </c>
      <c r="D591" s="73" t="str">
        <f>IF(OR($D$3=JU!$F584,$D$3=JU!$I584),JU!D584,"")</f>
        <v/>
      </c>
      <c r="E591" s="74" t="str">
        <f>IF(OR($D$3=JU!$F584,$D$3=JU!$I584),JU!E584,"")</f>
        <v/>
      </c>
      <c r="F591" s="72">
        <f>IF($D$3=JU!F584,JU!H584,0)</f>
        <v>0</v>
      </c>
      <c r="G591" s="72">
        <f>IF($D$3=JU!I584,JU!K584,0)</f>
        <v>0</v>
      </c>
      <c r="H591" s="72">
        <f t="shared" si="10"/>
        <v>52428000</v>
      </c>
    </row>
    <row r="592" spans="2:8" hidden="1">
      <c r="B592" s="68" t="str">
        <f>IF(OR($D$3=JU!$F585,$D$3=JU!$I585),JU!B585,"")</f>
        <v/>
      </c>
      <c r="C592" s="6" t="str">
        <f>IF(OR($D$3=JU!$F585,$D$3=JU!$I585),JU!C585,"")</f>
        <v/>
      </c>
      <c r="D592" s="73" t="str">
        <f>IF(OR($D$3=JU!$F585,$D$3=JU!$I585),JU!D585,"")</f>
        <v/>
      </c>
      <c r="E592" s="74" t="str">
        <f>IF(OR($D$3=JU!$F585,$D$3=JU!$I585),JU!E585,"")</f>
        <v/>
      </c>
      <c r="F592" s="72">
        <f>IF($D$3=JU!F585,JU!H585,0)</f>
        <v>0</v>
      </c>
      <c r="G592" s="72">
        <f>IF($D$3=JU!I585,JU!K585,0)</f>
        <v>0</v>
      </c>
      <c r="H592" s="72">
        <f t="shared" si="10"/>
        <v>52428000</v>
      </c>
    </row>
    <row r="593" spans="2:8" hidden="1">
      <c r="B593" s="68" t="str">
        <f>IF(OR($D$3=JU!$F586,$D$3=JU!$I586),JU!B586,"")</f>
        <v/>
      </c>
      <c r="C593" s="6" t="str">
        <f>IF(OR($D$3=JU!$F586,$D$3=JU!$I586),JU!C586,"")</f>
        <v/>
      </c>
      <c r="D593" s="73" t="str">
        <f>IF(OR($D$3=JU!$F586,$D$3=JU!$I586),JU!D586,"")</f>
        <v/>
      </c>
      <c r="E593" s="74" t="str">
        <f>IF(OR($D$3=JU!$F586,$D$3=JU!$I586),JU!E586,"")</f>
        <v/>
      </c>
      <c r="F593" s="72">
        <f>IF($D$3=JU!F586,JU!H586,0)</f>
        <v>0</v>
      </c>
      <c r="G593" s="72">
        <f>IF($D$3=JU!I586,JU!K586,0)</f>
        <v>0</v>
      </c>
      <c r="H593" s="72">
        <f t="shared" si="10"/>
        <v>52428000</v>
      </c>
    </row>
    <row r="594" spans="2:8" hidden="1">
      <c r="B594" s="68" t="str">
        <f>IF(OR($D$3=JU!$F587,$D$3=JU!$I587),JU!B587,"")</f>
        <v/>
      </c>
      <c r="C594" s="6" t="str">
        <f>IF(OR($D$3=JU!$F587,$D$3=JU!$I587),JU!C587,"")</f>
        <v/>
      </c>
      <c r="D594" s="73" t="str">
        <f>IF(OR($D$3=JU!$F587,$D$3=JU!$I587),JU!D587,"")</f>
        <v/>
      </c>
      <c r="E594" s="74" t="str">
        <f>IF(OR($D$3=JU!$F587,$D$3=JU!$I587),JU!E587,"")</f>
        <v/>
      </c>
      <c r="F594" s="72">
        <f>IF($D$3=JU!F587,JU!H587,0)</f>
        <v>0</v>
      </c>
      <c r="G594" s="72">
        <f>IF($D$3=JU!I587,JU!K587,0)</f>
        <v>0</v>
      </c>
      <c r="H594" s="72">
        <f t="shared" si="10"/>
        <v>52428000</v>
      </c>
    </row>
    <row r="595" spans="2:8" hidden="1">
      <c r="B595" s="68" t="str">
        <f>IF(OR($D$3=JU!$F588,$D$3=JU!$I588),JU!B588,"")</f>
        <v/>
      </c>
      <c r="C595" s="6" t="str">
        <f>IF(OR($D$3=JU!$F588,$D$3=JU!$I588),JU!C588,"")</f>
        <v/>
      </c>
      <c r="D595" s="73" t="str">
        <f>IF(OR($D$3=JU!$F588,$D$3=JU!$I588),JU!D588,"")</f>
        <v/>
      </c>
      <c r="E595" s="74" t="str">
        <f>IF(OR($D$3=JU!$F588,$D$3=JU!$I588),JU!E588,"")</f>
        <v/>
      </c>
      <c r="F595" s="72">
        <f>IF($D$3=JU!F588,JU!H588,0)</f>
        <v>0</v>
      </c>
      <c r="G595" s="72">
        <f>IF($D$3=JU!I588,JU!K588,0)</f>
        <v>0</v>
      </c>
      <c r="H595" s="72">
        <f t="shared" si="10"/>
        <v>52428000</v>
      </c>
    </row>
    <row r="596" spans="2:8" hidden="1">
      <c r="B596" s="68" t="str">
        <f>IF(OR($D$3=JU!$F589,$D$3=JU!$I589),JU!B589,"")</f>
        <v/>
      </c>
      <c r="C596" s="6" t="str">
        <f>IF(OR($D$3=JU!$F589,$D$3=JU!$I589),JU!C589,"")</f>
        <v/>
      </c>
      <c r="D596" s="73" t="str">
        <f>IF(OR($D$3=JU!$F589,$D$3=JU!$I589),JU!D589,"")</f>
        <v/>
      </c>
      <c r="E596" s="74" t="str">
        <f>IF(OR($D$3=JU!$F589,$D$3=JU!$I589),JU!E589,"")</f>
        <v/>
      </c>
      <c r="F596" s="72">
        <f>IF($D$3=JU!F589,JU!H589,0)</f>
        <v>0</v>
      </c>
      <c r="G596" s="72">
        <f>IF($D$3=JU!I589,JU!K589,0)</f>
        <v>0</v>
      </c>
      <c r="H596" s="72">
        <f t="shared" si="10"/>
        <v>52428000</v>
      </c>
    </row>
    <row r="597" spans="2:8" hidden="1">
      <c r="B597" s="68" t="str">
        <f>IF(OR($D$3=JU!$F590,$D$3=JU!$I590),JU!B590,"")</f>
        <v/>
      </c>
      <c r="C597" s="6" t="str">
        <f>IF(OR($D$3=JU!$F590,$D$3=JU!$I590),JU!C590,"")</f>
        <v/>
      </c>
      <c r="D597" s="73" t="str">
        <f>IF(OR($D$3=JU!$F590,$D$3=JU!$I590),JU!D590,"")</f>
        <v/>
      </c>
      <c r="E597" s="74" t="str">
        <f>IF(OR($D$3=JU!$F590,$D$3=JU!$I590),JU!E590,"")</f>
        <v/>
      </c>
      <c r="F597" s="72">
        <f>IF($D$3=JU!F590,JU!H590,0)</f>
        <v>0</v>
      </c>
      <c r="G597" s="72">
        <f>IF($D$3=JU!I590,JU!K590,0)</f>
        <v>0</v>
      </c>
      <c r="H597" s="72">
        <f t="shared" si="10"/>
        <v>52428000</v>
      </c>
    </row>
    <row r="598" spans="2:8" hidden="1">
      <c r="B598" s="68" t="str">
        <f>IF(OR($D$3=JU!$F591,$D$3=JU!$I591),JU!B591,"")</f>
        <v/>
      </c>
      <c r="C598" s="6" t="str">
        <f>IF(OR($D$3=JU!$F591,$D$3=JU!$I591),JU!C591,"")</f>
        <v/>
      </c>
      <c r="D598" s="73" t="str">
        <f>IF(OR($D$3=JU!$F591,$D$3=JU!$I591),JU!D591,"")</f>
        <v/>
      </c>
      <c r="E598" s="74" t="str">
        <f>IF(OR($D$3=JU!$F591,$D$3=JU!$I591),JU!E591,"")</f>
        <v/>
      </c>
      <c r="F598" s="72">
        <f>IF($D$3=JU!F591,JU!H591,0)</f>
        <v>0</v>
      </c>
      <c r="G598" s="72">
        <f>IF($D$3=JU!I591,JU!K591,0)</f>
        <v>0</v>
      </c>
      <c r="H598" s="72">
        <f t="shared" si="10"/>
        <v>52428000</v>
      </c>
    </row>
    <row r="599" spans="2:8" hidden="1">
      <c r="B599" s="68" t="str">
        <f>IF(OR($D$3=JU!$F592,$D$3=JU!$I592),JU!B592,"")</f>
        <v/>
      </c>
      <c r="C599" s="6" t="str">
        <f>IF(OR($D$3=JU!$F592,$D$3=JU!$I592),JU!C592,"")</f>
        <v/>
      </c>
      <c r="D599" s="73" t="str">
        <f>IF(OR($D$3=JU!$F592,$D$3=JU!$I592),JU!D592,"")</f>
        <v/>
      </c>
      <c r="E599" s="74" t="str">
        <f>IF(OR($D$3=JU!$F592,$D$3=JU!$I592),JU!E592,"")</f>
        <v/>
      </c>
      <c r="F599" s="72">
        <f>IF($D$3=JU!F592,JU!H592,0)</f>
        <v>0</v>
      </c>
      <c r="G599" s="72">
        <f>IF($D$3=JU!I592,JU!K592,0)</f>
        <v>0</v>
      </c>
      <c r="H599" s="72">
        <f t="shared" si="10"/>
        <v>52428000</v>
      </c>
    </row>
    <row r="600" spans="2:8" hidden="1">
      <c r="B600" s="68" t="str">
        <f>IF(OR($D$3=JU!$F593,$D$3=JU!$I593),JU!B593,"")</f>
        <v/>
      </c>
      <c r="C600" s="6" t="str">
        <f>IF(OR($D$3=JU!$F593,$D$3=JU!$I593),JU!C593,"")</f>
        <v/>
      </c>
      <c r="D600" s="73" t="str">
        <f>IF(OR($D$3=JU!$F593,$D$3=JU!$I593),JU!D593,"")</f>
        <v/>
      </c>
      <c r="E600" s="74" t="str">
        <f>IF(OR($D$3=JU!$F593,$D$3=JU!$I593),JU!E593,"")</f>
        <v/>
      </c>
      <c r="F600" s="72">
        <f>IF($D$3=JU!F593,JU!H593,0)</f>
        <v>0</v>
      </c>
      <c r="G600" s="72">
        <f>IF($D$3=JU!I593,JU!K593,0)</f>
        <v>0</v>
      </c>
      <c r="H600" s="72">
        <f t="shared" si="10"/>
        <v>52428000</v>
      </c>
    </row>
    <row r="601" spans="2:8" hidden="1">
      <c r="B601" s="68" t="str">
        <f>IF(OR($D$3=JU!$F594,$D$3=JU!$I594),JU!B594,"")</f>
        <v/>
      </c>
      <c r="C601" s="6" t="str">
        <f>IF(OR($D$3=JU!$F594,$D$3=JU!$I594),JU!C594,"")</f>
        <v/>
      </c>
      <c r="D601" s="73" t="str">
        <f>IF(OR($D$3=JU!$F594,$D$3=JU!$I594),JU!D594,"")</f>
        <v/>
      </c>
      <c r="E601" s="74" t="str">
        <f>IF(OR($D$3=JU!$F594,$D$3=JU!$I594),JU!E594,"")</f>
        <v/>
      </c>
      <c r="F601" s="72">
        <f>IF($D$3=JU!F594,JU!H594,0)</f>
        <v>0</v>
      </c>
      <c r="G601" s="72">
        <f>IF($D$3=JU!I594,JU!K594,0)</f>
        <v>0</v>
      </c>
      <c r="H601" s="72">
        <f t="shared" si="10"/>
        <v>52428000</v>
      </c>
    </row>
    <row r="602" spans="2:8" hidden="1">
      <c r="B602" s="68" t="str">
        <f>IF(OR($D$3=JU!$F595,$D$3=JU!$I595),JU!B595,"")</f>
        <v/>
      </c>
      <c r="C602" s="6" t="str">
        <f>IF(OR($D$3=JU!$F595,$D$3=JU!$I595),JU!C595,"")</f>
        <v/>
      </c>
      <c r="D602" s="73" t="str">
        <f>IF(OR($D$3=JU!$F595,$D$3=JU!$I595),JU!D595,"")</f>
        <v/>
      </c>
      <c r="E602" s="74" t="str">
        <f>IF(OR($D$3=JU!$F595,$D$3=JU!$I595),JU!E595,"")</f>
        <v/>
      </c>
      <c r="F602" s="72">
        <f>IF($D$3=JU!F595,JU!H595,0)</f>
        <v>0</v>
      </c>
      <c r="G602" s="72">
        <f>IF($D$3=JU!I595,JU!K595,0)</f>
        <v>0</v>
      </c>
      <c r="H602" s="72">
        <f t="shared" si="10"/>
        <v>52428000</v>
      </c>
    </row>
    <row r="603" spans="2:8" hidden="1">
      <c r="B603" s="68" t="str">
        <f>IF(OR($D$3=JU!$F596,$D$3=JU!$I596),JU!B596,"")</f>
        <v/>
      </c>
      <c r="C603" s="6" t="str">
        <f>IF(OR($D$3=JU!$F596,$D$3=JU!$I596),JU!C596,"")</f>
        <v/>
      </c>
      <c r="D603" s="73" t="str">
        <f>IF(OR($D$3=JU!$F596,$D$3=JU!$I596),JU!D596,"")</f>
        <v/>
      </c>
      <c r="E603" s="74" t="str">
        <f>IF(OR($D$3=JU!$F596,$D$3=JU!$I596),JU!E596,"")</f>
        <v/>
      </c>
      <c r="F603" s="72">
        <f>IF($D$3=JU!F596,JU!H596,0)</f>
        <v>0</v>
      </c>
      <c r="G603" s="72">
        <f>IF($D$3=JU!I596,JU!K596,0)</f>
        <v>0</v>
      </c>
      <c r="H603" s="72">
        <f t="shared" si="10"/>
        <v>52428000</v>
      </c>
    </row>
    <row r="604" spans="2:8" hidden="1">
      <c r="B604" s="68" t="str">
        <f>IF(OR($D$3=JU!$F597,$D$3=JU!$I597),JU!B597,"")</f>
        <v/>
      </c>
      <c r="C604" s="6" t="str">
        <f>IF(OR($D$3=JU!$F597,$D$3=JU!$I597),JU!C597,"")</f>
        <v/>
      </c>
      <c r="D604" s="73" t="str">
        <f>IF(OR($D$3=JU!$F597,$D$3=JU!$I597),JU!D597,"")</f>
        <v/>
      </c>
      <c r="E604" s="74" t="str">
        <f>IF(OR($D$3=JU!$F597,$D$3=JU!$I597),JU!E597,"")</f>
        <v/>
      </c>
      <c r="F604" s="72">
        <f>IF($D$3=JU!F597,JU!H597,0)</f>
        <v>0</v>
      </c>
      <c r="G604" s="72">
        <f>IF($D$3=JU!I597,JU!K597,0)</f>
        <v>0</v>
      </c>
      <c r="H604" s="72">
        <f t="shared" si="10"/>
        <v>52428000</v>
      </c>
    </row>
    <row r="605" spans="2:8" hidden="1">
      <c r="B605" s="68" t="str">
        <f>IF(OR($D$3=JU!$F598,$D$3=JU!$I598),JU!B598,"")</f>
        <v/>
      </c>
      <c r="C605" s="6" t="str">
        <f>IF(OR($D$3=JU!$F598,$D$3=JU!$I598),JU!C598,"")</f>
        <v/>
      </c>
      <c r="D605" s="73" t="str">
        <f>IF(OR($D$3=JU!$F598,$D$3=JU!$I598),JU!D598,"")</f>
        <v/>
      </c>
      <c r="E605" s="74" t="str">
        <f>IF(OR($D$3=JU!$F598,$D$3=JU!$I598),JU!E598,"")</f>
        <v/>
      </c>
      <c r="F605" s="72">
        <f>IF($D$3=JU!F598,JU!H598,0)</f>
        <v>0</v>
      </c>
      <c r="G605" s="72">
        <f>IF($D$3=JU!I598,JU!K598,0)</f>
        <v>0</v>
      </c>
      <c r="H605" s="72">
        <f t="shared" si="10"/>
        <v>52428000</v>
      </c>
    </row>
    <row r="606" spans="2:8" hidden="1">
      <c r="B606" s="68" t="str">
        <f>IF(OR($D$3=JU!$F599,$D$3=JU!$I599),JU!B599,"")</f>
        <v/>
      </c>
      <c r="C606" s="6" t="str">
        <f>IF(OR($D$3=JU!$F599,$D$3=JU!$I599),JU!C599,"")</f>
        <v/>
      </c>
      <c r="D606" s="73" t="str">
        <f>IF(OR($D$3=JU!$F599,$D$3=JU!$I599),JU!D599,"")</f>
        <v/>
      </c>
      <c r="E606" s="74" t="str">
        <f>IF(OR($D$3=JU!$F599,$D$3=JU!$I599),JU!E599,"")</f>
        <v/>
      </c>
      <c r="F606" s="72">
        <f>IF($D$3=JU!F599,JU!H599,0)</f>
        <v>0</v>
      </c>
      <c r="G606" s="72">
        <f>IF($D$3=JU!I599,JU!K599,0)</f>
        <v>0</v>
      </c>
      <c r="H606" s="72">
        <f t="shared" si="10"/>
        <v>52428000</v>
      </c>
    </row>
    <row r="607" spans="2:8" hidden="1">
      <c r="B607" s="68" t="str">
        <f>IF(OR($D$3=JU!$F600,$D$3=JU!$I600),JU!B600,"")</f>
        <v/>
      </c>
      <c r="C607" s="6" t="str">
        <f>IF(OR($D$3=JU!$F600,$D$3=JU!$I600),JU!C600,"")</f>
        <v/>
      </c>
      <c r="D607" s="73" t="str">
        <f>IF(OR($D$3=JU!$F600,$D$3=JU!$I600),JU!D600,"")</f>
        <v/>
      </c>
      <c r="E607" s="74" t="str">
        <f>IF(OR($D$3=JU!$F600,$D$3=JU!$I600),JU!E600,"")</f>
        <v/>
      </c>
      <c r="F607" s="72">
        <f>IF($D$3=JU!F600,JU!H600,0)</f>
        <v>0</v>
      </c>
      <c r="G607" s="72">
        <f>IF($D$3=JU!I600,JU!K600,0)</f>
        <v>0</v>
      </c>
      <c r="H607" s="72">
        <f t="shared" si="10"/>
        <v>52428000</v>
      </c>
    </row>
    <row r="608" spans="2:8" hidden="1">
      <c r="B608" s="68" t="str">
        <f>IF(OR($D$3=JU!$F601,$D$3=JU!$I601),JU!B601,"")</f>
        <v/>
      </c>
      <c r="C608" s="6" t="str">
        <f>IF(OR($D$3=JU!$F601,$D$3=JU!$I601),JU!C601,"")</f>
        <v/>
      </c>
      <c r="D608" s="73" t="str">
        <f>IF(OR($D$3=JU!$F601,$D$3=JU!$I601),JU!D601,"")</f>
        <v/>
      </c>
      <c r="E608" s="74" t="str">
        <f>IF(OR($D$3=JU!$F601,$D$3=JU!$I601),JU!E601,"")</f>
        <v/>
      </c>
      <c r="F608" s="72">
        <f>IF($D$3=JU!F601,JU!H601,0)</f>
        <v>0</v>
      </c>
      <c r="G608" s="72">
        <f>IF($D$3=JU!I601,JU!K601,0)</f>
        <v>0</v>
      </c>
      <c r="H608" s="72">
        <f t="shared" si="10"/>
        <v>52428000</v>
      </c>
    </row>
    <row r="609" spans="2:8" hidden="1">
      <c r="B609" s="68" t="str">
        <f>IF(OR($D$3=JU!$F602,$D$3=JU!$I602),JU!B602,"")</f>
        <v/>
      </c>
      <c r="C609" s="6" t="str">
        <f>IF(OR($D$3=JU!$F602,$D$3=JU!$I602),JU!C602,"")</f>
        <v/>
      </c>
      <c r="D609" s="73" t="str">
        <f>IF(OR($D$3=JU!$F602,$D$3=JU!$I602),JU!D602,"")</f>
        <v/>
      </c>
      <c r="E609" s="74" t="str">
        <f>IF(OR($D$3=JU!$F602,$D$3=JU!$I602),JU!E602,"")</f>
        <v/>
      </c>
      <c r="F609" s="72">
        <f>IF($D$3=JU!F602,JU!H602,0)</f>
        <v>0</v>
      </c>
      <c r="G609" s="72">
        <f>IF($D$3=JU!I602,JU!K602,0)</f>
        <v>0</v>
      </c>
      <c r="H609" s="72">
        <f t="shared" si="10"/>
        <v>52428000</v>
      </c>
    </row>
    <row r="610" spans="2:8" hidden="1">
      <c r="B610" s="68" t="str">
        <f>IF(OR($D$3=JU!$F603,$D$3=JU!$I603),JU!B603,"")</f>
        <v/>
      </c>
      <c r="C610" s="6" t="str">
        <f>IF(OR($D$3=JU!$F603,$D$3=JU!$I603),JU!C603,"")</f>
        <v/>
      </c>
      <c r="D610" s="73" t="str">
        <f>IF(OR($D$3=JU!$F603,$D$3=JU!$I603),JU!D603,"")</f>
        <v/>
      </c>
      <c r="E610" s="74" t="str">
        <f>IF(OR($D$3=JU!$F603,$D$3=JU!$I603),JU!E603,"")</f>
        <v/>
      </c>
      <c r="F610" s="72">
        <f>IF($D$3=JU!F603,JU!H603,0)</f>
        <v>0</v>
      </c>
      <c r="G610" s="72">
        <f>IF($D$3=JU!I603,JU!K603,0)</f>
        <v>0</v>
      </c>
      <c r="H610" s="72">
        <f t="shared" si="10"/>
        <v>52428000</v>
      </c>
    </row>
    <row r="611" spans="2:8" hidden="1">
      <c r="B611" s="68" t="str">
        <f>IF(OR($D$3=JU!$F604,$D$3=JU!$I604),JU!B604,"")</f>
        <v/>
      </c>
      <c r="C611" s="6" t="str">
        <f>IF(OR($D$3=JU!$F604,$D$3=JU!$I604),JU!C604,"")</f>
        <v/>
      </c>
      <c r="D611" s="73" t="str">
        <f>IF(OR($D$3=JU!$F604,$D$3=JU!$I604),JU!D604,"")</f>
        <v/>
      </c>
      <c r="E611" s="74" t="str">
        <f>IF(OR($D$3=JU!$F604,$D$3=JU!$I604),JU!E604,"")</f>
        <v/>
      </c>
      <c r="F611" s="72">
        <f>IF($D$3=JU!F604,JU!H604,0)</f>
        <v>0</v>
      </c>
      <c r="G611" s="72">
        <f>IF($D$3=JU!I604,JU!K604,0)</f>
        <v>0</v>
      </c>
      <c r="H611" s="72">
        <f t="shared" si="10"/>
        <v>52428000</v>
      </c>
    </row>
    <row r="612" spans="2:8" hidden="1">
      <c r="B612" s="68" t="str">
        <f>IF(OR($D$3=JU!$F605,$D$3=JU!$I605),JU!B605,"")</f>
        <v/>
      </c>
      <c r="C612" s="6" t="str">
        <f>IF(OR($D$3=JU!$F605,$D$3=JU!$I605),JU!C605,"")</f>
        <v/>
      </c>
      <c r="D612" s="73" t="str">
        <f>IF(OR($D$3=JU!$F605,$D$3=JU!$I605),JU!D605,"")</f>
        <v/>
      </c>
      <c r="E612" s="74" t="str">
        <f>IF(OR($D$3=JU!$F605,$D$3=JU!$I605),JU!E605,"")</f>
        <v/>
      </c>
      <c r="F612" s="72">
        <f>IF($D$3=JU!F605,JU!H605,0)</f>
        <v>0</v>
      </c>
      <c r="G612" s="72">
        <f>IF($D$3=JU!I605,JU!K605,0)</f>
        <v>0</v>
      </c>
      <c r="H612" s="72">
        <f t="shared" si="10"/>
        <v>52428000</v>
      </c>
    </row>
    <row r="613" spans="2:8" hidden="1">
      <c r="B613" s="68" t="str">
        <f>IF(OR($D$3=JU!$F606,$D$3=JU!$I606),JU!B606,"")</f>
        <v/>
      </c>
      <c r="C613" s="6" t="str">
        <f>IF(OR($D$3=JU!$F606,$D$3=JU!$I606),JU!C606,"")</f>
        <v/>
      </c>
      <c r="D613" s="73" t="str">
        <f>IF(OR($D$3=JU!$F606,$D$3=JU!$I606),JU!D606,"")</f>
        <v/>
      </c>
      <c r="E613" s="74" t="str">
        <f>IF(OR($D$3=JU!$F606,$D$3=JU!$I606),JU!E606,"")</f>
        <v/>
      </c>
      <c r="F613" s="72">
        <f>IF($D$3=JU!F606,JU!H606,0)</f>
        <v>0</v>
      </c>
      <c r="G613" s="72">
        <f>IF($D$3=JU!I606,JU!K606,0)</f>
        <v>0</v>
      </c>
      <c r="H613" s="72">
        <f t="shared" si="10"/>
        <v>52428000</v>
      </c>
    </row>
    <row r="614" spans="2:8" hidden="1">
      <c r="B614" s="68" t="str">
        <f>IF(OR($D$3=JU!$F607,$D$3=JU!$I607),JU!B607,"")</f>
        <v/>
      </c>
      <c r="C614" s="6" t="str">
        <f>IF(OR($D$3=JU!$F607,$D$3=JU!$I607),JU!C607,"")</f>
        <v/>
      </c>
      <c r="D614" s="73" t="str">
        <f>IF(OR($D$3=JU!$F607,$D$3=JU!$I607),JU!D607,"")</f>
        <v/>
      </c>
      <c r="E614" s="74" t="str">
        <f>IF(OR($D$3=JU!$F607,$D$3=JU!$I607),JU!E607,"")</f>
        <v/>
      </c>
      <c r="F614" s="72">
        <f>IF($D$3=JU!F607,JU!H607,0)</f>
        <v>0</v>
      </c>
      <c r="G614" s="72">
        <f>IF($D$3=JU!I607,JU!K607,0)</f>
        <v>0</v>
      </c>
      <c r="H614" s="72">
        <f t="shared" si="10"/>
        <v>52428000</v>
      </c>
    </row>
    <row r="615" spans="2:8" hidden="1">
      <c r="B615" s="68" t="str">
        <f>IF(OR($D$3=JU!$F608,$D$3=JU!$I608),JU!B608,"")</f>
        <v/>
      </c>
      <c r="C615" s="6" t="str">
        <f>IF(OR($D$3=JU!$F608,$D$3=JU!$I608),JU!C608,"")</f>
        <v/>
      </c>
      <c r="D615" s="73" t="str">
        <f>IF(OR($D$3=JU!$F608,$D$3=JU!$I608),JU!D608,"")</f>
        <v/>
      </c>
      <c r="E615" s="74" t="str">
        <f>IF(OR($D$3=JU!$F608,$D$3=JU!$I608),JU!E608,"")</f>
        <v/>
      </c>
      <c r="F615" s="72">
        <f>IF($D$3=JU!F608,JU!H608,0)</f>
        <v>0</v>
      </c>
      <c r="G615" s="72">
        <f>IF($D$3=JU!I608,JU!K608,0)</f>
        <v>0</v>
      </c>
      <c r="H615" s="72">
        <f t="shared" si="10"/>
        <v>52428000</v>
      </c>
    </row>
    <row r="616" spans="2:8" hidden="1">
      <c r="B616" s="68" t="str">
        <f>IF(OR($D$3=JU!$F609,$D$3=JU!$I609),JU!B609,"")</f>
        <v/>
      </c>
      <c r="C616" s="6" t="str">
        <f>IF(OR($D$3=JU!$F609,$D$3=JU!$I609),JU!C609,"")</f>
        <v/>
      </c>
      <c r="D616" s="73" t="str">
        <f>IF(OR($D$3=JU!$F609,$D$3=JU!$I609),JU!D609,"")</f>
        <v/>
      </c>
      <c r="E616" s="74" t="str">
        <f>IF(OR($D$3=JU!$F609,$D$3=JU!$I609),JU!E609,"")</f>
        <v/>
      </c>
      <c r="F616" s="72">
        <f>IF($D$3=JU!F609,JU!H609,0)</f>
        <v>0</v>
      </c>
      <c r="G616" s="72">
        <f>IF($D$3=JU!I609,JU!K609,0)</f>
        <v>0</v>
      </c>
      <c r="H616" s="72">
        <f t="shared" si="10"/>
        <v>52428000</v>
      </c>
    </row>
    <row r="617" spans="2:8" hidden="1">
      <c r="B617" s="68" t="str">
        <f>IF(OR($D$3=JU!$F610,$D$3=JU!$I610),JU!B610,"")</f>
        <v/>
      </c>
      <c r="C617" s="6" t="str">
        <f>IF(OR($D$3=JU!$F610,$D$3=JU!$I610),JU!C610,"")</f>
        <v/>
      </c>
      <c r="D617" s="73" t="str">
        <f>IF(OR($D$3=JU!$F610,$D$3=JU!$I610),JU!D610,"")</f>
        <v/>
      </c>
      <c r="E617" s="74" t="str">
        <f>IF(OR($D$3=JU!$F610,$D$3=JU!$I610),JU!E610,"")</f>
        <v/>
      </c>
      <c r="F617" s="72">
        <f>IF($D$3=JU!F610,JU!H610,0)</f>
        <v>0</v>
      </c>
      <c r="G617" s="72">
        <f>IF($D$3=JU!I610,JU!K610,0)</f>
        <v>0</v>
      </c>
      <c r="H617" s="72">
        <f t="shared" si="10"/>
        <v>52428000</v>
      </c>
    </row>
    <row r="618" spans="2:8" hidden="1">
      <c r="B618" s="68" t="str">
        <f>IF(OR($D$3=JU!$F611,$D$3=JU!$I611),JU!B611,"")</f>
        <v/>
      </c>
      <c r="C618" s="6" t="str">
        <f>IF(OR($D$3=JU!$F611,$D$3=JU!$I611),JU!C611,"")</f>
        <v/>
      </c>
      <c r="D618" s="73" t="str">
        <f>IF(OR($D$3=JU!$F611,$D$3=JU!$I611),JU!D611,"")</f>
        <v/>
      </c>
      <c r="E618" s="74" t="str">
        <f>IF(OR($D$3=JU!$F611,$D$3=JU!$I611),JU!E611,"")</f>
        <v/>
      </c>
      <c r="F618" s="72">
        <f>IF($D$3=JU!F611,JU!H611,0)</f>
        <v>0</v>
      </c>
      <c r="G618" s="72">
        <f>IF($D$3=JU!I611,JU!K611,0)</f>
        <v>0</v>
      </c>
      <c r="H618" s="72">
        <f t="shared" si="10"/>
        <v>52428000</v>
      </c>
    </row>
    <row r="619" spans="2:8" hidden="1">
      <c r="B619" s="68" t="str">
        <f>IF(OR($D$3=JU!$F612,$D$3=JU!$I612),JU!B612,"")</f>
        <v/>
      </c>
      <c r="C619" s="6" t="str">
        <f>IF(OR($D$3=JU!$F612,$D$3=JU!$I612),JU!C612,"")</f>
        <v/>
      </c>
      <c r="D619" s="73" t="str">
        <f>IF(OR($D$3=JU!$F612,$D$3=JU!$I612),JU!D612,"")</f>
        <v/>
      </c>
      <c r="E619" s="74" t="str">
        <f>IF(OR($D$3=JU!$F612,$D$3=JU!$I612),JU!E612,"")</f>
        <v/>
      </c>
      <c r="F619" s="72">
        <f>IF($D$3=JU!F612,JU!H612,0)</f>
        <v>0</v>
      </c>
      <c r="G619" s="72">
        <f>IF($D$3=JU!I612,JU!K612,0)</f>
        <v>0</v>
      </c>
      <c r="H619" s="72">
        <f t="shared" si="10"/>
        <v>52428000</v>
      </c>
    </row>
    <row r="620" spans="2:8" hidden="1">
      <c r="B620" s="68" t="str">
        <f>IF(OR($D$3=JU!$F613,$D$3=JU!$I613),JU!B613,"")</f>
        <v/>
      </c>
      <c r="C620" s="6" t="str">
        <f>IF(OR($D$3=JU!$F613,$D$3=JU!$I613),JU!C613,"")</f>
        <v/>
      </c>
      <c r="D620" s="73" t="str">
        <f>IF(OR($D$3=JU!$F613,$D$3=JU!$I613),JU!D613,"")</f>
        <v/>
      </c>
      <c r="E620" s="74" t="str">
        <f>IF(OR($D$3=JU!$F613,$D$3=JU!$I613),JU!E613,"")</f>
        <v/>
      </c>
      <c r="F620" s="72">
        <f>IF($D$3=JU!F613,JU!H613,0)</f>
        <v>0</v>
      </c>
      <c r="G620" s="72">
        <f>IF($D$3=JU!I613,JU!K613,0)</f>
        <v>0</v>
      </c>
      <c r="H620" s="72">
        <f t="shared" si="10"/>
        <v>52428000</v>
      </c>
    </row>
    <row r="621" spans="2:8" hidden="1">
      <c r="B621" s="68" t="str">
        <f>IF(OR($D$3=JU!$F614,$D$3=JU!$I614),JU!B614,"")</f>
        <v/>
      </c>
      <c r="C621" s="6" t="str">
        <f>IF(OR($D$3=JU!$F614,$D$3=JU!$I614),JU!C614,"")</f>
        <v/>
      </c>
      <c r="D621" s="73" t="str">
        <f>IF(OR($D$3=JU!$F614,$D$3=JU!$I614),JU!D614,"")</f>
        <v/>
      </c>
      <c r="E621" s="74" t="str">
        <f>IF(OR($D$3=JU!$F614,$D$3=JU!$I614),JU!E614,"")</f>
        <v/>
      </c>
      <c r="F621" s="72">
        <f>IF($D$3=JU!F614,JU!H614,0)</f>
        <v>0</v>
      </c>
      <c r="G621" s="72">
        <f>IF($D$3=JU!I614,JU!K614,0)</f>
        <v>0</v>
      </c>
      <c r="H621" s="72">
        <f t="shared" si="10"/>
        <v>52428000</v>
      </c>
    </row>
    <row r="622" spans="2:8" hidden="1">
      <c r="B622" s="68" t="str">
        <f>IF(OR($D$3=JU!$F615,$D$3=JU!$I615),JU!B615,"")</f>
        <v/>
      </c>
      <c r="C622" s="6" t="str">
        <f>IF(OR($D$3=JU!$F615,$D$3=JU!$I615),JU!C615,"")</f>
        <v/>
      </c>
      <c r="D622" s="73" t="str">
        <f>IF(OR($D$3=JU!$F615,$D$3=JU!$I615),JU!D615,"")</f>
        <v/>
      </c>
      <c r="E622" s="74" t="str">
        <f>IF(OR($D$3=JU!$F615,$D$3=JU!$I615),JU!E615,"")</f>
        <v/>
      </c>
      <c r="F622" s="72">
        <f>IF($D$3=JU!F615,JU!H615,0)</f>
        <v>0</v>
      </c>
      <c r="G622" s="72">
        <f>IF($D$3=JU!I615,JU!K615,0)</f>
        <v>0</v>
      </c>
      <c r="H622" s="72">
        <f t="shared" si="10"/>
        <v>52428000</v>
      </c>
    </row>
    <row r="623" spans="2:8" hidden="1">
      <c r="B623" s="68" t="str">
        <f>IF(OR($D$3=JU!$F616,$D$3=JU!$I616),JU!B616,"")</f>
        <v/>
      </c>
      <c r="C623" s="6" t="str">
        <f>IF(OR($D$3=JU!$F616,$D$3=JU!$I616),JU!C616,"")</f>
        <v/>
      </c>
      <c r="D623" s="73" t="str">
        <f>IF(OR($D$3=JU!$F616,$D$3=JU!$I616),JU!D616,"")</f>
        <v/>
      </c>
      <c r="E623" s="74" t="str">
        <f>IF(OR($D$3=JU!$F616,$D$3=JU!$I616),JU!E616,"")</f>
        <v/>
      </c>
      <c r="F623" s="72">
        <f>IF($D$3=JU!F616,JU!H616,0)</f>
        <v>0</v>
      </c>
      <c r="G623" s="72">
        <f>IF($D$3=JU!I616,JU!K616,0)</f>
        <v>0</v>
      </c>
      <c r="H623" s="72">
        <f t="shared" si="10"/>
        <v>52428000</v>
      </c>
    </row>
    <row r="624" spans="2:8" hidden="1">
      <c r="B624" s="68" t="str">
        <f>IF(OR($D$3=JU!$F617,$D$3=JU!$I617),JU!B617,"")</f>
        <v/>
      </c>
      <c r="C624" s="6" t="str">
        <f>IF(OR($D$3=JU!$F617,$D$3=JU!$I617),JU!C617,"")</f>
        <v/>
      </c>
      <c r="D624" s="73" t="str">
        <f>IF(OR($D$3=JU!$F617,$D$3=JU!$I617),JU!D617,"")</f>
        <v/>
      </c>
      <c r="E624" s="74" t="str">
        <f>IF(OR($D$3=JU!$F617,$D$3=JU!$I617),JU!E617,"")</f>
        <v/>
      </c>
      <c r="F624" s="72">
        <f>IF($D$3=JU!F617,JU!H617,0)</f>
        <v>0</v>
      </c>
      <c r="G624" s="72">
        <f>IF($D$3=JU!I617,JU!K617,0)</f>
        <v>0</v>
      </c>
      <c r="H624" s="72">
        <f t="shared" si="10"/>
        <v>52428000</v>
      </c>
    </row>
    <row r="625" spans="2:8" hidden="1">
      <c r="B625" s="68" t="str">
        <f>IF(OR($D$3=JU!$F618,$D$3=JU!$I618),JU!B618,"")</f>
        <v/>
      </c>
      <c r="C625" s="6" t="str">
        <f>IF(OR($D$3=JU!$F618,$D$3=JU!$I618),JU!C618,"")</f>
        <v/>
      </c>
      <c r="D625" s="73" t="str">
        <f>IF(OR($D$3=JU!$F618,$D$3=JU!$I618),JU!D618,"")</f>
        <v/>
      </c>
      <c r="E625" s="74" t="str">
        <f>IF(OR($D$3=JU!$F618,$D$3=JU!$I618),JU!E618,"")</f>
        <v/>
      </c>
      <c r="F625" s="72">
        <f>IF($D$3=JU!F618,JU!H618,0)</f>
        <v>0</v>
      </c>
      <c r="G625" s="72">
        <f>IF($D$3=JU!I618,JU!K618,0)</f>
        <v>0</v>
      </c>
      <c r="H625" s="72">
        <f t="shared" si="10"/>
        <v>52428000</v>
      </c>
    </row>
    <row r="626" spans="2:8" hidden="1">
      <c r="B626" s="68" t="str">
        <f>IF(OR($D$3=JU!$F619,$D$3=JU!$I619),JU!B619,"")</f>
        <v/>
      </c>
      <c r="C626" s="6" t="str">
        <f>IF(OR($D$3=JU!$F619,$D$3=JU!$I619),JU!C619,"")</f>
        <v/>
      </c>
      <c r="D626" s="73" t="str">
        <f>IF(OR($D$3=JU!$F619,$D$3=JU!$I619),JU!D619,"")</f>
        <v/>
      </c>
      <c r="E626" s="74" t="str">
        <f>IF(OR($D$3=JU!$F619,$D$3=JU!$I619),JU!E619,"")</f>
        <v/>
      </c>
      <c r="F626" s="72">
        <f>IF($D$3=JU!F619,JU!H619,0)</f>
        <v>0</v>
      </c>
      <c r="G626" s="72">
        <f>IF($D$3=JU!I619,JU!K619,0)</f>
        <v>0</v>
      </c>
      <c r="H626" s="72">
        <f t="shared" si="10"/>
        <v>52428000</v>
      </c>
    </row>
    <row r="627" spans="2:8" hidden="1">
      <c r="B627" s="68" t="str">
        <f>IF(OR($D$3=JU!$F620,$D$3=JU!$I620),JU!B620,"")</f>
        <v/>
      </c>
      <c r="C627" s="6" t="str">
        <f>IF(OR($D$3=JU!$F620,$D$3=JU!$I620),JU!C620,"")</f>
        <v/>
      </c>
      <c r="D627" s="73" t="str">
        <f>IF(OR($D$3=JU!$F620,$D$3=JU!$I620),JU!D620,"")</f>
        <v/>
      </c>
      <c r="E627" s="74" t="str">
        <f>IF(OR($D$3=JU!$F620,$D$3=JU!$I620),JU!E620,"")</f>
        <v/>
      </c>
      <c r="F627" s="72">
        <f>IF($D$3=JU!F620,JU!H620,0)</f>
        <v>0</v>
      </c>
      <c r="G627" s="72">
        <f>IF($D$3=JU!I620,JU!K620,0)</f>
        <v>0</v>
      </c>
      <c r="H627" s="72">
        <f t="shared" si="10"/>
        <v>52428000</v>
      </c>
    </row>
    <row r="628" spans="2:8" hidden="1">
      <c r="B628" s="68" t="str">
        <f>IF(OR($D$3=JU!$F621,$D$3=JU!$I621),JU!B621,"")</f>
        <v/>
      </c>
      <c r="C628" s="6" t="str">
        <f>IF(OR($D$3=JU!$F621,$D$3=JU!$I621),JU!C621,"")</f>
        <v/>
      </c>
      <c r="D628" s="73" t="str">
        <f>IF(OR($D$3=JU!$F621,$D$3=JU!$I621),JU!D621,"")</f>
        <v/>
      </c>
      <c r="E628" s="74" t="str">
        <f>IF(OR($D$3=JU!$F621,$D$3=JU!$I621),JU!E621,"")</f>
        <v/>
      </c>
      <c r="F628" s="72">
        <f>IF($D$3=JU!F621,JU!H621,0)</f>
        <v>0</v>
      </c>
      <c r="G628" s="72">
        <f>IF($D$3=JU!I621,JU!K621,0)</f>
        <v>0</v>
      </c>
      <c r="H628" s="72">
        <f t="shared" si="10"/>
        <v>52428000</v>
      </c>
    </row>
    <row r="629" spans="2:8" hidden="1">
      <c r="B629" s="68" t="str">
        <f>IF(OR($D$3=JU!$F622,$D$3=JU!$I622),JU!B622,"")</f>
        <v/>
      </c>
      <c r="C629" s="6" t="str">
        <f>IF(OR($D$3=JU!$F622,$D$3=JU!$I622),JU!C622,"")</f>
        <v/>
      </c>
      <c r="D629" s="73" t="str">
        <f>IF(OR($D$3=JU!$F622,$D$3=JU!$I622),JU!D622,"")</f>
        <v/>
      </c>
      <c r="E629" s="74" t="str">
        <f>IF(OR($D$3=JU!$F622,$D$3=JU!$I622),JU!E622,"")</f>
        <v/>
      </c>
      <c r="F629" s="72">
        <f>IF($D$3=JU!F622,JU!H622,0)</f>
        <v>0</v>
      </c>
      <c r="G629" s="72">
        <f>IF($D$3=JU!I622,JU!K622,0)</f>
        <v>0</v>
      </c>
      <c r="H629" s="72">
        <f t="shared" si="10"/>
        <v>52428000</v>
      </c>
    </row>
    <row r="630" spans="2:8" hidden="1">
      <c r="B630" s="68" t="str">
        <f>IF(OR($D$3=JU!$F623,$D$3=JU!$I623),JU!B623,"")</f>
        <v/>
      </c>
      <c r="C630" s="6" t="str">
        <f>IF(OR($D$3=JU!$F623,$D$3=JU!$I623),JU!C623,"")</f>
        <v/>
      </c>
      <c r="D630" s="73" t="str">
        <f>IF(OR($D$3=JU!$F623,$D$3=JU!$I623),JU!D623,"")</f>
        <v/>
      </c>
      <c r="E630" s="74" t="str">
        <f>IF(OR($D$3=JU!$F623,$D$3=JU!$I623),JU!E623,"")</f>
        <v/>
      </c>
      <c r="F630" s="72">
        <f>IF($D$3=JU!F623,JU!H623,0)</f>
        <v>0</v>
      </c>
      <c r="G630" s="72">
        <f>IF($D$3=JU!I623,JU!K623,0)</f>
        <v>0</v>
      </c>
      <c r="H630" s="72">
        <f t="shared" si="10"/>
        <v>52428000</v>
      </c>
    </row>
    <row r="631" spans="2:8" hidden="1">
      <c r="B631" s="68" t="str">
        <f>IF(OR($D$3=JU!$F624,$D$3=JU!$I624),JU!B624,"")</f>
        <v/>
      </c>
      <c r="C631" s="6" t="str">
        <f>IF(OR($D$3=JU!$F624,$D$3=JU!$I624),JU!C624,"")</f>
        <v/>
      </c>
      <c r="D631" s="73" t="str">
        <f>IF(OR($D$3=JU!$F624,$D$3=JU!$I624),JU!D624,"")</f>
        <v/>
      </c>
      <c r="E631" s="74" t="str">
        <f>IF(OR($D$3=JU!$F624,$D$3=JU!$I624),JU!E624,"")</f>
        <v/>
      </c>
      <c r="F631" s="72">
        <f>IF($D$3=JU!F624,JU!H624,0)</f>
        <v>0</v>
      </c>
      <c r="G631" s="72">
        <f>IF($D$3=JU!I624,JU!K624,0)</f>
        <v>0</v>
      </c>
      <c r="H631" s="72">
        <f t="shared" si="10"/>
        <v>52428000</v>
      </c>
    </row>
    <row r="632" spans="2:8" hidden="1">
      <c r="B632" s="68" t="str">
        <f>IF(OR($D$3=JU!$F625,$D$3=JU!$I625),JU!B625,"")</f>
        <v/>
      </c>
      <c r="C632" s="6" t="str">
        <f>IF(OR($D$3=JU!$F625,$D$3=JU!$I625),JU!C625,"")</f>
        <v/>
      </c>
      <c r="D632" s="73" t="str">
        <f>IF(OR($D$3=JU!$F625,$D$3=JU!$I625),JU!D625,"")</f>
        <v/>
      </c>
      <c r="E632" s="74" t="str">
        <f>IF(OR($D$3=JU!$F625,$D$3=JU!$I625),JU!E625,"")</f>
        <v/>
      </c>
      <c r="F632" s="72">
        <f>IF($D$3=JU!F625,JU!H625,0)</f>
        <v>0</v>
      </c>
      <c r="G632" s="72">
        <f>IF($D$3=JU!I625,JU!K625,0)</f>
        <v>0</v>
      </c>
      <c r="H632" s="72">
        <f t="shared" si="10"/>
        <v>52428000</v>
      </c>
    </row>
    <row r="633" spans="2:8" hidden="1">
      <c r="B633" s="68" t="str">
        <f>IF(OR($D$3=JU!$F626,$D$3=JU!$I626),JU!B626,"")</f>
        <v/>
      </c>
      <c r="C633" s="6" t="str">
        <f>IF(OR($D$3=JU!$F626,$D$3=JU!$I626),JU!C626,"")</f>
        <v/>
      </c>
      <c r="D633" s="73" t="str">
        <f>IF(OR($D$3=JU!$F626,$D$3=JU!$I626),JU!D626,"")</f>
        <v/>
      </c>
      <c r="E633" s="74" t="str">
        <f>IF(OR($D$3=JU!$F626,$D$3=JU!$I626),JU!E626,"")</f>
        <v/>
      </c>
      <c r="F633" s="72">
        <f>IF($D$3=JU!F626,JU!H626,0)</f>
        <v>0</v>
      </c>
      <c r="G633" s="72">
        <f>IF($D$3=JU!I626,JU!K626,0)</f>
        <v>0</v>
      </c>
      <c r="H633" s="72">
        <f t="shared" si="10"/>
        <v>52428000</v>
      </c>
    </row>
    <row r="634" spans="2:8" hidden="1">
      <c r="B634" s="68" t="str">
        <f>IF(OR($D$3=JU!$F627,$D$3=JU!$I627),JU!B627,"")</f>
        <v/>
      </c>
      <c r="C634" s="6" t="str">
        <f>IF(OR($D$3=JU!$F627,$D$3=JU!$I627),JU!C627,"")</f>
        <v/>
      </c>
      <c r="D634" s="73" t="str">
        <f>IF(OR($D$3=JU!$F627,$D$3=JU!$I627),JU!D627,"")</f>
        <v/>
      </c>
      <c r="E634" s="74" t="str">
        <f>IF(OR($D$3=JU!$F627,$D$3=JU!$I627),JU!E627,"")</f>
        <v/>
      </c>
      <c r="F634" s="72">
        <f>IF($D$3=JU!F627,JU!H627,0)</f>
        <v>0</v>
      </c>
      <c r="G634" s="72">
        <f>IF($D$3=JU!I627,JU!K627,0)</f>
        <v>0</v>
      </c>
      <c r="H634" s="72">
        <f t="shared" si="10"/>
        <v>52428000</v>
      </c>
    </row>
    <row r="635" spans="2:8" hidden="1">
      <c r="B635" s="68" t="str">
        <f>IF(OR($D$3=JU!$F628,$D$3=JU!$I628),JU!B628,"")</f>
        <v/>
      </c>
      <c r="C635" s="6" t="str">
        <f>IF(OR($D$3=JU!$F628,$D$3=JU!$I628),JU!C628,"")</f>
        <v/>
      </c>
      <c r="D635" s="73" t="str">
        <f>IF(OR($D$3=JU!$F628,$D$3=JU!$I628),JU!D628,"")</f>
        <v/>
      </c>
      <c r="E635" s="74" t="str">
        <f>IF(OR($D$3=JU!$F628,$D$3=JU!$I628),JU!E628,"")</f>
        <v/>
      </c>
      <c r="F635" s="72">
        <f>IF($D$3=JU!F628,JU!H628,0)</f>
        <v>0</v>
      </c>
      <c r="G635" s="72">
        <f>IF($D$3=JU!I628,JU!K628,0)</f>
        <v>0</v>
      </c>
      <c r="H635" s="72">
        <f t="shared" si="10"/>
        <v>52428000</v>
      </c>
    </row>
    <row r="636" spans="2:8" hidden="1">
      <c r="B636" s="68" t="str">
        <f>IF(OR($D$3=JU!$F629,$D$3=JU!$I629),JU!B629,"")</f>
        <v/>
      </c>
      <c r="C636" s="6" t="str">
        <f>IF(OR($D$3=JU!$F629,$D$3=JU!$I629),JU!C629,"")</f>
        <v/>
      </c>
      <c r="D636" s="73" t="str">
        <f>IF(OR($D$3=JU!$F629,$D$3=JU!$I629),JU!D629,"")</f>
        <v/>
      </c>
      <c r="E636" s="74" t="str">
        <f>IF(OR($D$3=JU!$F629,$D$3=JU!$I629),JU!E629,"")</f>
        <v/>
      </c>
      <c r="F636" s="72">
        <f>IF($D$3=JU!F629,JU!H629,0)</f>
        <v>0</v>
      </c>
      <c r="G636" s="72">
        <f>IF($D$3=JU!I629,JU!K629,0)</f>
        <v>0</v>
      </c>
      <c r="H636" s="72">
        <f t="shared" si="10"/>
        <v>52428000</v>
      </c>
    </row>
    <row r="637" spans="2:8" hidden="1">
      <c r="B637" s="68" t="str">
        <f>IF(OR($D$3=JU!$F630,$D$3=JU!$I630),JU!B630,"")</f>
        <v/>
      </c>
      <c r="C637" s="6" t="str">
        <f>IF(OR($D$3=JU!$F630,$D$3=JU!$I630),JU!C630,"")</f>
        <v/>
      </c>
      <c r="D637" s="73" t="str">
        <f>IF(OR($D$3=JU!$F630,$D$3=JU!$I630),JU!D630,"")</f>
        <v/>
      </c>
      <c r="E637" s="74" t="str">
        <f>IF(OR($D$3=JU!$F630,$D$3=JU!$I630),JU!E630,"")</f>
        <v/>
      </c>
      <c r="F637" s="72">
        <f>IF($D$3=JU!F630,JU!H630,0)</f>
        <v>0</v>
      </c>
      <c r="G637" s="72">
        <f>IF($D$3=JU!I630,JU!K630,0)</f>
        <v>0</v>
      </c>
      <c r="H637" s="72">
        <f t="shared" si="10"/>
        <v>52428000</v>
      </c>
    </row>
    <row r="638" spans="2:8" hidden="1">
      <c r="B638" s="68" t="str">
        <f>IF(OR($D$3=JU!$F631,$D$3=JU!$I631),JU!B631,"")</f>
        <v/>
      </c>
      <c r="C638" s="6" t="str">
        <f>IF(OR($D$3=JU!$F631,$D$3=JU!$I631),JU!C631,"")</f>
        <v/>
      </c>
      <c r="D638" s="73" t="str">
        <f>IF(OR($D$3=JU!$F631,$D$3=JU!$I631),JU!D631,"")</f>
        <v/>
      </c>
      <c r="E638" s="74" t="str">
        <f>IF(OR($D$3=JU!$F631,$D$3=JU!$I631),JU!E631,"")</f>
        <v/>
      </c>
      <c r="F638" s="72">
        <f>IF($D$3=JU!F631,JU!H631,0)</f>
        <v>0</v>
      </c>
      <c r="G638" s="72">
        <f>IF($D$3=JU!I631,JU!K631,0)</f>
        <v>0</v>
      </c>
      <c r="H638" s="72">
        <f t="shared" si="10"/>
        <v>52428000</v>
      </c>
    </row>
    <row r="639" spans="2:8" hidden="1">
      <c r="B639" s="68" t="str">
        <f>IF(OR($D$3=JU!$F632,$D$3=JU!$I632),JU!B632,"")</f>
        <v/>
      </c>
      <c r="C639" s="6" t="str">
        <f>IF(OR($D$3=JU!$F632,$D$3=JU!$I632),JU!C632,"")</f>
        <v/>
      </c>
      <c r="D639" s="73" t="str">
        <f>IF(OR($D$3=JU!$F632,$D$3=JU!$I632),JU!D632,"")</f>
        <v/>
      </c>
      <c r="E639" s="74" t="str">
        <f>IF(OR($D$3=JU!$F632,$D$3=JU!$I632),JU!E632,"")</f>
        <v/>
      </c>
      <c r="F639" s="72">
        <f>IF($D$3=JU!F632,JU!H632,0)</f>
        <v>0</v>
      </c>
      <c r="G639" s="72">
        <f>IF($D$3=JU!I632,JU!K632,0)</f>
        <v>0</v>
      </c>
      <c r="H639" s="72">
        <f t="shared" si="10"/>
        <v>52428000</v>
      </c>
    </row>
    <row r="640" spans="2:8" hidden="1">
      <c r="B640" s="68" t="str">
        <f>IF(OR($D$3=JU!$F633,$D$3=JU!$I633),JU!B633,"")</f>
        <v/>
      </c>
      <c r="C640" s="6" t="str">
        <f>IF(OR($D$3=JU!$F633,$D$3=JU!$I633),JU!C633,"")</f>
        <v/>
      </c>
      <c r="D640" s="73" t="str">
        <f>IF(OR($D$3=JU!$F633,$D$3=JU!$I633),JU!D633,"")</f>
        <v/>
      </c>
      <c r="E640" s="74" t="str">
        <f>IF(OR($D$3=JU!$F633,$D$3=JU!$I633),JU!E633,"")</f>
        <v/>
      </c>
      <c r="F640" s="72">
        <f>IF($D$3=JU!F633,JU!H633,0)</f>
        <v>0</v>
      </c>
      <c r="G640" s="72">
        <f>IF($D$3=JU!I633,JU!K633,0)</f>
        <v>0</v>
      </c>
      <c r="H640" s="72">
        <f t="shared" si="10"/>
        <v>52428000</v>
      </c>
    </row>
    <row r="641" spans="2:8" hidden="1">
      <c r="B641" s="68" t="str">
        <f>IF(OR($D$3=JU!$F634,$D$3=JU!$I634),JU!B634,"")</f>
        <v/>
      </c>
      <c r="C641" s="6" t="str">
        <f>IF(OR($D$3=JU!$F634,$D$3=JU!$I634),JU!C634,"")</f>
        <v/>
      </c>
      <c r="D641" s="73" t="str">
        <f>IF(OR($D$3=JU!$F634,$D$3=JU!$I634),JU!D634,"")</f>
        <v/>
      </c>
      <c r="E641" s="74" t="str">
        <f>IF(OR($D$3=JU!$F634,$D$3=JU!$I634),JU!E634,"")</f>
        <v/>
      </c>
      <c r="F641" s="72">
        <f>IF($D$3=JU!F634,JU!H634,0)</f>
        <v>0</v>
      </c>
      <c r="G641" s="72">
        <f>IF($D$3=JU!I634,JU!K634,0)</f>
        <v>0</v>
      </c>
      <c r="H641" s="72">
        <f t="shared" si="10"/>
        <v>52428000</v>
      </c>
    </row>
    <row r="642" spans="2:8" hidden="1">
      <c r="B642" s="68" t="str">
        <f>IF(OR($D$3=JU!$F635,$D$3=JU!$I635),JU!B635,"")</f>
        <v/>
      </c>
      <c r="C642" s="6" t="str">
        <f>IF(OR($D$3=JU!$F635,$D$3=JU!$I635),JU!C635,"")</f>
        <v/>
      </c>
      <c r="D642" s="73" t="str">
        <f>IF(OR($D$3=JU!$F635,$D$3=JU!$I635),JU!D635,"")</f>
        <v/>
      </c>
      <c r="E642" s="74" t="str">
        <f>IF(OR($D$3=JU!$F635,$D$3=JU!$I635),JU!E635,"")</f>
        <v/>
      </c>
      <c r="F642" s="72">
        <f>IF($D$3=JU!F635,JU!H635,0)</f>
        <v>0</v>
      </c>
      <c r="G642" s="72">
        <f>IF($D$3=JU!I635,JU!K635,0)</f>
        <v>0</v>
      </c>
      <c r="H642" s="72">
        <f t="shared" si="10"/>
        <v>52428000</v>
      </c>
    </row>
    <row r="643" spans="2:8" hidden="1">
      <c r="B643" s="68" t="str">
        <f>IF(OR($D$3=JU!$F636,$D$3=JU!$I636),JU!B636,"")</f>
        <v/>
      </c>
      <c r="C643" s="6" t="str">
        <f>IF(OR($D$3=JU!$F636,$D$3=JU!$I636),JU!C636,"")</f>
        <v/>
      </c>
      <c r="D643" s="73" t="str">
        <f>IF(OR($D$3=JU!$F636,$D$3=JU!$I636),JU!D636,"")</f>
        <v/>
      </c>
      <c r="E643" s="74" t="str">
        <f>IF(OR($D$3=JU!$F636,$D$3=JU!$I636),JU!E636,"")</f>
        <v/>
      </c>
      <c r="F643" s="72">
        <f>IF($D$3=JU!F636,JU!H636,0)</f>
        <v>0</v>
      </c>
      <c r="G643" s="72">
        <f>IF($D$3=JU!I636,JU!K636,0)</f>
        <v>0</v>
      </c>
      <c r="H643" s="72">
        <f t="shared" si="10"/>
        <v>52428000</v>
      </c>
    </row>
    <row r="644" spans="2:8" hidden="1">
      <c r="B644" s="68" t="str">
        <f>IF(OR($D$3=JU!$F637,$D$3=JU!$I637),JU!B637,"")</f>
        <v/>
      </c>
      <c r="C644" s="6" t="str">
        <f>IF(OR($D$3=JU!$F637,$D$3=JU!$I637),JU!C637,"")</f>
        <v/>
      </c>
      <c r="D644" s="73" t="str">
        <f>IF(OR($D$3=JU!$F637,$D$3=JU!$I637),JU!D637,"")</f>
        <v/>
      </c>
      <c r="E644" s="74" t="str">
        <f>IF(OR($D$3=JU!$F637,$D$3=JU!$I637),JU!E637,"")</f>
        <v/>
      </c>
      <c r="F644" s="72">
        <f>IF($D$3=JU!F637,JU!H637,0)</f>
        <v>0</v>
      </c>
      <c r="G644" s="72">
        <f>IF($D$3=JU!I637,JU!K637,0)</f>
        <v>0</v>
      </c>
      <c r="H644" s="72">
        <f t="shared" si="10"/>
        <v>52428000</v>
      </c>
    </row>
    <row r="645" spans="2:8" hidden="1">
      <c r="B645" s="68" t="str">
        <f>IF(OR($D$3=JU!$F638,$D$3=JU!$I638),JU!B638,"")</f>
        <v/>
      </c>
      <c r="C645" s="6" t="str">
        <f>IF(OR($D$3=JU!$F638,$D$3=JU!$I638),JU!C638,"")</f>
        <v/>
      </c>
      <c r="D645" s="73" t="str">
        <f>IF(OR($D$3=JU!$F638,$D$3=JU!$I638),JU!D638,"")</f>
        <v/>
      </c>
      <c r="E645" s="74" t="str">
        <f>IF(OR($D$3=JU!$F638,$D$3=JU!$I638),JU!E638,"")</f>
        <v/>
      </c>
      <c r="F645" s="72">
        <f>IF($D$3=JU!F638,JU!H638,0)</f>
        <v>0</v>
      </c>
      <c r="G645" s="72">
        <f>IF($D$3=JU!I638,JU!K638,0)</f>
        <v>0</v>
      </c>
      <c r="H645" s="72">
        <f t="shared" si="10"/>
        <v>52428000</v>
      </c>
    </row>
    <row r="646" spans="2:8" hidden="1">
      <c r="B646" s="68" t="str">
        <f>IF(OR($D$3=JU!$F639,$D$3=JU!$I639),JU!B639,"")</f>
        <v/>
      </c>
      <c r="C646" s="6" t="str">
        <f>IF(OR($D$3=JU!$F639,$D$3=JU!$I639),JU!C639,"")</f>
        <v/>
      </c>
      <c r="D646" s="73" t="str">
        <f>IF(OR($D$3=JU!$F639,$D$3=JU!$I639),JU!D639,"")</f>
        <v/>
      </c>
      <c r="E646" s="74" t="str">
        <f>IF(OR($D$3=JU!$F639,$D$3=JU!$I639),JU!E639,"")</f>
        <v/>
      </c>
      <c r="F646" s="72">
        <f>IF($D$3=JU!F639,JU!H639,0)</f>
        <v>0</v>
      </c>
      <c r="G646" s="72">
        <f>IF($D$3=JU!I639,JU!K639,0)</f>
        <v>0</v>
      </c>
      <c r="H646" s="72">
        <f t="shared" si="10"/>
        <v>52428000</v>
      </c>
    </row>
    <row r="647" spans="2:8" hidden="1">
      <c r="B647" s="68" t="str">
        <f>IF(OR($D$3=JU!$F640,$D$3=JU!$I640),JU!B640,"")</f>
        <v/>
      </c>
      <c r="C647" s="6" t="str">
        <f>IF(OR($D$3=JU!$F640,$D$3=JU!$I640),JU!C640,"")</f>
        <v/>
      </c>
      <c r="D647" s="73" t="str">
        <f>IF(OR($D$3=JU!$F640,$D$3=JU!$I640),JU!D640,"")</f>
        <v/>
      </c>
      <c r="E647" s="74" t="str">
        <f>IF(OR($D$3=JU!$F640,$D$3=JU!$I640),JU!E640,"")</f>
        <v/>
      </c>
      <c r="F647" s="72">
        <f>IF($D$3=JU!F640,JU!H640,0)</f>
        <v>0</v>
      </c>
      <c r="G647" s="72">
        <f>IF($D$3=JU!I640,JU!K640,0)</f>
        <v>0</v>
      </c>
      <c r="H647" s="72">
        <f t="shared" si="10"/>
        <v>52428000</v>
      </c>
    </row>
    <row r="648" spans="2:8">
      <c r="B648" s="68">
        <f>IF(OR($D$3=JU!$F641,$D$3=JU!$I641),JU!B641,"")</f>
        <v>46108</v>
      </c>
      <c r="C648" s="6" t="str">
        <f>IF(OR($D$3=JU!$F641,$D$3=JU!$I641),JU!C641,"")</f>
        <v>MATERAI 500K DAN BIAYA PEMBUATAN CEK 300K SN3</v>
      </c>
      <c r="D648" s="73" t="str">
        <f>IF(OR($D$3=JU!$F641,$D$3=JU!$I641),JU!D641,"")</f>
        <v>By. Biaya MATERAI 500K DAN BIAYA PEMBUATAN CEK 300K SN3</v>
      </c>
      <c r="E648" s="74">
        <f>IF(OR($D$3=JU!$F641,$D$3=JU!$I641),JU!E641,"")</f>
        <v>0</v>
      </c>
      <c r="F648" s="72">
        <f>IF($D$3=JU!F641,JU!H641,0)</f>
        <v>800000</v>
      </c>
      <c r="G648" s="72">
        <f>IF($D$3=JU!I641,JU!K641,0)</f>
        <v>0</v>
      </c>
      <c r="H648" s="72">
        <f t="shared" si="10"/>
        <v>53228000</v>
      </c>
    </row>
    <row r="649" spans="2:8" hidden="1">
      <c r="B649" s="68" t="str">
        <f>IF(OR($D$3=JU!$F642,$D$3=JU!$I642),JU!B642,"")</f>
        <v/>
      </c>
      <c r="C649" s="6" t="str">
        <f>IF(OR($D$3=JU!$F642,$D$3=JU!$I642),JU!C642,"")</f>
        <v/>
      </c>
      <c r="D649" s="73" t="str">
        <f>IF(OR($D$3=JU!$F642,$D$3=JU!$I642),JU!D642,"")</f>
        <v/>
      </c>
      <c r="E649" s="74" t="str">
        <f>IF(OR($D$3=JU!$F642,$D$3=JU!$I642),JU!E642,"")</f>
        <v/>
      </c>
      <c r="F649" s="72">
        <f>IF($D$3=JU!F642,JU!H642,0)</f>
        <v>0</v>
      </c>
      <c r="G649" s="72">
        <f>IF($D$3=JU!I642,JU!K642,0)</f>
        <v>0</v>
      </c>
      <c r="H649" s="72">
        <f t="shared" si="10"/>
        <v>53228000</v>
      </c>
    </row>
    <row r="650" spans="2:8" hidden="1">
      <c r="B650" s="68" t="str">
        <f>IF(OR($D$3=JU!$F643,$D$3=JU!$I643),JU!B643,"")</f>
        <v/>
      </c>
      <c r="C650" s="6" t="str">
        <f>IF(OR($D$3=JU!$F643,$D$3=JU!$I643),JU!C643,"")</f>
        <v/>
      </c>
      <c r="D650" s="73" t="str">
        <f>IF(OR($D$3=JU!$F643,$D$3=JU!$I643),JU!D643,"")</f>
        <v/>
      </c>
      <c r="E650" s="74" t="str">
        <f>IF(OR($D$3=JU!$F643,$D$3=JU!$I643),JU!E643,"")</f>
        <v/>
      </c>
      <c r="F650" s="72">
        <f>IF($D$3=JU!F643,JU!H643,0)</f>
        <v>0</v>
      </c>
      <c r="G650" s="72">
        <f>IF($D$3=JU!I643,JU!K643,0)</f>
        <v>0</v>
      </c>
      <c r="H650" s="72">
        <f t="shared" si="10"/>
        <v>53228000</v>
      </c>
    </row>
    <row r="651" spans="2:8" hidden="1">
      <c r="B651" s="68" t="str">
        <f>IF(OR($D$3=JU!$F644,$D$3=JU!$I644),JU!B644,"")</f>
        <v/>
      </c>
      <c r="C651" s="6" t="str">
        <f>IF(OR($D$3=JU!$F644,$D$3=JU!$I644),JU!C644,"")</f>
        <v/>
      </c>
      <c r="D651" s="73" t="str">
        <f>IF(OR($D$3=JU!$F644,$D$3=JU!$I644),JU!D644,"")</f>
        <v/>
      </c>
      <c r="E651" s="74" t="str">
        <f>IF(OR($D$3=JU!$F644,$D$3=JU!$I644),JU!E644,"")</f>
        <v/>
      </c>
      <c r="F651" s="72">
        <f>IF($D$3=JU!F644,JU!H644,0)</f>
        <v>0</v>
      </c>
      <c r="G651" s="72">
        <f>IF($D$3=JU!I644,JU!K644,0)</f>
        <v>0</v>
      </c>
      <c r="H651" s="72">
        <f t="shared" si="10"/>
        <v>53228000</v>
      </c>
    </row>
    <row r="652" spans="2:8" hidden="1">
      <c r="B652" s="68" t="str">
        <f>IF(OR($D$3=JU!$F645,$D$3=JU!$I645),JU!B645,"")</f>
        <v/>
      </c>
      <c r="C652" s="6" t="str">
        <f>IF(OR($D$3=JU!$F645,$D$3=JU!$I645),JU!C645,"")</f>
        <v/>
      </c>
      <c r="D652" s="73" t="str">
        <f>IF(OR($D$3=JU!$F645,$D$3=JU!$I645),JU!D645,"")</f>
        <v/>
      </c>
      <c r="E652" s="74" t="str">
        <f>IF(OR($D$3=JU!$F645,$D$3=JU!$I645),JU!E645,"")</f>
        <v/>
      </c>
      <c r="F652" s="72">
        <f>IF($D$3=JU!F645,JU!H645,0)</f>
        <v>0</v>
      </c>
      <c r="G652" s="72">
        <f>IF($D$3=JU!I645,JU!K645,0)</f>
        <v>0</v>
      </c>
      <c r="H652" s="72">
        <f t="shared" si="10"/>
        <v>53228000</v>
      </c>
    </row>
    <row r="653" spans="2:8" hidden="1">
      <c r="B653" s="68" t="str">
        <f>IF(OR($D$3=JU!$F646,$D$3=JU!$I646),JU!B646,"")</f>
        <v/>
      </c>
      <c r="C653" s="6" t="str">
        <f>IF(OR($D$3=JU!$F646,$D$3=JU!$I646),JU!C646,"")</f>
        <v/>
      </c>
      <c r="D653" s="73" t="str">
        <f>IF(OR($D$3=JU!$F646,$D$3=JU!$I646),JU!D646,"")</f>
        <v/>
      </c>
      <c r="E653" s="74" t="str">
        <f>IF(OR($D$3=JU!$F646,$D$3=JU!$I646),JU!E646,"")</f>
        <v/>
      </c>
      <c r="F653" s="72">
        <f>IF($D$3=JU!F646,JU!H646,0)</f>
        <v>0</v>
      </c>
      <c r="G653" s="72">
        <f>IF($D$3=JU!I646,JU!K646,0)</f>
        <v>0</v>
      </c>
      <c r="H653" s="72">
        <f t="shared" si="10"/>
        <v>53228000</v>
      </c>
    </row>
    <row r="654" spans="2:8" hidden="1">
      <c r="B654" s="68" t="str">
        <f>IF(OR($D$3=JU!$F647,$D$3=JU!$I647),JU!B647,"")</f>
        <v/>
      </c>
      <c r="C654" s="6" t="str">
        <f>IF(OR($D$3=JU!$F647,$D$3=JU!$I647),JU!C647,"")</f>
        <v/>
      </c>
      <c r="D654" s="73" t="str">
        <f>IF(OR($D$3=JU!$F647,$D$3=JU!$I647),JU!D647,"")</f>
        <v/>
      </c>
      <c r="E654" s="74" t="str">
        <f>IF(OR($D$3=JU!$F647,$D$3=JU!$I647),JU!E647,"")</f>
        <v/>
      </c>
      <c r="F654" s="72">
        <f>IF($D$3=JU!F647,JU!H647,0)</f>
        <v>0</v>
      </c>
      <c r="G654" s="72">
        <f>IF($D$3=JU!I647,JU!K647,0)</f>
        <v>0</v>
      </c>
      <c r="H654" s="72">
        <f t="shared" ref="H654:H717" si="11">IF($H$7="DEBET",H653+F654-G654,H653+G654-F654)</f>
        <v>53228000</v>
      </c>
    </row>
    <row r="655" spans="2:8" hidden="1">
      <c r="B655" s="68" t="str">
        <f>IF(OR($D$3=JU!$F648,$D$3=JU!$I648),JU!B648,"")</f>
        <v/>
      </c>
      <c r="C655" s="6" t="str">
        <f>IF(OR($D$3=JU!$F648,$D$3=JU!$I648),JU!C648,"")</f>
        <v/>
      </c>
      <c r="D655" s="73" t="str">
        <f>IF(OR($D$3=JU!$F648,$D$3=JU!$I648),JU!D648,"")</f>
        <v/>
      </c>
      <c r="E655" s="74" t="str">
        <f>IF(OR($D$3=JU!$F648,$D$3=JU!$I648),JU!E648,"")</f>
        <v/>
      </c>
      <c r="F655" s="72">
        <f>IF($D$3=JU!F648,JU!H648,0)</f>
        <v>0</v>
      </c>
      <c r="G655" s="72">
        <f>IF($D$3=JU!I648,JU!K648,0)</f>
        <v>0</v>
      </c>
      <c r="H655" s="72">
        <f t="shared" si="11"/>
        <v>53228000</v>
      </c>
    </row>
    <row r="656" spans="2:8" hidden="1">
      <c r="B656" s="68" t="str">
        <f>IF(OR($D$3=JU!$F649,$D$3=JU!$I649),JU!B649,"")</f>
        <v/>
      </c>
      <c r="C656" s="6" t="str">
        <f>IF(OR($D$3=JU!$F649,$D$3=JU!$I649),JU!C649,"")</f>
        <v/>
      </c>
      <c r="D656" s="73" t="str">
        <f>IF(OR($D$3=JU!$F649,$D$3=JU!$I649),JU!D649,"")</f>
        <v/>
      </c>
      <c r="E656" s="74" t="str">
        <f>IF(OR($D$3=JU!$F649,$D$3=JU!$I649),JU!E649,"")</f>
        <v/>
      </c>
      <c r="F656" s="72">
        <f>IF($D$3=JU!F649,JU!H649,0)</f>
        <v>0</v>
      </c>
      <c r="G656" s="72">
        <f>IF($D$3=JU!I649,JU!K649,0)</f>
        <v>0</v>
      </c>
      <c r="H656" s="72">
        <f t="shared" si="11"/>
        <v>53228000</v>
      </c>
    </row>
    <row r="657" spans="2:8" hidden="1">
      <c r="B657" s="68" t="str">
        <f>IF(OR($D$3=JU!$F650,$D$3=JU!$I650),JU!B650,"")</f>
        <v/>
      </c>
      <c r="C657" s="6" t="str">
        <f>IF(OR($D$3=JU!$F650,$D$3=JU!$I650),JU!C650,"")</f>
        <v/>
      </c>
      <c r="D657" s="73" t="str">
        <f>IF(OR($D$3=JU!$F650,$D$3=JU!$I650),JU!D650,"")</f>
        <v/>
      </c>
      <c r="E657" s="74" t="str">
        <f>IF(OR($D$3=JU!$F650,$D$3=JU!$I650),JU!E650,"")</f>
        <v/>
      </c>
      <c r="F657" s="72">
        <f>IF($D$3=JU!F650,JU!H650,0)</f>
        <v>0</v>
      </c>
      <c r="G657" s="72">
        <f>IF($D$3=JU!I650,JU!K650,0)</f>
        <v>0</v>
      </c>
      <c r="H657" s="72">
        <f t="shared" si="11"/>
        <v>53228000</v>
      </c>
    </row>
    <row r="658" spans="2:8" hidden="1">
      <c r="B658" s="68" t="str">
        <f>IF(OR($D$3=JU!$F651,$D$3=JU!$I651),JU!B651,"")</f>
        <v/>
      </c>
      <c r="C658" s="6" t="str">
        <f>IF(OR($D$3=JU!$F651,$D$3=JU!$I651),JU!C651,"")</f>
        <v/>
      </c>
      <c r="D658" s="73" t="str">
        <f>IF(OR($D$3=JU!$F651,$D$3=JU!$I651),JU!D651,"")</f>
        <v/>
      </c>
      <c r="E658" s="74" t="str">
        <f>IF(OR($D$3=JU!$F651,$D$3=JU!$I651),JU!E651,"")</f>
        <v/>
      </c>
      <c r="F658" s="72">
        <f>IF($D$3=JU!F651,JU!H651,0)</f>
        <v>0</v>
      </c>
      <c r="G658" s="72">
        <f>IF($D$3=JU!I651,JU!K651,0)</f>
        <v>0</v>
      </c>
      <c r="H658" s="72">
        <f t="shared" si="11"/>
        <v>53228000</v>
      </c>
    </row>
    <row r="659" spans="2:8" hidden="1">
      <c r="B659" s="68" t="str">
        <f>IF(OR($D$3=JU!$F652,$D$3=JU!$I652),JU!B652,"")</f>
        <v/>
      </c>
      <c r="C659" s="6" t="str">
        <f>IF(OR($D$3=JU!$F652,$D$3=JU!$I652),JU!C652,"")</f>
        <v/>
      </c>
      <c r="D659" s="73" t="str">
        <f>IF(OR($D$3=JU!$F652,$D$3=JU!$I652),JU!D652,"")</f>
        <v/>
      </c>
      <c r="E659" s="74" t="str">
        <f>IF(OR($D$3=JU!$F652,$D$3=JU!$I652),JU!E652,"")</f>
        <v/>
      </c>
      <c r="F659" s="72">
        <f>IF($D$3=JU!F652,JU!H652,0)</f>
        <v>0</v>
      </c>
      <c r="G659" s="72">
        <f>IF($D$3=JU!I652,JU!K652,0)</f>
        <v>0</v>
      </c>
      <c r="H659" s="72">
        <f t="shared" si="11"/>
        <v>53228000</v>
      </c>
    </row>
    <row r="660" spans="2:8" hidden="1">
      <c r="B660" s="68" t="str">
        <f>IF(OR($D$3=JU!$F653,$D$3=JU!$I653),JU!B653,"")</f>
        <v/>
      </c>
      <c r="C660" s="6" t="str">
        <f>IF(OR($D$3=JU!$F653,$D$3=JU!$I653),JU!C653,"")</f>
        <v/>
      </c>
      <c r="D660" s="73" t="str">
        <f>IF(OR($D$3=JU!$F653,$D$3=JU!$I653),JU!D653,"")</f>
        <v/>
      </c>
      <c r="E660" s="74" t="str">
        <f>IF(OR($D$3=JU!$F653,$D$3=JU!$I653),JU!E653,"")</f>
        <v/>
      </c>
      <c r="F660" s="72">
        <f>IF($D$3=JU!F653,JU!H653,0)</f>
        <v>0</v>
      </c>
      <c r="G660" s="72">
        <f>IF($D$3=JU!I653,JU!K653,0)</f>
        <v>0</v>
      </c>
      <c r="H660" s="72">
        <f t="shared" si="11"/>
        <v>53228000</v>
      </c>
    </row>
    <row r="661" spans="2:8" hidden="1">
      <c r="B661" s="68" t="str">
        <f>IF(OR($D$3=JU!$F654,$D$3=JU!$I654),JU!B654,"")</f>
        <v/>
      </c>
      <c r="C661" s="6" t="str">
        <f>IF(OR($D$3=JU!$F654,$D$3=JU!$I654),JU!C654,"")</f>
        <v/>
      </c>
      <c r="D661" s="73" t="str">
        <f>IF(OR($D$3=JU!$F654,$D$3=JU!$I654),JU!D654,"")</f>
        <v/>
      </c>
      <c r="E661" s="74" t="str">
        <f>IF(OR($D$3=JU!$F654,$D$3=JU!$I654),JU!E654,"")</f>
        <v/>
      </c>
      <c r="F661" s="72">
        <f>IF($D$3=JU!F654,JU!H654,0)</f>
        <v>0</v>
      </c>
      <c r="G661" s="72">
        <f>IF($D$3=JU!I654,JU!K654,0)</f>
        <v>0</v>
      </c>
      <c r="H661" s="72">
        <f t="shared" si="11"/>
        <v>53228000</v>
      </c>
    </row>
    <row r="662" spans="2:8" hidden="1">
      <c r="B662" s="68" t="str">
        <f>IF(OR($D$3=JU!$F655,$D$3=JU!$I655),JU!B655,"")</f>
        <v/>
      </c>
      <c r="C662" s="6" t="str">
        <f>IF(OR($D$3=JU!$F655,$D$3=JU!$I655),JU!C655,"")</f>
        <v/>
      </c>
      <c r="D662" s="73" t="str">
        <f>IF(OR($D$3=JU!$F655,$D$3=JU!$I655),JU!D655,"")</f>
        <v/>
      </c>
      <c r="E662" s="74" t="str">
        <f>IF(OR($D$3=JU!$F655,$D$3=JU!$I655),JU!E655,"")</f>
        <v/>
      </c>
      <c r="F662" s="72">
        <f>IF($D$3=JU!F655,JU!H655,0)</f>
        <v>0</v>
      </c>
      <c r="G662" s="72">
        <f>IF($D$3=JU!I655,JU!K655,0)</f>
        <v>0</v>
      </c>
      <c r="H662" s="72">
        <f t="shared" si="11"/>
        <v>53228000</v>
      </c>
    </row>
    <row r="663" spans="2:8" hidden="1">
      <c r="B663" s="68" t="str">
        <f>IF(OR($D$3=JU!$F656,$D$3=JU!$I656),JU!B656,"")</f>
        <v/>
      </c>
      <c r="C663" s="6" t="str">
        <f>IF(OR($D$3=JU!$F656,$D$3=JU!$I656),JU!C656,"")</f>
        <v/>
      </c>
      <c r="D663" s="73" t="str">
        <f>IF(OR($D$3=JU!$F656,$D$3=JU!$I656),JU!D656,"")</f>
        <v/>
      </c>
      <c r="E663" s="74" t="str">
        <f>IF(OR($D$3=JU!$F656,$D$3=JU!$I656),JU!E656,"")</f>
        <v/>
      </c>
      <c r="F663" s="72">
        <f>IF($D$3=JU!F656,JU!H656,0)</f>
        <v>0</v>
      </c>
      <c r="G663" s="72">
        <f>IF($D$3=JU!I656,JU!K656,0)</f>
        <v>0</v>
      </c>
      <c r="H663" s="72">
        <f t="shared" si="11"/>
        <v>53228000</v>
      </c>
    </row>
    <row r="664" spans="2:8" hidden="1">
      <c r="B664" s="68" t="str">
        <f>IF(OR($D$3=JU!$F657,$D$3=JU!$I657),JU!B657,"")</f>
        <v/>
      </c>
      <c r="C664" s="6" t="str">
        <f>IF(OR($D$3=JU!$F657,$D$3=JU!$I657),JU!C657,"")</f>
        <v/>
      </c>
      <c r="D664" s="73" t="str">
        <f>IF(OR($D$3=JU!$F657,$D$3=JU!$I657),JU!D657,"")</f>
        <v/>
      </c>
      <c r="E664" s="74" t="str">
        <f>IF(OR($D$3=JU!$F657,$D$3=JU!$I657),JU!E657,"")</f>
        <v/>
      </c>
      <c r="F664" s="72">
        <f>IF($D$3=JU!F657,JU!H657,0)</f>
        <v>0</v>
      </c>
      <c r="G664" s="72">
        <f>IF($D$3=JU!I657,JU!K657,0)</f>
        <v>0</v>
      </c>
      <c r="H664" s="72">
        <f t="shared" si="11"/>
        <v>53228000</v>
      </c>
    </row>
    <row r="665" spans="2:8" hidden="1">
      <c r="B665" s="68" t="str">
        <f>IF(OR($D$3=JU!$F658,$D$3=JU!$I658),JU!B658,"")</f>
        <v/>
      </c>
      <c r="C665" s="6" t="str">
        <f>IF(OR($D$3=JU!$F658,$D$3=JU!$I658),JU!C658,"")</f>
        <v/>
      </c>
      <c r="D665" s="73" t="str">
        <f>IF(OR($D$3=JU!$F658,$D$3=JU!$I658),JU!D658,"")</f>
        <v/>
      </c>
      <c r="E665" s="74" t="str">
        <f>IF(OR($D$3=JU!$F658,$D$3=JU!$I658),JU!E658,"")</f>
        <v/>
      </c>
      <c r="F665" s="72">
        <f>IF($D$3=JU!F658,JU!H658,0)</f>
        <v>0</v>
      </c>
      <c r="G665" s="72">
        <f>IF($D$3=JU!I658,JU!K658,0)</f>
        <v>0</v>
      </c>
      <c r="H665" s="72">
        <f t="shared" si="11"/>
        <v>53228000</v>
      </c>
    </row>
    <row r="666" spans="2:8" hidden="1">
      <c r="B666" s="68" t="str">
        <f>IF(OR($D$3=JU!$F659,$D$3=JU!$I659),JU!B659,"")</f>
        <v/>
      </c>
      <c r="C666" s="6" t="str">
        <f>IF(OR($D$3=JU!$F659,$D$3=JU!$I659),JU!C659,"")</f>
        <v/>
      </c>
      <c r="D666" s="73" t="str">
        <f>IF(OR($D$3=JU!$F659,$D$3=JU!$I659),JU!D659,"")</f>
        <v/>
      </c>
      <c r="E666" s="74" t="str">
        <f>IF(OR($D$3=JU!$F659,$D$3=JU!$I659),JU!E659,"")</f>
        <v/>
      </c>
      <c r="F666" s="72">
        <f>IF($D$3=JU!F659,JU!H659,0)</f>
        <v>0</v>
      </c>
      <c r="G666" s="72">
        <f>IF($D$3=JU!I659,JU!K659,0)</f>
        <v>0</v>
      </c>
      <c r="H666" s="72">
        <f t="shared" si="11"/>
        <v>53228000</v>
      </c>
    </row>
    <row r="667" spans="2:8" hidden="1">
      <c r="B667" s="68" t="str">
        <f>IF(OR($D$3=JU!$F660,$D$3=JU!$I660),JU!B660,"")</f>
        <v/>
      </c>
      <c r="C667" s="6" t="str">
        <f>IF(OR($D$3=JU!$F660,$D$3=JU!$I660),JU!C660,"")</f>
        <v/>
      </c>
      <c r="D667" s="73" t="str">
        <f>IF(OR($D$3=JU!$F660,$D$3=JU!$I660),JU!D660,"")</f>
        <v/>
      </c>
      <c r="E667" s="74" t="str">
        <f>IF(OR($D$3=JU!$F660,$D$3=JU!$I660),JU!E660,"")</f>
        <v/>
      </c>
      <c r="F667" s="72">
        <f>IF($D$3=JU!F660,JU!H660,0)</f>
        <v>0</v>
      </c>
      <c r="G667" s="72">
        <f>IF($D$3=JU!I660,JU!K660,0)</f>
        <v>0</v>
      </c>
      <c r="H667" s="72">
        <f t="shared" si="11"/>
        <v>53228000</v>
      </c>
    </row>
    <row r="668" spans="2:8" hidden="1">
      <c r="B668" s="68" t="str">
        <f>IF(OR($D$3=JU!$F661,$D$3=JU!$I661),JU!B661,"")</f>
        <v/>
      </c>
      <c r="C668" s="6" t="str">
        <f>IF(OR($D$3=JU!$F661,$D$3=JU!$I661),JU!C661,"")</f>
        <v/>
      </c>
      <c r="D668" s="73" t="str">
        <f>IF(OR($D$3=JU!$F661,$D$3=JU!$I661),JU!D661,"")</f>
        <v/>
      </c>
      <c r="E668" s="74" t="str">
        <f>IF(OR($D$3=JU!$F661,$D$3=JU!$I661),JU!E661,"")</f>
        <v/>
      </c>
      <c r="F668" s="72">
        <f>IF($D$3=JU!F661,JU!H661,0)</f>
        <v>0</v>
      </c>
      <c r="G668" s="72">
        <f>IF($D$3=JU!I661,JU!K661,0)</f>
        <v>0</v>
      </c>
      <c r="H668" s="72">
        <f t="shared" si="11"/>
        <v>53228000</v>
      </c>
    </row>
    <row r="669" spans="2:8" hidden="1">
      <c r="B669" s="68" t="str">
        <f>IF(OR($D$3=JU!$F662,$D$3=JU!$I662),JU!B662,"")</f>
        <v/>
      </c>
      <c r="C669" s="6" t="str">
        <f>IF(OR($D$3=JU!$F662,$D$3=JU!$I662),JU!C662,"")</f>
        <v/>
      </c>
      <c r="D669" s="73" t="str">
        <f>IF(OR($D$3=JU!$F662,$D$3=JU!$I662),JU!D662,"")</f>
        <v/>
      </c>
      <c r="E669" s="74" t="str">
        <f>IF(OR($D$3=JU!$F662,$D$3=JU!$I662),JU!E662,"")</f>
        <v/>
      </c>
      <c r="F669" s="72">
        <f>IF($D$3=JU!F662,JU!H662,0)</f>
        <v>0</v>
      </c>
      <c r="G669" s="72">
        <f>IF($D$3=JU!I662,JU!K662,0)</f>
        <v>0</v>
      </c>
      <c r="H669" s="72">
        <f t="shared" si="11"/>
        <v>53228000</v>
      </c>
    </row>
    <row r="670" spans="2:8" hidden="1">
      <c r="B670" s="68" t="str">
        <f>IF(OR($D$3=JU!$F663,$D$3=JU!$I663),JU!B663,"")</f>
        <v/>
      </c>
      <c r="C670" s="6" t="str">
        <f>IF(OR($D$3=JU!$F663,$D$3=JU!$I663),JU!C663,"")</f>
        <v/>
      </c>
      <c r="D670" s="73" t="str">
        <f>IF(OR($D$3=JU!$F663,$D$3=JU!$I663),JU!D663,"")</f>
        <v/>
      </c>
      <c r="E670" s="74" t="str">
        <f>IF(OR($D$3=JU!$F663,$D$3=JU!$I663),JU!E663,"")</f>
        <v/>
      </c>
      <c r="F670" s="72">
        <f>IF($D$3=JU!F663,JU!H663,0)</f>
        <v>0</v>
      </c>
      <c r="G670" s="72">
        <f>IF($D$3=JU!I663,JU!K663,0)</f>
        <v>0</v>
      </c>
      <c r="H670" s="72">
        <f t="shared" si="11"/>
        <v>53228000</v>
      </c>
    </row>
    <row r="671" spans="2:8" hidden="1">
      <c r="B671" s="68" t="str">
        <f>IF(OR($D$3=JU!$F664,$D$3=JU!$I664),JU!B664,"")</f>
        <v/>
      </c>
      <c r="C671" s="6" t="str">
        <f>IF(OR($D$3=JU!$F664,$D$3=JU!$I664),JU!C664,"")</f>
        <v/>
      </c>
      <c r="D671" s="73" t="str">
        <f>IF(OR($D$3=JU!$F664,$D$3=JU!$I664),JU!D664,"")</f>
        <v/>
      </c>
      <c r="E671" s="74" t="str">
        <f>IF(OR($D$3=JU!$F664,$D$3=JU!$I664),JU!E664,"")</f>
        <v/>
      </c>
      <c r="F671" s="72">
        <f>IF($D$3=JU!F664,JU!H664,0)</f>
        <v>0</v>
      </c>
      <c r="G671" s="72">
        <f>IF($D$3=JU!I664,JU!K664,0)</f>
        <v>0</v>
      </c>
      <c r="H671" s="72">
        <f t="shared" si="11"/>
        <v>53228000</v>
      </c>
    </row>
    <row r="672" spans="2:8" hidden="1">
      <c r="B672" s="68" t="str">
        <f>IF(OR($D$3=JU!$F665,$D$3=JU!$I665),JU!B665,"")</f>
        <v/>
      </c>
      <c r="C672" s="6" t="str">
        <f>IF(OR($D$3=JU!$F665,$D$3=JU!$I665),JU!C665,"")</f>
        <v/>
      </c>
      <c r="D672" s="73" t="str">
        <f>IF(OR($D$3=JU!$F665,$D$3=JU!$I665),JU!D665,"")</f>
        <v/>
      </c>
      <c r="E672" s="74" t="str">
        <f>IF(OR($D$3=JU!$F665,$D$3=JU!$I665),JU!E665,"")</f>
        <v/>
      </c>
      <c r="F672" s="72">
        <f>IF($D$3=JU!F665,JU!H665,0)</f>
        <v>0</v>
      </c>
      <c r="G672" s="72">
        <f>IF($D$3=JU!I665,JU!K665,0)</f>
        <v>0</v>
      </c>
      <c r="H672" s="72">
        <f t="shared" si="11"/>
        <v>53228000</v>
      </c>
    </row>
    <row r="673" spans="2:8">
      <c r="B673" s="68">
        <f>IF(OR($D$3=JU!$F666,$D$3=JU!$I666),JU!B666,"")</f>
        <v>46112</v>
      </c>
      <c r="C673" s="6" t="str">
        <f>IF(OR($D$3=JU!$F666,$D$3=JU!$I666),JU!C666,"")</f>
        <v>PEMBAYARAN BIAYA AKAD D16 FAIDUL AHDAR TAHAP 3 (LISTRIK 1,2 JT, PDAM 1.545, MATERAI 500K, PPH 1.730)</v>
      </c>
      <c r="D673" s="73" t="str">
        <f>IF(OR($D$3=JU!$F666,$D$3=JU!$I666),JU!D666,"")</f>
        <v>By. Biaya PEMBAYARAN BIAYA AKAD D16 FAIDUL AHDAR TAHAP 3 ( MATERAI 500K)</v>
      </c>
      <c r="E673" s="74">
        <f>IF(OR($D$3=JU!$F666,$D$3=JU!$I666),JU!E666,"")</f>
        <v>0</v>
      </c>
      <c r="F673" s="72">
        <f>IF($D$3=JU!F666,JU!H666,0)</f>
        <v>500000</v>
      </c>
      <c r="G673" s="72">
        <f>IF($D$3=JU!I666,JU!K666,0)</f>
        <v>0</v>
      </c>
      <c r="H673" s="72">
        <f t="shared" si="11"/>
        <v>53728000</v>
      </c>
    </row>
    <row r="674" spans="2:8" hidden="1">
      <c r="B674" s="68" t="str">
        <f>IF(OR($D$3=JU!$F667,$D$3=JU!$I667),JU!B667,"")</f>
        <v/>
      </c>
      <c r="C674" s="6" t="str">
        <f>IF(OR($D$3=JU!$F667,$D$3=JU!$I667),JU!C667,"")</f>
        <v/>
      </c>
      <c r="D674" s="73" t="str">
        <f>IF(OR($D$3=JU!$F667,$D$3=JU!$I667),JU!D667,"")</f>
        <v/>
      </c>
      <c r="E674" s="74" t="str">
        <f>IF(OR($D$3=JU!$F667,$D$3=JU!$I667),JU!E667,"")</f>
        <v/>
      </c>
      <c r="F674" s="72">
        <f>IF($D$3=JU!F667,JU!H667,0)</f>
        <v>0</v>
      </c>
      <c r="G674" s="72">
        <f>IF($D$3=JU!I667,JU!K667,0)</f>
        <v>0</v>
      </c>
      <c r="H674" s="72">
        <f t="shared" si="11"/>
        <v>53728000</v>
      </c>
    </row>
    <row r="675" spans="2:8" hidden="1">
      <c r="B675" s="68" t="str">
        <f>IF(OR($D$3=JU!$F668,$D$3=JU!$I668),JU!B668,"")</f>
        <v/>
      </c>
      <c r="C675" s="6" t="str">
        <f>IF(OR($D$3=JU!$F668,$D$3=JU!$I668),JU!C668,"")</f>
        <v/>
      </c>
      <c r="D675" s="73" t="str">
        <f>IF(OR($D$3=JU!$F668,$D$3=JU!$I668),JU!D668,"")</f>
        <v/>
      </c>
      <c r="E675" s="74" t="str">
        <f>IF(OR($D$3=JU!$F668,$D$3=JU!$I668),JU!E668,"")</f>
        <v/>
      </c>
      <c r="F675" s="72">
        <f>IF($D$3=JU!F668,JU!H668,0)</f>
        <v>0</v>
      </c>
      <c r="G675" s="72">
        <f>IF($D$3=JU!I668,JU!K668,0)</f>
        <v>0</v>
      </c>
      <c r="H675" s="72">
        <f t="shared" si="11"/>
        <v>53728000</v>
      </c>
    </row>
    <row r="676" spans="2:8">
      <c r="B676" s="68">
        <f>IF(OR($D$3=JU!$F669,$D$3=JU!$I669),JU!B669,"")</f>
        <v>46112</v>
      </c>
      <c r="C676" s="6" t="str">
        <f>IF(OR($D$3=JU!$F669,$D$3=JU!$I669),JU!C669,"")</f>
        <v xml:space="preserve"> PEMBAYARAN BIAYA NOTARIS D16 FAIDUL AHDAR TAHAP 3</v>
      </c>
      <c r="D676" s="73" t="str">
        <f>IF(OR($D$3=JU!$F669,$D$3=JU!$I669),JU!D669,"")</f>
        <v>By. Biaya  PEMBAYARAN BIAYA NOTARIS D16 FAIDUL AHDAR TAHAP 3</v>
      </c>
      <c r="E676" s="74">
        <f>IF(OR($D$3=JU!$F669,$D$3=JU!$I669),JU!E669,"")</f>
        <v>0</v>
      </c>
      <c r="F676" s="72">
        <f>IF($D$3=JU!F669,JU!H669,0)</f>
        <v>4000000</v>
      </c>
      <c r="G676" s="72">
        <f>IF($D$3=JU!I669,JU!K669,0)</f>
        <v>0</v>
      </c>
      <c r="H676" s="72">
        <f t="shared" si="11"/>
        <v>57728000</v>
      </c>
    </row>
    <row r="677" spans="2:8" hidden="1">
      <c r="B677" s="68" t="str">
        <f>IF(OR($D$3=JU!$F670,$D$3=JU!$I670),JU!B670,"")</f>
        <v/>
      </c>
      <c r="C677" s="6" t="str">
        <f>IF(OR($D$3=JU!$F670,$D$3=JU!$I670),JU!C670,"")</f>
        <v/>
      </c>
      <c r="D677" s="73" t="str">
        <f>IF(OR($D$3=JU!$F670,$D$3=JU!$I670),JU!D670,"")</f>
        <v/>
      </c>
      <c r="E677" s="74" t="str">
        <f>IF(OR($D$3=JU!$F670,$D$3=JU!$I670),JU!E670,"")</f>
        <v/>
      </c>
      <c r="F677" s="72">
        <f>IF($D$3=JU!F670,JU!H670,0)</f>
        <v>0</v>
      </c>
      <c r="G677" s="72">
        <f>IF($D$3=JU!I670,JU!K670,0)</f>
        <v>0</v>
      </c>
      <c r="H677" s="72">
        <f t="shared" si="11"/>
        <v>57728000</v>
      </c>
    </row>
    <row r="678" spans="2:8" hidden="1">
      <c r="B678" s="68" t="str">
        <f>IF(OR($D$3=JU!$F671,$D$3=JU!$I671),JU!B671,"")</f>
        <v/>
      </c>
      <c r="C678" s="6" t="str">
        <f>IF(OR($D$3=JU!$F671,$D$3=JU!$I671),JU!C671,"")</f>
        <v/>
      </c>
      <c r="D678" s="73" t="str">
        <f>IF(OR($D$3=JU!$F671,$D$3=JU!$I671),JU!D671,"")</f>
        <v/>
      </c>
      <c r="E678" s="74" t="str">
        <f>IF(OR($D$3=JU!$F671,$D$3=JU!$I671),JU!E671,"")</f>
        <v/>
      </c>
      <c r="F678" s="72">
        <f>IF($D$3=JU!F671,JU!H671,0)</f>
        <v>0</v>
      </c>
      <c r="G678" s="72">
        <f>IF($D$3=JU!I671,JU!K671,0)</f>
        <v>0</v>
      </c>
      <c r="H678" s="72">
        <f t="shared" si="11"/>
        <v>57728000</v>
      </c>
    </row>
    <row r="679" spans="2:8" hidden="1">
      <c r="B679" s="68" t="str">
        <f>IF(OR($D$3=JU!$F672,$D$3=JU!$I672),JU!B672,"")</f>
        <v/>
      </c>
      <c r="C679" s="6" t="str">
        <f>IF(OR($D$3=JU!$F672,$D$3=JU!$I672),JU!C672,"")</f>
        <v/>
      </c>
      <c r="D679" s="73" t="str">
        <f>IF(OR($D$3=JU!$F672,$D$3=JU!$I672),JU!D672,"")</f>
        <v/>
      </c>
      <c r="E679" s="74" t="str">
        <f>IF(OR($D$3=JU!$F672,$D$3=JU!$I672),JU!E672,"")</f>
        <v/>
      </c>
      <c r="F679" s="72">
        <f>IF($D$3=JU!F672,JU!H672,0)</f>
        <v>0</v>
      </c>
      <c r="G679" s="72">
        <f>IF($D$3=JU!I672,JU!K672,0)</f>
        <v>0</v>
      </c>
      <c r="H679" s="72">
        <f t="shared" si="11"/>
        <v>57728000</v>
      </c>
    </row>
    <row r="680" spans="2:8" hidden="1">
      <c r="B680" s="68" t="str">
        <f>IF(OR($D$3=JU!$F673,$D$3=JU!$I673),JU!B673,"")</f>
        <v/>
      </c>
      <c r="C680" s="6" t="str">
        <f>IF(OR($D$3=JU!$F673,$D$3=JU!$I673),JU!C673,"")</f>
        <v/>
      </c>
      <c r="D680" s="73" t="str">
        <f>IF(OR($D$3=JU!$F673,$D$3=JU!$I673),JU!D673,"")</f>
        <v/>
      </c>
      <c r="E680" s="74" t="str">
        <f>IF(OR($D$3=JU!$F673,$D$3=JU!$I673),JU!E673,"")</f>
        <v/>
      </c>
      <c r="F680" s="72">
        <f>IF($D$3=JU!F673,JU!H673,0)</f>
        <v>0</v>
      </c>
      <c r="G680" s="72">
        <f>IF($D$3=JU!I673,JU!K673,0)</f>
        <v>0</v>
      </c>
      <c r="H680" s="72">
        <f t="shared" si="11"/>
        <v>57728000</v>
      </c>
    </row>
    <row r="681" spans="2:8" hidden="1">
      <c r="B681" s="68" t="str">
        <f>IF(OR($D$3=JU!$F674,$D$3=JU!$I674),JU!B674,"")</f>
        <v/>
      </c>
      <c r="C681" s="6" t="str">
        <f>IF(OR($D$3=JU!$F674,$D$3=JU!$I674),JU!C674,"")</f>
        <v/>
      </c>
      <c r="D681" s="73" t="str">
        <f>IF(OR($D$3=JU!$F674,$D$3=JU!$I674),JU!D674,"")</f>
        <v/>
      </c>
      <c r="E681" s="74" t="str">
        <f>IF(OR($D$3=JU!$F674,$D$3=JU!$I674),JU!E674,"")</f>
        <v/>
      </c>
      <c r="F681" s="72">
        <f>IF($D$3=JU!F674,JU!H674,0)</f>
        <v>0</v>
      </c>
      <c r="G681" s="72">
        <f>IF($D$3=JU!I674,JU!K674,0)</f>
        <v>0</v>
      </c>
      <c r="H681" s="72">
        <f t="shared" si="11"/>
        <v>57728000</v>
      </c>
    </row>
    <row r="682" spans="2:8" hidden="1">
      <c r="B682" s="68" t="str">
        <f>IF(OR($D$3=JU!$F675,$D$3=JU!$I675),JU!B675,"")</f>
        <v/>
      </c>
      <c r="C682" s="6" t="str">
        <f>IF(OR($D$3=JU!$F675,$D$3=JU!$I675),JU!C675,"")</f>
        <v/>
      </c>
      <c r="D682" s="73" t="str">
        <f>IF(OR($D$3=JU!$F675,$D$3=JU!$I675),JU!D675,"")</f>
        <v/>
      </c>
      <c r="E682" s="74" t="str">
        <f>IF(OR($D$3=JU!$F675,$D$3=JU!$I675),JU!E675,"")</f>
        <v/>
      </c>
      <c r="F682" s="72">
        <f>IF($D$3=JU!F675,JU!H675,0)</f>
        <v>0</v>
      </c>
      <c r="G682" s="72">
        <f>IF($D$3=JU!I675,JU!K675,0)</f>
        <v>0</v>
      </c>
      <c r="H682" s="72">
        <f t="shared" si="11"/>
        <v>57728000</v>
      </c>
    </row>
    <row r="683" spans="2:8" hidden="1">
      <c r="B683" s="68" t="str">
        <f>IF(OR($D$3=JU!$F676,$D$3=JU!$I676),JU!B676,"")</f>
        <v/>
      </c>
      <c r="C683" s="6" t="str">
        <f>IF(OR($D$3=JU!$F676,$D$3=JU!$I676),JU!C676,"")</f>
        <v/>
      </c>
      <c r="D683" s="73" t="str">
        <f>IF(OR($D$3=JU!$F676,$D$3=JU!$I676),JU!D676,"")</f>
        <v/>
      </c>
      <c r="E683" s="74" t="str">
        <f>IF(OR($D$3=JU!$F676,$D$3=JU!$I676),JU!E676,"")</f>
        <v/>
      </c>
      <c r="F683" s="72">
        <f>IF($D$3=JU!F676,JU!H676,0)</f>
        <v>0</v>
      </c>
      <c r="G683" s="72">
        <f>IF($D$3=JU!I676,JU!K676,0)</f>
        <v>0</v>
      </c>
      <c r="H683" s="72">
        <f t="shared" si="11"/>
        <v>57728000</v>
      </c>
    </row>
    <row r="684" spans="2:8" hidden="1">
      <c r="B684" s="68" t="str">
        <f>IF(OR($D$3=JU!$F677,$D$3=JU!$I677),JU!B677,"")</f>
        <v/>
      </c>
      <c r="C684" s="6" t="str">
        <f>IF(OR($D$3=JU!$F677,$D$3=JU!$I677),JU!C677,"")</f>
        <v/>
      </c>
      <c r="D684" s="73" t="str">
        <f>IF(OR($D$3=JU!$F677,$D$3=JU!$I677),JU!D677,"")</f>
        <v/>
      </c>
      <c r="E684" s="74" t="str">
        <f>IF(OR($D$3=JU!$F677,$D$3=JU!$I677),JU!E677,"")</f>
        <v/>
      </c>
      <c r="F684" s="72">
        <f>IF($D$3=JU!F677,JU!H677,0)</f>
        <v>0</v>
      </c>
      <c r="G684" s="72">
        <f>IF($D$3=JU!I677,JU!K677,0)</f>
        <v>0</v>
      </c>
      <c r="H684" s="72">
        <f t="shared" si="11"/>
        <v>57728000</v>
      </c>
    </row>
    <row r="685" spans="2:8" hidden="1">
      <c r="B685" s="68" t="str">
        <f>IF(OR($D$3=JU!$F678,$D$3=JU!$I678),JU!B678,"")</f>
        <v/>
      </c>
      <c r="C685" s="6" t="str">
        <f>IF(OR($D$3=JU!$F678,$D$3=JU!$I678),JU!C678,"")</f>
        <v/>
      </c>
      <c r="D685" s="73" t="str">
        <f>IF(OR($D$3=JU!$F678,$D$3=JU!$I678),JU!D678,"")</f>
        <v/>
      </c>
      <c r="E685" s="74" t="str">
        <f>IF(OR($D$3=JU!$F678,$D$3=JU!$I678),JU!E678,"")</f>
        <v/>
      </c>
      <c r="F685" s="72">
        <f>IF($D$3=JU!F678,JU!H678,0)</f>
        <v>0</v>
      </c>
      <c r="G685" s="72">
        <f>IF($D$3=JU!I678,JU!K678,0)</f>
        <v>0</v>
      </c>
      <c r="H685" s="72">
        <f t="shared" si="11"/>
        <v>57728000</v>
      </c>
    </row>
    <row r="686" spans="2:8" hidden="1">
      <c r="B686" s="68" t="str">
        <f>IF(OR($D$3=JU!$F679,$D$3=JU!$I679),JU!B679,"")</f>
        <v/>
      </c>
      <c r="C686" s="6" t="str">
        <f>IF(OR($D$3=JU!$F679,$D$3=JU!$I679),JU!C679,"")</f>
        <v/>
      </c>
      <c r="D686" s="73" t="str">
        <f>IF(OR($D$3=JU!$F679,$D$3=JU!$I679),JU!D679,"")</f>
        <v/>
      </c>
      <c r="E686" s="74" t="str">
        <f>IF(OR($D$3=JU!$F679,$D$3=JU!$I679),JU!E679,"")</f>
        <v/>
      </c>
      <c r="F686" s="72">
        <f>IF($D$3=JU!F679,JU!H679,0)</f>
        <v>0</v>
      </c>
      <c r="G686" s="72">
        <f>IF($D$3=JU!I679,JU!K679,0)</f>
        <v>0</v>
      </c>
      <c r="H686" s="72">
        <f t="shared" si="11"/>
        <v>57728000</v>
      </c>
    </row>
    <row r="687" spans="2:8" hidden="1">
      <c r="B687" s="68" t="str">
        <f>IF(OR($D$3=JU!$F680,$D$3=JU!$I680),JU!B680,"")</f>
        <v/>
      </c>
      <c r="C687" s="6" t="str">
        <f>IF(OR($D$3=JU!$F680,$D$3=JU!$I680),JU!C680,"")</f>
        <v/>
      </c>
      <c r="D687" s="73" t="str">
        <f>IF(OR($D$3=JU!$F680,$D$3=JU!$I680),JU!D680,"")</f>
        <v/>
      </c>
      <c r="E687" s="74" t="str">
        <f>IF(OR($D$3=JU!$F680,$D$3=JU!$I680),JU!E680,"")</f>
        <v/>
      </c>
      <c r="F687" s="72">
        <f>IF($D$3=JU!F680,JU!H680,0)</f>
        <v>0</v>
      </c>
      <c r="G687" s="72">
        <f>IF($D$3=JU!I680,JU!K680,0)</f>
        <v>0</v>
      </c>
      <c r="H687" s="72">
        <f t="shared" si="11"/>
        <v>57728000</v>
      </c>
    </row>
    <row r="688" spans="2:8" hidden="1">
      <c r="B688" s="68" t="str">
        <f>IF(OR($D$3=JU!$F681,$D$3=JU!$I681),JU!B681,"")</f>
        <v/>
      </c>
      <c r="C688" s="6" t="str">
        <f>IF(OR($D$3=JU!$F681,$D$3=JU!$I681),JU!C681,"")</f>
        <v/>
      </c>
      <c r="D688" s="73" t="str">
        <f>IF(OR($D$3=JU!$F681,$D$3=JU!$I681),JU!D681,"")</f>
        <v/>
      </c>
      <c r="E688" s="74" t="str">
        <f>IF(OR($D$3=JU!$F681,$D$3=JU!$I681),JU!E681,"")</f>
        <v/>
      </c>
      <c r="F688" s="72">
        <f>IF($D$3=JU!F681,JU!H681,0)</f>
        <v>0</v>
      </c>
      <c r="G688" s="72">
        <f>IF($D$3=JU!I681,JU!K681,0)</f>
        <v>0</v>
      </c>
      <c r="H688" s="72">
        <f t="shared" si="11"/>
        <v>57728000</v>
      </c>
    </row>
    <row r="689" spans="2:8" hidden="1">
      <c r="B689" s="68" t="str">
        <f>IF(OR($D$3=JU!$F682,$D$3=JU!$I682),JU!B682,"")</f>
        <v/>
      </c>
      <c r="C689" s="6" t="str">
        <f>IF(OR($D$3=JU!$F682,$D$3=JU!$I682),JU!C682,"")</f>
        <v/>
      </c>
      <c r="D689" s="73" t="str">
        <f>IF(OR($D$3=JU!$F682,$D$3=JU!$I682),JU!D682,"")</f>
        <v/>
      </c>
      <c r="E689" s="74" t="str">
        <f>IF(OR($D$3=JU!$F682,$D$3=JU!$I682),JU!E682,"")</f>
        <v/>
      </c>
      <c r="F689" s="72">
        <f>IF($D$3=JU!F682,JU!H682,0)</f>
        <v>0</v>
      </c>
      <c r="G689" s="72">
        <f>IF($D$3=JU!I682,JU!K682,0)</f>
        <v>0</v>
      </c>
      <c r="H689" s="72">
        <f t="shared" si="11"/>
        <v>57728000</v>
      </c>
    </row>
    <row r="690" spans="2:8" hidden="1">
      <c r="B690" s="68" t="str">
        <f>IF(OR($D$3=JU!$F683,$D$3=JU!$I683),JU!B683,"")</f>
        <v/>
      </c>
      <c r="C690" s="6" t="str">
        <f>IF(OR($D$3=JU!$F683,$D$3=JU!$I683),JU!C683,"")</f>
        <v/>
      </c>
      <c r="D690" s="73" t="str">
        <f>IF(OR($D$3=JU!$F683,$D$3=JU!$I683),JU!D683,"")</f>
        <v/>
      </c>
      <c r="E690" s="74" t="str">
        <f>IF(OR($D$3=JU!$F683,$D$3=JU!$I683),JU!E683,"")</f>
        <v/>
      </c>
      <c r="F690" s="72">
        <f>IF($D$3=JU!F683,JU!H683,0)</f>
        <v>0</v>
      </c>
      <c r="G690" s="72">
        <f>IF($D$3=JU!I683,JU!K683,0)</f>
        <v>0</v>
      </c>
      <c r="H690" s="72">
        <f t="shared" si="11"/>
        <v>57728000</v>
      </c>
    </row>
    <row r="691" spans="2:8" hidden="1">
      <c r="B691" s="68" t="str">
        <f>IF(OR($D$3=JU!$F684,$D$3=JU!$I684),JU!B684,"")</f>
        <v/>
      </c>
      <c r="C691" s="6" t="str">
        <f>IF(OR($D$3=JU!$F684,$D$3=JU!$I684),JU!C684,"")</f>
        <v/>
      </c>
      <c r="D691" s="73" t="str">
        <f>IF(OR($D$3=JU!$F684,$D$3=JU!$I684),JU!D684,"")</f>
        <v/>
      </c>
      <c r="E691" s="74" t="str">
        <f>IF(OR($D$3=JU!$F684,$D$3=JU!$I684),JU!E684,"")</f>
        <v/>
      </c>
      <c r="F691" s="72">
        <f>IF($D$3=JU!F684,JU!H684,0)</f>
        <v>0</v>
      </c>
      <c r="G691" s="72">
        <f>IF($D$3=JU!I684,JU!K684,0)</f>
        <v>0</v>
      </c>
      <c r="H691" s="72">
        <f t="shared" si="11"/>
        <v>57728000</v>
      </c>
    </row>
    <row r="692" spans="2:8" hidden="1">
      <c r="B692" s="68" t="str">
        <f>IF(OR($D$3=JU!$F685,$D$3=JU!$I685),JU!B685,"")</f>
        <v/>
      </c>
      <c r="C692" s="6" t="str">
        <f>IF(OR($D$3=JU!$F685,$D$3=JU!$I685),JU!C685,"")</f>
        <v/>
      </c>
      <c r="D692" s="73" t="str">
        <f>IF(OR($D$3=JU!$F685,$D$3=JU!$I685),JU!D685,"")</f>
        <v/>
      </c>
      <c r="E692" s="74" t="str">
        <f>IF(OR($D$3=JU!$F685,$D$3=JU!$I685),JU!E685,"")</f>
        <v/>
      </c>
      <c r="F692" s="72">
        <f>IF($D$3=JU!F685,JU!H685,0)</f>
        <v>0</v>
      </c>
      <c r="G692" s="72">
        <f>IF($D$3=JU!I685,JU!K685,0)</f>
        <v>0</v>
      </c>
      <c r="H692" s="72">
        <f t="shared" si="11"/>
        <v>57728000</v>
      </c>
    </row>
    <row r="693" spans="2:8" hidden="1">
      <c r="B693" s="68" t="str">
        <f>IF(OR($D$3=JU!$F686,$D$3=JU!$I686),JU!B686,"")</f>
        <v/>
      </c>
      <c r="C693" s="6" t="str">
        <f>IF(OR($D$3=JU!$F686,$D$3=JU!$I686),JU!C686,"")</f>
        <v/>
      </c>
      <c r="D693" s="73" t="str">
        <f>IF(OR($D$3=JU!$F686,$D$3=JU!$I686),JU!D686,"")</f>
        <v/>
      </c>
      <c r="E693" s="74" t="str">
        <f>IF(OR($D$3=JU!$F686,$D$3=JU!$I686),JU!E686,"")</f>
        <v/>
      </c>
      <c r="F693" s="72">
        <f>IF($D$3=JU!F686,JU!H686,0)</f>
        <v>0</v>
      </c>
      <c r="G693" s="72">
        <f>IF($D$3=JU!I686,JU!K686,0)</f>
        <v>0</v>
      </c>
      <c r="H693" s="72">
        <f t="shared" si="11"/>
        <v>57728000</v>
      </c>
    </row>
    <row r="694" spans="2:8" hidden="1">
      <c r="B694" s="68" t="str">
        <f>IF(OR($D$3=JU!$F687,$D$3=JU!$I687),JU!B687,"")</f>
        <v/>
      </c>
      <c r="C694" s="6" t="str">
        <f>IF(OR($D$3=JU!$F687,$D$3=JU!$I687),JU!C687,"")</f>
        <v/>
      </c>
      <c r="D694" s="73" t="str">
        <f>IF(OR($D$3=JU!$F687,$D$3=JU!$I687),JU!D687,"")</f>
        <v/>
      </c>
      <c r="E694" s="74" t="str">
        <f>IF(OR($D$3=JU!$F687,$D$3=JU!$I687),JU!E687,"")</f>
        <v/>
      </c>
      <c r="F694" s="72">
        <f>IF($D$3=JU!F687,JU!H687,0)</f>
        <v>0</v>
      </c>
      <c r="G694" s="72">
        <f>IF($D$3=JU!I687,JU!K687,0)</f>
        <v>0</v>
      </c>
      <c r="H694" s="72">
        <f t="shared" si="11"/>
        <v>57728000</v>
      </c>
    </row>
    <row r="695" spans="2:8" hidden="1">
      <c r="B695" s="68" t="str">
        <f>IF(OR($D$3=JU!$F688,$D$3=JU!$I688),JU!B688,"")</f>
        <v/>
      </c>
      <c r="C695" s="6" t="str">
        <f>IF(OR($D$3=JU!$F688,$D$3=JU!$I688),JU!C688,"")</f>
        <v/>
      </c>
      <c r="D695" s="73" t="str">
        <f>IF(OR($D$3=JU!$F688,$D$3=JU!$I688),JU!D688,"")</f>
        <v/>
      </c>
      <c r="E695" s="74" t="str">
        <f>IF(OR($D$3=JU!$F688,$D$3=JU!$I688),JU!E688,"")</f>
        <v/>
      </c>
      <c r="F695" s="72">
        <f>IF($D$3=JU!F688,JU!H688,0)</f>
        <v>0</v>
      </c>
      <c r="G695" s="72">
        <f>IF($D$3=JU!I688,JU!K688,0)</f>
        <v>0</v>
      </c>
      <c r="H695" s="72">
        <f t="shared" si="11"/>
        <v>57728000</v>
      </c>
    </row>
    <row r="696" spans="2:8" hidden="1">
      <c r="B696" s="68" t="str">
        <f>IF(OR($D$3=JU!$F689,$D$3=JU!$I689),JU!B689,"")</f>
        <v/>
      </c>
      <c r="C696" s="6" t="str">
        <f>IF(OR($D$3=JU!$F689,$D$3=JU!$I689),JU!C689,"")</f>
        <v/>
      </c>
      <c r="D696" s="73" t="str">
        <f>IF(OR($D$3=JU!$F689,$D$3=JU!$I689),JU!D689,"")</f>
        <v/>
      </c>
      <c r="E696" s="74" t="str">
        <f>IF(OR($D$3=JU!$F689,$D$3=JU!$I689),JU!E689,"")</f>
        <v/>
      </c>
      <c r="F696" s="72">
        <f>IF($D$3=JU!F689,JU!H689,0)</f>
        <v>0</v>
      </c>
      <c r="G696" s="72">
        <f>IF($D$3=JU!I689,JU!K689,0)</f>
        <v>0</v>
      </c>
      <c r="H696" s="72">
        <f t="shared" si="11"/>
        <v>57728000</v>
      </c>
    </row>
    <row r="697" spans="2:8" hidden="1">
      <c r="B697" s="68" t="str">
        <f>IF(OR($D$3=JU!$F690,$D$3=JU!$I690),JU!B690,"")</f>
        <v/>
      </c>
      <c r="C697" s="6" t="str">
        <f>IF(OR($D$3=JU!$F690,$D$3=JU!$I690),JU!C690,"")</f>
        <v/>
      </c>
      <c r="D697" s="73" t="str">
        <f>IF(OR($D$3=JU!$F690,$D$3=JU!$I690),JU!D690,"")</f>
        <v/>
      </c>
      <c r="E697" s="74" t="str">
        <f>IF(OR($D$3=JU!$F690,$D$3=JU!$I690),JU!E690,"")</f>
        <v/>
      </c>
      <c r="F697" s="72">
        <f>IF($D$3=JU!F690,JU!H690,0)</f>
        <v>0</v>
      </c>
      <c r="G697" s="72">
        <f>IF($D$3=JU!I690,JU!K690,0)</f>
        <v>0</v>
      </c>
      <c r="H697" s="72">
        <f t="shared" si="11"/>
        <v>57728000</v>
      </c>
    </row>
    <row r="698" spans="2:8" hidden="1">
      <c r="B698" s="68" t="str">
        <f>IF(OR($D$3=JU!$F691,$D$3=JU!$I691),JU!B691,"")</f>
        <v/>
      </c>
      <c r="C698" s="6" t="str">
        <f>IF(OR($D$3=JU!$F691,$D$3=JU!$I691),JU!C691,"")</f>
        <v/>
      </c>
      <c r="D698" s="73" t="str">
        <f>IF(OR($D$3=JU!$F691,$D$3=JU!$I691),JU!D691,"")</f>
        <v/>
      </c>
      <c r="E698" s="74" t="str">
        <f>IF(OR($D$3=JU!$F691,$D$3=JU!$I691),JU!E691,"")</f>
        <v/>
      </c>
      <c r="F698" s="72">
        <f>IF($D$3=JU!F691,JU!H691,0)</f>
        <v>0</v>
      </c>
      <c r="G698" s="72">
        <f>IF($D$3=JU!I691,JU!K691,0)</f>
        <v>0</v>
      </c>
      <c r="H698" s="72">
        <f t="shared" si="11"/>
        <v>57728000</v>
      </c>
    </row>
    <row r="699" spans="2:8" hidden="1">
      <c r="B699" s="68" t="str">
        <f>IF(OR($D$3=JU!$F692,$D$3=JU!$I692),JU!B692,"")</f>
        <v/>
      </c>
      <c r="C699" s="6" t="str">
        <f>IF(OR($D$3=JU!$F692,$D$3=JU!$I692),JU!C692,"")</f>
        <v/>
      </c>
      <c r="D699" s="73" t="str">
        <f>IF(OR($D$3=JU!$F692,$D$3=JU!$I692),JU!D692,"")</f>
        <v/>
      </c>
      <c r="E699" s="74" t="str">
        <f>IF(OR($D$3=JU!$F692,$D$3=JU!$I692),JU!E692,"")</f>
        <v/>
      </c>
      <c r="F699" s="72">
        <f>IF($D$3=JU!F692,JU!H692,0)</f>
        <v>0</v>
      </c>
      <c r="G699" s="72">
        <f>IF($D$3=JU!I692,JU!K692,0)</f>
        <v>0</v>
      </c>
      <c r="H699" s="72">
        <f t="shared" si="11"/>
        <v>57728000</v>
      </c>
    </row>
    <row r="700" spans="2:8" hidden="1">
      <c r="B700" s="68" t="str">
        <f>IF(OR($D$3=JU!$F693,$D$3=JU!$I693),JU!B693,"")</f>
        <v/>
      </c>
      <c r="C700" s="6" t="str">
        <f>IF(OR($D$3=JU!$F693,$D$3=JU!$I693),JU!C693,"")</f>
        <v/>
      </c>
      <c r="D700" s="73" t="str">
        <f>IF(OR($D$3=JU!$F693,$D$3=JU!$I693),JU!D693,"")</f>
        <v/>
      </c>
      <c r="E700" s="74" t="str">
        <f>IF(OR($D$3=JU!$F693,$D$3=JU!$I693),JU!E693,"")</f>
        <v/>
      </c>
      <c r="F700" s="72">
        <f>IF($D$3=JU!F693,JU!H693,0)</f>
        <v>0</v>
      </c>
      <c r="G700" s="72">
        <f>IF($D$3=JU!I693,JU!K693,0)</f>
        <v>0</v>
      </c>
      <c r="H700" s="72">
        <f t="shared" si="11"/>
        <v>57728000</v>
      </c>
    </row>
    <row r="701" spans="2:8" hidden="1">
      <c r="B701" s="68" t="str">
        <f>IF(OR($D$3=JU!$F694,$D$3=JU!$I694),JU!B694,"")</f>
        <v/>
      </c>
      <c r="C701" s="6" t="str">
        <f>IF(OR($D$3=JU!$F694,$D$3=JU!$I694),JU!C694,"")</f>
        <v/>
      </c>
      <c r="D701" s="73" t="str">
        <f>IF(OR($D$3=JU!$F694,$D$3=JU!$I694),JU!D694,"")</f>
        <v/>
      </c>
      <c r="E701" s="74" t="str">
        <f>IF(OR($D$3=JU!$F694,$D$3=JU!$I694),JU!E694,"")</f>
        <v/>
      </c>
      <c r="F701" s="72">
        <f>IF($D$3=JU!F694,JU!H694,0)</f>
        <v>0</v>
      </c>
      <c r="G701" s="72">
        <f>IF($D$3=JU!I694,JU!K694,0)</f>
        <v>0</v>
      </c>
      <c r="H701" s="72">
        <f t="shared" si="11"/>
        <v>57728000</v>
      </c>
    </row>
    <row r="702" spans="2:8" hidden="1">
      <c r="B702" s="68" t="str">
        <f>IF(OR($D$3=JU!$F695,$D$3=JU!$I695),JU!B695,"")</f>
        <v/>
      </c>
      <c r="C702" s="6" t="str">
        <f>IF(OR($D$3=JU!$F695,$D$3=JU!$I695),JU!C695,"")</f>
        <v/>
      </c>
      <c r="D702" s="73" t="str">
        <f>IF(OR($D$3=JU!$F695,$D$3=JU!$I695),JU!D695,"")</f>
        <v/>
      </c>
      <c r="E702" s="74" t="str">
        <f>IF(OR($D$3=JU!$F695,$D$3=JU!$I695),JU!E695,"")</f>
        <v/>
      </c>
      <c r="F702" s="72">
        <f>IF($D$3=JU!F695,JU!H695,0)</f>
        <v>0</v>
      </c>
      <c r="G702" s="72">
        <f>IF($D$3=JU!I695,JU!K695,0)</f>
        <v>0</v>
      </c>
      <c r="H702" s="72">
        <f t="shared" si="11"/>
        <v>57728000</v>
      </c>
    </row>
    <row r="703" spans="2:8" hidden="1">
      <c r="B703" s="68" t="str">
        <f>IF(OR($D$3=JU!$F696,$D$3=JU!$I696),JU!B696,"")</f>
        <v/>
      </c>
      <c r="C703" s="6" t="str">
        <f>IF(OR($D$3=JU!$F696,$D$3=JU!$I696),JU!C696,"")</f>
        <v/>
      </c>
      <c r="D703" s="73" t="str">
        <f>IF(OR($D$3=JU!$F696,$D$3=JU!$I696),JU!D696,"")</f>
        <v/>
      </c>
      <c r="E703" s="74" t="str">
        <f>IF(OR($D$3=JU!$F696,$D$3=JU!$I696),JU!E696,"")</f>
        <v/>
      </c>
      <c r="F703" s="72">
        <f>IF($D$3=JU!F696,JU!H696,0)</f>
        <v>0</v>
      </c>
      <c r="G703" s="72">
        <f>IF($D$3=JU!I696,JU!K696,0)</f>
        <v>0</v>
      </c>
      <c r="H703" s="72">
        <f t="shared" si="11"/>
        <v>57728000</v>
      </c>
    </row>
    <row r="704" spans="2:8" hidden="1">
      <c r="B704" s="68" t="str">
        <f>IF(OR($D$3=JU!$F697,$D$3=JU!$I697),JU!B697,"")</f>
        <v/>
      </c>
      <c r="C704" s="6" t="str">
        <f>IF(OR($D$3=JU!$F697,$D$3=JU!$I697),JU!C697,"")</f>
        <v/>
      </c>
      <c r="D704" s="73" t="str">
        <f>IF(OR($D$3=JU!$F697,$D$3=JU!$I697),JU!D697,"")</f>
        <v/>
      </c>
      <c r="E704" s="74" t="str">
        <f>IF(OR($D$3=JU!$F697,$D$3=JU!$I697),JU!E697,"")</f>
        <v/>
      </c>
      <c r="F704" s="72">
        <f>IF($D$3=JU!F697,JU!H697,0)</f>
        <v>0</v>
      </c>
      <c r="G704" s="72">
        <f>IF($D$3=JU!I697,JU!K697,0)</f>
        <v>0</v>
      </c>
      <c r="H704" s="72">
        <f t="shared" si="11"/>
        <v>57728000</v>
      </c>
    </row>
    <row r="705" spans="2:8">
      <c r="B705" s="68">
        <f>IF(OR($D$3=JU!$F698,$D$3=JU!$I698),JU!B698,"")</f>
        <v>46114</v>
      </c>
      <c r="C705" s="6" t="str">
        <f>IF(OR($D$3=JU!$F698,$D$3=JU!$I698),JU!C698,"")</f>
        <v>(AIR 1.545 X 3) (MATERAI 500K X 3) (PPH 1.730 X 3) RINA D20, LIA E30, DAN RAHMAT D19 TAHAP 3</v>
      </c>
      <c r="D705" s="73" t="str">
        <f>IF(OR($D$3=JU!$F698,$D$3=JU!$I698),JU!D698,"")</f>
        <v>By. Biaya (MATERAI 500K X 3) RINA D20, LIA E30, DAN RAHMAT D19 TAHAP 3</v>
      </c>
      <c r="E705" s="74">
        <f>IF(OR($D$3=JU!$F698,$D$3=JU!$I698),JU!E698,"")</f>
        <v>0</v>
      </c>
      <c r="F705" s="72">
        <f>IF($D$3=JU!F698,JU!H698,0)</f>
        <v>1500000</v>
      </c>
      <c r="G705" s="72">
        <f>IF($D$3=JU!I698,JU!K698,0)</f>
        <v>0</v>
      </c>
      <c r="H705" s="72">
        <f t="shared" si="11"/>
        <v>59228000</v>
      </c>
    </row>
    <row r="706" spans="2:8" hidden="1">
      <c r="B706" s="68" t="str">
        <f>IF(OR($D$3=JU!$F699,$D$3=JU!$I699),JU!B699,"")</f>
        <v/>
      </c>
      <c r="C706" s="6" t="str">
        <f>IF(OR($D$3=JU!$F699,$D$3=JU!$I699),JU!C699,"")</f>
        <v/>
      </c>
      <c r="D706" s="73" t="str">
        <f>IF(OR($D$3=JU!$F699,$D$3=JU!$I699),JU!D699,"")</f>
        <v/>
      </c>
      <c r="E706" s="74" t="str">
        <f>IF(OR($D$3=JU!$F699,$D$3=JU!$I699),JU!E699,"")</f>
        <v/>
      </c>
      <c r="F706" s="72">
        <f>IF($D$3=JU!F699,JU!H699,0)</f>
        <v>0</v>
      </c>
      <c r="G706" s="72">
        <f>IF($D$3=JU!I699,JU!K699,0)</f>
        <v>0</v>
      </c>
      <c r="H706" s="72">
        <f t="shared" si="11"/>
        <v>59228000</v>
      </c>
    </row>
    <row r="707" spans="2:8" hidden="1">
      <c r="B707" s="68" t="str">
        <f>IF(OR($D$3=JU!$F700,$D$3=JU!$I700),JU!B700,"")</f>
        <v/>
      </c>
      <c r="C707" s="6" t="str">
        <f>IF(OR($D$3=JU!$F700,$D$3=JU!$I700),JU!C700,"")</f>
        <v/>
      </c>
      <c r="D707" s="73" t="str">
        <f>IF(OR($D$3=JU!$F700,$D$3=JU!$I700),JU!D700,"")</f>
        <v/>
      </c>
      <c r="E707" s="74" t="str">
        <f>IF(OR($D$3=JU!$F700,$D$3=JU!$I700),JU!E700,"")</f>
        <v/>
      </c>
      <c r="F707" s="72">
        <f>IF($D$3=JU!F700,JU!H700,0)</f>
        <v>0</v>
      </c>
      <c r="G707" s="72">
        <f>IF($D$3=JU!I700,JU!K700,0)</f>
        <v>0</v>
      </c>
      <c r="H707" s="72">
        <f t="shared" si="11"/>
        <v>59228000</v>
      </c>
    </row>
    <row r="708" spans="2:8" hidden="1">
      <c r="B708" s="68" t="str">
        <f>IF(OR($D$3=JU!$F701,$D$3=JU!$I701),JU!B701,"")</f>
        <v/>
      </c>
      <c r="C708" s="6" t="str">
        <f>IF(OR($D$3=JU!$F701,$D$3=JU!$I701),JU!C701,"")</f>
        <v/>
      </c>
      <c r="D708" s="73" t="str">
        <f>IF(OR($D$3=JU!$F701,$D$3=JU!$I701),JU!D701,"")</f>
        <v/>
      </c>
      <c r="E708" s="74" t="str">
        <f>IF(OR($D$3=JU!$F701,$D$3=JU!$I701),JU!E701,"")</f>
        <v/>
      </c>
      <c r="F708" s="72">
        <f>IF($D$3=JU!F701,JU!H701,0)</f>
        <v>0</v>
      </c>
      <c r="G708" s="72">
        <f>IF($D$3=JU!I701,JU!K701,0)</f>
        <v>0</v>
      </c>
      <c r="H708" s="72">
        <f t="shared" si="11"/>
        <v>59228000</v>
      </c>
    </row>
    <row r="709" spans="2:8" hidden="1">
      <c r="B709" s="68" t="str">
        <f>IF(OR($D$3=JU!$F702,$D$3=JU!$I702),JU!B702,"")</f>
        <v/>
      </c>
      <c r="C709" s="6" t="str">
        <f>IF(OR($D$3=JU!$F702,$D$3=JU!$I702),JU!C702,"")</f>
        <v/>
      </c>
      <c r="D709" s="73" t="str">
        <f>IF(OR($D$3=JU!$F702,$D$3=JU!$I702),JU!D702,"")</f>
        <v/>
      </c>
      <c r="E709" s="74" t="str">
        <f>IF(OR($D$3=JU!$F702,$D$3=JU!$I702),JU!E702,"")</f>
        <v/>
      </c>
      <c r="F709" s="72">
        <f>IF($D$3=JU!F702,JU!H702,0)</f>
        <v>0</v>
      </c>
      <c r="G709" s="72">
        <f>IF($D$3=JU!I702,JU!K702,0)</f>
        <v>0</v>
      </c>
      <c r="H709" s="72">
        <f t="shared" si="11"/>
        <v>59228000</v>
      </c>
    </row>
    <row r="710" spans="2:8" hidden="1">
      <c r="B710" s="68" t="str">
        <f>IF(OR($D$3=JU!$F703,$D$3=JU!$I703),JU!B703,"")</f>
        <v/>
      </c>
      <c r="C710" s="6" t="str">
        <f>IF(OR($D$3=JU!$F703,$D$3=JU!$I703),JU!C703,"")</f>
        <v/>
      </c>
      <c r="D710" s="73" t="str">
        <f>IF(OR($D$3=JU!$F703,$D$3=JU!$I703),JU!D703,"")</f>
        <v/>
      </c>
      <c r="E710" s="74" t="str">
        <f>IF(OR($D$3=JU!$F703,$D$3=JU!$I703),JU!E703,"")</f>
        <v/>
      </c>
      <c r="F710" s="72">
        <f>IF($D$3=JU!F703,JU!H703,0)</f>
        <v>0</v>
      </c>
      <c r="G710" s="72">
        <f>IF($D$3=JU!I703,JU!K703,0)</f>
        <v>0</v>
      </c>
      <c r="H710" s="72">
        <f t="shared" si="11"/>
        <v>59228000</v>
      </c>
    </row>
    <row r="711" spans="2:8" hidden="1">
      <c r="B711" s="68" t="str">
        <f>IF(OR($D$3=JU!$F704,$D$3=JU!$I704),JU!B704,"")</f>
        <v/>
      </c>
      <c r="C711" s="6" t="str">
        <f>IF(OR($D$3=JU!$F704,$D$3=JU!$I704),JU!C704,"")</f>
        <v/>
      </c>
      <c r="D711" s="73" t="str">
        <f>IF(OR($D$3=JU!$F704,$D$3=JU!$I704),JU!D704,"")</f>
        <v/>
      </c>
      <c r="E711" s="74" t="str">
        <f>IF(OR($D$3=JU!$F704,$D$3=JU!$I704),JU!E704,"")</f>
        <v/>
      </c>
      <c r="F711" s="72">
        <f>IF($D$3=JU!F704,JU!H704,0)</f>
        <v>0</v>
      </c>
      <c r="G711" s="72">
        <f>IF($D$3=JU!I704,JU!K704,0)</f>
        <v>0</v>
      </c>
      <c r="H711" s="72">
        <f t="shared" si="11"/>
        <v>59228000</v>
      </c>
    </row>
    <row r="712" spans="2:8" hidden="1">
      <c r="B712" s="68" t="str">
        <f>IF(OR($D$3=JU!$F705,$D$3=JU!$I705),JU!B705,"")</f>
        <v/>
      </c>
      <c r="C712" s="6" t="str">
        <f>IF(OR($D$3=JU!$F705,$D$3=JU!$I705),JU!C705,"")</f>
        <v/>
      </c>
      <c r="D712" s="73" t="str">
        <f>IF(OR($D$3=JU!$F705,$D$3=JU!$I705),JU!D705,"")</f>
        <v/>
      </c>
      <c r="E712" s="74" t="str">
        <f>IF(OR($D$3=JU!$F705,$D$3=JU!$I705),JU!E705,"")</f>
        <v/>
      </c>
      <c r="F712" s="72">
        <f>IF($D$3=JU!F705,JU!H705,0)</f>
        <v>0</v>
      </c>
      <c r="G712" s="72">
        <f>IF($D$3=JU!I705,JU!K705,0)</f>
        <v>0</v>
      </c>
      <c r="H712" s="72">
        <f t="shared" si="11"/>
        <v>59228000</v>
      </c>
    </row>
    <row r="713" spans="2:8" hidden="1">
      <c r="B713" s="68" t="str">
        <f>IF(OR($D$3=JU!$F706,$D$3=JU!$I706),JU!B706,"")</f>
        <v/>
      </c>
      <c r="C713" s="6" t="str">
        <f>IF(OR($D$3=JU!$F706,$D$3=JU!$I706),JU!C706,"")</f>
        <v/>
      </c>
      <c r="D713" s="73" t="str">
        <f>IF(OR($D$3=JU!$F706,$D$3=JU!$I706),JU!D706,"")</f>
        <v/>
      </c>
      <c r="E713" s="74" t="str">
        <f>IF(OR($D$3=JU!$F706,$D$3=JU!$I706),JU!E706,"")</f>
        <v/>
      </c>
      <c r="F713" s="72">
        <f>IF($D$3=JU!F706,JU!H706,0)</f>
        <v>0</v>
      </c>
      <c r="G713" s="72">
        <f>IF($D$3=JU!I706,JU!K706,0)</f>
        <v>0</v>
      </c>
      <c r="H713" s="72">
        <f t="shared" si="11"/>
        <v>59228000</v>
      </c>
    </row>
    <row r="714" spans="2:8" hidden="1">
      <c r="B714" s="68" t="str">
        <f>IF(OR($D$3=JU!$F707,$D$3=JU!$I707),JU!B707,"")</f>
        <v/>
      </c>
      <c r="C714" s="6" t="str">
        <f>IF(OR($D$3=JU!$F707,$D$3=JU!$I707),JU!C707,"")</f>
        <v/>
      </c>
      <c r="D714" s="73" t="str">
        <f>IF(OR($D$3=JU!$F707,$D$3=JU!$I707),JU!D707,"")</f>
        <v/>
      </c>
      <c r="E714" s="74" t="str">
        <f>IF(OR($D$3=JU!$F707,$D$3=JU!$I707),JU!E707,"")</f>
        <v/>
      </c>
      <c r="F714" s="72">
        <f>IF($D$3=JU!F707,JU!H707,0)</f>
        <v>0</v>
      </c>
      <c r="G714" s="72">
        <f>IF($D$3=JU!I707,JU!K707,0)</f>
        <v>0</v>
      </c>
      <c r="H714" s="72">
        <f t="shared" si="11"/>
        <v>59228000</v>
      </c>
    </row>
    <row r="715" spans="2:8" hidden="1">
      <c r="B715" s="68" t="str">
        <f>IF(OR($D$3=JU!$F708,$D$3=JU!$I708),JU!B708,"")</f>
        <v/>
      </c>
      <c r="C715" s="6" t="str">
        <f>IF(OR($D$3=JU!$F708,$D$3=JU!$I708),JU!C708,"")</f>
        <v/>
      </c>
      <c r="D715" s="73" t="str">
        <f>IF(OR($D$3=JU!$F708,$D$3=JU!$I708),JU!D708,"")</f>
        <v/>
      </c>
      <c r="E715" s="74" t="str">
        <f>IF(OR($D$3=JU!$F708,$D$3=JU!$I708),JU!E708,"")</f>
        <v/>
      </c>
      <c r="F715" s="72">
        <f>IF($D$3=JU!F708,JU!H708,0)</f>
        <v>0</v>
      </c>
      <c r="G715" s="72">
        <f>IF($D$3=JU!I708,JU!K708,0)</f>
        <v>0</v>
      </c>
      <c r="H715" s="72">
        <f t="shared" si="11"/>
        <v>59228000</v>
      </c>
    </row>
    <row r="716" spans="2:8" hidden="1">
      <c r="B716" s="68" t="str">
        <f>IF(OR($D$3=JU!$F709,$D$3=JU!$I709),JU!B709,"")</f>
        <v/>
      </c>
      <c r="C716" s="6" t="str">
        <f>IF(OR($D$3=JU!$F709,$D$3=JU!$I709),JU!C709,"")</f>
        <v/>
      </c>
      <c r="D716" s="73" t="str">
        <f>IF(OR($D$3=JU!$F709,$D$3=JU!$I709),JU!D709,"")</f>
        <v/>
      </c>
      <c r="E716" s="74" t="str">
        <f>IF(OR($D$3=JU!$F709,$D$3=JU!$I709),JU!E709,"")</f>
        <v/>
      </c>
      <c r="F716" s="72">
        <f>IF($D$3=JU!F709,JU!H709,0)</f>
        <v>0</v>
      </c>
      <c r="G716" s="72">
        <f>IF($D$3=JU!I709,JU!K709,0)</f>
        <v>0</v>
      </c>
      <c r="H716" s="72">
        <f t="shared" si="11"/>
        <v>59228000</v>
      </c>
    </row>
    <row r="717" spans="2:8" hidden="1">
      <c r="B717" s="68" t="str">
        <f>IF(OR($D$3=JU!$F710,$D$3=JU!$I710),JU!B710,"")</f>
        <v/>
      </c>
      <c r="C717" s="6" t="str">
        <f>IF(OR($D$3=JU!$F710,$D$3=JU!$I710),JU!C710,"")</f>
        <v/>
      </c>
      <c r="D717" s="73" t="str">
        <f>IF(OR($D$3=JU!$F710,$D$3=JU!$I710),JU!D710,"")</f>
        <v/>
      </c>
      <c r="E717" s="74" t="str">
        <f>IF(OR($D$3=JU!$F710,$D$3=JU!$I710),JU!E710,"")</f>
        <v/>
      </c>
      <c r="F717" s="72">
        <f>IF($D$3=JU!F710,JU!H710,0)</f>
        <v>0</v>
      </c>
      <c r="G717" s="72">
        <f>IF($D$3=JU!I710,JU!K710,0)</f>
        <v>0</v>
      </c>
      <c r="H717" s="72">
        <f t="shared" si="11"/>
        <v>59228000</v>
      </c>
    </row>
    <row r="718" spans="2:8" hidden="1">
      <c r="B718" s="68" t="str">
        <f>IF(OR($D$3=JU!$F711,$D$3=JU!$I711),JU!B711,"")</f>
        <v/>
      </c>
      <c r="C718" s="6" t="str">
        <f>IF(OR($D$3=JU!$F711,$D$3=JU!$I711),JU!C711,"")</f>
        <v/>
      </c>
      <c r="D718" s="73" t="str">
        <f>IF(OR($D$3=JU!$F711,$D$3=JU!$I711),JU!D711,"")</f>
        <v/>
      </c>
      <c r="E718" s="74" t="str">
        <f>IF(OR($D$3=JU!$F711,$D$3=JU!$I711),JU!E711,"")</f>
        <v/>
      </c>
      <c r="F718" s="72">
        <f>IF($D$3=JU!F711,JU!H711,0)</f>
        <v>0</v>
      </c>
      <c r="G718" s="72">
        <f>IF($D$3=JU!I711,JU!K711,0)</f>
        <v>0</v>
      </c>
      <c r="H718" s="72">
        <f t="shared" ref="H718:H781" si="12">IF($H$7="DEBET",H717+F718-G718,H717+G718-F718)</f>
        <v>59228000</v>
      </c>
    </row>
    <row r="719" spans="2:8" hidden="1">
      <c r="B719" s="68" t="str">
        <f>IF(OR($D$3=JU!$F712,$D$3=JU!$I712),JU!B712,"")</f>
        <v/>
      </c>
      <c r="C719" s="6" t="str">
        <f>IF(OR($D$3=JU!$F712,$D$3=JU!$I712),JU!C712,"")</f>
        <v/>
      </c>
      <c r="D719" s="73" t="str">
        <f>IF(OR($D$3=JU!$F712,$D$3=JU!$I712),JU!D712,"")</f>
        <v/>
      </c>
      <c r="E719" s="74" t="str">
        <f>IF(OR($D$3=JU!$F712,$D$3=JU!$I712),JU!E712,"")</f>
        <v/>
      </c>
      <c r="F719" s="72">
        <f>IF($D$3=JU!F712,JU!H712,0)</f>
        <v>0</v>
      </c>
      <c r="G719" s="72">
        <f>IF($D$3=JU!I712,JU!K712,0)</f>
        <v>0</v>
      </c>
      <c r="H719" s="72">
        <f t="shared" si="12"/>
        <v>59228000</v>
      </c>
    </row>
    <row r="720" spans="2:8" hidden="1">
      <c r="B720" s="68" t="str">
        <f>IF(OR($D$3=JU!$F713,$D$3=JU!$I713),JU!B713,"")</f>
        <v/>
      </c>
      <c r="C720" s="6" t="str">
        <f>IF(OR($D$3=JU!$F713,$D$3=JU!$I713),JU!C713,"")</f>
        <v/>
      </c>
      <c r="D720" s="73" t="str">
        <f>IF(OR($D$3=JU!$F713,$D$3=JU!$I713),JU!D713,"")</f>
        <v/>
      </c>
      <c r="E720" s="74" t="str">
        <f>IF(OR($D$3=JU!$F713,$D$3=JU!$I713),JU!E713,"")</f>
        <v/>
      </c>
      <c r="F720" s="72">
        <f>IF($D$3=JU!F713,JU!H713,0)</f>
        <v>0</v>
      </c>
      <c r="G720" s="72">
        <f>IF($D$3=JU!I713,JU!K713,0)</f>
        <v>0</v>
      </c>
      <c r="H720" s="72">
        <f t="shared" si="12"/>
        <v>59228000</v>
      </c>
    </row>
    <row r="721" spans="2:8" hidden="1">
      <c r="B721" s="68" t="str">
        <f>IF(OR($D$3=JU!$F714,$D$3=JU!$I714),JU!B714,"")</f>
        <v/>
      </c>
      <c r="C721" s="6" t="str">
        <f>IF(OR($D$3=JU!$F714,$D$3=JU!$I714),JU!C714,"")</f>
        <v/>
      </c>
      <c r="D721" s="73" t="str">
        <f>IF(OR($D$3=JU!$F714,$D$3=JU!$I714),JU!D714,"")</f>
        <v/>
      </c>
      <c r="E721" s="74" t="str">
        <f>IF(OR($D$3=JU!$F714,$D$3=JU!$I714),JU!E714,"")</f>
        <v/>
      </c>
      <c r="F721" s="72">
        <f>IF($D$3=JU!F714,JU!H714,0)</f>
        <v>0</v>
      </c>
      <c r="G721" s="72">
        <f>IF($D$3=JU!I714,JU!K714,0)</f>
        <v>0</v>
      </c>
      <c r="H721" s="72">
        <f t="shared" si="12"/>
        <v>59228000</v>
      </c>
    </row>
    <row r="722" spans="2:8" hidden="1">
      <c r="B722" s="68" t="str">
        <f>IF(OR($D$3=JU!$F715,$D$3=JU!$I715),JU!B715,"")</f>
        <v/>
      </c>
      <c r="C722" s="6" t="str">
        <f>IF(OR($D$3=JU!$F715,$D$3=JU!$I715),JU!C715,"")</f>
        <v/>
      </c>
      <c r="D722" s="73" t="str">
        <f>IF(OR($D$3=JU!$F715,$D$3=JU!$I715),JU!D715,"")</f>
        <v/>
      </c>
      <c r="E722" s="74" t="str">
        <f>IF(OR($D$3=JU!$F715,$D$3=JU!$I715),JU!E715,"")</f>
        <v/>
      </c>
      <c r="F722" s="72">
        <f>IF($D$3=JU!F715,JU!H715,0)</f>
        <v>0</v>
      </c>
      <c r="G722" s="72">
        <f>IF($D$3=JU!I715,JU!K715,0)</f>
        <v>0</v>
      </c>
      <c r="H722" s="72">
        <f t="shared" si="12"/>
        <v>59228000</v>
      </c>
    </row>
    <row r="723" spans="2:8" hidden="1">
      <c r="B723" s="68" t="str">
        <f>IF(OR($D$3=JU!$F716,$D$3=JU!$I716),JU!B716,"")</f>
        <v/>
      </c>
      <c r="C723" s="6" t="str">
        <f>IF(OR($D$3=JU!$F716,$D$3=JU!$I716),JU!C716,"")</f>
        <v/>
      </c>
      <c r="D723" s="73" t="str">
        <f>IF(OR($D$3=JU!$F716,$D$3=JU!$I716),JU!D716,"")</f>
        <v/>
      </c>
      <c r="E723" s="74" t="str">
        <f>IF(OR($D$3=JU!$F716,$D$3=JU!$I716),JU!E716,"")</f>
        <v/>
      </c>
      <c r="F723" s="72">
        <f>IF($D$3=JU!F716,JU!H716,0)</f>
        <v>0</v>
      </c>
      <c r="G723" s="72">
        <f>IF($D$3=JU!I716,JU!K716,0)</f>
        <v>0</v>
      </c>
      <c r="H723" s="72">
        <f t="shared" si="12"/>
        <v>59228000</v>
      </c>
    </row>
    <row r="724" spans="2:8" hidden="1">
      <c r="B724" s="68" t="str">
        <f>IF(OR($D$3=JU!$F717,$D$3=JU!$I717),JU!B717,"")</f>
        <v/>
      </c>
      <c r="C724" s="6" t="str">
        <f>IF(OR($D$3=JU!$F717,$D$3=JU!$I717),JU!C717,"")</f>
        <v/>
      </c>
      <c r="D724" s="73" t="str">
        <f>IF(OR($D$3=JU!$F717,$D$3=JU!$I717),JU!D717,"")</f>
        <v/>
      </c>
      <c r="E724" s="74" t="str">
        <f>IF(OR($D$3=JU!$F717,$D$3=JU!$I717),JU!E717,"")</f>
        <v/>
      </c>
      <c r="F724" s="72">
        <f>IF($D$3=JU!F717,JU!H717,0)</f>
        <v>0</v>
      </c>
      <c r="G724" s="72">
        <f>IF($D$3=JU!I717,JU!K717,0)</f>
        <v>0</v>
      </c>
      <c r="H724" s="72">
        <f t="shared" si="12"/>
        <v>59228000</v>
      </c>
    </row>
    <row r="725" spans="2:8" hidden="1">
      <c r="B725" s="68" t="str">
        <f>IF(OR($D$3=JU!$F718,$D$3=JU!$I718),JU!B718,"")</f>
        <v/>
      </c>
      <c r="C725" s="6" t="str">
        <f>IF(OR($D$3=JU!$F718,$D$3=JU!$I718),JU!C718,"")</f>
        <v/>
      </c>
      <c r="D725" s="73" t="str">
        <f>IF(OR($D$3=JU!$F718,$D$3=JU!$I718),JU!D718,"")</f>
        <v/>
      </c>
      <c r="E725" s="74" t="str">
        <f>IF(OR($D$3=JU!$F718,$D$3=JU!$I718),JU!E718,"")</f>
        <v/>
      </c>
      <c r="F725" s="72">
        <f>IF($D$3=JU!F718,JU!H718,0)</f>
        <v>0</v>
      </c>
      <c r="G725" s="72">
        <f>IF($D$3=JU!I718,JU!K718,0)</f>
        <v>0</v>
      </c>
      <c r="H725" s="72">
        <f t="shared" si="12"/>
        <v>59228000</v>
      </c>
    </row>
    <row r="726" spans="2:8" hidden="1">
      <c r="B726" s="68" t="str">
        <f>IF(OR($D$3=JU!$F719,$D$3=JU!$I719),JU!B719,"")</f>
        <v/>
      </c>
      <c r="C726" s="6" t="str">
        <f>IF(OR($D$3=JU!$F719,$D$3=JU!$I719),JU!C719,"")</f>
        <v/>
      </c>
      <c r="D726" s="73" t="str">
        <f>IF(OR($D$3=JU!$F719,$D$3=JU!$I719),JU!D719,"")</f>
        <v/>
      </c>
      <c r="E726" s="74" t="str">
        <f>IF(OR($D$3=JU!$F719,$D$3=JU!$I719),JU!E719,"")</f>
        <v/>
      </c>
      <c r="F726" s="72">
        <f>IF($D$3=JU!F719,JU!H719,0)</f>
        <v>0</v>
      </c>
      <c r="G726" s="72">
        <f>IF($D$3=JU!I719,JU!K719,0)</f>
        <v>0</v>
      </c>
      <c r="H726" s="72">
        <f t="shared" si="12"/>
        <v>59228000</v>
      </c>
    </row>
    <row r="727" spans="2:8" hidden="1">
      <c r="B727" s="68" t="str">
        <f>IF(OR($D$3=JU!$F720,$D$3=JU!$I720),JU!B720,"")</f>
        <v/>
      </c>
      <c r="C727" s="6" t="str">
        <f>IF(OR($D$3=JU!$F720,$D$3=JU!$I720),JU!C720,"")</f>
        <v/>
      </c>
      <c r="D727" s="73" t="str">
        <f>IF(OR($D$3=JU!$F720,$D$3=JU!$I720),JU!D720,"")</f>
        <v/>
      </c>
      <c r="E727" s="74" t="str">
        <f>IF(OR($D$3=JU!$F720,$D$3=JU!$I720),JU!E720,"")</f>
        <v/>
      </c>
      <c r="F727" s="72">
        <f>IF($D$3=JU!F720,JU!H720,0)</f>
        <v>0</v>
      </c>
      <c r="G727" s="72">
        <f>IF($D$3=JU!I720,JU!K720,0)</f>
        <v>0</v>
      </c>
      <c r="H727" s="72">
        <f t="shared" si="12"/>
        <v>59228000</v>
      </c>
    </row>
    <row r="728" spans="2:8" hidden="1">
      <c r="B728" s="68" t="str">
        <f>IF(OR($D$3=JU!$F721,$D$3=JU!$I721),JU!B721,"")</f>
        <v/>
      </c>
      <c r="C728" s="6" t="str">
        <f>IF(OR($D$3=JU!$F721,$D$3=JU!$I721),JU!C721,"")</f>
        <v/>
      </c>
      <c r="D728" s="73" t="str">
        <f>IF(OR($D$3=JU!$F721,$D$3=JU!$I721),JU!D721,"")</f>
        <v/>
      </c>
      <c r="E728" s="74" t="str">
        <f>IF(OR($D$3=JU!$F721,$D$3=JU!$I721),JU!E721,"")</f>
        <v/>
      </c>
      <c r="F728" s="72">
        <f>IF($D$3=JU!F721,JU!H721,0)</f>
        <v>0</v>
      </c>
      <c r="G728" s="72">
        <f>IF($D$3=JU!I721,JU!K721,0)</f>
        <v>0</v>
      </c>
      <c r="H728" s="72">
        <f t="shared" si="12"/>
        <v>59228000</v>
      </c>
    </row>
    <row r="729" spans="2:8" hidden="1">
      <c r="B729" s="68" t="str">
        <f>IF(OR($D$3=JU!$F722,$D$3=JU!$I722),JU!B722,"")</f>
        <v/>
      </c>
      <c r="C729" s="6" t="str">
        <f>IF(OR($D$3=JU!$F722,$D$3=JU!$I722),JU!C722,"")</f>
        <v/>
      </c>
      <c r="D729" s="73" t="str">
        <f>IF(OR($D$3=JU!$F722,$D$3=JU!$I722),JU!D722,"")</f>
        <v/>
      </c>
      <c r="E729" s="74" t="str">
        <f>IF(OR($D$3=JU!$F722,$D$3=JU!$I722),JU!E722,"")</f>
        <v/>
      </c>
      <c r="F729" s="72">
        <f>IF($D$3=JU!F722,JU!H722,0)</f>
        <v>0</v>
      </c>
      <c r="G729" s="72">
        <f>IF($D$3=JU!I722,JU!K722,0)</f>
        <v>0</v>
      </c>
      <c r="H729" s="72">
        <f t="shared" si="12"/>
        <v>59228000</v>
      </c>
    </row>
    <row r="730" spans="2:8" hidden="1">
      <c r="B730" s="68" t="str">
        <f>IF(OR($D$3=JU!$F723,$D$3=JU!$I723),JU!B723,"")</f>
        <v/>
      </c>
      <c r="C730" s="6" t="str">
        <f>IF(OR($D$3=JU!$F723,$D$3=JU!$I723),JU!C723,"")</f>
        <v/>
      </c>
      <c r="D730" s="73" t="str">
        <f>IF(OR($D$3=JU!$F723,$D$3=JU!$I723),JU!D723,"")</f>
        <v/>
      </c>
      <c r="E730" s="74" t="str">
        <f>IF(OR($D$3=JU!$F723,$D$3=JU!$I723),JU!E723,"")</f>
        <v/>
      </c>
      <c r="F730" s="72">
        <f>IF($D$3=JU!F723,JU!H723,0)</f>
        <v>0</v>
      </c>
      <c r="G730" s="72">
        <f>IF($D$3=JU!I723,JU!K723,0)</f>
        <v>0</v>
      </c>
      <c r="H730" s="72">
        <f t="shared" si="12"/>
        <v>59228000</v>
      </c>
    </row>
    <row r="731" spans="2:8" hidden="1">
      <c r="B731" s="68" t="str">
        <f>IF(OR($D$3=JU!$F724,$D$3=JU!$I724),JU!B724,"")</f>
        <v/>
      </c>
      <c r="C731" s="6" t="str">
        <f>IF(OR($D$3=JU!$F724,$D$3=JU!$I724),JU!C724,"")</f>
        <v/>
      </c>
      <c r="D731" s="73" t="str">
        <f>IF(OR($D$3=JU!$F724,$D$3=JU!$I724),JU!D724,"")</f>
        <v/>
      </c>
      <c r="E731" s="74" t="str">
        <f>IF(OR($D$3=JU!$F724,$D$3=JU!$I724),JU!E724,"")</f>
        <v/>
      </c>
      <c r="F731" s="72">
        <f>IF($D$3=JU!F724,JU!H724,0)</f>
        <v>0</v>
      </c>
      <c r="G731" s="72">
        <f>IF($D$3=JU!I724,JU!K724,0)</f>
        <v>0</v>
      </c>
      <c r="H731" s="72">
        <f t="shared" si="12"/>
        <v>59228000</v>
      </c>
    </row>
    <row r="732" spans="2:8" hidden="1">
      <c r="B732" s="68" t="str">
        <f>IF(OR($D$3=JU!$F725,$D$3=JU!$I725),JU!B725,"")</f>
        <v/>
      </c>
      <c r="C732" s="6" t="str">
        <f>IF(OR($D$3=JU!$F725,$D$3=JU!$I725),JU!C725,"")</f>
        <v/>
      </c>
      <c r="D732" s="73" t="str">
        <f>IF(OR($D$3=JU!$F725,$D$3=JU!$I725),JU!D725,"")</f>
        <v/>
      </c>
      <c r="E732" s="74" t="str">
        <f>IF(OR($D$3=JU!$F725,$D$3=JU!$I725),JU!E725,"")</f>
        <v/>
      </c>
      <c r="F732" s="72">
        <f>IF($D$3=JU!F725,JU!H725,0)</f>
        <v>0</v>
      </c>
      <c r="G732" s="72">
        <f>IF($D$3=JU!I725,JU!K725,0)</f>
        <v>0</v>
      </c>
      <c r="H732" s="72">
        <f t="shared" si="12"/>
        <v>59228000</v>
      </c>
    </row>
    <row r="733" spans="2:8" hidden="1">
      <c r="B733" s="68" t="str">
        <f>IF(OR($D$3=JU!$F726,$D$3=JU!$I726),JU!B726,"")</f>
        <v/>
      </c>
      <c r="C733" s="6" t="str">
        <f>IF(OR($D$3=JU!$F726,$D$3=JU!$I726),JU!C726,"")</f>
        <v/>
      </c>
      <c r="D733" s="73" t="str">
        <f>IF(OR($D$3=JU!$F726,$D$3=JU!$I726),JU!D726,"")</f>
        <v/>
      </c>
      <c r="E733" s="74" t="str">
        <f>IF(OR($D$3=JU!$F726,$D$3=JU!$I726),JU!E726,"")</f>
        <v/>
      </c>
      <c r="F733" s="72">
        <f>IF($D$3=JU!F726,JU!H726,0)</f>
        <v>0</v>
      </c>
      <c r="G733" s="72">
        <f>IF($D$3=JU!I726,JU!K726,0)</f>
        <v>0</v>
      </c>
      <c r="H733" s="72">
        <f t="shared" si="12"/>
        <v>59228000</v>
      </c>
    </row>
    <row r="734" spans="2:8" hidden="1">
      <c r="B734" s="68" t="str">
        <f>IF(OR($D$3=JU!$F727,$D$3=JU!$I727),JU!B727,"")</f>
        <v/>
      </c>
      <c r="C734" s="6" t="str">
        <f>IF(OR($D$3=JU!$F727,$D$3=JU!$I727),JU!C727,"")</f>
        <v/>
      </c>
      <c r="D734" s="73" t="str">
        <f>IF(OR($D$3=JU!$F727,$D$3=JU!$I727),JU!D727,"")</f>
        <v/>
      </c>
      <c r="E734" s="74" t="str">
        <f>IF(OR($D$3=JU!$F727,$D$3=JU!$I727),JU!E727,"")</f>
        <v/>
      </c>
      <c r="F734" s="72">
        <f>IF($D$3=JU!F727,JU!H727,0)</f>
        <v>0</v>
      </c>
      <c r="G734" s="72">
        <f>IF($D$3=JU!I727,JU!K727,0)</f>
        <v>0</v>
      </c>
      <c r="H734" s="72">
        <f t="shared" si="12"/>
        <v>59228000</v>
      </c>
    </row>
    <row r="735" spans="2:8" hidden="1">
      <c r="B735" s="68" t="str">
        <f>IF(OR($D$3=JU!$F728,$D$3=JU!$I728),JU!B728,"")</f>
        <v/>
      </c>
      <c r="C735" s="6" t="str">
        <f>IF(OR($D$3=JU!$F728,$D$3=JU!$I728),JU!C728,"")</f>
        <v/>
      </c>
      <c r="D735" s="73" t="str">
        <f>IF(OR($D$3=JU!$F728,$D$3=JU!$I728),JU!D728,"")</f>
        <v/>
      </c>
      <c r="E735" s="74" t="str">
        <f>IF(OR($D$3=JU!$F728,$D$3=JU!$I728),JU!E728,"")</f>
        <v/>
      </c>
      <c r="F735" s="72">
        <f>IF($D$3=JU!F728,JU!H728,0)</f>
        <v>0</v>
      </c>
      <c r="G735" s="72">
        <f>IF($D$3=JU!I728,JU!K728,0)</f>
        <v>0</v>
      </c>
      <c r="H735" s="72">
        <f t="shared" si="12"/>
        <v>59228000</v>
      </c>
    </row>
    <row r="736" spans="2:8" hidden="1">
      <c r="B736" s="68" t="str">
        <f>IF(OR($D$3=JU!$F729,$D$3=JU!$I729),JU!B729,"")</f>
        <v/>
      </c>
      <c r="C736" s="6" t="str">
        <f>IF(OR($D$3=JU!$F729,$D$3=JU!$I729),JU!C729,"")</f>
        <v/>
      </c>
      <c r="D736" s="73" t="str">
        <f>IF(OR($D$3=JU!$F729,$D$3=JU!$I729),JU!D729,"")</f>
        <v/>
      </c>
      <c r="E736" s="74" t="str">
        <f>IF(OR($D$3=JU!$F729,$D$3=JU!$I729),JU!E729,"")</f>
        <v/>
      </c>
      <c r="F736" s="72">
        <f>IF($D$3=JU!F729,JU!H729,0)</f>
        <v>0</v>
      </c>
      <c r="G736" s="72">
        <f>IF($D$3=JU!I729,JU!K729,0)</f>
        <v>0</v>
      </c>
      <c r="H736" s="72">
        <f t="shared" si="12"/>
        <v>59228000</v>
      </c>
    </row>
    <row r="737" spans="2:8" hidden="1">
      <c r="B737" s="68" t="str">
        <f>IF(OR($D$3=JU!$F730,$D$3=JU!$I730),JU!B730,"")</f>
        <v/>
      </c>
      <c r="C737" s="6" t="str">
        <f>IF(OR($D$3=JU!$F730,$D$3=JU!$I730),JU!C730,"")</f>
        <v/>
      </c>
      <c r="D737" s="73" t="str">
        <f>IF(OR($D$3=JU!$F730,$D$3=JU!$I730),JU!D730,"")</f>
        <v/>
      </c>
      <c r="E737" s="74" t="str">
        <f>IF(OR($D$3=JU!$F730,$D$3=JU!$I730),JU!E730,"")</f>
        <v/>
      </c>
      <c r="F737" s="72">
        <f>IF($D$3=JU!F730,JU!H730,0)</f>
        <v>0</v>
      </c>
      <c r="G737" s="72">
        <f>IF($D$3=JU!I730,JU!K730,0)</f>
        <v>0</v>
      </c>
      <c r="H737" s="72">
        <f t="shared" si="12"/>
        <v>59228000</v>
      </c>
    </row>
    <row r="738" spans="2:8" hidden="1">
      <c r="B738" s="68" t="str">
        <f>IF(OR($D$3=JU!$F731,$D$3=JU!$I731),JU!B731,"")</f>
        <v/>
      </c>
      <c r="C738" s="6" t="str">
        <f>IF(OR($D$3=JU!$F731,$D$3=JU!$I731),JU!C731,"")</f>
        <v/>
      </c>
      <c r="D738" s="73" t="str">
        <f>IF(OR($D$3=JU!$F731,$D$3=JU!$I731),JU!D731,"")</f>
        <v/>
      </c>
      <c r="E738" s="74" t="str">
        <f>IF(OR($D$3=JU!$F731,$D$3=JU!$I731),JU!E731,"")</f>
        <v/>
      </c>
      <c r="F738" s="72">
        <f>IF($D$3=JU!F731,JU!H731,0)</f>
        <v>0</v>
      </c>
      <c r="G738" s="72">
        <f>IF($D$3=JU!I731,JU!K731,0)</f>
        <v>0</v>
      </c>
      <c r="H738" s="72">
        <f t="shared" si="12"/>
        <v>59228000</v>
      </c>
    </row>
    <row r="739" spans="2:8" hidden="1">
      <c r="B739" s="68" t="str">
        <f>IF(OR($D$3=JU!$F732,$D$3=JU!$I732),JU!B732,"")</f>
        <v/>
      </c>
      <c r="C739" s="6" t="str">
        <f>IF(OR($D$3=JU!$F732,$D$3=JU!$I732),JU!C732,"")</f>
        <v/>
      </c>
      <c r="D739" s="73" t="str">
        <f>IF(OR($D$3=JU!$F732,$D$3=JU!$I732),JU!D732,"")</f>
        <v/>
      </c>
      <c r="E739" s="74" t="str">
        <f>IF(OR($D$3=JU!$F732,$D$3=JU!$I732),JU!E732,"")</f>
        <v/>
      </c>
      <c r="F739" s="72">
        <f>IF($D$3=JU!F732,JU!H732,0)</f>
        <v>0</v>
      </c>
      <c r="G739" s="72">
        <f>IF($D$3=JU!I732,JU!K732,0)</f>
        <v>0</v>
      </c>
      <c r="H739" s="72">
        <f t="shared" si="12"/>
        <v>59228000</v>
      </c>
    </row>
    <row r="740" spans="2:8" hidden="1">
      <c r="B740" s="68" t="str">
        <f>IF(OR($D$3=JU!$F733,$D$3=JU!$I733),JU!B733,"")</f>
        <v/>
      </c>
      <c r="C740" s="6" t="str">
        <f>IF(OR($D$3=JU!$F733,$D$3=JU!$I733),JU!C733,"")</f>
        <v/>
      </c>
      <c r="D740" s="73" t="str">
        <f>IF(OR($D$3=JU!$F733,$D$3=JU!$I733),JU!D733,"")</f>
        <v/>
      </c>
      <c r="E740" s="74" t="str">
        <f>IF(OR($D$3=JU!$F733,$D$3=JU!$I733),JU!E733,"")</f>
        <v/>
      </c>
      <c r="F740" s="72">
        <f>IF($D$3=JU!F733,JU!H733,0)</f>
        <v>0</v>
      </c>
      <c r="G740" s="72">
        <f>IF($D$3=JU!I733,JU!K733,0)</f>
        <v>0</v>
      </c>
      <c r="H740" s="72">
        <f t="shared" si="12"/>
        <v>59228000</v>
      </c>
    </row>
    <row r="741" spans="2:8" hidden="1">
      <c r="B741" s="68" t="str">
        <f>IF(OR($D$3=JU!$F734,$D$3=JU!$I734),JU!B734,"")</f>
        <v/>
      </c>
      <c r="C741" s="6" t="str">
        <f>IF(OR($D$3=JU!$F734,$D$3=JU!$I734),JU!C734,"")</f>
        <v/>
      </c>
      <c r="D741" s="73" t="str">
        <f>IF(OR($D$3=JU!$F734,$D$3=JU!$I734),JU!D734,"")</f>
        <v/>
      </c>
      <c r="E741" s="74" t="str">
        <f>IF(OR($D$3=JU!$F734,$D$3=JU!$I734),JU!E734,"")</f>
        <v/>
      </c>
      <c r="F741" s="72">
        <f>IF($D$3=JU!F734,JU!H734,0)</f>
        <v>0</v>
      </c>
      <c r="G741" s="72">
        <f>IF($D$3=JU!I734,JU!K734,0)</f>
        <v>0</v>
      </c>
      <c r="H741" s="72">
        <f t="shared" si="12"/>
        <v>59228000</v>
      </c>
    </row>
    <row r="742" spans="2:8" hidden="1">
      <c r="B742" s="68" t="str">
        <f>IF(OR($D$3=JU!$F735,$D$3=JU!$I735),JU!B735,"")</f>
        <v/>
      </c>
      <c r="C742" s="6" t="str">
        <f>IF(OR($D$3=JU!$F735,$D$3=JU!$I735),JU!C735,"")</f>
        <v/>
      </c>
      <c r="D742" s="73" t="str">
        <f>IF(OR($D$3=JU!$F735,$D$3=JU!$I735),JU!D735,"")</f>
        <v/>
      </c>
      <c r="E742" s="74" t="str">
        <f>IF(OR($D$3=JU!$F735,$D$3=JU!$I735),JU!E735,"")</f>
        <v/>
      </c>
      <c r="F742" s="72">
        <f>IF($D$3=JU!F735,JU!H735,0)</f>
        <v>0</v>
      </c>
      <c r="G742" s="72">
        <f>IF($D$3=JU!I735,JU!K735,0)</f>
        <v>0</v>
      </c>
      <c r="H742" s="72">
        <f t="shared" si="12"/>
        <v>59228000</v>
      </c>
    </row>
    <row r="743" spans="2:8" hidden="1">
      <c r="B743" s="68" t="str">
        <f>IF(OR($D$3=JU!$F736,$D$3=JU!$I736),JU!B736,"")</f>
        <v/>
      </c>
      <c r="C743" s="6" t="str">
        <f>IF(OR($D$3=JU!$F736,$D$3=JU!$I736),JU!C736,"")</f>
        <v/>
      </c>
      <c r="D743" s="73" t="str">
        <f>IF(OR($D$3=JU!$F736,$D$3=JU!$I736),JU!D736,"")</f>
        <v/>
      </c>
      <c r="E743" s="74" t="str">
        <f>IF(OR($D$3=JU!$F736,$D$3=JU!$I736),JU!E736,"")</f>
        <v/>
      </c>
      <c r="F743" s="72">
        <f>IF($D$3=JU!F736,JU!H736,0)</f>
        <v>0</v>
      </c>
      <c r="G743" s="72">
        <f>IF($D$3=JU!I736,JU!K736,0)</f>
        <v>0</v>
      </c>
      <c r="H743" s="72">
        <f t="shared" si="12"/>
        <v>59228000</v>
      </c>
    </row>
    <row r="744" spans="2:8">
      <c r="B744" s="68">
        <f>IF(OR($D$3=JU!$F737,$D$3=JU!$I737),JU!B737,"")</f>
        <v>46118</v>
      </c>
      <c r="C744" s="6" t="str">
        <f>IF(OR($D$3=JU!$F737,$D$3=JU!$I737),JU!C737,"")</f>
        <v>PENDAFTARAN PENGURUSAN TANAH CAMBA LOJONG</v>
      </c>
      <c r="D744" s="73" t="str">
        <f>IF(OR($D$3=JU!$F737,$D$3=JU!$I737),JU!D737,"")</f>
        <v>By. Biaya PENDAFTARAN PENGURUSAN TANAH CAMBA LOJONG</v>
      </c>
      <c r="E744" s="74">
        <f>IF(OR($D$3=JU!$F737,$D$3=JU!$I737),JU!E737,"")</f>
        <v>0</v>
      </c>
      <c r="F744" s="72">
        <f>IF($D$3=JU!F737,JU!H737,0)</f>
        <v>50000</v>
      </c>
      <c r="G744" s="72">
        <f>IF($D$3=JU!I737,JU!K737,0)</f>
        <v>0</v>
      </c>
      <c r="H744" s="72">
        <f t="shared" si="12"/>
        <v>59278000</v>
      </c>
    </row>
    <row r="745" spans="2:8" hidden="1">
      <c r="B745" s="68" t="str">
        <f>IF(OR($D$3=JU!$F738,$D$3=JU!$I738),JU!B738,"")</f>
        <v/>
      </c>
      <c r="C745" s="6" t="str">
        <f>IF(OR($D$3=JU!$F738,$D$3=JU!$I738),JU!C738,"")</f>
        <v/>
      </c>
      <c r="D745" s="73" t="str">
        <f>IF(OR($D$3=JU!$F738,$D$3=JU!$I738),JU!D738,"")</f>
        <v/>
      </c>
      <c r="E745" s="74" t="str">
        <f>IF(OR($D$3=JU!$F738,$D$3=JU!$I738),JU!E738,"")</f>
        <v/>
      </c>
      <c r="F745" s="72">
        <f>IF($D$3=JU!F738,JU!H738,0)</f>
        <v>0</v>
      </c>
      <c r="G745" s="72">
        <f>IF($D$3=JU!I738,JU!K738,0)</f>
        <v>0</v>
      </c>
      <c r="H745" s="72">
        <f t="shared" si="12"/>
        <v>59278000</v>
      </c>
    </row>
    <row r="746" spans="2:8" hidden="1">
      <c r="B746" s="68" t="str">
        <f>IF(OR($D$3=JU!$F739,$D$3=JU!$I739),JU!B739,"")</f>
        <v/>
      </c>
      <c r="C746" s="6" t="str">
        <f>IF(OR($D$3=JU!$F739,$D$3=JU!$I739),JU!C739,"")</f>
        <v/>
      </c>
      <c r="D746" s="73" t="str">
        <f>IF(OR($D$3=JU!$F739,$D$3=JU!$I739),JU!D739,"")</f>
        <v/>
      </c>
      <c r="E746" s="74" t="str">
        <f>IF(OR($D$3=JU!$F739,$D$3=JU!$I739),JU!E739,"")</f>
        <v/>
      </c>
      <c r="F746" s="72">
        <f>IF($D$3=JU!F739,JU!H739,0)</f>
        <v>0</v>
      </c>
      <c r="G746" s="72">
        <f>IF($D$3=JU!I739,JU!K739,0)</f>
        <v>0</v>
      </c>
      <c r="H746" s="72">
        <f t="shared" si="12"/>
        <v>59278000</v>
      </c>
    </row>
    <row r="747" spans="2:8" hidden="1">
      <c r="B747" s="68" t="str">
        <f>IF(OR($D$3=JU!$F740,$D$3=JU!$I740),JU!B740,"")</f>
        <v/>
      </c>
      <c r="C747" s="6" t="str">
        <f>IF(OR($D$3=JU!$F740,$D$3=JU!$I740),JU!C740,"")</f>
        <v/>
      </c>
      <c r="D747" s="73" t="str">
        <f>IF(OR($D$3=JU!$F740,$D$3=JU!$I740),JU!D740,"")</f>
        <v/>
      </c>
      <c r="E747" s="74" t="str">
        <f>IF(OR($D$3=JU!$F740,$D$3=JU!$I740),JU!E740,"")</f>
        <v/>
      </c>
      <c r="F747" s="72">
        <f>IF($D$3=JU!F740,JU!H740,0)</f>
        <v>0</v>
      </c>
      <c r="G747" s="72">
        <f>IF($D$3=JU!I740,JU!K740,0)</f>
        <v>0</v>
      </c>
      <c r="H747" s="72">
        <f t="shared" si="12"/>
        <v>59278000</v>
      </c>
    </row>
    <row r="748" spans="2:8" hidden="1">
      <c r="B748" s="68" t="str">
        <f>IF(OR($D$3=JU!$F741,$D$3=JU!$I741),JU!B741,"")</f>
        <v/>
      </c>
      <c r="C748" s="6" t="str">
        <f>IF(OR($D$3=JU!$F741,$D$3=JU!$I741),JU!C741,"")</f>
        <v/>
      </c>
      <c r="D748" s="73" t="str">
        <f>IF(OR($D$3=JU!$F741,$D$3=JU!$I741),JU!D741,"")</f>
        <v/>
      </c>
      <c r="E748" s="74" t="str">
        <f>IF(OR($D$3=JU!$F741,$D$3=JU!$I741),JU!E741,"")</f>
        <v/>
      </c>
      <c r="F748" s="72">
        <f>IF($D$3=JU!F741,JU!H741,0)</f>
        <v>0</v>
      </c>
      <c r="G748" s="72">
        <f>IF($D$3=JU!I741,JU!K741,0)</f>
        <v>0</v>
      </c>
      <c r="H748" s="72">
        <f t="shared" si="12"/>
        <v>59278000</v>
      </c>
    </row>
    <row r="749" spans="2:8" hidden="1">
      <c r="B749" s="68" t="str">
        <f>IF(OR($D$3=JU!$F742,$D$3=JU!$I742),JU!B742,"")</f>
        <v/>
      </c>
      <c r="C749" s="6" t="str">
        <f>IF(OR($D$3=JU!$F742,$D$3=JU!$I742),JU!C742,"")</f>
        <v/>
      </c>
      <c r="D749" s="73" t="str">
        <f>IF(OR($D$3=JU!$F742,$D$3=JU!$I742),JU!D742,"")</f>
        <v/>
      </c>
      <c r="E749" s="74" t="str">
        <f>IF(OR($D$3=JU!$F742,$D$3=JU!$I742),JU!E742,"")</f>
        <v/>
      </c>
      <c r="F749" s="72">
        <f>IF($D$3=JU!F742,JU!H742,0)</f>
        <v>0</v>
      </c>
      <c r="G749" s="72">
        <f>IF($D$3=JU!I742,JU!K742,0)</f>
        <v>0</v>
      </c>
      <c r="H749" s="72">
        <f t="shared" si="12"/>
        <v>59278000</v>
      </c>
    </row>
    <row r="750" spans="2:8">
      <c r="B750" s="68">
        <f>IF(OR($D$3=JU!$F743,$D$3=JU!$I743),JU!B743,"")</f>
        <v>46119</v>
      </c>
      <c r="C750" s="6" t="str">
        <f>IF(OR($D$3=JU!$F743,$D$3=JU!$I743),JU!C743,"")</f>
        <v>PEMBAYARAN BIAYA NOTARIS E30 NURLIA TAHAP 3</v>
      </c>
      <c r="D750" s="73" t="str">
        <f>IF(OR($D$3=JU!$F743,$D$3=JU!$I743),JU!D743,"")</f>
        <v>By. Biaya PEMBAYARAN BIAYA NOTARIS E30 NURLIA TAHAP 3</v>
      </c>
      <c r="E750" s="74">
        <f>IF(OR($D$3=JU!$F743,$D$3=JU!$I743),JU!E743,"")</f>
        <v>0</v>
      </c>
      <c r="F750" s="72">
        <f>IF($D$3=JU!F743,JU!H743,0)</f>
        <v>4000000</v>
      </c>
      <c r="G750" s="72">
        <f>IF($D$3=JU!I743,JU!K743,0)</f>
        <v>0</v>
      </c>
      <c r="H750" s="72">
        <f t="shared" si="12"/>
        <v>63278000</v>
      </c>
    </row>
    <row r="751" spans="2:8" hidden="1">
      <c r="B751" s="68" t="str">
        <f>IF(OR($D$3=JU!$F744,$D$3=JU!$I744),JU!B744,"")</f>
        <v/>
      </c>
      <c r="C751" s="6" t="str">
        <f>IF(OR($D$3=JU!$F744,$D$3=JU!$I744),JU!C744,"")</f>
        <v/>
      </c>
      <c r="D751" s="73" t="str">
        <f>IF(OR($D$3=JU!$F744,$D$3=JU!$I744),JU!D744,"")</f>
        <v/>
      </c>
      <c r="E751" s="74" t="str">
        <f>IF(OR($D$3=JU!$F744,$D$3=JU!$I744),JU!E744,"")</f>
        <v/>
      </c>
      <c r="F751" s="72">
        <f>IF($D$3=JU!F744,JU!H744,0)</f>
        <v>0</v>
      </c>
      <c r="G751" s="72">
        <f>IF($D$3=JU!I744,JU!K744,0)</f>
        <v>0</v>
      </c>
      <c r="H751" s="72">
        <f t="shared" si="12"/>
        <v>63278000</v>
      </c>
    </row>
    <row r="752" spans="2:8" hidden="1">
      <c r="B752" s="68" t="str">
        <f>IF(OR($D$3=JU!$F745,$D$3=JU!$I745),JU!B745,"")</f>
        <v/>
      </c>
      <c r="C752" s="6" t="str">
        <f>IF(OR($D$3=JU!$F745,$D$3=JU!$I745),JU!C745,"")</f>
        <v/>
      </c>
      <c r="D752" s="73" t="str">
        <f>IF(OR($D$3=JU!$F745,$D$3=JU!$I745),JU!D745,"")</f>
        <v/>
      </c>
      <c r="E752" s="74" t="str">
        <f>IF(OR($D$3=JU!$F745,$D$3=JU!$I745),JU!E745,"")</f>
        <v/>
      </c>
      <c r="F752" s="72">
        <f>IF($D$3=JU!F745,JU!H745,0)</f>
        <v>0</v>
      </c>
      <c r="G752" s="72">
        <f>IF($D$3=JU!I745,JU!K745,0)</f>
        <v>0</v>
      </c>
      <c r="H752" s="72">
        <f t="shared" si="12"/>
        <v>63278000</v>
      </c>
    </row>
    <row r="753" spans="2:8" hidden="1">
      <c r="B753" s="68" t="str">
        <f>IF(OR($D$3=JU!$F746,$D$3=JU!$I746),JU!B746,"")</f>
        <v/>
      </c>
      <c r="C753" s="6" t="str">
        <f>IF(OR($D$3=JU!$F746,$D$3=JU!$I746),JU!C746,"")</f>
        <v/>
      </c>
      <c r="D753" s="73" t="str">
        <f>IF(OR($D$3=JU!$F746,$D$3=JU!$I746),JU!D746,"")</f>
        <v/>
      </c>
      <c r="E753" s="74" t="str">
        <f>IF(OR($D$3=JU!$F746,$D$3=JU!$I746),JU!E746,"")</f>
        <v/>
      </c>
      <c r="F753" s="72">
        <f>IF($D$3=JU!F746,JU!H746,0)</f>
        <v>0</v>
      </c>
      <c r="G753" s="72">
        <f>IF($D$3=JU!I746,JU!K746,0)</f>
        <v>0</v>
      </c>
      <c r="H753" s="72">
        <f t="shared" si="12"/>
        <v>63278000</v>
      </c>
    </row>
    <row r="754" spans="2:8" hidden="1">
      <c r="B754" s="68" t="str">
        <f>IF(OR($D$3=JU!$F747,$D$3=JU!$I747),JU!B747,"")</f>
        <v/>
      </c>
      <c r="C754" s="6" t="str">
        <f>IF(OR($D$3=JU!$F747,$D$3=JU!$I747),JU!C747,"")</f>
        <v/>
      </c>
      <c r="D754" s="73" t="str">
        <f>IF(OR($D$3=JU!$F747,$D$3=JU!$I747),JU!D747,"")</f>
        <v/>
      </c>
      <c r="E754" s="74" t="str">
        <f>IF(OR($D$3=JU!$F747,$D$3=JU!$I747),JU!E747,"")</f>
        <v/>
      </c>
      <c r="F754" s="72">
        <f>IF($D$3=JU!F747,JU!H747,0)</f>
        <v>0</v>
      </c>
      <c r="G754" s="72">
        <f>IF($D$3=JU!I747,JU!K747,0)</f>
        <v>0</v>
      </c>
      <c r="H754" s="72">
        <f t="shared" si="12"/>
        <v>63278000</v>
      </c>
    </row>
    <row r="755" spans="2:8">
      <c r="B755" s="68">
        <f>IF(OR($D$3=JU!$F748,$D$3=JU!$I748),JU!B748,"")</f>
        <v>46119</v>
      </c>
      <c r="C755" s="6" t="str">
        <f>IF(OR($D$3=JU!$F748,$D$3=JU!$I748),JU!C748,"")</f>
        <v>PEMBAYARAN BIAYA NOTARIS D19 RAHMAT PRAYUDI TAHAP 3</v>
      </c>
      <c r="D755" s="73" t="str">
        <f>IF(OR($D$3=JU!$F748,$D$3=JU!$I748),JU!D748,"")</f>
        <v>By. Biaya PEMBAYARAN BIAYA NOTARIS D19 RAHMAT PRAYUDI TAHAP 3</v>
      </c>
      <c r="E755" s="74">
        <f>IF(OR($D$3=JU!$F748,$D$3=JU!$I748),JU!E748,"")</f>
        <v>0</v>
      </c>
      <c r="F755" s="72">
        <f>IF($D$3=JU!F748,JU!H748,0)</f>
        <v>4000000</v>
      </c>
      <c r="G755" s="72">
        <f>IF($D$3=JU!I748,JU!K748,0)</f>
        <v>0</v>
      </c>
      <c r="H755" s="72">
        <f t="shared" si="12"/>
        <v>67278000</v>
      </c>
    </row>
    <row r="756" spans="2:8" hidden="1">
      <c r="B756" s="68" t="str">
        <f>IF(OR($D$3=JU!$F749,$D$3=JU!$I749),JU!B749,"")</f>
        <v/>
      </c>
      <c r="C756" s="6" t="str">
        <f>IF(OR($D$3=JU!$F749,$D$3=JU!$I749),JU!C749,"")</f>
        <v/>
      </c>
      <c r="D756" s="73" t="str">
        <f>IF(OR($D$3=JU!$F749,$D$3=JU!$I749),JU!D749,"")</f>
        <v/>
      </c>
      <c r="E756" s="74" t="str">
        <f>IF(OR($D$3=JU!$F749,$D$3=JU!$I749),JU!E749,"")</f>
        <v/>
      </c>
      <c r="F756" s="72">
        <f>IF($D$3=JU!F749,JU!H749,0)</f>
        <v>0</v>
      </c>
      <c r="G756" s="72">
        <f>IF($D$3=JU!I749,JU!K749,0)</f>
        <v>0</v>
      </c>
      <c r="H756" s="72">
        <f t="shared" si="12"/>
        <v>67278000</v>
      </c>
    </row>
    <row r="757" spans="2:8" hidden="1">
      <c r="B757" s="68" t="str">
        <f>IF(OR($D$3=JU!$F750,$D$3=JU!$I750),JU!B750,"")</f>
        <v/>
      </c>
      <c r="C757" s="6" t="str">
        <f>IF(OR($D$3=JU!$F750,$D$3=JU!$I750),JU!C750,"")</f>
        <v/>
      </c>
      <c r="D757" s="73" t="str">
        <f>IF(OR($D$3=JU!$F750,$D$3=JU!$I750),JU!D750,"")</f>
        <v/>
      </c>
      <c r="E757" s="74" t="str">
        <f>IF(OR($D$3=JU!$F750,$D$3=JU!$I750),JU!E750,"")</f>
        <v/>
      </c>
      <c r="F757" s="72">
        <f>IF($D$3=JU!F750,JU!H750,0)</f>
        <v>0</v>
      </c>
      <c r="G757" s="72">
        <f>IF($D$3=JU!I750,JU!K750,0)</f>
        <v>0</v>
      </c>
      <c r="H757" s="72">
        <f t="shared" si="12"/>
        <v>67278000</v>
      </c>
    </row>
    <row r="758" spans="2:8" hidden="1">
      <c r="B758" s="68" t="str">
        <f>IF(OR($D$3=JU!$F751,$D$3=JU!$I751),JU!B751,"")</f>
        <v/>
      </c>
      <c r="C758" s="6" t="str">
        <f>IF(OR($D$3=JU!$F751,$D$3=JU!$I751),JU!C751,"")</f>
        <v/>
      </c>
      <c r="D758" s="73" t="str">
        <f>IF(OR($D$3=JU!$F751,$D$3=JU!$I751),JU!D751,"")</f>
        <v/>
      </c>
      <c r="E758" s="74" t="str">
        <f>IF(OR($D$3=JU!$F751,$D$3=JU!$I751),JU!E751,"")</f>
        <v/>
      </c>
      <c r="F758" s="72">
        <f>IF($D$3=JU!F751,JU!H751,0)</f>
        <v>0</v>
      </c>
      <c r="G758" s="72">
        <f>IF($D$3=JU!I751,JU!K751,0)</f>
        <v>0</v>
      </c>
      <c r="H758" s="72">
        <f t="shared" si="12"/>
        <v>67278000</v>
      </c>
    </row>
    <row r="759" spans="2:8" hidden="1">
      <c r="B759" s="68" t="str">
        <f>IF(OR($D$3=JU!$F752,$D$3=JU!$I752),JU!B752,"")</f>
        <v/>
      </c>
      <c r="C759" s="6" t="str">
        <f>IF(OR($D$3=JU!$F752,$D$3=JU!$I752),JU!C752,"")</f>
        <v/>
      </c>
      <c r="D759" s="73" t="str">
        <f>IF(OR($D$3=JU!$F752,$D$3=JU!$I752),JU!D752,"")</f>
        <v/>
      </c>
      <c r="E759" s="74" t="str">
        <f>IF(OR($D$3=JU!$F752,$D$3=JU!$I752),JU!E752,"")</f>
        <v/>
      </c>
      <c r="F759" s="72">
        <f>IF($D$3=JU!F752,JU!H752,0)</f>
        <v>0</v>
      </c>
      <c r="G759" s="72">
        <f>IF($D$3=JU!I752,JU!K752,0)</f>
        <v>0</v>
      </c>
      <c r="H759" s="72">
        <f t="shared" si="12"/>
        <v>67278000</v>
      </c>
    </row>
    <row r="760" spans="2:8" hidden="1">
      <c r="B760" s="68" t="str">
        <f>IF(OR($D$3=JU!$F753,$D$3=JU!$I753),JU!B753,"")</f>
        <v/>
      </c>
      <c r="C760" s="6" t="str">
        <f>IF(OR($D$3=JU!$F753,$D$3=JU!$I753),JU!C753,"")</f>
        <v/>
      </c>
      <c r="D760" s="73" t="str">
        <f>IF(OR($D$3=JU!$F753,$D$3=JU!$I753),JU!D753,"")</f>
        <v/>
      </c>
      <c r="E760" s="74" t="str">
        <f>IF(OR($D$3=JU!$F753,$D$3=JU!$I753),JU!E753,"")</f>
        <v/>
      </c>
      <c r="F760" s="72">
        <f>IF($D$3=JU!F753,JU!H753,0)</f>
        <v>0</v>
      </c>
      <c r="G760" s="72">
        <f>IF($D$3=JU!I753,JU!K753,0)</f>
        <v>0</v>
      </c>
      <c r="H760" s="72">
        <f t="shared" si="12"/>
        <v>67278000</v>
      </c>
    </row>
    <row r="761" spans="2:8" hidden="1">
      <c r="B761" s="68" t="str">
        <f>IF(OR($D$3=JU!$F754,$D$3=JU!$I754),JU!B754,"")</f>
        <v/>
      </c>
      <c r="C761" s="6" t="str">
        <f>IF(OR($D$3=JU!$F754,$D$3=JU!$I754),JU!C754,"")</f>
        <v/>
      </c>
      <c r="D761" s="73" t="str">
        <f>IF(OR($D$3=JU!$F754,$D$3=JU!$I754),JU!D754,"")</f>
        <v/>
      </c>
      <c r="E761" s="74" t="str">
        <f>IF(OR($D$3=JU!$F754,$D$3=JU!$I754),JU!E754,"")</f>
        <v/>
      </c>
      <c r="F761" s="72">
        <f>IF($D$3=JU!F754,JU!H754,0)</f>
        <v>0</v>
      </c>
      <c r="G761" s="72">
        <f>IF($D$3=JU!I754,JU!K754,0)</f>
        <v>0</v>
      </c>
      <c r="H761" s="72">
        <f t="shared" si="12"/>
        <v>67278000</v>
      </c>
    </row>
    <row r="762" spans="2:8" hidden="1">
      <c r="B762" s="68" t="str">
        <f>IF(OR($D$3=JU!$F755,$D$3=JU!$I755),JU!B755,"")</f>
        <v/>
      </c>
      <c r="C762" s="6" t="str">
        <f>IF(OR($D$3=JU!$F755,$D$3=JU!$I755),JU!C755,"")</f>
        <v/>
      </c>
      <c r="D762" s="73" t="str">
        <f>IF(OR($D$3=JU!$F755,$D$3=JU!$I755),JU!D755,"")</f>
        <v/>
      </c>
      <c r="E762" s="74" t="str">
        <f>IF(OR($D$3=JU!$F755,$D$3=JU!$I755),JU!E755,"")</f>
        <v/>
      </c>
      <c r="F762" s="72">
        <f>IF($D$3=JU!F755,JU!H755,0)</f>
        <v>0</v>
      </c>
      <c r="G762" s="72">
        <f>IF($D$3=JU!I755,JU!K755,0)</f>
        <v>0</v>
      </c>
      <c r="H762" s="72">
        <f t="shared" si="12"/>
        <v>67278000</v>
      </c>
    </row>
    <row r="763" spans="2:8" hidden="1">
      <c r="B763" s="68" t="str">
        <f>IF(OR($D$3=JU!$F756,$D$3=JU!$I756),JU!B756,"")</f>
        <v/>
      </c>
      <c r="C763" s="6" t="str">
        <f>IF(OR($D$3=JU!$F756,$D$3=JU!$I756),JU!C756,"")</f>
        <v/>
      </c>
      <c r="D763" s="73" t="str">
        <f>IF(OR($D$3=JU!$F756,$D$3=JU!$I756),JU!D756,"")</f>
        <v/>
      </c>
      <c r="E763" s="74" t="str">
        <f>IF(OR($D$3=JU!$F756,$D$3=JU!$I756),JU!E756,"")</f>
        <v/>
      </c>
      <c r="F763" s="72">
        <f>IF($D$3=JU!F756,JU!H756,0)</f>
        <v>0</v>
      </c>
      <c r="G763" s="72">
        <f>IF($D$3=JU!I756,JU!K756,0)</f>
        <v>0</v>
      </c>
      <c r="H763" s="72">
        <f t="shared" si="12"/>
        <v>67278000</v>
      </c>
    </row>
    <row r="764" spans="2:8" hidden="1">
      <c r="B764" s="68" t="str">
        <f>IF(OR($D$3=JU!$F757,$D$3=JU!$I757),JU!B757,"")</f>
        <v/>
      </c>
      <c r="C764" s="6" t="str">
        <f>IF(OR($D$3=JU!$F757,$D$3=JU!$I757),JU!C757,"")</f>
        <v/>
      </c>
      <c r="D764" s="73" t="str">
        <f>IF(OR($D$3=JU!$F757,$D$3=JU!$I757),JU!D757,"")</f>
        <v/>
      </c>
      <c r="E764" s="74" t="str">
        <f>IF(OR($D$3=JU!$F757,$D$3=JU!$I757),JU!E757,"")</f>
        <v/>
      </c>
      <c r="F764" s="72">
        <f>IF($D$3=JU!F757,JU!H757,0)</f>
        <v>0</v>
      </c>
      <c r="G764" s="72">
        <f>IF($D$3=JU!I757,JU!K757,0)</f>
        <v>0</v>
      </c>
      <c r="H764" s="72">
        <f t="shared" si="12"/>
        <v>67278000</v>
      </c>
    </row>
    <row r="765" spans="2:8" hidden="1">
      <c r="B765" s="68" t="str">
        <f>IF(OR($D$3=JU!$F758,$D$3=JU!$I758),JU!B758,"")</f>
        <v/>
      </c>
      <c r="C765" s="6" t="str">
        <f>IF(OR($D$3=JU!$F758,$D$3=JU!$I758),JU!C758,"")</f>
        <v/>
      </c>
      <c r="D765" s="73" t="str">
        <f>IF(OR($D$3=JU!$F758,$D$3=JU!$I758),JU!D758,"")</f>
        <v/>
      </c>
      <c r="E765" s="74" t="str">
        <f>IF(OR($D$3=JU!$F758,$D$3=JU!$I758),JU!E758,"")</f>
        <v/>
      </c>
      <c r="F765" s="72">
        <f>IF($D$3=JU!F758,JU!H758,0)</f>
        <v>0</v>
      </c>
      <c r="G765" s="72">
        <f>IF($D$3=JU!I758,JU!K758,0)</f>
        <v>0</v>
      </c>
      <c r="H765" s="72">
        <f t="shared" si="12"/>
        <v>67278000</v>
      </c>
    </row>
    <row r="766" spans="2:8" hidden="1">
      <c r="B766" s="68" t="str">
        <f>IF(OR($D$3=JU!$F759,$D$3=JU!$I759),JU!B759,"")</f>
        <v/>
      </c>
      <c r="C766" s="6" t="str">
        <f>IF(OR($D$3=JU!$F759,$D$3=JU!$I759),JU!C759,"")</f>
        <v/>
      </c>
      <c r="D766" s="73" t="str">
        <f>IF(OR($D$3=JU!$F759,$D$3=JU!$I759),JU!D759,"")</f>
        <v/>
      </c>
      <c r="E766" s="74" t="str">
        <f>IF(OR($D$3=JU!$F759,$D$3=JU!$I759),JU!E759,"")</f>
        <v/>
      </c>
      <c r="F766" s="72">
        <f>IF($D$3=JU!F759,JU!H759,0)</f>
        <v>0</v>
      </c>
      <c r="G766" s="72">
        <f>IF($D$3=JU!I759,JU!K759,0)</f>
        <v>0</v>
      </c>
      <c r="H766" s="72">
        <f t="shared" si="12"/>
        <v>67278000</v>
      </c>
    </row>
    <row r="767" spans="2:8" hidden="1">
      <c r="B767" s="68" t="str">
        <f>IF(OR($D$3=JU!$F760,$D$3=JU!$I760),JU!B760,"")</f>
        <v/>
      </c>
      <c r="C767" s="6" t="str">
        <f>IF(OR($D$3=JU!$F760,$D$3=JU!$I760),JU!C760,"")</f>
        <v/>
      </c>
      <c r="D767" s="73" t="str">
        <f>IF(OR($D$3=JU!$F760,$D$3=JU!$I760),JU!D760,"")</f>
        <v/>
      </c>
      <c r="E767" s="74" t="str">
        <f>IF(OR($D$3=JU!$F760,$D$3=JU!$I760),JU!E760,"")</f>
        <v/>
      </c>
      <c r="F767" s="72">
        <f>IF($D$3=JU!F760,JU!H760,0)</f>
        <v>0</v>
      </c>
      <c r="G767" s="72">
        <f>IF($D$3=JU!I760,JU!K760,0)</f>
        <v>0</v>
      </c>
      <c r="H767" s="72">
        <f t="shared" si="12"/>
        <v>67278000</v>
      </c>
    </row>
    <row r="768" spans="2:8" hidden="1">
      <c r="B768" s="68" t="str">
        <f>IF(OR($D$3=JU!$F761,$D$3=JU!$I761),JU!B761,"")</f>
        <v/>
      </c>
      <c r="C768" s="6" t="str">
        <f>IF(OR($D$3=JU!$F761,$D$3=JU!$I761),JU!C761,"")</f>
        <v/>
      </c>
      <c r="D768" s="73" t="str">
        <f>IF(OR($D$3=JU!$F761,$D$3=JU!$I761),JU!D761,"")</f>
        <v/>
      </c>
      <c r="E768" s="74" t="str">
        <f>IF(OR($D$3=JU!$F761,$D$3=JU!$I761),JU!E761,"")</f>
        <v/>
      </c>
      <c r="F768" s="72">
        <f>IF($D$3=JU!F761,JU!H761,0)</f>
        <v>0</v>
      </c>
      <c r="G768" s="72">
        <f>IF($D$3=JU!I761,JU!K761,0)</f>
        <v>0</v>
      </c>
      <c r="H768" s="72">
        <f t="shared" si="12"/>
        <v>67278000</v>
      </c>
    </row>
    <row r="769" spans="2:8" hidden="1">
      <c r="B769" s="68" t="str">
        <f>IF(OR($D$3=JU!$F762,$D$3=JU!$I762),JU!B762,"")</f>
        <v/>
      </c>
      <c r="C769" s="6" t="str">
        <f>IF(OR($D$3=JU!$F762,$D$3=JU!$I762),JU!C762,"")</f>
        <v/>
      </c>
      <c r="D769" s="73" t="str">
        <f>IF(OR($D$3=JU!$F762,$D$3=JU!$I762),JU!D762,"")</f>
        <v/>
      </c>
      <c r="E769" s="74" t="str">
        <f>IF(OR($D$3=JU!$F762,$D$3=JU!$I762),JU!E762,"")</f>
        <v/>
      </c>
      <c r="F769" s="72">
        <f>IF($D$3=JU!F762,JU!H762,0)</f>
        <v>0</v>
      </c>
      <c r="G769" s="72">
        <f>IF($D$3=JU!I762,JU!K762,0)</f>
        <v>0</v>
      </c>
      <c r="H769" s="72">
        <f t="shared" si="12"/>
        <v>67278000</v>
      </c>
    </row>
    <row r="770" spans="2:8" hidden="1">
      <c r="B770" s="68" t="str">
        <f>IF(OR($D$3=JU!$F763,$D$3=JU!$I763),JU!B763,"")</f>
        <v/>
      </c>
      <c r="C770" s="6" t="str">
        <f>IF(OR($D$3=JU!$F763,$D$3=JU!$I763),JU!C763,"")</f>
        <v/>
      </c>
      <c r="D770" s="73" t="str">
        <f>IF(OR($D$3=JU!$F763,$D$3=JU!$I763),JU!D763,"")</f>
        <v/>
      </c>
      <c r="E770" s="74" t="str">
        <f>IF(OR($D$3=JU!$F763,$D$3=JU!$I763),JU!E763,"")</f>
        <v/>
      </c>
      <c r="F770" s="72">
        <f>IF($D$3=JU!F763,JU!H763,0)</f>
        <v>0</v>
      </c>
      <c r="G770" s="72">
        <f>IF($D$3=JU!I763,JU!K763,0)</f>
        <v>0</v>
      </c>
      <c r="H770" s="72">
        <f t="shared" si="12"/>
        <v>67278000</v>
      </c>
    </row>
    <row r="771" spans="2:8" hidden="1">
      <c r="B771" s="68" t="str">
        <f>IF(OR($D$3=JU!$F764,$D$3=JU!$I764),JU!B764,"")</f>
        <v/>
      </c>
      <c r="C771" s="6" t="str">
        <f>IF(OR($D$3=JU!$F764,$D$3=JU!$I764),JU!C764,"")</f>
        <v/>
      </c>
      <c r="D771" s="73" t="str">
        <f>IF(OR($D$3=JU!$F764,$D$3=JU!$I764),JU!D764,"")</f>
        <v/>
      </c>
      <c r="E771" s="74" t="str">
        <f>IF(OR($D$3=JU!$F764,$D$3=JU!$I764),JU!E764,"")</f>
        <v/>
      </c>
      <c r="F771" s="72">
        <f>IF($D$3=JU!F764,JU!H764,0)</f>
        <v>0</v>
      </c>
      <c r="G771" s="72">
        <f>IF($D$3=JU!I764,JU!K764,0)</f>
        <v>0</v>
      </c>
      <c r="H771" s="72">
        <f t="shared" si="12"/>
        <v>67278000</v>
      </c>
    </row>
    <row r="772" spans="2:8" hidden="1">
      <c r="B772" s="68" t="str">
        <f>IF(OR($D$3=JU!$F765,$D$3=JU!$I765),JU!B765,"")</f>
        <v/>
      </c>
      <c r="C772" s="6" t="str">
        <f>IF(OR($D$3=JU!$F765,$D$3=JU!$I765),JU!C765,"")</f>
        <v/>
      </c>
      <c r="D772" s="73" t="str">
        <f>IF(OR($D$3=JU!$F765,$D$3=JU!$I765),JU!D765,"")</f>
        <v/>
      </c>
      <c r="E772" s="74" t="str">
        <f>IF(OR($D$3=JU!$F765,$D$3=JU!$I765),JU!E765,"")</f>
        <v/>
      </c>
      <c r="F772" s="72">
        <f>IF($D$3=JU!F765,JU!H765,0)</f>
        <v>0</v>
      </c>
      <c r="G772" s="72">
        <f>IF($D$3=JU!I765,JU!K765,0)</f>
        <v>0</v>
      </c>
      <c r="H772" s="72">
        <f t="shared" si="12"/>
        <v>67278000</v>
      </c>
    </row>
    <row r="773" spans="2:8" hidden="1">
      <c r="B773" s="68" t="str">
        <f>IF(OR($D$3=JU!$F766,$D$3=JU!$I766),JU!B766,"")</f>
        <v/>
      </c>
      <c r="C773" s="6" t="str">
        <f>IF(OR($D$3=JU!$F766,$D$3=JU!$I766),JU!C766,"")</f>
        <v/>
      </c>
      <c r="D773" s="73" t="str">
        <f>IF(OR($D$3=JU!$F766,$D$3=JU!$I766),JU!D766,"")</f>
        <v/>
      </c>
      <c r="E773" s="74" t="str">
        <f>IF(OR($D$3=JU!$F766,$D$3=JU!$I766),JU!E766,"")</f>
        <v/>
      </c>
      <c r="F773" s="72">
        <f>IF($D$3=JU!F766,JU!H766,0)</f>
        <v>0</v>
      </c>
      <c r="G773" s="72">
        <f>IF($D$3=JU!I766,JU!K766,0)</f>
        <v>0</v>
      </c>
      <c r="H773" s="72">
        <f t="shared" si="12"/>
        <v>67278000</v>
      </c>
    </row>
    <row r="774" spans="2:8" hidden="1">
      <c r="B774" s="68" t="str">
        <f>IF(OR($D$3=JU!$F767,$D$3=JU!$I767),JU!B767,"")</f>
        <v/>
      </c>
      <c r="C774" s="6" t="str">
        <f>IF(OR($D$3=JU!$F767,$D$3=JU!$I767),JU!C767,"")</f>
        <v/>
      </c>
      <c r="D774" s="73" t="str">
        <f>IF(OR($D$3=JU!$F767,$D$3=JU!$I767),JU!D767,"")</f>
        <v/>
      </c>
      <c r="E774" s="74" t="str">
        <f>IF(OR($D$3=JU!$F767,$D$3=JU!$I767),JU!E767,"")</f>
        <v/>
      </c>
      <c r="F774" s="72">
        <f>IF($D$3=JU!F767,JU!H767,0)</f>
        <v>0</v>
      </c>
      <c r="G774" s="72">
        <f>IF($D$3=JU!I767,JU!K767,0)</f>
        <v>0</v>
      </c>
      <c r="H774" s="72">
        <f t="shared" si="12"/>
        <v>67278000</v>
      </c>
    </row>
    <row r="775" spans="2:8" hidden="1">
      <c r="B775" s="68" t="str">
        <f>IF(OR($D$3=JU!$F768,$D$3=JU!$I768),JU!B768,"")</f>
        <v/>
      </c>
      <c r="C775" s="6" t="str">
        <f>IF(OR($D$3=JU!$F768,$D$3=JU!$I768),JU!C768,"")</f>
        <v/>
      </c>
      <c r="D775" s="73" t="str">
        <f>IF(OR($D$3=JU!$F768,$D$3=JU!$I768),JU!D768,"")</f>
        <v/>
      </c>
      <c r="E775" s="74" t="str">
        <f>IF(OR($D$3=JU!$F768,$D$3=JU!$I768),JU!E768,"")</f>
        <v/>
      </c>
      <c r="F775" s="72">
        <f>IF($D$3=JU!F768,JU!H768,0)</f>
        <v>0</v>
      </c>
      <c r="G775" s="72">
        <f>IF($D$3=JU!I768,JU!K768,0)</f>
        <v>0</v>
      </c>
      <c r="H775" s="72">
        <f t="shared" si="12"/>
        <v>67278000</v>
      </c>
    </row>
    <row r="776" spans="2:8" hidden="1">
      <c r="B776" s="68" t="str">
        <f>IF(OR($D$3=JU!$F769,$D$3=JU!$I769),JU!B769,"")</f>
        <v/>
      </c>
      <c r="C776" s="6" t="str">
        <f>IF(OR($D$3=JU!$F769,$D$3=JU!$I769),JU!C769,"")</f>
        <v/>
      </c>
      <c r="D776" s="73" t="str">
        <f>IF(OR($D$3=JU!$F769,$D$3=JU!$I769),JU!D769,"")</f>
        <v/>
      </c>
      <c r="E776" s="74" t="str">
        <f>IF(OR($D$3=JU!$F769,$D$3=JU!$I769),JU!E769,"")</f>
        <v/>
      </c>
      <c r="F776" s="72">
        <f>IF($D$3=JU!F769,JU!H769,0)</f>
        <v>0</v>
      </c>
      <c r="G776" s="72">
        <f>IF($D$3=JU!I769,JU!K769,0)</f>
        <v>0</v>
      </c>
      <c r="H776" s="72">
        <f t="shared" si="12"/>
        <v>67278000</v>
      </c>
    </row>
    <row r="777" spans="2:8" hidden="1">
      <c r="B777" s="68" t="str">
        <f>IF(OR($D$3=JU!$F770,$D$3=JU!$I770),JU!B770,"")</f>
        <v/>
      </c>
      <c r="C777" s="6" t="str">
        <f>IF(OR($D$3=JU!$F770,$D$3=JU!$I770),JU!C770,"")</f>
        <v/>
      </c>
      <c r="D777" s="73" t="str">
        <f>IF(OR($D$3=JU!$F770,$D$3=JU!$I770),JU!D770,"")</f>
        <v/>
      </c>
      <c r="E777" s="74" t="str">
        <f>IF(OR($D$3=JU!$F770,$D$3=JU!$I770),JU!E770,"")</f>
        <v/>
      </c>
      <c r="F777" s="72">
        <f>IF($D$3=JU!F770,JU!H770,0)</f>
        <v>0</v>
      </c>
      <c r="G777" s="72">
        <f>IF($D$3=JU!I770,JU!K770,0)</f>
        <v>0</v>
      </c>
      <c r="H777" s="72">
        <f t="shared" si="12"/>
        <v>67278000</v>
      </c>
    </row>
    <row r="778" spans="2:8" hidden="1">
      <c r="B778" s="68" t="str">
        <f>IF(OR($D$3=JU!$F771,$D$3=JU!$I771),JU!B771,"")</f>
        <v/>
      </c>
      <c r="C778" s="6" t="str">
        <f>IF(OR($D$3=JU!$F771,$D$3=JU!$I771),JU!C771,"")</f>
        <v/>
      </c>
      <c r="D778" s="73" t="str">
        <f>IF(OR($D$3=JU!$F771,$D$3=JU!$I771),JU!D771,"")</f>
        <v/>
      </c>
      <c r="E778" s="74" t="str">
        <f>IF(OR($D$3=JU!$F771,$D$3=JU!$I771),JU!E771,"")</f>
        <v/>
      </c>
      <c r="F778" s="72">
        <f>IF($D$3=JU!F771,JU!H771,0)</f>
        <v>0</v>
      </c>
      <c r="G778" s="72">
        <f>IF($D$3=JU!I771,JU!K771,0)</f>
        <v>0</v>
      </c>
      <c r="H778" s="72">
        <f t="shared" si="12"/>
        <v>67278000</v>
      </c>
    </row>
    <row r="779" spans="2:8" hidden="1">
      <c r="B779" s="68" t="str">
        <f>IF(OR($D$3=JU!$F772,$D$3=JU!$I772),JU!B772,"")</f>
        <v/>
      </c>
      <c r="C779" s="6" t="str">
        <f>IF(OR($D$3=JU!$F772,$D$3=JU!$I772),JU!C772,"")</f>
        <v/>
      </c>
      <c r="D779" s="73" t="str">
        <f>IF(OR($D$3=JU!$F772,$D$3=JU!$I772),JU!D772,"")</f>
        <v/>
      </c>
      <c r="E779" s="74" t="str">
        <f>IF(OR($D$3=JU!$F772,$D$3=JU!$I772),JU!E772,"")</f>
        <v/>
      </c>
      <c r="F779" s="72">
        <f>IF($D$3=JU!F772,JU!H772,0)</f>
        <v>0</v>
      </c>
      <c r="G779" s="72">
        <f>IF($D$3=JU!I772,JU!K772,0)</f>
        <v>0</v>
      </c>
      <c r="H779" s="72">
        <f t="shared" si="12"/>
        <v>67278000</v>
      </c>
    </row>
    <row r="780" spans="2:8" hidden="1">
      <c r="B780" s="68" t="str">
        <f>IF(OR($D$3=JU!$F773,$D$3=JU!$I773),JU!B773,"")</f>
        <v/>
      </c>
      <c r="C780" s="6" t="str">
        <f>IF(OR($D$3=JU!$F773,$D$3=JU!$I773),JU!C773,"")</f>
        <v/>
      </c>
      <c r="D780" s="73" t="str">
        <f>IF(OR($D$3=JU!$F773,$D$3=JU!$I773),JU!D773,"")</f>
        <v/>
      </c>
      <c r="E780" s="74" t="str">
        <f>IF(OR($D$3=JU!$F773,$D$3=JU!$I773),JU!E773,"")</f>
        <v/>
      </c>
      <c r="F780" s="72">
        <f>IF($D$3=JU!F773,JU!H773,0)</f>
        <v>0</v>
      </c>
      <c r="G780" s="72">
        <f>IF($D$3=JU!I773,JU!K773,0)</f>
        <v>0</v>
      </c>
      <c r="H780" s="72">
        <f t="shared" si="12"/>
        <v>67278000</v>
      </c>
    </row>
    <row r="781" spans="2:8" hidden="1">
      <c r="B781" s="68" t="str">
        <f>IF(OR($D$3=JU!$F774,$D$3=JU!$I774),JU!B774,"")</f>
        <v/>
      </c>
      <c r="C781" s="6" t="str">
        <f>IF(OR($D$3=JU!$F774,$D$3=JU!$I774),JU!C774,"")</f>
        <v/>
      </c>
      <c r="D781" s="73" t="str">
        <f>IF(OR($D$3=JU!$F774,$D$3=JU!$I774),JU!D774,"")</f>
        <v/>
      </c>
      <c r="E781" s="74" t="str">
        <f>IF(OR($D$3=JU!$F774,$D$3=JU!$I774),JU!E774,"")</f>
        <v/>
      </c>
      <c r="F781" s="72">
        <f>IF($D$3=JU!F774,JU!H774,0)</f>
        <v>0</v>
      </c>
      <c r="G781" s="72">
        <f>IF($D$3=JU!I774,JU!K774,0)</f>
        <v>0</v>
      </c>
      <c r="H781" s="72">
        <f t="shared" si="12"/>
        <v>67278000</v>
      </c>
    </row>
    <row r="782" spans="2:8" hidden="1">
      <c r="B782" s="68" t="str">
        <f>IF(OR($D$3=JU!$F775,$D$3=JU!$I775),JU!B775,"")</f>
        <v/>
      </c>
      <c r="C782" s="6" t="str">
        <f>IF(OR($D$3=JU!$F775,$D$3=JU!$I775),JU!C775,"")</f>
        <v/>
      </c>
      <c r="D782" s="73" t="str">
        <f>IF(OR($D$3=JU!$F775,$D$3=JU!$I775),JU!D775,"")</f>
        <v/>
      </c>
      <c r="E782" s="74" t="str">
        <f>IF(OR($D$3=JU!$F775,$D$3=JU!$I775),JU!E775,"")</f>
        <v/>
      </c>
      <c r="F782" s="72">
        <f>IF($D$3=JU!F775,JU!H775,0)</f>
        <v>0</v>
      </c>
      <c r="G782" s="72">
        <f>IF($D$3=JU!I775,JU!K775,0)</f>
        <v>0</v>
      </c>
      <c r="H782" s="72">
        <f t="shared" ref="H782:H845" si="13">IF($H$7="DEBET",H781+F782-G782,H781+G782-F782)</f>
        <v>67278000</v>
      </c>
    </row>
    <row r="783" spans="2:8" hidden="1">
      <c r="B783" s="68" t="str">
        <f>IF(OR($D$3=JU!$F776,$D$3=JU!$I776),JU!B776,"")</f>
        <v/>
      </c>
      <c r="C783" s="6" t="str">
        <f>IF(OR($D$3=JU!$F776,$D$3=JU!$I776),JU!C776,"")</f>
        <v/>
      </c>
      <c r="D783" s="73" t="str">
        <f>IF(OR($D$3=JU!$F776,$D$3=JU!$I776),JU!D776,"")</f>
        <v/>
      </c>
      <c r="E783" s="74" t="str">
        <f>IF(OR($D$3=JU!$F776,$D$3=JU!$I776),JU!E776,"")</f>
        <v/>
      </c>
      <c r="F783" s="72">
        <f>IF($D$3=JU!F776,JU!H776,0)</f>
        <v>0</v>
      </c>
      <c r="G783" s="72">
        <f>IF($D$3=JU!I776,JU!K776,0)</f>
        <v>0</v>
      </c>
      <c r="H783" s="72">
        <f t="shared" si="13"/>
        <v>67278000</v>
      </c>
    </row>
    <row r="784" spans="2:8" hidden="1">
      <c r="B784" s="68" t="str">
        <f>IF(OR($D$3=JU!$F777,$D$3=JU!$I777),JU!B777,"")</f>
        <v/>
      </c>
      <c r="C784" s="6" t="str">
        <f>IF(OR($D$3=JU!$F777,$D$3=JU!$I777),JU!C777,"")</f>
        <v/>
      </c>
      <c r="D784" s="73" t="str">
        <f>IF(OR($D$3=JU!$F777,$D$3=JU!$I777),JU!D777,"")</f>
        <v/>
      </c>
      <c r="E784" s="74" t="str">
        <f>IF(OR($D$3=JU!$F777,$D$3=JU!$I777),JU!E777,"")</f>
        <v/>
      </c>
      <c r="F784" s="72">
        <f>IF($D$3=JU!F777,JU!H777,0)</f>
        <v>0</v>
      </c>
      <c r="G784" s="72">
        <f>IF($D$3=JU!I777,JU!K777,0)</f>
        <v>0</v>
      </c>
      <c r="H784" s="72">
        <f t="shared" si="13"/>
        <v>67278000</v>
      </c>
    </row>
    <row r="785" spans="2:8" hidden="1">
      <c r="B785" s="68" t="str">
        <f>IF(OR($D$3=JU!$F778,$D$3=JU!$I778),JU!B778,"")</f>
        <v/>
      </c>
      <c r="C785" s="6" t="str">
        <f>IF(OR($D$3=JU!$F778,$D$3=JU!$I778),JU!C778,"")</f>
        <v/>
      </c>
      <c r="D785" s="73" t="str">
        <f>IF(OR($D$3=JU!$F778,$D$3=JU!$I778),JU!D778,"")</f>
        <v/>
      </c>
      <c r="E785" s="74" t="str">
        <f>IF(OR($D$3=JU!$F778,$D$3=JU!$I778),JU!E778,"")</f>
        <v/>
      </c>
      <c r="F785" s="72">
        <f>IF($D$3=JU!F778,JU!H778,0)</f>
        <v>0</v>
      </c>
      <c r="G785" s="72">
        <f>IF($D$3=JU!I778,JU!K778,0)</f>
        <v>0</v>
      </c>
      <c r="H785" s="72">
        <f t="shared" si="13"/>
        <v>67278000</v>
      </c>
    </row>
    <row r="786" spans="2:8" hidden="1">
      <c r="B786" s="68" t="str">
        <f>IF(OR($D$3=JU!$F779,$D$3=JU!$I779),JU!B779,"")</f>
        <v/>
      </c>
      <c r="C786" s="6" t="str">
        <f>IF(OR($D$3=JU!$F779,$D$3=JU!$I779),JU!C779,"")</f>
        <v/>
      </c>
      <c r="D786" s="73" t="str">
        <f>IF(OR($D$3=JU!$F779,$D$3=JU!$I779),JU!D779,"")</f>
        <v/>
      </c>
      <c r="E786" s="74" t="str">
        <f>IF(OR($D$3=JU!$F779,$D$3=JU!$I779),JU!E779,"")</f>
        <v/>
      </c>
      <c r="F786" s="72">
        <f>IF($D$3=JU!F779,JU!H779,0)</f>
        <v>0</v>
      </c>
      <c r="G786" s="72">
        <f>IF($D$3=JU!I779,JU!K779,0)</f>
        <v>0</v>
      </c>
      <c r="H786" s="72">
        <f t="shared" si="13"/>
        <v>67278000</v>
      </c>
    </row>
    <row r="787" spans="2:8" hidden="1">
      <c r="B787" s="68" t="str">
        <f>IF(OR($D$3=JU!$F780,$D$3=JU!$I780),JU!B780,"")</f>
        <v/>
      </c>
      <c r="C787" s="6" t="str">
        <f>IF(OR($D$3=JU!$F780,$D$3=JU!$I780),JU!C780,"")</f>
        <v/>
      </c>
      <c r="D787" s="73" t="str">
        <f>IF(OR($D$3=JU!$F780,$D$3=JU!$I780),JU!D780,"")</f>
        <v/>
      </c>
      <c r="E787" s="74" t="str">
        <f>IF(OR($D$3=JU!$F780,$D$3=JU!$I780),JU!E780,"")</f>
        <v/>
      </c>
      <c r="F787" s="72">
        <f>IF($D$3=JU!F780,JU!H780,0)</f>
        <v>0</v>
      </c>
      <c r="G787" s="72">
        <f>IF($D$3=JU!I780,JU!K780,0)</f>
        <v>0</v>
      </c>
      <c r="H787" s="72">
        <f t="shared" si="13"/>
        <v>67278000</v>
      </c>
    </row>
    <row r="788" spans="2:8" hidden="1">
      <c r="B788" s="68" t="str">
        <f>IF(OR($D$3=JU!$F781,$D$3=JU!$I781),JU!B781,"")</f>
        <v/>
      </c>
      <c r="C788" s="6" t="str">
        <f>IF(OR($D$3=JU!$F781,$D$3=JU!$I781),JU!C781,"")</f>
        <v/>
      </c>
      <c r="D788" s="73" t="str">
        <f>IF(OR($D$3=JU!$F781,$D$3=JU!$I781),JU!D781,"")</f>
        <v/>
      </c>
      <c r="E788" s="74" t="str">
        <f>IF(OR($D$3=JU!$F781,$D$3=JU!$I781),JU!E781,"")</f>
        <v/>
      </c>
      <c r="F788" s="72">
        <f>IF($D$3=JU!F781,JU!H781,0)</f>
        <v>0</v>
      </c>
      <c r="G788" s="72">
        <f>IF($D$3=JU!I781,JU!K781,0)</f>
        <v>0</v>
      </c>
      <c r="H788" s="72">
        <f t="shared" si="13"/>
        <v>67278000</v>
      </c>
    </row>
    <row r="789" spans="2:8" hidden="1">
      <c r="B789" s="68" t="str">
        <f>IF(OR($D$3=JU!$F782,$D$3=JU!$I782),JU!B782,"")</f>
        <v/>
      </c>
      <c r="C789" s="6" t="str">
        <f>IF(OR($D$3=JU!$F782,$D$3=JU!$I782),JU!C782,"")</f>
        <v/>
      </c>
      <c r="D789" s="73" t="str">
        <f>IF(OR($D$3=JU!$F782,$D$3=JU!$I782),JU!D782,"")</f>
        <v/>
      </c>
      <c r="E789" s="74" t="str">
        <f>IF(OR($D$3=JU!$F782,$D$3=JU!$I782),JU!E782,"")</f>
        <v/>
      </c>
      <c r="F789" s="72">
        <f>IF($D$3=JU!F782,JU!H782,0)</f>
        <v>0</v>
      </c>
      <c r="G789" s="72">
        <f>IF($D$3=JU!I782,JU!K782,0)</f>
        <v>0</v>
      </c>
      <c r="H789" s="72">
        <f t="shared" si="13"/>
        <v>67278000</v>
      </c>
    </row>
    <row r="790" spans="2:8" hidden="1">
      <c r="B790" s="68" t="str">
        <f>IF(OR($D$3=JU!$F783,$D$3=JU!$I783),JU!B783,"")</f>
        <v/>
      </c>
      <c r="C790" s="6" t="str">
        <f>IF(OR($D$3=JU!$F783,$D$3=JU!$I783),JU!C783,"")</f>
        <v/>
      </c>
      <c r="D790" s="73" t="str">
        <f>IF(OR($D$3=JU!$F783,$D$3=JU!$I783),JU!D783,"")</f>
        <v/>
      </c>
      <c r="E790" s="74" t="str">
        <f>IF(OR($D$3=JU!$F783,$D$3=JU!$I783),JU!E783,"")</f>
        <v/>
      </c>
      <c r="F790" s="72">
        <f>IF($D$3=JU!F783,JU!H783,0)</f>
        <v>0</v>
      </c>
      <c r="G790" s="72">
        <f>IF($D$3=JU!I783,JU!K783,0)</f>
        <v>0</v>
      </c>
      <c r="H790" s="72">
        <f t="shared" si="13"/>
        <v>67278000</v>
      </c>
    </row>
    <row r="791" spans="2:8" hidden="1">
      <c r="B791" s="68" t="str">
        <f>IF(OR($D$3=JU!$F784,$D$3=JU!$I784),JU!B784,"")</f>
        <v/>
      </c>
      <c r="C791" s="6" t="str">
        <f>IF(OR($D$3=JU!$F784,$D$3=JU!$I784),JU!C784,"")</f>
        <v/>
      </c>
      <c r="D791" s="73" t="str">
        <f>IF(OR($D$3=JU!$F784,$D$3=JU!$I784),JU!D784,"")</f>
        <v/>
      </c>
      <c r="E791" s="74" t="str">
        <f>IF(OR($D$3=JU!$F784,$D$3=JU!$I784),JU!E784,"")</f>
        <v/>
      </c>
      <c r="F791" s="72">
        <f>IF($D$3=JU!F784,JU!H784,0)</f>
        <v>0</v>
      </c>
      <c r="G791" s="72">
        <f>IF($D$3=JU!I784,JU!K784,0)</f>
        <v>0</v>
      </c>
      <c r="H791" s="72">
        <f t="shared" si="13"/>
        <v>67278000</v>
      </c>
    </row>
    <row r="792" spans="2:8" hidden="1">
      <c r="B792" s="68" t="str">
        <f>IF(OR($D$3=JU!$F785,$D$3=JU!$I785),JU!B785,"")</f>
        <v/>
      </c>
      <c r="C792" s="6" t="str">
        <f>IF(OR($D$3=JU!$F785,$D$3=JU!$I785),JU!C785,"")</f>
        <v/>
      </c>
      <c r="D792" s="73" t="str">
        <f>IF(OR($D$3=JU!$F785,$D$3=JU!$I785),JU!D785,"")</f>
        <v/>
      </c>
      <c r="E792" s="74" t="str">
        <f>IF(OR($D$3=JU!$F785,$D$3=JU!$I785),JU!E785,"")</f>
        <v/>
      </c>
      <c r="F792" s="72">
        <f>IF($D$3=JU!F785,JU!H785,0)</f>
        <v>0</v>
      </c>
      <c r="G792" s="72">
        <f>IF($D$3=JU!I785,JU!K785,0)</f>
        <v>0</v>
      </c>
      <c r="H792" s="72">
        <f t="shared" si="13"/>
        <v>67278000</v>
      </c>
    </row>
    <row r="793" spans="2:8" hidden="1">
      <c r="B793" s="68" t="str">
        <f>IF(OR($D$3=JU!$F786,$D$3=JU!$I786),JU!B786,"")</f>
        <v/>
      </c>
      <c r="C793" s="6" t="str">
        <f>IF(OR($D$3=JU!$F786,$D$3=JU!$I786),JU!C786,"")</f>
        <v/>
      </c>
      <c r="D793" s="73" t="str">
        <f>IF(OR($D$3=JU!$F786,$D$3=JU!$I786),JU!D786,"")</f>
        <v/>
      </c>
      <c r="E793" s="74" t="str">
        <f>IF(OR($D$3=JU!$F786,$D$3=JU!$I786),JU!E786,"")</f>
        <v/>
      </c>
      <c r="F793" s="72">
        <f>IF($D$3=JU!F786,JU!H786,0)</f>
        <v>0</v>
      </c>
      <c r="G793" s="72">
        <f>IF($D$3=JU!I786,JU!K786,0)</f>
        <v>0</v>
      </c>
      <c r="H793" s="72">
        <f t="shared" si="13"/>
        <v>67278000</v>
      </c>
    </row>
    <row r="794" spans="2:8" hidden="1">
      <c r="B794" s="68" t="str">
        <f>IF(OR($D$3=JU!$F787,$D$3=JU!$I787),JU!B787,"")</f>
        <v/>
      </c>
      <c r="C794" s="6" t="str">
        <f>IF(OR($D$3=JU!$F787,$D$3=JU!$I787),JU!C787,"")</f>
        <v/>
      </c>
      <c r="D794" s="73" t="str">
        <f>IF(OR($D$3=JU!$F787,$D$3=JU!$I787),JU!D787,"")</f>
        <v/>
      </c>
      <c r="E794" s="74" t="str">
        <f>IF(OR($D$3=JU!$F787,$D$3=JU!$I787),JU!E787,"")</f>
        <v/>
      </c>
      <c r="F794" s="72">
        <f>IF($D$3=JU!F787,JU!H787,0)</f>
        <v>0</v>
      </c>
      <c r="G794" s="72">
        <f>IF($D$3=JU!I787,JU!K787,0)</f>
        <v>0</v>
      </c>
      <c r="H794" s="72">
        <f t="shared" si="13"/>
        <v>67278000</v>
      </c>
    </row>
    <row r="795" spans="2:8" hidden="1">
      <c r="B795" s="68" t="str">
        <f>IF(OR($D$3=JU!$F788,$D$3=JU!$I788),JU!B788,"")</f>
        <v/>
      </c>
      <c r="C795" s="6" t="str">
        <f>IF(OR($D$3=JU!$F788,$D$3=JU!$I788),JU!C788,"")</f>
        <v/>
      </c>
      <c r="D795" s="73" t="str">
        <f>IF(OR($D$3=JU!$F788,$D$3=JU!$I788),JU!D788,"")</f>
        <v/>
      </c>
      <c r="E795" s="74" t="str">
        <f>IF(OR($D$3=JU!$F788,$D$3=JU!$I788),JU!E788,"")</f>
        <v/>
      </c>
      <c r="F795" s="72">
        <f>IF($D$3=JU!F788,JU!H788,0)</f>
        <v>0</v>
      </c>
      <c r="G795" s="72">
        <f>IF($D$3=JU!I788,JU!K788,0)</f>
        <v>0</v>
      </c>
      <c r="H795" s="72">
        <f t="shared" si="13"/>
        <v>67278000</v>
      </c>
    </row>
    <row r="796" spans="2:8" hidden="1">
      <c r="B796" s="68" t="str">
        <f>IF(OR($D$3=JU!$F789,$D$3=JU!$I789),JU!B789,"")</f>
        <v/>
      </c>
      <c r="C796" s="6" t="str">
        <f>IF(OR($D$3=JU!$F789,$D$3=JU!$I789),JU!C789,"")</f>
        <v/>
      </c>
      <c r="D796" s="73" t="str">
        <f>IF(OR($D$3=JU!$F789,$D$3=JU!$I789),JU!D789,"")</f>
        <v/>
      </c>
      <c r="E796" s="74" t="str">
        <f>IF(OR($D$3=JU!$F789,$D$3=JU!$I789),JU!E789,"")</f>
        <v/>
      </c>
      <c r="F796" s="72">
        <f>IF($D$3=JU!F789,JU!H789,0)</f>
        <v>0</v>
      </c>
      <c r="G796" s="72">
        <f>IF($D$3=JU!I789,JU!K789,0)</f>
        <v>0</v>
      </c>
      <c r="H796" s="72">
        <f t="shared" si="13"/>
        <v>67278000</v>
      </c>
    </row>
    <row r="797" spans="2:8">
      <c r="B797" s="68">
        <f>IF(OR($D$3=JU!$F790,$D$3=JU!$I790),JU!B790,"")</f>
        <v>46126</v>
      </c>
      <c r="C797" s="6" t="str">
        <f>IF(OR($D$3=JU!$F790,$D$3=JU!$I790),JU!C790,"")</f>
        <v>PEMBELIAN MATERIAL PABRIKASI (SAKLAR LAMPU GERBANG SN3)</v>
      </c>
      <c r="D797" s="73" t="str">
        <f>IF(OR($D$3=JU!$F790,$D$3=JU!$I790),JU!D790,"")</f>
        <v>By. Biaya PEMBELIAN MATERIAL PABRIKASI (SAKLAR LAMPU GERBANG SN3)</v>
      </c>
      <c r="E797" s="74">
        <f>IF(OR($D$3=JU!$F790,$D$3=JU!$I790),JU!E790,"")</f>
        <v>0</v>
      </c>
      <c r="F797" s="72">
        <f>IF($D$3=JU!F790,JU!H790,0)</f>
        <v>35000</v>
      </c>
      <c r="G797" s="72">
        <f>IF($D$3=JU!I790,JU!K790,0)</f>
        <v>0</v>
      </c>
      <c r="H797" s="72">
        <f t="shared" si="13"/>
        <v>67313000</v>
      </c>
    </row>
    <row r="798" spans="2:8" hidden="1">
      <c r="B798" s="68" t="str">
        <f>IF(OR($D$3=JU!$F791,$D$3=JU!$I791),JU!B791,"")</f>
        <v/>
      </c>
      <c r="C798" s="6" t="str">
        <f>IF(OR($D$3=JU!$F791,$D$3=JU!$I791),JU!C791,"")</f>
        <v/>
      </c>
      <c r="D798" s="73" t="str">
        <f>IF(OR($D$3=JU!$F791,$D$3=JU!$I791),JU!D791,"")</f>
        <v/>
      </c>
      <c r="E798" s="74" t="str">
        <f>IF(OR($D$3=JU!$F791,$D$3=JU!$I791),JU!E791,"")</f>
        <v/>
      </c>
      <c r="F798" s="72">
        <f>IF($D$3=JU!F791,JU!H791,0)</f>
        <v>0</v>
      </c>
      <c r="G798" s="72">
        <f>IF($D$3=JU!I791,JU!K791,0)</f>
        <v>0</v>
      </c>
      <c r="H798" s="72">
        <f t="shared" si="13"/>
        <v>67313000</v>
      </c>
    </row>
    <row r="799" spans="2:8" hidden="1">
      <c r="B799" s="68" t="str">
        <f>IF(OR($D$3=JU!$F792,$D$3=JU!$I792),JU!B792,"")</f>
        <v/>
      </c>
      <c r="C799" s="6" t="str">
        <f>IF(OR($D$3=JU!$F792,$D$3=JU!$I792),JU!C792,"")</f>
        <v/>
      </c>
      <c r="D799" s="73" t="str">
        <f>IF(OR($D$3=JU!$F792,$D$3=JU!$I792),JU!D792,"")</f>
        <v/>
      </c>
      <c r="E799" s="74" t="str">
        <f>IF(OR($D$3=JU!$F792,$D$3=JU!$I792),JU!E792,"")</f>
        <v/>
      </c>
      <c r="F799" s="72">
        <f>IF($D$3=JU!F792,JU!H792,0)</f>
        <v>0</v>
      </c>
      <c r="G799" s="72">
        <f>IF($D$3=JU!I792,JU!K792,0)</f>
        <v>0</v>
      </c>
      <c r="H799" s="72">
        <f t="shared" si="13"/>
        <v>67313000</v>
      </c>
    </row>
    <row r="800" spans="2:8" hidden="1">
      <c r="B800" s="68" t="str">
        <f>IF(OR($D$3=JU!$F793,$D$3=JU!$I793),JU!B793,"")</f>
        <v/>
      </c>
      <c r="C800" s="6" t="str">
        <f>IF(OR($D$3=JU!$F793,$D$3=JU!$I793),JU!C793,"")</f>
        <v/>
      </c>
      <c r="D800" s="73" t="str">
        <f>IF(OR($D$3=JU!$F793,$D$3=JU!$I793),JU!D793,"")</f>
        <v/>
      </c>
      <c r="E800" s="74" t="str">
        <f>IF(OR($D$3=JU!$F793,$D$3=JU!$I793),JU!E793,"")</f>
        <v/>
      </c>
      <c r="F800" s="72">
        <f>IF($D$3=JU!F793,JU!H793,0)</f>
        <v>0</v>
      </c>
      <c r="G800" s="72">
        <f>IF($D$3=JU!I793,JU!K793,0)</f>
        <v>0</v>
      </c>
      <c r="H800" s="72">
        <f t="shared" si="13"/>
        <v>67313000</v>
      </c>
    </row>
    <row r="801" spans="2:8" hidden="1">
      <c r="B801" s="68" t="str">
        <f>IF(OR($D$3=JU!$F794,$D$3=JU!$I794),JU!B794,"")</f>
        <v/>
      </c>
      <c r="C801" s="6" t="str">
        <f>IF(OR($D$3=JU!$F794,$D$3=JU!$I794),JU!C794,"")</f>
        <v/>
      </c>
      <c r="D801" s="73" t="str">
        <f>IF(OR($D$3=JU!$F794,$D$3=JU!$I794),JU!D794,"")</f>
        <v/>
      </c>
      <c r="E801" s="74" t="str">
        <f>IF(OR($D$3=JU!$F794,$D$3=JU!$I794),JU!E794,"")</f>
        <v/>
      </c>
      <c r="F801" s="72">
        <f>IF($D$3=JU!F794,JU!H794,0)</f>
        <v>0</v>
      </c>
      <c r="G801" s="72">
        <f>IF($D$3=JU!I794,JU!K794,0)</f>
        <v>0</v>
      </c>
      <c r="H801" s="72">
        <f t="shared" si="13"/>
        <v>67313000</v>
      </c>
    </row>
    <row r="802" spans="2:8" hidden="1">
      <c r="B802" s="68" t="str">
        <f>IF(OR($D$3=JU!$F795,$D$3=JU!$I795),JU!B795,"")</f>
        <v/>
      </c>
      <c r="C802" s="6" t="str">
        <f>IF(OR($D$3=JU!$F795,$D$3=JU!$I795),JU!C795,"")</f>
        <v/>
      </c>
      <c r="D802" s="73" t="str">
        <f>IF(OR($D$3=JU!$F795,$D$3=JU!$I795),JU!D795,"")</f>
        <v/>
      </c>
      <c r="E802" s="74" t="str">
        <f>IF(OR($D$3=JU!$F795,$D$3=JU!$I795),JU!E795,"")</f>
        <v/>
      </c>
      <c r="F802" s="72">
        <f>IF($D$3=JU!F795,JU!H795,0)</f>
        <v>0</v>
      </c>
      <c r="G802" s="72">
        <f>IF($D$3=JU!I795,JU!K795,0)</f>
        <v>0</v>
      </c>
      <c r="H802" s="72">
        <f t="shared" si="13"/>
        <v>67313000</v>
      </c>
    </row>
    <row r="803" spans="2:8" hidden="1">
      <c r="B803" s="68" t="str">
        <f>IF(OR($D$3=JU!$F796,$D$3=JU!$I796),JU!B796,"")</f>
        <v/>
      </c>
      <c r="C803" s="6" t="str">
        <f>IF(OR($D$3=JU!$F796,$D$3=JU!$I796),JU!C796,"")</f>
        <v/>
      </c>
      <c r="D803" s="73" t="str">
        <f>IF(OR($D$3=JU!$F796,$D$3=JU!$I796),JU!D796,"")</f>
        <v/>
      </c>
      <c r="E803" s="74" t="str">
        <f>IF(OR($D$3=JU!$F796,$D$3=JU!$I796),JU!E796,"")</f>
        <v/>
      </c>
      <c r="F803" s="72">
        <f>IF($D$3=JU!F796,JU!H796,0)</f>
        <v>0</v>
      </c>
      <c r="G803" s="72">
        <f>IF($D$3=JU!I796,JU!K796,0)</f>
        <v>0</v>
      </c>
      <c r="H803" s="72">
        <f t="shared" si="13"/>
        <v>67313000</v>
      </c>
    </row>
    <row r="804" spans="2:8" hidden="1">
      <c r="B804" s="68" t="str">
        <f>IF(OR($D$3=JU!$F797,$D$3=JU!$I797),JU!B797,"")</f>
        <v/>
      </c>
      <c r="C804" s="6" t="str">
        <f>IF(OR($D$3=JU!$F797,$D$3=JU!$I797),JU!C797,"")</f>
        <v/>
      </c>
      <c r="D804" s="73" t="str">
        <f>IF(OR($D$3=JU!$F797,$D$3=JU!$I797),JU!D797,"")</f>
        <v/>
      </c>
      <c r="E804" s="74" t="str">
        <f>IF(OR($D$3=JU!$F797,$D$3=JU!$I797),JU!E797,"")</f>
        <v/>
      </c>
      <c r="F804" s="72">
        <f>IF($D$3=JU!F797,JU!H797,0)</f>
        <v>0</v>
      </c>
      <c r="G804" s="72">
        <f>IF($D$3=JU!I797,JU!K797,0)</f>
        <v>0</v>
      </c>
      <c r="H804" s="72">
        <f t="shared" si="13"/>
        <v>67313000</v>
      </c>
    </row>
    <row r="805" spans="2:8" hidden="1">
      <c r="B805" s="68" t="str">
        <f>IF(OR($D$3=JU!$F798,$D$3=JU!$I798),JU!B798,"")</f>
        <v/>
      </c>
      <c r="C805" s="6" t="str">
        <f>IF(OR($D$3=JU!$F798,$D$3=JU!$I798),JU!C798,"")</f>
        <v/>
      </c>
      <c r="D805" s="73" t="str">
        <f>IF(OR($D$3=JU!$F798,$D$3=JU!$I798),JU!D798,"")</f>
        <v/>
      </c>
      <c r="E805" s="74" t="str">
        <f>IF(OR($D$3=JU!$F798,$D$3=JU!$I798),JU!E798,"")</f>
        <v/>
      </c>
      <c r="F805" s="72">
        <f>IF($D$3=JU!F798,JU!H798,0)</f>
        <v>0</v>
      </c>
      <c r="G805" s="72">
        <f>IF($D$3=JU!I798,JU!K798,0)</f>
        <v>0</v>
      </c>
      <c r="H805" s="72">
        <f t="shared" si="13"/>
        <v>67313000</v>
      </c>
    </row>
    <row r="806" spans="2:8" hidden="1">
      <c r="B806" s="68" t="str">
        <f>IF(OR($D$3=JU!$F799,$D$3=JU!$I799),JU!B799,"")</f>
        <v/>
      </c>
      <c r="C806" s="6" t="str">
        <f>IF(OR($D$3=JU!$F799,$D$3=JU!$I799),JU!C799,"")</f>
        <v/>
      </c>
      <c r="D806" s="73" t="str">
        <f>IF(OR($D$3=JU!$F799,$D$3=JU!$I799),JU!D799,"")</f>
        <v/>
      </c>
      <c r="E806" s="74" t="str">
        <f>IF(OR($D$3=JU!$F799,$D$3=JU!$I799),JU!E799,"")</f>
        <v/>
      </c>
      <c r="F806" s="72">
        <f>IF($D$3=JU!F799,JU!H799,0)</f>
        <v>0</v>
      </c>
      <c r="G806" s="72">
        <f>IF($D$3=JU!I799,JU!K799,0)</f>
        <v>0</v>
      </c>
      <c r="H806" s="72">
        <f t="shared" si="13"/>
        <v>67313000</v>
      </c>
    </row>
    <row r="807" spans="2:8" hidden="1">
      <c r="B807" s="68" t="str">
        <f>IF(OR($D$3=JU!$F800,$D$3=JU!$I800),JU!B800,"")</f>
        <v/>
      </c>
      <c r="C807" s="6" t="str">
        <f>IF(OR($D$3=JU!$F800,$D$3=JU!$I800),JU!C800,"")</f>
        <v/>
      </c>
      <c r="D807" s="73" t="str">
        <f>IF(OR($D$3=JU!$F800,$D$3=JU!$I800),JU!D800,"")</f>
        <v/>
      </c>
      <c r="E807" s="74" t="str">
        <f>IF(OR($D$3=JU!$F800,$D$3=JU!$I800),JU!E800,"")</f>
        <v/>
      </c>
      <c r="F807" s="72">
        <f>IF($D$3=JU!F800,JU!H800,0)</f>
        <v>0</v>
      </c>
      <c r="G807" s="72">
        <f>IF($D$3=JU!I800,JU!K800,0)</f>
        <v>0</v>
      </c>
      <c r="H807" s="72">
        <f t="shared" si="13"/>
        <v>67313000</v>
      </c>
    </row>
    <row r="808" spans="2:8" hidden="1">
      <c r="B808" s="68" t="str">
        <f>IF(OR($D$3=JU!$F801,$D$3=JU!$I801),JU!B801,"")</f>
        <v/>
      </c>
      <c r="C808" s="6" t="str">
        <f>IF(OR($D$3=JU!$F801,$D$3=JU!$I801),JU!C801,"")</f>
        <v/>
      </c>
      <c r="D808" s="73" t="str">
        <f>IF(OR($D$3=JU!$F801,$D$3=JU!$I801),JU!D801,"")</f>
        <v/>
      </c>
      <c r="E808" s="74" t="str">
        <f>IF(OR($D$3=JU!$F801,$D$3=JU!$I801),JU!E801,"")</f>
        <v/>
      </c>
      <c r="F808" s="72">
        <f>IF($D$3=JU!F801,JU!H801,0)</f>
        <v>0</v>
      </c>
      <c r="G808" s="72">
        <f>IF($D$3=JU!I801,JU!K801,0)</f>
        <v>0</v>
      </c>
      <c r="H808" s="72">
        <f t="shared" si="13"/>
        <v>67313000</v>
      </c>
    </row>
    <row r="809" spans="2:8" hidden="1">
      <c r="B809" s="68" t="str">
        <f>IF(OR($D$3=JU!$F802,$D$3=JU!$I802),JU!B802,"")</f>
        <v/>
      </c>
      <c r="C809" s="6" t="str">
        <f>IF(OR($D$3=JU!$F802,$D$3=JU!$I802),JU!C802,"")</f>
        <v/>
      </c>
      <c r="D809" s="73" t="str">
        <f>IF(OR($D$3=JU!$F802,$D$3=JU!$I802),JU!D802,"")</f>
        <v/>
      </c>
      <c r="E809" s="74" t="str">
        <f>IF(OR($D$3=JU!$F802,$D$3=JU!$I802),JU!E802,"")</f>
        <v/>
      </c>
      <c r="F809" s="72">
        <f>IF($D$3=JU!F802,JU!H802,0)</f>
        <v>0</v>
      </c>
      <c r="G809" s="72">
        <f>IF($D$3=JU!I802,JU!K802,0)</f>
        <v>0</v>
      </c>
      <c r="H809" s="72">
        <f t="shared" si="13"/>
        <v>67313000</v>
      </c>
    </row>
    <row r="810" spans="2:8" hidden="1">
      <c r="B810" s="68" t="str">
        <f>IF(OR($D$3=JU!$F803,$D$3=JU!$I803),JU!B803,"")</f>
        <v/>
      </c>
      <c r="C810" s="6" t="str">
        <f>IF(OR($D$3=JU!$F803,$D$3=JU!$I803),JU!C803,"")</f>
        <v/>
      </c>
      <c r="D810" s="73" t="str">
        <f>IF(OR($D$3=JU!$F803,$D$3=JU!$I803),JU!D803,"")</f>
        <v/>
      </c>
      <c r="E810" s="74" t="str">
        <f>IF(OR($D$3=JU!$F803,$D$3=JU!$I803),JU!E803,"")</f>
        <v/>
      </c>
      <c r="F810" s="72">
        <f>IF($D$3=JU!F803,JU!H803,0)</f>
        <v>0</v>
      </c>
      <c r="G810" s="72">
        <f>IF($D$3=JU!I803,JU!K803,0)</f>
        <v>0</v>
      </c>
      <c r="H810" s="72">
        <f t="shared" si="13"/>
        <v>67313000</v>
      </c>
    </row>
    <row r="811" spans="2:8" hidden="1">
      <c r="B811" s="68" t="str">
        <f>IF(OR($D$3=JU!$F804,$D$3=JU!$I804),JU!B804,"")</f>
        <v/>
      </c>
      <c r="C811" s="6" t="str">
        <f>IF(OR($D$3=JU!$F804,$D$3=JU!$I804),JU!C804,"")</f>
        <v/>
      </c>
      <c r="D811" s="73" t="str">
        <f>IF(OR($D$3=JU!$F804,$D$3=JU!$I804),JU!D804,"")</f>
        <v/>
      </c>
      <c r="E811" s="74" t="str">
        <f>IF(OR($D$3=JU!$F804,$D$3=JU!$I804),JU!E804,"")</f>
        <v/>
      </c>
      <c r="F811" s="72">
        <f>IF($D$3=JU!F804,JU!H804,0)</f>
        <v>0</v>
      </c>
      <c r="G811" s="72">
        <f>IF($D$3=JU!I804,JU!K804,0)</f>
        <v>0</v>
      </c>
      <c r="H811" s="72">
        <f t="shared" si="13"/>
        <v>67313000</v>
      </c>
    </row>
    <row r="812" spans="2:8" hidden="1">
      <c r="B812" s="68" t="str">
        <f>IF(OR($D$3=JU!$F805,$D$3=JU!$I805),JU!B805,"")</f>
        <v/>
      </c>
      <c r="C812" s="6" t="str">
        <f>IF(OR($D$3=JU!$F805,$D$3=JU!$I805),JU!C805,"")</f>
        <v/>
      </c>
      <c r="D812" s="73" t="str">
        <f>IF(OR($D$3=JU!$F805,$D$3=JU!$I805),JU!D805,"")</f>
        <v/>
      </c>
      <c r="E812" s="74" t="str">
        <f>IF(OR($D$3=JU!$F805,$D$3=JU!$I805),JU!E805,"")</f>
        <v/>
      </c>
      <c r="F812" s="72">
        <f>IF($D$3=JU!F805,JU!H805,0)</f>
        <v>0</v>
      </c>
      <c r="G812" s="72">
        <f>IF($D$3=JU!I805,JU!K805,0)</f>
        <v>0</v>
      </c>
      <c r="H812" s="72">
        <f t="shared" si="13"/>
        <v>67313000</v>
      </c>
    </row>
    <row r="813" spans="2:8" hidden="1">
      <c r="B813" s="68" t="str">
        <f>IF(OR($D$3=JU!$F806,$D$3=JU!$I806),JU!B806,"")</f>
        <v/>
      </c>
      <c r="C813" s="6" t="str">
        <f>IF(OR($D$3=JU!$F806,$D$3=JU!$I806),JU!C806,"")</f>
        <v/>
      </c>
      <c r="D813" s="73" t="str">
        <f>IF(OR($D$3=JU!$F806,$D$3=JU!$I806),JU!D806,"")</f>
        <v/>
      </c>
      <c r="E813" s="74" t="str">
        <f>IF(OR($D$3=JU!$F806,$D$3=JU!$I806),JU!E806,"")</f>
        <v/>
      </c>
      <c r="F813" s="72">
        <f>IF($D$3=JU!F806,JU!H806,0)</f>
        <v>0</v>
      </c>
      <c r="G813" s="72">
        <f>IF($D$3=JU!I806,JU!K806,0)</f>
        <v>0</v>
      </c>
      <c r="H813" s="72">
        <f t="shared" si="13"/>
        <v>67313000</v>
      </c>
    </row>
    <row r="814" spans="2:8" hidden="1">
      <c r="B814" s="68" t="str">
        <f>IF(OR($D$3=JU!$F807,$D$3=JU!$I807),JU!B807,"")</f>
        <v/>
      </c>
      <c r="C814" s="6" t="str">
        <f>IF(OR($D$3=JU!$F807,$D$3=JU!$I807),JU!C807,"")</f>
        <v/>
      </c>
      <c r="D814" s="73" t="str">
        <f>IF(OR($D$3=JU!$F807,$D$3=JU!$I807),JU!D807,"")</f>
        <v/>
      </c>
      <c r="E814" s="74" t="str">
        <f>IF(OR($D$3=JU!$F807,$D$3=JU!$I807),JU!E807,"")</f>
        <v/>
      </c>
      <c r="F814" s="72">
        <f>IF($D$3=JU!F807,JU!H807,0)</f>
        <v>0</v>
      </c>
      <c r="G814" s="72">
        <f>IF($D$3=JU!I807,JU!K807,0)</f>
        <v>0</v>
      </c>
      <c r="H814" s="72">
        <f t="shared" si="13"/>
        <v>67313000</v>
      </c>
    </row>
    <row r="815" spans="2:8" hidden="1">
      <c r="B815" s="68" t="str">
        <f>IF(OR($D$3=JU!$F808,$D$3=JU!$I808),JU!B808,"")</f>
        <v/>
      </c>
      <c r="C815" s="6" t="str">
        <f>IF(OR($D$3=JU!$F808,$D$3=JU!$I808),JU!C808,"")</f>
        <v/>
      </c>
      <c r="D815" s="73" t="str">
        <f>IF(OR($D$3=JU!$F808,$D$3=JU!$I808),JU!D808,"")</f>
        <v/>
      </c>
      <c r="E815" s="74" t="str">
        <f>IF(OR($D$3=JU!$F808,$D$3=JU!$I808),JU!E808,"")</f>
        <v/>
      </c>
      <c r="F815" s="72">
        <f>IF($D$3=JU!F808,JU!H808,0)</f>
        <v>0</v>
      </c>
      <c r="G815" s="72">
        <f>IF($D$3=JU!I808,JU!K808,0)</f>
        <v>0</v>
      </c>
      <c r="H815" s="72">
        <f t="shared" si="13"/>
        <v>67313000</v>
      </c>
    </row>
    <row r="816" spans="2:8" hidden="1">
      <c r="B816" s="68" t="str">
        <f>IF(OR($D$3=JU!$F809,$D$3=JU!$I809),JU!B809,"")</f>
        <v/>
      </c>
      <c r="C816" s="6" t="str">
        <f>IF(OR($D$3=JU!$F809,$D$3=JU!$I809),JU!C809,"")</f>
        <v/>
      </c>
      <c r="D816" s="73" t="str">
        <f>IF(OR($D$3=JU!$F809,$D$3=JU!$I809),JU!D809,"")</f>
        <v/>
      </c>
      <c r="E816" s="74" t="str">
        <f>IF(OR($D$3=JU!$F809,$D$3=JU!$I809),JU!E809,"")</f>
        <v/>
      </c>
      <c r="F816" s="72">
        <f>IF($D$3=JU!F809,JU!H809,0)</f>
        <v>0</v>
      </c>
      <c r="G816" s="72">
        <f>IF($D$3=JU!I809,JU!K809,0)</f>
        <v>0</v>
      </c>
      <c r="H816" s="72">
        <f t="shared" si="13"/>
        <v>67313000</v>
      </c>
    </row>
    <row r="817" spans="2:8" hidden="1">
      <c r="B817" s="68" t="str">
        <f>IF(OR($D$3=JU!$F810,$D$3=JU!$I810),JU!B810,"")</f>
        <v/>
      </c>
      <c r="C817" s="6" t="str">
        <f>IF(OR($D$3=JU!$F810,$D$3=JU!$I810),JU!C810,"")</f>
        <v/>
      </c>
      <c r="D817" s="73" t="str">
        <f>IF(OR($D$3=JU!$F810,$D$3=JU!$I810),JU!D810,"")</f>
        <v/>
      </c>
      <c r="E817" s="74" t="str">
        <f>IF(OR($D$3=JU!$F810,$D$3=JU!$I810),JU!E810,"")</f>
        <v/>
      </c>
      <c r="F817" s="72">
        <f>IF($D$3=JU!F810,JU!H810,0)</f>
        <v>0</v>
      </c>
      <c r="G817" s="72">
        <f>IF($D$3=JU!I810,JU!K810,0)</f>
        <v>0</v>
      </c>
      <c r="H817" s="72">
        <f t="shared" si="13"/>
        <v>67313000</v>
      </c>
    </row>
    <row r="818" spans="2:8" hidden="1">
      <c r="B818" s="68" t="str">
        <f>IF(OR($D$3=JU!$F811,$D$3=JU!$I811),JU!B811,"")</f>
        <v/>
      </c>
      <c r="C818" s="6" t="str">
        <f>IF(OR($D$3=JU!$F811,$D$3=JU!$I811),JU!C811,"")</f>
        <v/>
      </c>
      <c r="D818" s="73" t="str">
        <f>IF(OR($D$3=JU!$F811,$D$3=JU!$I811),JU!D811,"")</f>
        <v/>
      </c>
      <c r="E818" s="74" t="str">
        <f>IF(OR($D$3=JU!$F811,$D$3=JU!$I811),JU!E811,"")</f>
        <v/>
      </c>
      <c r="F818" s="72">
        <f>IF($D$3=JU!F811,JU!H811,0)</f>
        <v>0</v>
      </c>
      <c r="G818" s="72">
        <f>IF($D$3=JU!I811,JU!K811,0)</f>
        <v>0</v>
      </c>
      <c r="H818" s="72">
        <f t="shared" si="13"/>
        <v>67313000</v>
      </c>
    </row>
    <row r="819" spans="2:8" hidden="1">
      <c r="B819" s="68" t="str">
        <f>IF(OR($D$3=JU!$F812,$D$3=JU!$I812),JU!B812,"")</f>
        <v/>
      </c>
      <c r="C819" s="6" t="str">
        <f>IF(OR($D$3=JU!$F812,$D$3=JU!$I812),JU!C812,"")</f>
        <v/>
      </c>
      <c r="D819" s="73" t="str">
        <f>IF(OR($D$3=JU!$F812,$D$3=JU!$I812),JU!D812,"")</f>
        <v/>
      </c>
      <c r="E819" s="74" t="str">
        <f>IF(OR($D$3=JU!$F812,$D$3=JU!$I812),JU!E812,"")</f>
        <v/>
      </c>
      <c r="F819" s="72">
        <f>IF($D$3=JU!F812,JU!H812,0)</f>
        <v>0</v>
      </c>
      <c r="G819" s="72">
        <f>IF($D$3=JU!I812,JU!K812,0)</f>
        <v>0</v>
      </c>
      <c r="H819" s="72">
        <f t="shared" si="13"/>
        <v>67313000</v>
      </c>
    </row>
    <row r="820" spans="2:8" hidden="1">
      <c r="B820" s="68" t="str">
        <f>IF(OR($D$3=JU!$F813,$D$3=JU!$I813),JU!B813,"")</f>
        <v/>
      </c>
      <c r="C820" s="6" t="str">
        <f>IF(OR($D$3=JU!$F813,$D$3=JU!$I813),JU!C813,"")</f>
        <v/>
      </c>
      <c r="D820" s="73" t="str">
        <f>IF(OR($D$3=JU!$F813,$D$3=JU!$I813),JU!D813,"")</f>
        <v/>
      </c>
      <c r="E820" s="74" t="str">
        <f>IF(OR($D$3=JU!$F813,$D$3=JU!$I813),JU!E813,"")</f>
        <v/>
      </c>
      <c r="F820" s="72">
        <f>IF($D$3=JU!F813,JU!H813,0)</f>
        <v>0</v>
      </c>
      <c r="G820" s="72">
        <f>IF($D$3=JU!I813,JU!K813,0)</f>
        <v>0</v>
      </c>
      <c r="H820" s="72">
        <f t="shared" si="13"/>
        <v>67313000</v>
      </c>
    </row>
    <row r="821" spans="2:8" hidden="1">
      <c r="B821" s="68" t="str">
        <f>IF(OR($D$3=JU!$F814,$D$3=JU!$I814),JU!B814,"")</f>
        <v/>
      </c>
      <c r="C821" s="6" t="str">
        <f>IF(OR($D$3=JU!$F814,$D$3=JU!$I814),JU!C814,"")</f>
        <v/>
      </c>
      <c r="D821" s="73" t="str">
        <f>IF(OR($D$3=JU!$F814,$D$3=JU!$I814),JU!D814,"")</f>
        <v/>
      </c>
      <c r="E821" s="74" t="str">
        <f>IF(OR($D$3=JU!$F814,$D$3=JU!$I814),JU!E814,"")</f>
        <v/>
      </c>
      <c r="F821" s="72">
        <f>IF($D$3=JU!F814,JU!H814,0)</f>
        <v>0</v>
      </c>
      <c r="G821" s="72">
        <f>IF($D$3=JU!I814,JU!K814,0)</f>
        <v>0</v>
      </c>
      <c r="H821" s="72">
        <f t="shared" si="13"/>
        <v>67313000</v>
      </c>
    </row>
    <row r="822" spans="2:8" hidden="1">
      <c r="B822" s="68" t="str">
        <f>IF(OR($D$3=JU!$F815,$D$3=JU!$I815),JU!B815,"")</f>
        <v/>
      </c>
      <c r="C822" s="6" t="str">
        <f>IF(OR($D$3=JU!$F815,$D$3=JU!$I815),JU!C815,"")</f>
        <v/>
      </c>
      <c r="D822" s="73" t="str">
        <f>IF(OR($D$3=JU!$F815,$D$3=JU!$I815),JU!D815,"")</f>
        <v/>
      </c>
      <c r="E822" s="74" t="str">
        <f>IF(OR($D$3=JU!$F815,$D$3=JU!$I815),JU!E815,"")</f>
        <v/>
      </c>
      <c r="F822" s="72">
        <f>IF($D$3=JU!F815,JU!H815,0)</f>
        <v>0</v>
      </c>
      <c r="G822" s="72">
        <f>IF($D$3=JU!I815,JU!K815,0)</f>
        <v>0</v>
      </c>
      <c r="H822" s="72">
        <f t="shared" si="13"/>
        <v>67313000</v>
      </c>
    </row>
    <row r="823" spans="2:8" hidden="1">
      <c r="B823" s="68" t="str">
        <f>IF(OR($D$3=JU!$F816,$D$3=JU!$I816),JU!B816,"")</f>
        <v/>
      </c>
      <c r="C823" s="6" t="str">
        <f>IF(OR($D$3=JU!$F816,$D$3=JU!$I816),JU!C816,"")</f>
        <v/>
      </c>
      <c r="D823" s="73" t="str">
        <f>IF(OR($D$3=JU!$F816,$D$3=JU!$I816),JU!D816,"")</f>
        <v/>
      </c>
      <c r="E823" s="74" t="str">
        <f>IF(OR($D$3=JU!$F816,$D$3=JU!$I816),JU!E816,"")</f>
        <v/>
      </c>
      <c r="F823" s="72">
        <f>IF($D$3=JU!F816,JU!H816,0)</f>
        <v>0</v>
      </c>
      <c r="G823" s="72">
        <f>IF($D$3=JU!I816,JU!K816,0)</f>
        <v>0</v>
      </c>
      <c r="H823" s="72">
        <f t="shared" si="13"/>
        <v>67313000</v>
      </c>
    </row>
    <row r="824" spans="2:8">
      <c r="B824" s="68">
        <f>IF(OR($D$3=JU!$F817,$D$3=JU!$I817),JU!B817,"")</f>
        <v>46128</v>
      </c>
      <c r="C824" s="6" t="str">
        <f>IF(OR($D$3=JU!$F817,$D$3=JU!$I817),JU!C817,"")</f>
        <v>PEMBELIAN MATERAI 500K DAN PEMBAYARAN AIR 1.545 RAHMAT RIZAKTI E23 TAHAP 3</v>
      </c>
      <c r="D824" s="73" t="str">
        <f>IF(OR($D$3=JU!$F817,$D$3=JU!$I817),JU!D817,"")</f>
        <v>By. Biaya PEMBELIAN MATERAI 500K RAHMAT RIZAKTI E23 TAHAP 3</v>
      </c>
      <c r="E824" s="74">
        <f>IF(OR($D$3=JU!$F817,$D$3=JU!$I817),JU!E817,"")</f>
        <v>0</v>
      </c>
      <c r="F824" s="72">
        <f>IF($D$3=JU!F817,JU!H817,0)</f>
        <v>500000</v>
      </c>
      <c r="G824" s="72">
        <f>IF($D$3=JU!I817,JU!K817,0)</f>
        <v>0</v>
      </c>
      <c r="H824" s="72">
        <f t="shared" si="13"/>
        <v>67813000</v>
      </c>
    </row>
    <row r="825" spans="2:8" hidden="1">
      <c r="B825" s="68" t="str">
        <f>IF(OR($D$3=JU!$F818,$D$3=JU!$I818),JU!B818,"")</f>
        <v/>
      </c>
      <c r="C825" s="6" t="str">
        <f>IF(OR($D$3=JU!$F818,$D$3=JU!$I818),JU!C818,"")</f>
        <v/>
      </c>
      <c r="D825" s="73" t="str">
        <f>IF(OR($D$3=JU!$F818,$D$3=JU!$I818),JU!D818,"")</f>
        <v/>
      </c>
      <c r="E825" s="74" t="str">
        <f>IF(OR($D$3=JU!$F818,$D$3=JU!$I818),JU!E818,"")</f>
        <v/>
      </c>
      <c r="F825" s="72">
        <f>IF($D$3=JU!F818,JU!H818,0)</f>
        <v>0</v>
      </c>
      <c r="G825" s="72">
        <f>IF($D$3=JU!I818,JU!K818,0)</f>
        <v>0</v>
      </c>
      <c r="H825" s="72">
        <f t="shared" si="13"/>
        <v>67813000</v>
      </c>
    </row>
    <row r="826" spans="2:8" hidden="1">
      <c r="B826" s="68" t="str">
        <f>IF(OR($D$3=JU!$F819,$D$3=JU!$I819),JU!B819,"")</f>
        <v/>
      </c>
      <c r="C826" s="6" t="str">
        <f>IF(OR($D$3=JU!$F819,$D$3=JU!$I819),JU!C819,"")</f>
        <v/>
      </c>
      <c r="D826" s="73" t="str">
        <f>IF(OR($D$3=JU!$F819,$D$3=JU!$I819),JU!D819,"")</f>
        <v/>
      </c>
      <c r="E826" s="74" t="str">
        <f>IF(OR($D$3=JU!$F819,$D$3=JU!$I819),JU!E819,"")</f>
        <v/>
      </c>
      <c r="F826" s="72">
        <f>IF($D$3=JU!F819,JU!H819,0)</f>
        <v>0</v>
      </c>
      <c r="G826" s="72">
        <f>IF($D$3=JU!I819,JU!K819,0)</f>
        <v>0</v>
      </c>
      <c r="H826" s="72">
        <f t="shared" si="13"/>
        <v>67813000</v>
      </c>
    </row>
    <row r="827" spans="2:8" hidden="1">
      <c r="B827" s="68" t="str">
        <f>IF(OR($D$3=JU!$F820,$D$3=JU!$I820),JU!B820,"")</f>
        <v/>
      </c>
      <c r="C827" s="6" t="str">
        <f>IF(OR($D$3=JU!$F820,$D$3=JU!$I820),JU!C820,"")</f>
        <v/>
      </c>
      <c r="D827" s="73" t="str">
        <f>IF(OR($D$3=JU!$F820,$D$3=JU!$I820),JU!D820,"")</f>
        <v/>
      </c>
      <c r="E827" s="74" t="str">
        <f>IF(OR($D$3=JU!$F820,$D$3=JU!$I820),JU!E820,"")</f>
        <v/>
      </c>
      <c r="F827" s="72">
        <f>IF($D$3=JU!F820,JU!H820,0)</f>
        <v>0</v>
      </c>
      <c r="G827" s="72">
        <f>IF($D$3=JU!I820,JU!K820,0)</f>
        <v>0</v>
      </c>
      <c r="H827" s="72">
        <f t="shared" si="13"/>
        <v>67813000</v>
      </c>
    </row>
    <row r="828" spans="2:8" hidden="1">
      <c r="B828" s="68" t="str">
        <f>IF(OR($D$3=JU!$F821,$D$3=JU!$I821),JU!B821,"")</f>
        <v/>
      </c>
      <c r="C828" s="6" t="str">
        <f>IF(OR($D$3=JU!$F821,$D$3=JU!$I821),JU!C821,"")</f>
        <v/>
      </c>
      <c r="D828" s="73" t="str">
        <f>IF(OR($D$3=JU!$F821,$D$3=JU!$I821),JU!D821,"")</f>
        <v/>
      </c>
      <c r="E828" s="74" t="str">
        <f>IF(OR($D$3=JU!$F821,$D$3=JU!$I821),JU!E821,"")</f>
        <v/>
      </c>
      <c r="F828" s="72">
        <f>IF($D$3=JU!F821,JU!H821,0)</f>
        <v>0</v>
      </c>
      <c r="G828" s="72">
        <f>IF($D$3=JU!I821,JU!K821,0)</f>
        <v>0</v>
      </c>
      <c r="H828" s="72">
        <f t="shared" si="13"/>
        <v>67813000</v>
      </c>
    </row>
    <row r="829" spans="2:8" hidden="1">
      <c r="B829" s="68" t="str">
        <f>IF(OR($D$3=JU!$F822,$D$3=JU!$I822),JU!B822,"")</f>
        <v/>
      </c>
      <c r="C829" s="6" t="str">
        <f>IF(OR($D$3=JU!$F822,$D$3=JU!$I822),JU!C822,"")</f>
        <v/>
      </c>
      <c r="D829" s="73" t="str">
        <f>IF(OR($D$3=JU!$F822,$D$3=JU!$I822),JU!D822,"")</f>
        <v/>
      </c>
      <c r="E829" s="74" t="str">
        <f>IF(OR($D$3=JU!$F822,$D$3=JU!$I822),JU!E822,"")</f>
        <v/>
      </c>
      <c r="F829" s="72">
        <f>IF($D$3=JU!F822,JU!H822,0)</f>
        <v>0</v>
      </c>
      <c r="G829" s="72">
        <f>IF($D$3=JU!I822,JU!K822,0)</f>
        <v>0</v>
      </c>
      <c r="H829" s="72">
        <f t="shared" si="13"/>
        <v>67813000</v>
      </c>
    </row>
    <row r="830" spans="2:8" hidden="1">
      <c r="B830" s="68" t="str">
        <f>IF(OR($D$3=JU!$F823,$D$3=JU!$I823),JU!B823,"")</f>
        <v/>
      </c>
      <c r="C830" s="6" t="str">
        <f>IF(OR($D$3=JU!$F823,$D$3=JU!$I823),JU!C823,"")</f>
        <v/>
      </c>
      <c r="D830" s="73" t="str">
        <f>IF(OR($D$3=JU!$F823,$D$3=JU!$I823),JU!D823,"")</f>
        <v/>
      </c>
      <c r="E830" s="74" t="str">
        <f>IF(OR($D$3=JU!$F823,$D$3=JU!$I823),JU!E823,"")</f>
        <v/>
      </c>
      <c r="F830" s="72">
        <f>IF($D$3=JU!F823,JU!H823,0)</f>
        <v>0</v>
      </c>
      <c r="G830" s="72">
        <f>IF($D$3=JU!I823,JU!K823,0)</f>
        <v>0</v>
      </c>
      <c r="H830" s="72">
        <f t="shared" si="13"/>
        <v>67813000</v>
      </c>
    </row>
    <row r="831" spans="2:8" hidden="1">
      <c r="B831" s="68" t="str">
        <f>IF(OR($D$3=JU!$F824,$D$3=JU!$I824),JU!B824,"")</f>
        <v/>
      </c>
      <c r="C831" s="6" t="str">
        <f>IF(OR($D$3=JU!$F824,$D$3=JU!$I824),JU!C824,"")</f>
        <v/>
      </c>
      <c r="D831" s="73" t="str">
        <f>IF(OR($D$3=JU!$F824,$D$3=JU!$I824),JU!D824,"")</f>
        <v/>
      </c>
      <c r="E831" s="74" t="str">
        <f>IF(OR($D$3=JU!$F824,$D$3=JU!$I824),JU!E824,"")</f>
        <v/>
      </c>
      <c r="F831" s="72">
        <f>IF($D$3=JU!F824,JU!H824,0)</f>
        <v>0</v>
      </c>
      <c r="G831" s="72">
        <f>IF($D$3=JU!I824,JU!K824,0)</f>
        <v>0</v>
      </c>
      <c r="H831" s="72">
        <f t="shared" si="13"/>
        <v>67813000</v>
      </c>
    </row>
    <row r="832" spans="2:8" hidden="1">
      <c r="B832" s="68" t="str">
        <f>IF(OR($D$3=JU!$F825,$D$3=JU!$I825),JU!B825,"")</f>
        <v/>
      </c>
      <c r="C832" s="6" t="str">
        <f>IF(OR($D$3=JU!$F825,$D$3=JU!$I825),JU!C825,"")</f>
        <v/>
      </c>
      <c r="D832" s="73" t="str">
        <f>IF(OR($D$3=JU!$F825,$D$3=JU!$I825),JU!D825,"")</f>
        <v/>
      </c>
      <c r="E832" s="74" t="str">
        <f>IF(OR($D$3=JU!$F825,$D$3=JU!$I825),JU!E825,"")</f>
        <v/>
      </c>
      <c r="F832" s="72">
        <f>IF($D$3=JU!F825,JU!H825,0)</f>
        <v>0</v>
      </c>
      <c r="G832" s="72">
        <f>IF($D$3=JU!I825,JU!K825,0)</f>
        <v>0</v>
      </c>
      <c r="H832" s="72">
        <f t="shared" si="13"/>
        <v>67813000</v>
      </c>
    </row>
    <row r="833" spans="2:8" hidden="1">
      <c r="B833" s="68" t="str">
        <f>IF(OR($D$3=JU!$F826,$D$3=JU!$I826),JU!B826,"")</f>
        <v/>
      </c>
      <c r="C833" s="6" t="str">
        <f>IF(OR($D$3=JU!$F826,$D$3=JU!$I826),JU!C826,"")</f>
        <v/>
      </c>
      <c r="D833" s="73" t="str">
        <f>IF(OR($D$3=JU!$F826,$D$3=JU!$I826),JU!D826,"")</f>
        <v/>
      </c>
      <c r="E833" s="74" t="str">
        <f>IF(OR($D$3=JU!$F826,$D$3=JU!$I826),JU!E826,"")</f>
        <v/>
      </c>
      <c r="F833" s="72">
        <f>IF($D$3=JU!F826,JU!H826,0)</f>
        <v>0</v>
      </c>
      <c r="G833" s="72">
        <f>IF($D$3=JU!I826,JU!K826,0)</f>
        <v>0</v>
      </c>
      <c r="H833" s="72">
        <f t="shared" si="13"/>
        <v>67813000</v>
      </c>
    </row>
    <row r="834" spans="2:8" hidden="1">
      <c r="B834" s="68" t="str">
        <f>IF(OR($D$3=JU!$F827,$D$3=JU!$I827),JU!B827,"")</f>
        <v/>
      </c>
      <c r="C834" s="6" t="str">
        <f>IF(OR($D$3=JU!$F827,$D$3=JU!$I827),JU!C827,"")</f>
        <v/>
      </c>
      <c r="D834" s="73" t="str">
        <f>IF(OR($D$3=JU!$F827,$D$3=JU!$I827),JU!D827,"")</f>
        <v/>
      </c>
      <c r="E834" s="74" t="str">
        <f>IF(OR($D$3=JU!$F827,$D$3=JU!$I827),JU!E827,"")</f>
        <v/>
      </c>
      <c r="F834" s="72">
        <f>IF($D$3=JU!F827,JU!H827,0)</f>
        <v>0</v>
      </c>
      <c r="G834" s="72">
        <f>IF($D$3=JU!I827,JU!K827,0)</f>
        <v>0</v>
      </c>
      <c r="H834" s="72">
        <f t="shared" si="13"/>
        <v>67813000</v>
      </c>
    </row>
    <row r="835" spans="2:8" hidden="1">
      <c r="B835" s="68" t="str">
        <f>IF(OR($D$3=JU!$F828,$D$3=JU!$I828),JU!B828,"")</f>
        <v/>
      </c>
      <c r="C835" s="6" t="str">
        <f>IF(OR($D$3=JU!$F828,$D$3=JU!$I828),JU!C828,"")</f>
        <v/>
      </c>
      <c r="D835" s="73" t="str">
        <f>IF(OR($D$3=JU!$F828,$D$3=JU!$I828),JU!D828,"")</f>
        <v/>
      </c>
      <c r="E835" s="74" t="str">
        <f>IF(OR($D$3=JU!$F828,$D$3=JU!$I828),JU!E828,"")</f>
        <v/>
      </c>
      <c r="F835" s="72">
        <f>IF($D$3=JU!F828,JU!H828,0)</f>
        <v>0</v>
      </c>
      <c r="G835" s="72">
        <f>IF($D$3=JU!I828,JU!K828,0)</f>
        <v>0</v>
      </c>
      <c r="H835" s="72">
        <f t="shared" si="13"/>
        <v>67813000</v>
      </c>
    </row>
    <row r="836" spans="2:8" hidden="1">
      <c r="B836" s="68" t="str">
        <f>IF(OR($D$3=JU!$F829,$D$3=JU!$I829),JU!B829,"")</f>
        <v/>
      </c>
      <c r="C836" s="6" t="str">
        <f>IF(OR($D$3=JU!$F829,$D$3=JU!$I829),JU!C829,"")</f>
        <v/>
      </c>
      <c r="D836" s="73" t="str">
        <f>IF(OR($D$3=JU!$F829,$D$3=JU!$I829),JU!D829,"")</f>
        <v/>
      </c>
      <c r="E836" s="74" t="str">
        <f>IF(OR($D$3=JU!$F829,$D$3=JU!$I829),JU!E829,"")</f>
        <v/>
      </c>
      <c r="F836" s="72">
        <f>IF($D$3=JU!F829,JU!H829,0)</f>
        <v>0</v>
      </c>
      <c r="G836" s="72">
        <f>IF($D$3=JU!I829,JU!K829,0)</f>
        <v>0</v>
      </c>
      <c r="H836" s="72">
        <f t="shared" si="13"/>
        <v>67813000</v>
      </c>
    </row>
    <row r="837" spans="2:8" hidden="1">
      <c r="B837" s="68" t="str">
        <f>IF(OR($D$3=JU!$F830,$D$3=JU!$I830),JU!B830,"")</f>
        <v/>
      </c>
      <c r="C837" s="6" t="str">
        <f>IF(OR($D$3=JU!$F830,$D$3=JU!$I830),JU!C830,"")</f>
        <v/>
      </c>
      <c r="D837" s="73" t="str">
        <f>IF(OR($D$3=JU!$F830,$D$3=JU!$I830),JU!D830,"")</f>
        <v/>
      </c>
      <c r="E837" s="74" t="str">
        <f>IF(OR($D$3=JU!$F830,$D$3=JU!$I830),JU!E830,"")</f>
        <v/>
      </c>
      <c r="F837" s="72">
        <f>IF($D$3=JU!F830,JU!H830,0)</f>
        <v>0</v>
      </c>
      <c r="G837" s="72">
        <f>IF($D$3=JU!I830,JU!K830,0)</f>
        <v>0</v>
      </c>
      <c r="H837" s="72">
        <f t="shared" si="13"/>
        <v>67813000</v>
      </c>
    </row>
    <row r="838" spans="2:8" hidden="1">
      <c r="B838" s="68" t="str">
        <f>IF(OR($D$3=JU!$F831,$D$3=JU!$I831),JU!B831,"")</f>
        <v/>
      </c>
      <c r="C838" s="6" t="str">
        <f>IF(OR($D$3=JU!$F831,$D$3=JU!$I831),JU!C831,"")</f>
        <v/>
      </c>
      <c r="D838" s="73" t="str">
        <f>IF(OR($D$3=JU!$F831,$D$3=JU!$I831),JU!D831,"")</f>
        <v/>
      </c>
      <c r="E838" s="74" t="str">
        <f>IF(OR($D$3=JU!$F831,$D$3=JU!$I831),JU!E831,"")</f>
        <v/>
      </c>
      <c r="F838" s="72">
        <f>IF($D$3=JU!F831,JU!H831,0)</f>
        <v>0</v>
      </c>
      <c r="G838" s="72">
        <f>IF($D$3=JU!I831,JU!K831,0)</f>
        <v>0</v>
      </c>
      <c r="H838" s="72">
        <f t="shared" si="13"/>
        <v>67813000</v>
      </c>
    </row>
    <row r="839" spans="2:8" hidden="1">
      <c r="B839" s="68" t="str">
        <f>IF(OR($D$3=JU!$F832,$D$3=JU!$I832),JU!B832,"")</f>
        <v/>
      </c>
      <c r="C839" s="6" t="str">
        <f>IF(OR($D$3=JU!$F832,$D$3=JU!$I832),JU!C832,"")</f>
        <v/>
      </c>
      <c r="D839" s="73" t="str">
        <f>IF(OR($D$3=JU!$F832,$D$3=JU!$I832),JU!D832,"")</f>
        <v/>
      </c>
      <c r="E839" s="74" t="str">
        <f>IF(OR($D$3=JU!$F832,$D$3=JU!$I832),JU!E832,"")</f>
        <v/>
      </c>
      <c r="F839" s="72">
        <f>IF($D$3=JU!F832,JU!H832,0)</f>
        <v>0</v>
      </c>
      <c r="G839" s="72">
        <f>IF($D$3=JU!I832,JU!K832,0)</f>
        <v>0</v>
      </c>
      <c r="H839" s="72">
        <f t="shared" si="13"/>
        <v>67813000</v>
      </c>
    </row>
    <row r="840" spans="2:8">
      <c r="B840" s="68">
        <f>IF(OR($D$3=JU!$F833,$D$3=JU!$I833),JU!B833,"")</f>
        <v>46128</v>
      </c>
      <c r="C840" s="6" t="str">
        <f>IF(OR($D$3=JU!$F833,$D$3=JU!$I833),JU!C833,"")</f>
        <v>PEMBAYARAN BIAYA NOTARIS RAHMAT RIZAKTI E23 TAHAP 3</v>
      </c>
      <c r="D840" s="73" t="str">
        <f>IF(OR($D$3=JU!$F833,$D$3=JU!$I833),JU!D833,"")</f>
        <v>By. Biaya PEMBAYARAN BIAYA NOTARIS RAHMAT RIZAKTI E23 TAHAP 3</v>
      </c>
      <c r="E840" s="74">
        <f>IF(OR($D$3=JU!$F833,$D$3=JU!$I833),JU!E833,"")</f>
        <v>0</v>
      </c>
      <c r="F840" s="72">
        <f>IF($D$3=JU!F833,JU!H833,0)</f>
        <v>4000000</v>
      </c>
      <c r="G840" s="72">
        <f>IF($D$3=JU!I833,JU!K833,0)</f>
        <v>0</v>
      </c>
      <c r="H840" s="72">
        <f t="shared" si="13"/>
        <v>71813000</v>
      </c>
    </row>
    <row r="841" spans="2:8" hidden="1">
      <c r="B841" s="68" t="str">
        <f>IF(OR($D$3=JU!$F834,$D$3=JU!$I834),JU!B834,"")</f>
        <v/>
      </c>
      <c r="C841" s="6" t="str">
        <f>IF(OR($D$3=JU!$F834,$D$3=JU!$I834),JU!C834,"")</f>
        <v/>
      </c>
      <c r="D841" s="73" t="str">
        <f>IF(OR($D$3=JU!$F834,$D$3=JU!$I834),JU!D834,"")</f>
        <v/>
      </c>
      <c r="E841" s="74" t="str">
        <f>IF(OR($D$3=JU!$F834,$D$3=JU!$I834),JU!E834,"")</f>
        <v/>
      </c>
      <c r="F841" s="72">
        <f>IF($D$3=JU!F834,JU!H834,0)</f>
        <v>0</v>
      </c>
      <c r="G841" s="72">
        <f>IF($D$3=JU!I834,JU!K834,0)</f>
        <v>0</v>
      </c>
      <c r="H841" s="72">
        <f t="shared" si="13"/>
        <v>71813000</v>
      </c>
    </row>
    <row r="842" spans="2:8" hidden="1">
      <c r="B842" s="68" t="str">
        <f>IF(OR($D$3=JU!$F835,$D$3=JU!$I835),JU!B835,"")</f>
        <v/>
      </c>
      <c r="C842" s="6" t="str">
        <f>IF(OR($D$3=JU!$F835,$D$3=JU!$I835),JU!C835,"")</f>
        <v/>
      </c>
      <c r="D842" s="73" t="str">
        <f>IF(OR($D$3=JU!$F835,$D$3=JU!$I835),JU!D835,"")</f>
        <v/>
      </c>
      <c r="E842" s="74" t="str">
        <f>IF(OR($D$3=JU!$F835,$D$3=JU!$I835),JU!E835,"")</f>
        <v/>
      </c>
      <c r="F842" s="72">
        <f>IF($D$3=JU!F835,JU!H835,0)</f>
        <v>0</v>
      </c>
      <c r="G842" s="72">
        <f>IF($D$3=JU!I835,JU!K835,0)</f>
        <v>0</v>
      </c>
      <c r="H842" s="72">
        <f t="shared" si="13"/>
        <v>71813000</v>
      </c>
    </row>
    <row r="843" spans="2:8" hidden="1">
      <c r="B843" s="68" t="str">
        <f>IF(OR($D$3=JU!$F836,$D$3=JU!$I836),JU!B836,"")</f>
        <v/>
      </c>
      <c r="C843" s="6" t="str">
        <f>IF(OR($D$3=JU!$F836,$D$3=JU!$I836),JU!C836,"")</f>
        <v/>
      </c>
      <c r="D843" s="73" t="str">
        <f>IF(OR($D$3=JU!$F836,$D$3=JU!$I836),JU!D836,"")</f>
        <v/>
      </c>
      <c r="E843" s="74" t="str">
        <f>IF(OR($D$3=JU!$F836,$D$3=JU!$I836),JU!E836,"")</f>
        <v/>
      </c>
      <c r="F843" s="72">
        <f>IF($D$3=JU!F836,JU!H836,0)</f>
        <v>0</v>
      </c>
      <c r="G843" s="72">
        <f>IF($D$3=JU!I836,JU!K836,0)</f>
        <v>0</v>
      </c>
      <c r="H843" s="72">
        <f t="shared" si="13"/>
        <v>71813000</v>
      </c>
    </row>
    <row r="844" spans="2:8" hidden="1">
      <c r="B844" s="68" t="str">
        <f>IF(OR($D$3=JU!$F837,$D$3=JU!$I837),JU!B837,"")</f>
        <v/>
      </c>
      <c r="C844" s="6" t="str">
        <f>IF(OR($D$3=JU!$F837,$D$3=JU!$I837),JU!C837,"")</f>
        <v/>
      </c>
      <c r="D844" s="73" t="str">
        <f>IF(OR($D$3=JU!$F837,$D$3=JU!$I837),JU!D837,"")</f>
        <v/>
      </c>
      <c r="E844" s="74" t="str">
        <f>IF(OR($D$3=JU!$F837,$D$3=JU!$I837),JU!E837,"")</f>
        <v/>
      </c>
      <c r="F844" s="72">
        <f>IF($D$3=JU!F837,JU!H837,0)</f>
        <v>0</v>
      </c>
      <c r="G844" s="72">
        <f>IF($D$3=JU!I837,JU!K837,0)</f>
        <v>0</v>
      </c>
      <c r="H844" s="72">
        <f t="shared" si="13"/>
        <v>71813000</v>
      </c>
    </row>
    <row r="845" spans="2:8" hidden="1">
      <c r="B845" s="68" t="str">
        <f>IF(OR($D$3=JU!$F838,$D$3=JU!$I838),JU!B838,"")</f>
        <v/>
      </c>
      <c r="C845" s="6" t="str">
        <f>IF(OR($D$3=JU!$F838,$D$3=JU!$I838),JU!C838,"")</f>
        <v/>
      </c>
      <c r="D845" s="73" t="str">
        <f>IF(OR($D$3=JU!$F838,$D$3=JU!$I838),JU!D838,"")</f>
        <v/>
      </c>
      <c r="E845" s="74" t="str">
        <f>IF(OR($D$3=JU!$F838,$D$3=JU!$I838),JU!E838,"")</f>
        <v/>
      </c>
      <c r="F845" s="72">
        <f>IF($D$3=JU!F838,JU!H838,0)</f>
        <v>0</v>
      </c>
      <c r="G845" s="72">
        <f>IF($D$3=JU!I838,JU!K838,0)</f>
        <v>0</v>
      </c>
      <c r="H845" s="72">
        <f t="shared" si="13"/>
        <v>71813000</v>
      </c>
    </row>
    <row r="846" spans="2:8" hidden="1">
      <c r="B846" s="68" t="str">
        <f>IF(OR($D$3=JU!$F839,$D$3=JU!$I839),JU!B839,"")</f>
        <v/>
      </c>
      <c r="C846" s="6" t="str">
        <f>IF(OR($D$3=JU!$F839,$D$3=JU!$I839),JU!C839,"")</f>
        <v/>
      </c>
      <c r="D846" s="73" t="str">
        <f>IF(OR($D$3=JU!$F839,$D$3=JU!$I839),JU!D839,"")</f>
        <v/>
      </c>
      <c r="E846" s="74" t="str">
        <f>IF(OR($D$3=JU!$F839,$D$3=JU!$I839),JU!E839,"")</f>
        <v/>
      </c>
      <c r="F846" s="72">
        <f>IF($D$3=JU!F839,JU!H839,0)</f>
        <v>0</v>
      </c>
      <c r="G846" s="72">
        <f>IF($D$3=JU!I839,JU!K839,0)</f>
        <v>0</v>
      </c>
      <c r="H846" s="72">
        <f t="shared" ref="H846:H909" si="14">IF($H$7="DEBET",H845+F846-G846,H845+G846-F846)</f>
        <v>71813000</v>
      </c>
    </row>
    <row r="847" spans="2:8" hidden="1">
      <c r="B847" s="68" t="str">
        <f>IF(OR($D$3=JU!$F840,$D$3=JU!$I840),JU!B840,"")</f>
        <v/>
      </c>
      <c r="C847" s="6" t="str">
        <f>IF(OR($D$3=JU!$F840,$D$3=JU!$I840),JU!C840,"")</f>
        <v/>
      </c>
      <c r="D847" s="73" t="str">
        <f>IF(OR($D$3=JU!$F840,$D$3=JU!$I840),JU!D840,"")</f>
        <v/>
      </c>
      <c r="E847" s="74" t="str">
        <f>IF(OR($D$3=JU!$F840,$D$3=JU!$I840),JU!E840,"")</f>
        <v/>
      </c>
      <c r="F847" s="72">
        <f>IF($D$3=JU!F840,JU!H840,0)</f>
        <v>0</v>
      </c>
      <c r="G847" s="72">
        <f>IF($D$3=JU!I840,JU!K840,0)</f>
        <v>0</v>
      </c>
      <c r="H847" s="72">
        <f t="shared" si="14"/>
        <v>71813000</v>
      </c>
    </row>
    <row r="848" spans="2:8" hidden="1">
      <c r="B848" s="68" t="str">
        <f>IF(OR($D$3=JU!$F841,$D$3=JU!$I841),JU!B841,"")</f>
        <v/>
      </c>
      <c r="C848" s="6" t="str">
        <f>IF(OR($D$3=JU!$F841,$D$3=JU!$I841),JU!C841,"")</f>
        <v/>
      </c>
      <c r="D848" s="73" t="str">
        <f>IF(OR($D$3=JU!$F841,$D$3=JU!$I841),JU!D841,"")</f>
        <v/>
      </c>
      <c r="E848" s="74" t="str">
        <f>IF(OR($D$3=JU!$F841,$D$3=JU!$I841),JU!E841,"")</f>
        <v/>
      </c>
      <c r="F848" s="72">
        <f>IF($D$3=JU!F841,JU!H841,0)</f>
        <v>0</v>
      </c>
      <c r="G848" s="72">
        <f>IF($D$3=JU!I841,JU!K841,0)</f>
        <v>0</v>
      </c>
      <c r="H848" s="72">
        <f t="shared" si="14"/>
        <v>71813000</v>
      </c>
    </row>
    <row r="849" spans="2:8" hidden="1">
      <c r="B849" s="68" t="str">
        <f>IF(OR($D$3=JU!$F842,$D$3=JU!$I842),JU!B842,"")</f>
        <v/>
      </c>
      <c r="C849" s="6" t="str">
        <f>IF(OR($D$3=JU!$F842,$D$3=JU!$I842),JU!C842,"")</f>
        <v/>
      </c>
      <c r="D849" s="73" t="str">
        <f>IF(OR($D$3=JU!$F842,$D$3=JU!$I842),JU!D842,"")</f>
        <v/>
      </c>
      <c r="E849" s="74" t="str">
        <f>IF(OR($D$3=JU!$F842,$D$3=JU!$I842),JU!E842,"")</f>
        <v/>
      </c>
      <c r="F849" s="72">
        <f>IF($D$3=JU!F842,JU!H842,0)</f>
        <v>0</v>
      </c>
      <c r="G849" s="72">
        <f>IF($D$3=JU!I842,JU!K842,0)</f>
        <v>0</v>
      </c>
      <c r="H849" s="72">
        <f t="shared" si="14"/>
        <v>71813000</v>
      </c>
    </row>
    <row r="850" spans="2:8" hidden="1">
      <c r="B850" s="68" t="str">
        <f>IF(OR($D$3=JU!$F843,$D$3=JU!$I843),JU!B843,"")</f>
        <v/>
      </c>
      <c r="C850" s="6" t="str">
        <f>IF(OR($D$3=JU!$F843,$D$3=JU!$I843),JU!C843,"")</f>
        <v/>
      </c>
      <c r="D850" s="73" t="str">
        <f>IF(OR($D$3=JU!$F843,$D$3=JU!$I843),JU!D843,"")</f>
        <v/>
      </c>
      <c r="E850" s="74" t="str">
        <f>IF(OR($D$3=JU!$F843,$D$3=JU!$I843),JU!E843,"")</f>
        <v/>
      </c>
      <c r="F850" s="72">
        <f>IF($D$3=JU!F843,JU!H843,0)</f>
        <v>0</v>
      </c>
      <c r="G850" s="72">
        <f>IF($D$3=JU!I843,JU!K843,0)</f>
        <v>0</v>
      </c>
      <c r="H850" s="72">
        <f t="shared" si="14"/>
        <v>71813000</v>
      </c>
    </row>
    <row r="851" spans="2:8">
      <c r="B851" s="68">
        <f>IF(OR($D$3=JU!$F844,$D$3=JU!$I844),JU!B844,"")</f>
        <v>46129</v>
      </c>
      <c r="C851" s="6" t="str">
        <f>IF(OR($D$3=JU!$F844,$D$3=JU!$I844),JU!C844,"")</f>
        <v>PEMBAYARAN BIAYA NOTARIS D20 RINA TAHAP 3</v>
      </c>
      <c r="D851" s="73" t="str">
        <f>IF(OR($D$3=JU!$F844,$D$3=JU!$I844),JU!D844,"")</f>
        <v>By. Biaya PEMBAYARAN BIAYA NOTARIS D20 RINA TAHAP 3</v>
      </c>
      <c r="E851" s="74">
        <f>IF(OR($D$3=JU!$F844,$D$3=JU!$I844),JU!E844,"")</f>
        <v>0</v>
      </c>
      <c r="F851" s="72">
        <f>IF($D$3=JU!F844,JU!H844,0)</f>
        <v>4000000</v>
      </c>
      <c r="G851" s="72">
        <f>IF($D$3=JU!I844,JU!K844,0)</f>
        <v>0</v>
      </c>
      <c r="H851" s="72">
        <f t="shared" si="14"/>
        <v>75813000</v>
      </c>
    </row>
    <row r="852" spans="2:8" hidden="1">
      <c r="B852" s="68" t="str">
        <f>IF(OR($D$3=JU!$F845,$D$3=JU!$I845),JU!B845,"")</f>
        <v/>
      </c>
      <c r="C852" s="6" t="str">
        <f>IF(OR($D$3=JU!$F845,$D$3=JU!$I845),JU!C845,"")</f>
        <v/>
      </c>
      <c r="D852" s="73" t="str">
        <f>IF(OR($D$3=JU!$F845,$D$3=JU!$I845),JU!D845,"")</f>
        <v/>
      </c>
      <c r="E852" s="74" t="str">
        <f>IF(OR($D$3=JU!$F845,$D$3=JU!$I845),JU!E845,"")</f>
        <v/>
      </c>
      <c r="F852" s="72">
        <f>IF($D$3=JU!F845,JU!H845,0)</f>
        <v>0</v>
      </c>
      <c r="G852" s="72">
        <f>IF($D$3=JU!I845,JU!K845,0)</f>
        <v>0</v>
      </c>
      <c r="H852" s="72">
        <f t="shared" si="14"/>
        <v>75813000</v>
      </c>
    </row>
    <row r="853" spans="2:8" hidden="1">
      <c r="B853" s="68" t="str">
        <f>IF(OR($D$3=JU!$F846,$D$3=JU!$I846),JU!B846,"")</f>
        <v/>
      </c>
      <c r="C853" s="6" t="str">
        <f>IF(OR($D$3=JU!$F846,$D$3=JU!$I846),JU!C846,"")</f>
        <v/>
      </c>
      <c r="D853" s="73" t="str">
        <f>IF(OR($D$3=JU!$F846,$D$3=JU!$I846),JU!D846,"")</f>
        <v/>
      </c>
      <c r="E853" s="74" t="str">
        <f>IF(OR($D$3=JU!$F846,$D$3=JU!$I846),JU!E846,"")</f>
        <v/>
      </c>
      <c r="F853" s="72">
        <f>IF($D$3=JU!F846,JU!H846,0)</f>
        <v>0</v>
      </c>
      <c r="G853" s="72">
        <f>IF($D$3=JU!I846,JU!K846,0)</f>
        <v>0</v>
      </c>
      <c r="H853" s="72">
        <f t="shared" si="14"/>
        <v>75813000</v>
      </c>
    </row>
    <row r="854" spans="2:8" hidden="1">
      <c r="B854" s="68" t="str">
        <f>IF(OR($D$3=JU!$F847,$D$3=JU!$I847),JU!B847,"")</f>
        <v/>
      </c>
      <c r="C854" s="6" t="str">
        <f>IF(OR($D$3=JU!$F847,$D$3=JU!$I847),JU!C847,"")</f>
        <v/>
      </c>
      <c r="D854" s="73" t="str">
        <f>IF(OR($D$3=JU!$F847,$D$3=JU!$I847),JU!D847,"")</f>
        <v/>
      </c>
      <c r="E854" s="74" t="str">
        <f>IF(OR($D$3=JU!$F847,$D$3=JU!$I847),JU!E847,"")</f>
        <v/>
      </c>
      <c r="F854" s="72">
        <f>IF($D$3=JU!F847,JU!H847,0)</f>
        <v>0</v>
      </c>
      <c r="G854" s="72">
        <f>IF($D$3=JU!I847,JU!K847,0)</f>
        <v>0</v>
      </c>
      <c r="H854" s="72">
        <f t="shared" si="14"/>
        <v>75813000</v>
      </c>
    </row>
    <row r="855" spans="2:8" hidden="1">
      <c r="B855" s="68" t="str">
        <f>IF(OR($D$3=JU!$F848,$D$3=JU!$I848),JU!B848,"")</f>
        <v/>
      </c>
      <c r="C855" s="6" t="str">
        <f>IF(OR($D$3=JU!$F848,$D$3=JU!$I848),JU!C848,"")</f>
        <v/>
      </c>
      <c r="D855" s="73" t="str">
        <f>IF(OR($D$3=JU!$F848,$D$3=JU!$I848),JU!D848,"")</f>
        <v/>
      </c>
      <c r="E855" s="74" t="str">
        <f>IF(OR($D$3=JU!$F848,$D$3=JU!$I848),JU!E848,"")</f>
        <v/>
      </c>
      <c r="F855" s="72">
        <f>IF($D$3=JU!F848,JU!H848,0)</f>
        <v>0</v>
      </c>
      <c r="G855" s="72">
        <f>IF($D$3=JU!I848,JU!K848,0)</f>
        <v>0</v>
      </c>
      <c r="H855" s="72">
        <f t="shared" si="14"/>
        <v>75813000</v>
      </c>
    </row>
    <row r="856" spans="2:8" hidden="1">
      <c r="B856" s="68" t="str">
        <f>IF(OR($D$3=JU!$F849,$D$3=JU!$I849),JU!B849,"")</f>
        <v/>
      </c>
      <c r="C856" s="6" t="str">
        <f>IF(OR($D$3=JU!$F849,$D$3=JU!$I849),JU!C849,"")</f>
        <v/>
      </c>
      <c r="D856" s="73" t="str">
        <f>IF(OR($D$3=JU!$F849,$D$3=JU!$I849),JU!D849,"")</f>
        <v/>
      </c>
      <c r="E856" s="74" t="str">
        <f>IF(OR($D$3=JU!$F849,$D$3=JU!$I849),JU!E849,"")</f>
        <v/>
      </c>
      <c r="F856" s="72">
        <f>IF($D$3=JU!F849,JU!H849,0)</f>
        <v>0</v>
      </c>
      <c r="G856" s="72">
        <f>IF($D$3=JU!I849,JU!K849,0)</f>
        <v>0</v>
      </c>
      <c r="H856" s="72">
        <f t="shared" si="14"/>
        <v>75813000</v>
      </c>
    </row>
    <row r="857" spans="2:8" hidden="1">
      <c r="B857" s="68" t="str">
        <f>IF(OR($D$3=JU!$F850,$D$3=JU!$I850),JU!B850,"")</f>
        <v/>
      </c>
      <c r="C857" s="6" t="str">
        <f>IF(OR($D$3=JU!$F850,$D$3=JU!$I850),JU!C850,"")</f>
        <v/>
      </c>
      <c r="D857" s="73" t="str">
        <f>IF(OR($D$3=JU!$F850,$D$3=JU!$I850),JU!D850,"")</f>
        <v/>
      </c>
      <c r="E857" s="74" t="str">
        <f>IF(OR($D$3=JU!$F850,$D$3=JU!$I850),JU!E850,"")</f>
        <v/>
      </c>
      <c r="F857" s="72">
        <f>IF($D$3=JU!F850,JU!H850,0)</f>
        <v>0</v>
      </c>
      <c r="G857" s="72">
        <f>IF($D$3=JU!I850,JU!K850,0)</f>
        <v>0</v>
      </c>
      <c r="H857" s="72">
        <f t="shared" si="14"/>
        <v>75813000</v>
      </c>
    </row>
    <row r="858" spans="2:8" hidden="1">
      <c r="B858" s="68" t="str">
        <f>IF(OR($D$3=JU!$F851,$D$3=JU!$I851),JU!B851,"")</f>
        <v/>
      </c>
      <c r="C858" s="6" t="str">
        <f>IF(OR($D$3=JU!$F851,$D$3=JU!$I851),JU!C851,"")</f>
        <v/>
      </c>
      <c r="D858" s="73" t="str">
        <f>IF(OR($D$3=JU!$F851,$D$3=JU!$I851),JU!D851,"")</f>
        <v/>
      </c>
      <c r="E858" s="74" t="str">
        <f>IF(OR($D$3=JU!$F851,$D$3=JU!$I851),JU!E851,"")</f>
        <v/>
      </c>
      <c r="F858" s="72">
        <f>IF($D$3=JU!F851,JU!H851,0)</f>
        <v>0</v>
      </c>
      <c r="G858" s="72">
        <f>IF($D$3=JU!I851,JU!K851,0)</f>
        <v>0</v>
      </c>
      <c r="H858" s="72">
        <f t="shared" si="14"/>
        <v>75813000</v>
      </c>
    </row>
    <row r="859" spans="2:8" hidden="1">
      <c r="B859" s="68" t="str">
        <f>IF(OR($D$3=JU!$F852,$D$3=JU!$I852),JU!B852,"")</f>
        <v/>
      </c>
      <c r="C859" s="6" t="str">
        <f>IF(OR($D$3=JU!$F852,$D$3=JU!$I852),JU!C852,"")</f>
        <v/>
      </c>
      <c r="D859" s="73" t="str">
        <f>IF(OR($D$3=JU!$F852,$D$3=JU!$I852),JU!D852,"")</f>
        <v/>
      </c>
      <c r="E859" s="74" t="str">
        <f>IF(OR($D$3=JU!$F852,$D$3=JU!$I852),JU!E852,"")</f>
        <v/>
      </c>
      <c r="F859" s="72">
        <f>IF($D$3=JU!F852,JU!H852,0)</f>
        <v>0</v>
      </c>
      <c r="G859" s="72">
        <f>IF($D$3=JU!I852,JU!K852,0)</f>
        <v>0</v>
      </c>
      <c r="H859" s="72">
        <f t="shared" si="14"/>
        <v>75813000</v>
      </c>
    </row>
    <row r="860" spans="2:8" hidden="1">
      <c r="B860" s="68" t="str">
        <f>IF(OR($D$3=JU!$F853,$D$3=JU!$I853),JU!B853,"")</f>
        <v/>
      </c>
      <c r="C860" s="6" t="str">
        <f>IF(OR($D$3=JU!$F853,$D$3=JU!$I853),JU!C853,"")</f>
        <v/>
      </c>
      <c r="D860" s="73" t="str">
        <f>IF(OR($D$3=JU!$F853,$D$3=JU!$I853),JU!D853,"")</f>
        <v/>
      </c>
      <c r="E860" s="74" t="str">
        <f>IF(OR($D$3=JU!$F853,$D$3=JU!$I853),JU!E853,"")</f>
        <v/>
      </c>
      <c r="F860" s="72">
        <f>IF($D$3=JU!F853,JU!H853,0)</f>
        <v>0</v>
      </c>
      <c r="G860" s="72">
        <f>IF($D$3=JU!I853,JU!K853,0)</f>
        <v>0</v>
      </c>
      <c r="H860" s="72">
        <f t="shared" si="14"/>
        <v>75813000</v>
      </c>
    </row>
    <row r="861" spans="2:8" hidden="1">
      <c r="B861" s="68" t="str">
        <f>IF(OR($D$3=JU!$F854,$D$3=JU!$I854),JU!B854,"")</f>
        <v/>
      </c>
      <c r="C861" s="6" t="str">
        <f>IF(OR($D$3=JU!$F854,$D$3=JU!$I854),JU!C854,"")</f>
        <v/>
      </c>
      <c r="D861" s="73" t="str">
        <f>IF(OR($D$3=JU!$F854,$D$3=JU!$I854),JU!D854,"")</f>
        <v/>
      </c>
      <c r="E861" s="74" t="str">
        <f>IF(OR($D$3=JU!$F854,$D$3=JU!$I854),JU!E854,"")</f>
        <v/>
      </c>
      <c r="F861" s="72">
        <f>IF($D$3=JU!F854,JU!H854,0)</f>
        <v>0</v>
      </c>
      <c r="G861" s="72">
        <f>IF($D$3=JU!I854,JU!K854,0)</f>
        <v>0</v>
      </c>
      <c r="H861" s="72">
        <f t="shared" si="14"/>
        <v>75813000</v>
      </c>
    </row>
    <row r="862" spans="2:8" hidden="1">
      <c r="B862" s="68" t="str">
        <f>IF(OR($D$3=JU!$F855,$D$3=JU!$I855),JU!B855,"")</f>
        <v/>
      </c>
      <c r="C862" s="6" t="str">
        <f>IF(OR($D$3=JU!$F855,$D$3=JU!$I855),JU!C855,"")</f>
        <v/>
      </c>
      <c r="D862" s="73" t="str">
        <f>IF(OR($D$3=JU!$F855,$D$3=JU!$I855),JU!D855,"")</f>
        <v/>
      </c>
      <c r="E862" s="74" t="str">
        <f>IF(OR($D$3=JU!$F855,$D$3=JU!$I855),JU!E855,"")</f>
        <v/>
      </c>
      <c r="F862" s="72">
        <f>IF($D$3=JU!F855,JU!H855,0)</f>
        <v>0</v>
      </c>
      <c r="G862" s="72">
        <f>IF($D$3=JU!I855,JU!K855,0)</f>
        <v>0</v>
      </c>
      <c r="H862" s="72">
        <f t="shared" si="14"/>
        <v>75813000</v>
      </c>
    </row>
    <row r="863" spans="2:8" hidden="1">
      <c r="B863" s="68" t="str">
        <f>IF(OR($D$3=JU!$F856,$D$3=JU!$I856),JU!B856,"")</f>
        <v/>
      </c>
      <c r="C863" s="6" t="str">
        <f>IF(OR($D$3=JU!$F856,$D$3=JU!$I856),JU!C856,"")</f>
        <v/>
      </c>
      <c r="D863" s="73" t="str">
        <f>IF(OR($D$3=JU!$F856,$D$3=JU!$I856),JU!D856,"")</f>
        <v/>
      </c>
      <c r="E863" s="74" t="str">
        <f>IF(OR($D$3=JU!$F856,$D$3=JU!$I856),JU!E856,"")</f>
        <v/>
      </c>
      <c r="F863" s="72">
        <f>IF($D$3=JU!F856,JU!H856,0)</f>
        <v>0</v>
      </c>
      <c r="G863" s="72">
        <f>IF($D$3=JU!I856,JU!K856,0)</f>
        <v>0</v>
      </c>
      <c r="H863" s="72">
        <f t="shared" si="14"/>
        <v>75813000</v>
      </c>
    </row>
    <row r="864" spans="2:8" hidden="1">
      <c r="B864" s="68" t="str">
        <f>IF(OR($D$3=JU!$F857,$D$3=JU!$I857),JU!B857,"")</f>
        <v/>
      </c>
      <c r="C864" s="6" t="str">
        <f>IF(OR($D$3=JU!$F857,$D$3=JU!$I857),JU!C857,"")</f>
        <v/>
      </c>
      <c r="D864" s="73" t="str">
        <f>IF(OR($D$3=JU!$F857,$D$3=JU!$I857),JU!D857,"")</f>
        <v/>
      </c>
      <c r="E864" s="74" t="str">
        <f>IF(OR($D$3=JU!$F857,$D$3=JU!$I857),JU!E857,"")</f>
        <v/>
      </c>
      <c r="F864" s="72">
        <f>IF($D$3=JU!F857,JU!H857,0)</f>
        <v>0</v>
      </c>
      <c r="G864" s="72">
        <f>IF($D$3=JU!I857,JU!K857,0)</f>
        <v>0</v>
      </c>
      <c r="H864" s="72">
        <f t="shared" si="14"/>
        <v>75813000</v>
      </c>
    </row>
    <row r="865" spans="2:8" hidden="1">
      <c r="B865" s="68" t="str">
        <f>IF(OR($D$3=JU!$F858,$D$3=JU!$I858),JU!B858,"")</f>
        <v/>
      </c>
      <c r="C865" s="6" t="str">
        <f>IF(OR($D$3=JU!$F858,$D$3=JU!$I858),JU!C858,"")</f>
        <v/>
      </c>
      <c r="D865" s="73" t="str">
        <f>IF(OR($D$3=JU!$F858,$D$3=JU!$I858),JU!D858,"")</f>
        <v/>
      </c>
      <c r="E865" s="74" t="str">
        <f>IF(OR($D$3=JU!$F858,$D$3=JU!$I858),JU!E858,"")</f>
        <v/>
      </c>
      <c r="F865" s="72">
        <f>IF($D$3=JU!F858,JU!H858,0)</f>
        <v>0</v>
      </c>
      <c r="G865" s="72">
        <f>IF($D$3=JU!I858,JU!K858,0)</f>
        <v>0</v>
      </c>
      <c r="H865" s="72">
        <f t="shared" si="14"/>
        <v>75813000</v>
      </c>
    </row>
    <row r="866" spans="2:8" hidden="1">
      <c r="B866" s="68" t="str">
        <f>IF(OR($D$3=JU!$F859,$D$3=JU!$I859),JU!B859,"")</f>
        <v/>
      </c>
      <c r="C866" s="6" t="str">
        <f>IF(OR($D$3=JU!$F859,$D$3=JU!$I859),JU!C859,"")</f>
        <v/>
      </c>
      <c r="D866" s="73" t="str">
        <f>IF(OR($D$3=JU!$F859,$D$3=JU!$I859),JU!D859,"")</f>
        <v/>
      </c>
      <c r="E866" s="74" t="str">
        <f>IF(OR($D$3=JU!$F859,$D$3=JU!$I859),JU!E859,"")</f>
        <v/>
      </c>
      <c r="F866" s="72">
        <f>IF($D$3=JU!F859,JU!H859,0)</f>
        <v>0</v>
      </c>
      <c r="G866" s="72">
        <f>IF($D$3=JU!I859,JU!K859,0)</f>
        <v>0</v>
      </c>
      <c r="H866" s="72">
        <f t="shared" si="14"/>
        <v>75813000</v>
      </c>
    </row>
    <row r="867" spans="2:8" hidden="1">
      <c r="B867" s="68" t="str">
        <f>IF(OR($D$3=JU!$F860,$D$3=JU!$I860),JU!B860,"")</f>
        <v/>
      </c>
      <c r="C867" s="6" t="str">
        <f>IF(OR($D$3=JU!$F860,$D$3=JU!$I860),JU!C860,"")</f>
        <v/>
      </c>
      <c r="D867" s="73" t="str">
        <f>IF(OR($D$3=JU!$F860,$D$3=JU!$I860),JU!D860,"")</f>
        <v/>
      </c>
      <c r="E867" s="74" t="str">
        <f>IF(OR($D$3=JU!$F860,$D$3=JU!$I860),JU!E860,"")</f>
        <v/>
      </c>
      <c r="F867" s="72">
        <f>IF($D$3=JU!F860,JU!H860,0)</f>
        <v>0</v>
      </c>
      <c r="G867" s="72">
        <f>IF($D$3=JU!I860,JU!K860,0)</f>
        <v>0</v>
      </c>
      <c r="H867" s="72">
        <f t="shared" si="14"/>
        <v>75813000</v>
      </c>
    </row>
    <row r="868" spans="2:8" hidden="1">
      <c r="B868" s="68" t="str">
        <f>IF(OR($D$3=JU!$F861,$D$3=JU!$I861),JU!B861,"")</f>
        <v/>
      </c>
      <c r="C868" s="6" t="str">
        <f>IF(OR($D$3=JU!$F861,$D$3=JU!$I861),JU!C861,"")</f>
        <v/>
      </c>
      <c r="D868" s="73" t="str">
        <f>IF(OR($D$3=JU!$F861,$D$3=JU!$I861),JU!D861,"")</f>
        <v/>
      </c>
      <c r="E868" s="74" t="str">
        <f>IF(OR($D$3=JU!$F861,$D$3=JU!$I861),JU!E861,"")</f>
        <v/>
      </c>
      <c r="F868" s="72">
        <f>IF($D$3=JU!F861,JU!H861,0)</f>
        <v>0</v>
      </c>
      <c r="G868" s="72">
        <f>IF($D$3=JU!I861,JU!K861,0)</f>
        <v>0</v>
      </c>
      <c r="H868" s="72">
        <f t="shared" si="14"/>
        <v>75813000</v>
      </c>
    </row>
    <row r="869" spans="2:8" hidden="1">
      <c r="B869" s="68" t="str">
        <f>IF(OR($D$3=JU!$F862,$D$3=JU!$I862),JU!B862,"")</f>
        <v/>
      </c>
      <c r="C869" s="6" t="str">
        <f>IF(OR($D$3=JU!$F862,$D$3=JU!$I862),JU!C862,"")</f>
        <v/>
      </c>
      <c r="D869" s="73" t="str">
        <f>IF(OR($D$3=JU!$F862,$D$3=JU!$I862),JU!D862,"")</f>
        <v/>
      </c>
      <c r="E869" s="74" t="str">
        <f>IF(OR($D$3=JU!$F862,$D$3=JU!$I862),JU!E862,"")</f>
        <v/>
      </c>
      <c r="F869" s="72">
        <f>IF($D$3=JU!F862,JU!H862,0)</f>
        <v>0</v>
      </c>
      <c r="G869" s="72">
        <f>IF($D$3=JU!I862,JU!K862,0)</f>
        <v>0</v>
      </c>
      <c r="H869" s="72">
        <f t="shared" si="14"/>
        <v>75813000</v>
      </c>
    </row>
    <row r="870" spans="2:8">
      <c r="B870" s="68">
        <f>IF(OR($D$3=JU!$F863,$D$3=JU!$I863),JU!B863,"")</f>
        <v>46132</v>
      </c>
      <c r="C870" s="6" t="str">
        <f>IF(OR($D$3=JU!$F863,$D$3=JU!$I863),JU!C863,"")</f>
        <v>PEMBAYARAN PDAM E26 E28 1.545 X 2, MATERAI 500K X 2 TAHAP 3</v>
      </c>
      <c r="D870" s="73" t="str">
        <f>IF(OR($D$3=JU!$F863,$D$3=JU!$I863),JU!D863,"")</f>
        <v>By. Biaya PEMBAYARAN MATERAI 500K X 2 TAHAP 3</v>
      </c>
      <c r="E870" s="74">
        <f>IF(OR($D$3=JU!$F863,$D$3=JU!$I863),JU!E863,"")</f>
        <v>0</v>
      </c>
      <c r="F870" s="72">
        <f>IF($D$3=JU!F863,JU!H863,0)</f>
        <v>1000000</v>
      </c>
      <c r="G870" s="72">
        <f>IF($D$3=JU!I863,JU!K863,0)</f>
        <v>0</v>
      </c>
      <c r="H870" s="72">
        <f t="shared" si="14"/>
        <v>76813000</v>
      </c>
    </row>
    <row r="871" spans="2:8" hidden="1">
      <c r="B871" s="68" t="str">
        <f>IF(OR($D$3=JU!$F864,$D$3=JU!$I864),JU!B864,"")</f>
        <v/>
      </c>
      <c r="C871" s="6" t="str">
        <f>IF(OR($D$3=JU!$F864,$D$3=JU!$I864),JU!C864,"")</f>
        <v/>
      </c>
      <c r="D871" s="73" t="str">
        <f>IF(OR($D$3=JU!$F864,$D$3=JU!$I864),JU!D864,"")</f>
        <v/>
      </c>
      <c r="E871" s="74" t="str">
        <f>IF(OR($D$3=JU!$F864,$D$3=JU!$I864),JU!E864,"")</f>
        <v/>
      </c>
      <c r="F871" s="72">
        <f>IF($D$3=JU!F864,JU!H864,0)</f>
        <v>0</v>
      </c>
      <c r="G871" s="72">
        <f>IF($D$3=JU!I864,JU!K864,0)</f>
        <v>0</v>
      </c>
      <c r="H871" s="72">
        <f t="shared" si="14"/>
        <v>76813000</v>
      </c>
    </row>
    <row r="872" spans="2:8" hidden="1">
      <c r="B872" s="68" t="str">
        <f>IF(OR($D$3=JU!$F865,$D$3=JU!$I865),JU!B865,"")</f>
        <v/>
      </c>
      <c r="C872" s="6" t="str">
        <f>IF(OR($D$3=JU!$F865,$D$3=JU!$I865),JU!C865,"")</f>
        <v/>
      </c>
      <c r="D872" s="73" t="str">
        <f>IF(OR($D$3=JU!$F865,$D$3=JU!$I865),JU!D865,"")</f>
        <v/>
      </c>
      <c r="E872" s="74" t="str">
        <f>IF(OR($D$3=JU!$F865,$D$3=JU!$I865),JU!E865,"")</f>
        <v/>
      </c>
      <c r="F872" s="72">
        <f>IF($D$3=JU!F865,JU!H865,0)</f>
        <v>0</v>
      </c>
      <c r="G872" s="72">
        <f>IF($D$3=JU!I865,JU!K865,0)</f>
        <v>0</v>
      </c>
      <c r="H872" s="72">
        <f t="shared" si="14"/>
        <v>76813000</v>
      </c>
    </row>
    <row r="873" spans="2:8" hidden="1">
      <c r="B873" s="68" t="str">
        <f>IF(OR($D$3=JU!$F866,$D$3=JU!$I866),JU!B866,"")</f>
        <v/>
      </c>
      <c r="C873" s="6" t="str">
        <f>IF(OR($D$3=JU!$F866,$D$3=JU!$I866),JU!C866,"")</f>
        <v/>
      </c>
      <c r="D873" s="73" t="str">
        <f>IF(OR($D$3=JU!$F866,$D$3=JU!$I866),JU!D866,"")</f>
        <v/>
      </c>
      <c r="E873" s="74" t="str">
        <f>IF(OR($D$3=JU!$F866,$D$3=JU!$I866),JU!E866,"")</f>
        <v/>
      </c>
      <c r="F873" s="72">
        <f>IF($D$3=JU!F866,JU!H866,0)</f>
        <v>0</v>
      </c>
      <c r="G873" s="72">
        <f>IF($D$3=JU!I866,JU!K866,0)</f>
        <v>0</v>
      </c>
      <c r="H873" s="72">
        <f t="shared" si="14"/>
        <v>76813000</v>
      </c>
    </row>
    <row r="874" spans="2:8" hidden="1">
      <c r="B874" s="68" t="str">
        <f>IF(OR($D$3=JU!$F867,$D$3=JU!$I867),JU!B867,"")</f>
        <v/>
      </c>
      <c r="C874" s="6" t="str">
        <f>IF(OR($D$3=JU!$F867,$D$3=JU!$I867),JU!C867,"")</f>
        <v/>
      </c>
      <c r="D874" s="73" t="str">
        <f>IF(OR($D$3=JU!$F867,$D$3=JU!$I867),JU!D867,"")</f>
        <v/>
      </c>
      <c r="E874" s="74" t="str">
        <f>IF(OR($D$3=JU!$F867,$D$3=JU!$I867),JU!E867,"")</f>
        <v/>
      </c>
      <c r="F874" s="72">
        <f>IF($D$3=JU!F867,JU!H867,0)</f>
        <v>0</v>
      </c>
      <c r="G874" s="72">
        <f>IF($D$3=JU!I867,JU!K867,0)</f>
        <v>0</v>
      </c>
      <c r="H874" s="72">
        <f t="shared" si="14"/>
        <v>76813000</v>
      </c>
    </row>
    <row r="875" spans="2:8" hidden="1">
      <c r="B875" s="68" t="str">
        <f>IF(OR($D$3=JU!$F868,$D$3=JU!$I868),JU!B868,"")</f>
        <v/>
      </c>
      <c r="C875" s="6" t="str">
        <f>IF(OR($D$3=JU!$F868,$D$3=JU!$I868),JU!C868,"")</f>
        <v/>
      </c>
      <c r="D875" s="73" t="str">
        <f>IF(OR($D$3=JU!$F868,$D$3=JU!$I868),JU!D868,"")</f>
        <v/>
      </c>
      <c r="E875" s="74" t="str">
        <f>IF(OR($D$3=JU!$F868,$D$3=JU!$I868),JU!E868,"")</f>
        <v/>
      </c>
      <c r="F875" s="72">
        <f>IF($D$3=JU!F868,JU!H868,0)</f>
        <v>0</v>
      </c>
      <c r="G875" s="72">
        <f>IF($D$3=JU!I868,JU!K868,0)</f>
        <v>0</v>
      </c>
      <c r="H875" s="72">
        <f t="shared" si="14"/>
        <v>76813000</v>
      </c>
    </row>
    <row r="876" spans="2:8" hidden="1">
      <c r="B876" s="68" t="str">
        <f>IF(OR($D$3=JU!$F869,$D$3=JU!$I869),JU!B869,"")</f>
        <v/>
      </c>
      <c r="C876" s="6" t="str">
        <f>IF(OR($D$3=JU!$F869,$D$3=JU!$I869),JU!C869,"")</f>
        <v/>
      </c>
      <c r="D876" s="73" t="str">
        <f>IF(OR($D$3=JU!$F869,$D$3=JU!$I869),JU!D869,"")</f>
        <v/>
      </c>
      <c r="E876" s="74" t="str">
        <f>IF(OR($D$3=JU!$F869,$D$3=JU!$I869),JU!E869,"")</f>
        <v/>
      </c>
      <c r="F876" s="72">
        <f>IF($D$3=JU!F869,JU!H869,0)</f>
        <v>0</v>
      </c>
      <c r="G876" s="72">
        <f>IF($D$3=JU!I869,JU!K869,0)</f>
        <v>0</v>
      </c>
      <c r="H876" s="72">
        <f t="shared" si="14"/>
        <v>76813000</v>
      </c>
    </row>
    <row r="877" spans="2:8" hidden="1">
      <c r="B877" s="68" t="str">
        <f>IF(OR($D$3=JU!$F870,$D$3=JU!$I870),JU!B870,"")</f>
        <v/>
      </c>
      <c r="C877" s="6" t="str">
        <f>IF(OR($D$3=JU!$F870,$D$3=JU!$I870),JU!C870,"")</f>
        <v/>
      </c>
      <c r="D877" s="73" t="str">
        <f>IF(OR($D$3=JU!$F870,$D$3=JU!$I870),JU!D870,"")</f>
        <v/>
      </c>
      <c r="E877" s="74" t="str">
        <f>IF(OR($D$3=JU!$F870,$D$3=JU!$I870),JU!E870,"")</f>
        <v/>
      </c>
      <c r="F877" s="72">
        <f>IF($D$3=JU!F870,JU!H870,0)</f>
        <v>0</v>
      </c>
      <c r="G877" s="72">
        <f>IF($D$3=JU!I870,JU!K870,0)</f>
        <v>0</v>
      </c>
      <c r="H877" s="72">
        <f t="shared" si="14"/>
        <v>76813000</v>
      </c>
    </row>
    <row r="878" spans="2:8" hidden="1">
      <c r="B878" s="68" t="str">
        <f>IF(OR($D$3=JU!$F871,$D$3=JU!$I871),JU!B871,"")</f>
        <v/>
      </c>
      <c r="C878" s="6" t="str">
        <f>IF(OR($D$3=JU!$F871,$D$3=JU!$I871),JU!C871,"")</f>
        <v/>
      </c>
      <c r="D878" s="73" t="str">
        <f>IF(OR($D$3=JU!$F871,$D$3=JU!$I871),JU!D871,"")</f>
        <v/>
      </c>
      <c r="E878" s="74" t="str">
        <f>IF(OR($D$3=JU!$F871,$D$3=JU!$I871),JU!E871,"")</f>
        <v/>
      </c>
      <c r="F878" s="72">
        <f>IF($D$3=JU!F871,JU!H871,0)</f>
        <v>0</v>
      </c>
      <c r="G878" s="72">
        <f>IF($D$3=JU!I871,JU!K871,0)</f>
        <v>0</v>
      </c>
      <c r="H878" s="72">
        <f t="shared" si="14"/>
        <v>76813000</v>
      </c>
    </row>
    <row r="879" spans="2:8" hidden="1">
      <c r="B879" s="68" t="str">
        <f>IF(OR($D$3=JU!$F872,$D$3=JU!$I872),JU!B872,"")</f>
        <v/>
      </c>
      <c r="C879" s="6" t="str">
        <f>IF(OR($D$3=JU!$F872,$D$3=JU!$I872),JU!C872,"")</f>
        <v/>
      </c>
      <c r="D879" s="73" t="str">
        <f>IF(OR($D$3=JU!$F872,$D$3=JU!$I872),JU!D872,"")</f>
        <v/>
      </c>
      <c r="E879" s="74" t="str">
        <f>IF(OR($D$3=JU!$F872,$D$3=JU!$I872),JU!E872,"")</f>
        <v/>
      </c>
      <c r="F879" s="72">
        <f>IF($D$3=JU!F872,JU!H872,0)</f>
        <v>0</v>
      </c>
      <c r="G879" s="72">
        <f>IF($D$3=JU!I872,JU!K872,0)</f>
        <v>0</v>
      </c>
      <c r="H879" s="72">
        <f t="shared" si="14"/>
        <v>76813000</v>
      </c>
    </row>
    <row r="880" spans="2:8" hidden="1">
      <c r="B880" s="68" t="str">
        <f>IF(OR($D$3=JU!$F873,$D$3=JU!$I873),JU!B873,"")</f>
        <v/>
      </c>
      <c r="C880" s="6" t="str">
        <f>IF(OR($D$3=JU!$F873,$D$3=JU!$I873),JU!C873,"")</f>
        <v/>
      </c>
      <c r="D880" s="73" t="str">
        <f>IF(OR($D$3=JU!$F873,$D$3=JU!$I873),JU!D873,"")</f>
        <v/>
      </c>
      <c r="E880" s="74" t="str">
        <f>IF(OR($D$3=JU!$F873,$D$3=JU!$I873),JU!E873,"")</f>
        <v/>
      </c>
      <c r="F880" s="72">
        <f>IF($D$3=JU!F873,JU!H873,0)</f>
        <v>0</v>
      </c>
      <c r="G880" s="72">
        <f>IF($D$3=JU!I873,JU!K873,0)</f>
        <v>0</v>
      </c>
      <c r="H880" s="72">
        <f t="shared" si="14"/>
        <v>76813000</v>
      </c>
    </row>
    <row r="881" spans="2:8" hidden="1">
      <c r="B881" s="68" t="str">
        <f>IF(OR($D$3=JU!$F874,$D$3=JU!$I874),JU!B874,"")</f>
        <v/>
      </c>
      <c r="C881" s="6" t="str">
        <f>IF(OR($D$3=JU!$F874,$D$3=JU!$I874),JU!C874,"")</f>
        <v/>
      </c>
      <c r="D881" s="73" t="str">
        <f>IF(OR($D$3=JU!$F874,$D$3=JU!$I874),JU!D874,"")</f>
        <v/>
      </c>
      <c r="E881" s="74" t="str">
        <f>IF(OR($D$3=JU!$F874,$D$3=JU!$I874),JU!E874,"")</f>
        <v/>
      </c>
      <c r="F881" s="72">
        <f>IF($D$3=JU!F874,JU!H874,0)</f>
        <v>0</v>
      </c>
      <c r="G881" s="72">
        <f>IF($D$3=JU!I874,JU!K874,0)</f>
        <v>0</v>
      </c>
      <c r="H881" s="72">
        <f t="shared" si="14"/>
        <v>76813000</v>
      </c>
    </row>
    <row r="882" spans="2:8" hidden="1">
      <c r="B882" s="68" t="str">
        <f>IF(OR($D$3=JU!$F875,$D$3=JU!$I875),JU!B875,"")</f>
        <v/>
      </c>
      <c r="C882" s="6" t="str">
        <f>IF(OR($D$3=JU!$F875,$D$3=JU!$I875),JU!C875,"")</f>
        <v/>
      </c>
      <c r="D882" s="73" t="str">
        <f>IF(OR($D$3=JU!$F875,$D$3=JU!$I875),JU!D875,"")</f>
        <v/>
      </c>
      <c r="E882" s="74" t="str">
        <f>IF(OR($D$3=JU!$F875,$D$3=JU!$I875),JU!E875,"")</f>
        <v/>
      </c>
      <c r="F882" s="72">
        <f>IF($D$3=JU!F875,JU!H875,0)</f>
        <v>0</v>
      </c>
      <c r="G882" s="72">
        <f>IF($D$3=JU!I875,JU!K875,0)</f>
        <v>0</v>
      </c>
      <c r="H882" s="72">
        <f t="shared" si="14"/>
        <v>76813000</v>
      </c>
    </row>
    <row r="883" spans="2:8" hidden="1">
      <c r="B883" s="68" t="str">
        <f>IF(OR($D$3=JU!$F876,$D$3=JU!$I876),JU!B876,"")</f>
        <v/>
      </c>
      <c r="C883" s="6" t="str">
        <f>IF(OR($D$3=JU!$F876,$D$3=JU!$I876),JU!C876,"")</f>
        <v/>
      </c>
      <c r="D883" s="73" t="str">
        <f>IF(OR($D$3=JU!$F876,$D$3=JU!$I876),JU!D876,"")</f>
        <v/>
      </c>
      <c r="E883" s="74" t="str">
        <f>IF(OR($D$3=JU!$F876,$D$3=JU!$I876),JU!E876,"")</f>
        <v/>
      </c>
      <c r="F883" s="72">
        <f>IF($D$3=JU!F876,JU!H876,0)</f>
        <v>0</v>
      </c>
      <c r="G883" s="72">
        <f>IF($D$3=JU!I876,JU!K876,0)</f>
        <v>0</v>
      </c>
      <c r="H883" s="72">
        <f t="shared" si="14"/>
        <v>76813000</v>
      </c>
    </row>
    <row r="884" spans="2:8" hidden="1">
      <c r="B884" s="68" t="str">
        <f>IF(OR($D$3=JU!$F877,$D$3=JU!$I877),JU!B877,"")</f>
        <v/>
      </c>
      <c r="C884" s="6" t="str">
        <f>IF(OR($D$3=JU!$F877,$D$3=JU!$I877),JU!C877,"")</f>
        <v/>
      </c>
      <c r="D884" s="73" t="str">
        <f>IF(OR($D$3=JU!$F877,$D$3=JU!$I877),JU!D877,"")</f>
        <v/>
      </c>
      <c r="E884" s="74" t="str">
        <f>IF(OR($D$3=JU!$F877,$D$3=JU!$I877),JU!E877,"")</f>
        <v/>
      </c>
      <c r="F884" s="72">
        <f>IF($D$3=JU!F877,JU!H877,0)</f>
        <v>0</v>
      </c>
      <c r="G884" s="72">
        <f>IF($D$3=JU!I877,JU!K877,0)</f>
        <v>0</v>
      </c>
      <c r="H884" s="72">
        <f t="shared" si="14"/>
        <v>76813000</v>
      </c>
    </row>
    <row r="885" spans="2:8" hidden="1">
      <c r="B885" s="68" t="str">
        <f>IF(OR($D$3=JU!$F878,$D$3=JU!$I878),JU!B878,"")</f>
        <v/>
      </c>
      <c r="C885" s="6" t="str">
        <f>IF(OR($D$3=JU!$F878,$D$3=JU!$I878),JU!C878,"")</f>
        <v/>
      </c>
      <c r="D885" s="73" t="str">
        <f>IF(OR($D$3=JU!$F878,$D$3=JU!$I878),JU!D878,"")</f>
        <v/>
      </c>
      <c r="E885" s="74" t="str">
        <f>IF(OR($D$3=JU!$F878,$D$3=JU!$I878),JU!E878,"")</f>
        <v/>
      </c>
      <c r="F885" s="72">
        <f>IF($D$3=JU!F878,JU!H878,0)</f>
        <v>0</v>
      </c>
      <c r="G885" s="72">
        <f>IF($D$3=JU!I878,JU!K878,0)</f>
        <v>0</v>
      </c>
      <c r="H885" s="72">
        <f t="shared" si="14"/>
        <v>76813000</v>
      </c>
    </row>
    <row r="886" spans="2:8" hidden="1">
      <c r="B886" s="68" t="str">
        <f>IF(OR($D$3=JU!$F879,$D$3=JU!$I879),JU!B879,"")</f>
        <v/>
      </c>
      <c r="C886" s="6" t="str">
        <f>IF(OR($D$3=JU!$F879,$D$3=JU!$I879),JU!C879,"")</f>
        <v/>
      </c>
      <c r="D886" s="73" t="str">
        <f>IF(OR($D$3=JU!$F879,$D$3=JU!$I879),JU!D879,"")</f>
        <v/>
      </c>
      <c r="E886" s="74" t="str">
        <f>IF(OR($D$3=JU!$F879,$D$3=JU!$I879),JU!E879,"")</f>
        <v/>
      </c>
      <c r="F886" s="72">
        <f>IF($D$3=JU!F879,JU!H879,0)</f>
        <v>0</v>
      </c>
      <c r="G886" s="72">
        <f>IF($D$3=JU!I879,JU!K879,0)</f>
        <v>0</v>
      </c>
      <c r="H886" s="72">
        <f t="shared" si="14"/>
        <v>76813000</v>
      </c>
    </row>
    <row r="887" spans="2:8" hidden="1">
      <c r="B887" s="68" t="str">
        <f>IF(OR($D$3=JU!$F880,$D$3=JU!$I880),JU!B880,"")</f>
        <v/>
      </c>
      <c r="C887" s="6" t="str">
        <f>IF(OR($D$3=JU!$F880,$D$3=JU!$I880),JU!C880,"")</f>
        <v/>
      </c>
      <c r="D887" s="73" t="str">
        <f>IF(OR($D$3=JU!$F880,$D$3=JU!$I880),JU!D880,"")</f>
        <v/>
      </c>
      <c r="E887" s="74" t="str">
        <f>IF(OR($D$3=JU!$F880,$D$3=JU!$I880),JU!E880,"")</f>
        <v/>
      </c>
      <c r="F887" s="72">
        <f>IF($D$3=JU!F880,JU!H880,0)</f>
        <v>0</v>
      </c>
      <c r="G887" s="72">
        <f>IF($D$3=JU!I880,JU!K880,0)</f>
        <v>0</v>
      </c>
      <c r="H887" s="72">
        <f t="shared" si="14"/>
        <v>76813000</v>
      </c>
    </row>
    <row r="888" spans="2:8" hidden="1">
      <c r="B888" s="68" t="str">
        <f>IF(OR($D$3=JU!$F881,$D$3=JU!$I881),JU!B881,"")</f>
        <v/>
      </c>
      <c r="C888" s="6" t="str">
        <f>IF(OR($D$3=JU!$F881,$D$3=JU!$I881),JU!C881,"")</f>
        <v/>
      </c>
      <c r="D888" s="73" t="str">
        <f>IF(OR($D$3=JU!$F881,$D$3=JU!$I881),JU!D881,"")</f>
        <v/>
      </c>
      <c r="E888" s="74" t="str">
        <f>IF(OR($D$3=JU!$F881,$D$3=JU!$I881),JU!E881,"")</f>
        <v/>
      </c>
      <c r="F888" s="72">
        <f>IF($D$3=JU!F881,JU!H881,0)</f>
        <v>0</v>
      </c>
      <c r="G888" s="72">
        <f>IF($D$3=JU!I881,JU!K881,0)</f>
        <v>0</v>
      </c>
      <c r="H888" s="72">
        <f t="shared" si="14"/>
        <v>76813000</v>
      </c>
    </row>
    <row r="889" spans="2:8" hidden="1">
      <c r="B889" s="68" t="str">
        <f>IF(OR($D$3=JU!$F882,$D$3=JU!$I882),JU!B882,"")</f>
        <v/>
      </c>
      <c r="C889" s="6" t="str">
        <f>IF(OR($D$3=JU!$F882,$D$3=JU!$I882),JU!C882,"")</f>
        <v/>
      </c>
      <c r="D889" s="73" t="str">
        <f>IF(OR($D$3=JU!$F882,$D$3=JU!$I882),JU!D882,"")</f>
        <v/>
      </c>
      <c r="E889" s="74" t="str">
        <f>IF(OR($D$3=JU!$F882,$D$3=JU!$I882),JU!E882,"")</f>
        <v/>
      </c>
      <c r="F889" s="72">
        <f>IF($D$3=JU!F882,JU!H882,0)</f>
        <v>0</v>
      </c>
      <c r="G889" s="72">
        <f>IF($D$3=JU!I882,JU!K882,0)</f>
        <v>0</v>
      </c>
      <c r="H889" s="72">
        <f t="shared" si="14"/>
        <v>76813000</v>
      </c>
    </row>
    <row r="890" spans="2:8" hidden="1">
      <c r="B890" s="68" t="str">
        <f>IF(OR($D$3=JU!$F883,$D$3=JU!$I883),JU!B883,"")</f>
        <v/>
      </c>
      <c r="C890" s="6" t="str">
        <f>IF(OR($D$3=JU!$F883,$D$3=JU!$I883),JU!C883,"")</f>
        <v/>
      </c>
      <c r="D890" s="73" t="str">
        <f>IF(OR($D$3=JU!$F883,$D$3=JU!$I883),JU!D883,"")</f>
        <v/>
      </c>
      <c r="E890" s="74" t="str">
        <f>IF(OR($D$3=JU!$F883,$D$3=JU!$I883),JU!E883,"")</f>
        <v/>
      </c>
      <c r="F890" s="72">
        <f>IF($D$3=JU!F883,JU!H883,0)</f>
        <v>0</v>
      </c>
      <c r="G890" s="72">
        <f>IF($D$3=JU!I883,JU!K883,0)</f>
        <v>0</v>
      </c>
      <c r="H890" s="72">
        <f t="shared" si="14"/>
        <v>76813000</v>
      </c>
    </row>
    <row r="891" spans="2:8" hidden="1">
      <c r="B891" s="68" t="str">
        <f>IF(OR($D$3=JU!$F884,$D$3=JU!$I884),JU!B884,"")</f>
        <v/>
      </c>
      <c r="C891" s="6" t="str">
        <f>IF(OR($D$3=JU!$F884,$D$3=JU!$I884),JU!C884,"")</f>
        <v/>
      </c>
      <c r="D891" s="73" t="str">
        <f>IF(OR($D$3=JU!$F884,$D$3=JU!$I884),JU!D884,"")</f>
        <v/>
      </c>
      <c r="E891" s="74" t="str">
        <f>IF(OR($D$3=JU!$F884,$D$3=JU!$I884),JU!E884,"")</f>
        <v/>
      </c>
      <c r="F891" s="72">
        <f>IF($D$3=JU!F884,JU!H884,0)</f>
        <v>0</v>
      </c>
      <c r="G891" s="72">
        <f>IF($D$3=JU!I884,JU!K884,0)</f>
        <v>0</v>
      </c>
      <c r="H891" s="72">
        <f t="shared" si="14"/>
        <v>76813000</v>
      </c>
    </row>
    <row r="892" spans="2:8" hidden="1">
      <c r="B892" s="68" t="str">
        <f>IF(OR($D$3=JU!$F885,$D$3=JU!$I885),JU!B885,"")</f>
        <v/>
      </c>
      <c r="C892" s="6" t="str">
        <f>IF(OR($D$3=JU!$F885,$D$3=JU!$I885),JU!C885,"")</f>
        <v/>
      </c>
      <c r="D892" s="73" t="str">
        <f>IF(OR($D$3=JU!$F885,$D$3=JU!$I885),JU!D885,"")</f>
        <v/>
      </c>
      <c r="E892" s="74" t="str">
        <f>IF(OR($D$3=JU!$F885,$D$3=JU!$I885),JU!E885,"")</f>
        <v/>
      </c>
      <c r="F892" s="72">
        <f>IF($D$3=JU!F885,JU!H885,0)</f>
        <v>0</v>
      </c>
      <c r="G892" s="72">
        <f>IF($D$3=JU!I885,JU!K885,0)</f>
        <v>0</v>
      </c>
      <c r="H892" s="72">
        <f t="shared" si="14"/>
        <v>76813000</v>
      </c>
    </row>
    <row r="893" spans="2:8" hidden="1">
      <c r="B893" s="68" t="str">
        <f>IF(OR($D$3=JU!$F886,$D$3=JU!$I886),JU!B886,"")</f>
        <v/>
      </c>
      <c r="C893" s="6" t="str">
        <f>IF(OR($D$3=JU!$F886,$D$3=JU!$I886),JU!C886,"")</f>
        <v/>
      </c>
      <c r="D893" s="73" t="str">
        <f>IF(OR($D$3=JU!$F886,$D$3=JU!$I886),JU!D886,"")</f>
        <v/>
      </c>
      <c r="E893" s="74" t="str">
        <f>IF(OR($D$3=JU!$F886,$D$3=JU!$I886),JU!E886,"")</f>
        <v/>
      </c>
      <c r="F893" s="72">
        <f>IF($D$3=JU!F886,JU!H886,0)</f>
        <v>0</v>
      </c>
      <c r="G893" s="72">
        <f>IF($D$3=JU!I886,JU!K886,0)</f>
        <v>0</v>
      </c>
      <c r="H893" s="72">
        <f t="shared" si="14"/>
        <v>76813000</v>
      </c>
    </row>
    <row r="894" spans="2:8" hidden="1">
      <c r="B894" s="68" t="str">
        <f>IF(OR($D$3=JU!$F887,$D$3=JU!$I887),JU!B887,"")</f>
        <v/>
      </c>
      <c r="C894" s="6" t="str">
        <f>IF(OR($D$3=JU!$F887,$D$3=JU!$I887),JU!C887,"")</f>
        <v/>
      </c>
      <c r="D894" s="73" t="str">
        <f>IF(OR($D$3=JU!$F887,$D$3=JU!$I887),JU!D887,"")</f>
        <v/>
      </c>
      <c r="E894" s="74" t="str">
        <f>IF(OR($D$3=JU!$F887,$D$3=JU!$I887),JU!E887,"")</f>
        <v/>
      </c>
      <c r="F894" s="72">
        <f>IF($D$3=JU!F887,JU!H887,0)</f>
        <v>0</v>
      </c>
      <c r="G894" s="72">
        <f>IF($D$3=JU!I887,JU!K887,0)</f>
        <v>0</v>
      </c>
      <c r="H894" s="72">
        <f t="shared" si="14"/>
        <v>76813000</v>
      </c>
    </row>
    <row r="895" spans="2:8" hidden="1">
      <c r="B895" s="68" t="str">
        <f>IF(OR($D$3=JU!$F888,$D$3=JU!$I888),JU!B888,"")</f>
        <v/>
      </c>
      <c r="C895" s="6" t="str">
        <f>IF(OR($D$3=JU!$F888,$D$3=JU!$I888),JU!C888,"")</f>
        <v/>
      </c>
      <c r="D895" s="73" t="str">
        <f>IF(OR($D$3=JU!$F888,$D$3=JU!$I888),JU!D888,"")</f>
        <v/>
      </c>
      <c r="E895" s="74" t="str">
        <f>IF(OR($D$3=JU!$F888,$D$3=JU!$I888),JU!E888,"")</f>
        <v/>
      </c>
      <c r="F895" s="72">
        <f>IF($D$3=JU!F888,JU!H888,0)</f>
        <v>0</v>
      </c>
      <c r="G895" s="72">
        <f>IF($D$3=JU!I888,JU!K888,0)</f>
        <v>0</v>
      </c>
      <c r="H895" s="72">
        <f t="shared" si="14"/>
        <v>76813000</v>
      </c>
    </row>
    <row r="896" spans="2:8" hidden="1">
      <c r="B896" s="68" t="str">
        <f>IF(OR($D$3=JU!$F889,$D$3=JU!$I889),JU!B889,"")</f>
        <v/>
      </c>
      <c r="C896" s="6" t="str">
        <f>IF(OR($D$3=JU!$F889,$D$3=JU!$I889),JU!C889,"")</f>
        <v/>
      </c>
      <c r="D896" s="73" t="str">
        <f>IF(OR($D$3=JU!$F889,$D$3=JU!$I889),JU!D889,"")</f>
        <v/>
      </c>
      <c r="E896" s="74" t="str">
        <f>IF(OR($D$3=JU!$F889,$D$3=JU!$I889),JU!E889,"")</f>
        <v/>
      </c>
      <c r="F896" s="72">
        <f>IF($D$3=JU!F889,JU!H889,0)</f>
        <v>0</v>
      </c>
      <c r="G896" s="72">
        <f>IF($D$3=JU!I889,JU!K889,0)</f>
        <v>0</v>
      </c>
      <c r="H896" s="72">
        <f t="shared" si="14"/>
        <v>76813000</v>
      </c>
    </row>
    <row r="897" spans="2:8" hidden="1">
      <c r="B897" s="68" t="str">
        <f>IF(OR($D$3=JU!$F890,$D$3=JU!$I890),JU!B890,"")</f>
        <v/>
      </c>
      <c r="C897" s="6" t="str">
        <f>IF(OR($D$3=JU!$F890,$D$3=JU!$I890),JU!C890,"")</f>
        <v/>
      </c>
      <c r="D897" s="73" t="str">
        <f>IF(OR($D$3=JU!$F890,$D$3=JU!$I890),JU!D890,"")</f>
        <v/>
      </c>
      <c r="E897" s="74" t="str">
        <f>IF(OR($D$3=JU!$F890,$D$3=JU!$I890),JU!E890,"")</f>
        <v/>
      </c>
      <c r="F897" s="72">
        <f>IF($D$3=JU!F890,JU!H890,0)</f>
        <v>0</v>
      </c>
      <c r="G897" s="72">
        <f>IF($D$3=JU!I890,JU!K890,0)</f>
        <v>0</v>
      </c>
      <c r="H897" s="72">
        <f t="shared" si="14"/>
        <v>76813000</v>
      </c>
    </row>
    <row r="898" spans="2:8" hidden="1">
      <c r="B898" s="68" t="str">
        <f>IF(OR($D$3=JU!$F891,$D$3=JU!$I891),JU!B891,"")</f>
        <v/>
      </c>
      <c r="C898" s="6" t="str">
        <f>IF(OR($D$3=JU!$F891,$D$3=JU!$I891),JU!C891,"")</f>
        <v/>
      </c>
      <c r="D898" s="73" t="str">
        <f>IF(OR($D$3=JU!$F891,$D$3=JU!$I891),JU!D891,"")</f>
        <v/>
      </c>
      <c r="E898" s="74" t="str">
        <f>IF(OR($D$3=JU!$F891,$D$3=JU!$I891),JU!E891,"")</f>
        <v/>
      </c>
      <c r="F898" s="72">
        <f>IF($D$3=JU!F891,JU!H891,0)</f>
        <v>0</v>
      </c>
      <c r="G898" s="72">
        <f>IF($D$3=JU!I891,JU!K891,0)</f>
        <v>0</v>
      </c>
      <c r="H898" s="72">
        <f t="shared" si="14"/>
        <v>76813000</v>
      </c>
    </row>
    <row r="899" spans="2:8" hidden="1">
      <c r="B899" s="68" t="str">
        <f>IF(OR($D$3=JU!$F892,$D$3=JU!$I892),JU!B892,"")</f>
        <v/>
      </c>
      <c r="C899" s="6" t="str">
        <f>IF(OR($D$3=JU!$F892,$D$3=JU!$I892),JU!C892,"")</f>
        <v/>
      </c>
      <c r="D899" s="73" t="str">
        <f>IF(OR($D$3=JU!$F892,$D$3=JU!$I892),JU!D892,"")</f>
        <v/>
      </c>
      <c r="E899" s="74" t="str">
        <f>IF(OR($D$3=JU!$F892,$D$3=JU!$I892),JU!E892,"")</f>
        <v/>
      </c>
      <c r="F899" s="72">
        <f>IF($D$3=JU!F892,JU!H892,0)</f>
        <v>0</v>
      </c>
      <c r="G899" s="72">
        <f>IF($D$3=JU!I892,JU!K892,0)</f>
        <v>0</v>
      </c>
      <c r="H899" s="72">
        <f t="shared" si="14"/>
        <v>76813000</v>
      </c>
    </row>
    <row r="900" spans="2:8" hidden="1">
      <c r="B900" s="68" t="str">
        <f>IF(OR($D$3=JU!$F893,$D$3=JU!$I893),JU!B893,"")</f>
        <v/>
      </c>
      <c r="C900" s="6" t="str">
        <f>IF(OR($D$3=JU!$F893,$D$3=JU!$I893),JU!C893,"")</f>
        <v/>
      </c>
      <c r="D900" s="73" t="str">
        <f>IF(OR($D$3=JU!$F893,$D$3=JU!$I893),JU!D893,"")</f>
        <v/>
      </c>
      <c r="E900" s="74" t="str">
        <f>IF(OR($D$3=JU!$F893,$D$3=JU!$I893),JU!E893,"")</f>
        <v/>
      </c>
      <c r="F900" s="72">
        <f>IF($D$3=JU!F893,JU!H893,0)</f>
        <v>0</v>
      </c>
      <c r="G900" s="72">
        <f>IF($D$3=JU!I893,JU!K893,0)</f>
        <v>0</v>
      </c>
      <c r="H900" s="72">
        <f t="shared" si="14"/>
        <v>76813000</v>
      </c>
    </row>
    <row r="901" spans="2:8" hidden="1">
      <c r="B901" s="68" t="str">
        <f>IF(OR($D$3=JU!$F894,$D$3=JU!$I894),JU!B894,"")</f>
        <v/>
      </c>
      <c r="C901" s="6" t="str">
        <f>IF(OR($D$3=JU!$F894,$D$3=JU!$I894),JU!C894,"")</f>
        <v/>
      </c>
      <c r="D901" s="73" t="str">
        <f>IF(OR($D$3=JU!$F894,$D$3=JU!$I894),JU!D894,"")</f>
        <v/>
      </c>
      <c r="E901" s="74" t="str">
        <f>IF(OR($D$3=JU!$F894,$D$3=JU!$I894),JU!E894,"")</f>
        <v/>
      </c>
      <c r="F901" s="72">
        <f>IF($D$3=JU!F894,JU!H894,0)</f>
        <v>0</v>
      </c>
      <c r="G901" s="72">
        <f>IF($D$3=JU!I894,JU!K894,0)</f>
        <v>0</v>
      </c>
      <c r="H901" s="72">
        <f t="shared" si="14"/>
        <v>76813000</v>
      </c>
    </row>
    <row r="902" spans="2:8" hidden="1">
      <c r="B902" s="68" t="str">
        <f>IF(OR($D$3=JU!$F895,$D$3=JU!$I895),JU!B895,"")</f>
        <v/>
      </c>
      <c r="C902" s="6" t="str">
        <f>IF(OR($D$3=JU!$F895,$D$3=JU!$I895),JU!C895,"")</f>
        <v/>
      </c>
      <c r="D902" s="73" t="str">
        <f>IF(OR($D$3=JU!$F895,$D$3=JU!$I895),JU!D895,"")</f>
        <v/>
      </c>
      <c r="E902" s="74" t="str">
        <f>IF(OR($D$3=JU!$F895,$D$3=JU!$I895),JU!E895,"")</f>
        <v/>
      </c>
      <c r="F902" s="72">
        <f>IF($D$3=JU!F895,JU!H895,0)</f>
        <v>0</v>
      </c>
      <c r="G902" s="72">
        <f>IF($D$3=JU!I895,JU!K895,0)</f>
        <v>0</v>
      </c>
      <c r="H902" s="72">
        <f t="shared" si="14"/>
        <v>76813000</v>
      </c>
    </row>
    <row r="903" spans="2:8" hidden="1">
      <c r="B903" s="68" t="str">
        <f>IF(OR($D$3=JU!$F896,$D$3=JU!$I896),JU!B896,"")</f>
        <v/>
      </c>
      <c r="C903" s="6" t="str">
        <f>IF(OR($D$3=JU!$F896,$D$3=JU!$I896),JU!C896,"")</f>
        <v/>
      </c>
      <c r="D903" s="73" t="str">
        <f>IF(OR($D$3=JU!$F896,$D$3=JU!$I896),JU!D896,"")</f>
        <v/>
      </c>
      <c r="E903" s="74" t="str">
        <f>IF(OR($D$3=JU!$F896,$D$3=JU!$I896),JU!E896,"")</f>
        <v/>
      </c>
      <c r="F903" s="72">
        <f>IF($D$3=JU!F896,JU!H896,0)</f>
        <v>0</v>
      </c>
      <c r="G903" s="72">
        <f>IF($D$3=JU!I896,JU!K896,0)</f>
        <v>0</v>
      </c>
      <c r="H903" s="72">
        <f t="shared" si="14"/>
        <v>76813000</v>
      </c>
    </row>
    <row r="904" spans="2:8" hidden="1">
      <c r="B904" s="68" t="str">
        <f>IF(OR($D$3=JU!$F897,$D$3=JU!$I897),JU!B897,"")</f>
        <v/>
      </c>
      <c r="C904" s="6" t="str">
        <f>IF(OR($D$3=JU!$F897,$D$3=JU!$I897),JU!C897,"")</f>
        <v/>
      </c>
      <c r="D904" s="73" t="str">
        <f>IF(OR($D$3=JU!$F897,$D$3=JU!$I897),JU!D897,"")</f>
        <v/>
      </c>
      <c r="E904" s="74" t="str">
        <f>IF(OR($D$3=JU!$F897,$D$3=JU!$I897),JU!E897,"")</f>
        <v/>
      </c>
      <c r="F904" s="72">
        <f>IF($D$3=JU!F897,JU!H897,0)</f>
        <v>0</v>
      </c>
      <c r="G904" s="72">
        <f>IF($D$3=JU!I897,JU!K897,0)</f>
        <v>0</v>
      </c>
      <c r="H904" s="72">
        <f t="shared" si="14"/>
        <v>76813000</v>
      </c>
    </row>
    <row r="905" spans="2:8" hidden="1">
      <c r="B905" s="68" t="str">
        <f>IF(OR($D$3=JU!$F898,$D$3=JU!$I898),JU!B898,"")</f>
        <v/>
      </c>
      <c r="C905" s="6" t="str">
        <f>IF(OR($D$3=JU!$F898,$D$3=JU!$I898),JU!C898,"")</f>
        <v/>
      </c>
      <c r="D905" s="73" t="str">
        <f>IF(OR($D$3=JU!$F898,$D$3=JU!$I898),JU!D898,"")</f>
        <v/>
      </c>
      <c r="E905" s="74" t="str">
        <f>IF(OR($D$3=JU!$F898,$D$3=JU!$I898),JU!E898,"")</f>
        <v/>
      </c>
      <c r="F905" s="72">
        <f>IF($D$3=JU!F898,JU!H898,0)</f>
        <v>0</v>
      </c>
      <c r="G905" s="72">
        <f>IF($D$3=JU!I898,JU!K898,0)</f>
        <v>0</v>
      </c>
      <c r="H905" s="72">
        <f t="shared" si="14"/>
        <v>76813000</v>
      </c>
    </row>
    <row r="906" spans="2:8" hidden="1">
      <c r="B906" s="68" t="str">
        <f>IF(OR($D$3=JU!$F899,$D$3=JU!$I899),JU!B899,"")</f>
        <v/>
      </c>
      <c r="C906" s="6" t="str">
        <f>IF(OR($D$3=JU!$F899,$D$3=JU!$I899),JU!C899,"")</f>
        <v/>
      </c>
      <c r="D906" s="73" t="str">
        <f>IF(OR($D$3=JU!$F899,$D$3=JU!$I899),JU!D899,"")</f>
        <v/>
      </c>
      <c r="E906" s="74" t="str">
        <f>IF(OR($D$3=JU!$F899,$D$3=JU!$I899),JU!E899,"")</f>
        <v/>
      </c>
      <c r="F906" s="72">
        <f>IF($D$3=JU!F899,JU!H899,0)</f>
        <v>0</v>
      </c>
      <c r="G906" s="72">
        <f>IF($D$3=JU!I899,JU!K899,0)</f>
        <v>0</v>
      </c>
      <c r="H906" s="72">
        <f t="shared" si="14"/>
        <v>76813000</v>
      </c>
    </row>
    <row r="907" spans="2:8" hidden="1">
      <c r="B907" s="68" t="str">
        <f>IF(OR($D$3=JU!$F900,$D$3=JU!$I900),JU!B900,"")</f>
        <v/>
      </c>
      <c r="C907" s="6" t="str">
        <f>IF(OR($D$3=JU!$F900,$D$3=JU!$I900),JU!C900,"")</f>
        <v/>
      </c>
      <c r="D907" s="73" t="str">
        <f>IF(OR($D$3=JU!$F900,$D$3=JU!$I900),JU!D900,"")</f>
        <v/>
      </c>
      <c r="E907" s="74" t="str">
        <f>IF(OR($D$3=JU!$F900,$D$3=JU!$I900),JU!E900,"")</f>
        <v/>
      </c>
      <c r="F907" s="72">
        <f>IF($D$3=JU!F900,JU!H900,0)</f>
        <v>0</v>
      </c>
      <c r="G907" s="72">
        <f>IF($D$3=JU!I900,JU!K900,0)</f>
        <v>0</v>
      </c>
      <c r="H907" s="72">
        <f t="shared" si="14"/>
        <v>76813000</v>
      </c>
    </row>
    <row r="908" spans="2:8" hidden="1">
      <c r="B908" s="68" t="str">
        <f>IF(OR($D$3=JU!$F901,$D$3=JU!$I901),JU!B901,"")</f>
        <v/>
      </c>
      <c r="C908" s="6" t="str">
        <f>IF(OR($D$3=JU!$F901,$D$3=JU!$I901),JU!C901,"")</f>
        <v/>
      </c>
      <c r="D908" s="73" t="str">
        <f>IF(OR($D$3=JU!$F901,$D$3=JU!$I901),JU!D901,"")</f>
        <v/>
      </c>
      <c r="E908" s="74" t="str">
        <f>IF(OR($D$3=JU!$F901,$D$3=JU!$I901),JU!E901,"")</f>
        <v/>
      </c>
      <c r="F908" s="72">
        <f>IF($D$3=JU!F901,JU!H901,0)</f>
        <v>0</v>
      </c>
      <c r="G908" s="72">
        <f>IF($D$3=JU!I901,JU!K901,0)</f>
        <v>0</v>
      </c>
      <c r="H908" s="72">
        <f t="shared" si="14"/>
        <v>76813000</v>
      </c>
    </row>
    <row r="909" spans="2:8" hidden="1">
      <c r="B909" s="68" t="str">
        <f>IF(OR($D$3=JU!$F902,$D$3=JU!$I902),JU!B902,"")</f>
        <v/>
      </c>
      <c r="C909" s="6" t="str">
        <f>IF(OR($D$3=JU!$F902,$D$3=JU!$I902),JU!C902,"")</f>
        <v/>
      </c>
      <c r="D909" s="73" t="str">
        <f>IF(OR($D$3=JU!$F902,$D$3=JU!$I902),JU!D902,"")</f>
        <v/>
      </c>
      <c r="E909" s="74" t="str">
        <f>IF(OR($D$3=JU!$F902,$D$3=JU!$I902),JU!E902,"")</f>
        <v/>
      </c>
      <c r="F909" s="72">
        <f>IF($D$3=JU!F902,JU!H902,0)</f>
        <v>0</v>
      </c>
      <c r="G909" s="72">
        <f>IF($D$3=JU!I902,JU!K902,0)</f>
        <v>0</v>
      </c>
      <c r="H909" s="72">
        <f t="shared" si="14"/>
        <v>76813000</v>
      </c>
    </row>
    <row r="910" spans="2:8" hidden="1">
      <c r="B910" s="68" t="str">
        <f>IF(OR($D$3=JU!$F903,$D$3=JU!$I903),JU!B903,"")</f>
        <v/>
      </c>
      <c r="C910" s="6" t="str">
        <f>IF(OR($D$3=JU!$F903,$D$3=JU!$I903),JU!C903,"")</f>
        <v/>
      </c>
      <c r="D910" s="73" t="str">
        <f>IF(OR($D$3=JU!$F903,$D$3=JU!$I903),JU!D903,"")</f>
        <v/>
      </c>
      <c r="E910" s="74" t="str">
        <f>IF(OR($D$3=JU!$F903,$D$3=JU!$I903),JU!E903,"")</f>
        <v/>
      </c>
      <c r="F910" s="72">
        <f>IF($D$3=JU!F903,JU!H903,0)</f>
        <v>0</v>
      </c>
      <c r="G910" s="72">
        <f>IF($D$3=JU!I903,JU!K903,0)</f>
        <v>0</v>
      </c>
      <c r="H910" s="72">
        <f t="shared" ref="H910:H973" si="15">IF($H$7="DEBET",H909+F910-G910,H909+G910-F910)</f>
        <v>76813000</v>
      </c>
    </row>
    <row r="911" spans="2:8" hidden="1">
      <c r="B911" s="68" t="str">
        <f>IF(OR($D$3=JU!$F904,$D$3=JU!$I904),JU!B904,"")</f>
        <v/>
      </c>
      <c r="C911" s="6" t="str">
        <f>IF(OR($D$3=JU!$F904,$D$3=JU!$I904),JU!C904,"")</f>
        <v/>
      </c>
      <c r="D911" s="73" t="str">
        <f>IF(OR($D$3=JU!$F904,$D$3=JU!$I904),JU!D904,"")</f>
        <v/>
      </c>
      <c r="E911" s="74" t="str">
        <f>IF(OR($D$3=JU!$F904,$D$3=JU!$I904),JU!E904,"")</f>
        <v/>
      </c>
      <c r="F911" s="72">
        <f>IF($D$3=JU!F904,JU!H904,0)</f>
        <v>0</v>
      </c>
      <c r="G911" s="72">
        <f>IF($D$3=JU!I904,JU!K904,0)</f>
        <v>0</v>
      </c>
      <c r="H911" s="72">
        <f t="shared" si="15"/>
        <v>76813000</v>
      </c>
    </row>
    <row r="912" spans="2:8" hidden="1">
      <c r="B912" s="68" t="str">
        <f>IF(OR($D$3=JU!$F905,$D$3=JU!$I905),JU!B905,"")</f>
        <v/>
      </c>
      <c r="C912" s="6" t="str">
        <f>IF(OR($D$3=JU!$F905,$D$3=JU!$I905),JU!C905,"")</f>
        <v/>
      </c>
      <c r="D912" s="73" t="str">
        <f>IF(OR($D$3=JU!$F905,$D$3=JU!$I905),JU!D905,"")</f>
        <v/>
      </c>
      <c r="E912" s="74" t="str">
        <f>IF(OR($D$3=JU!$F905,$D$3=JU!$I905),JU!E905,"")</f>
        <v/>
      </c>
      <c r="F912" s="72">
        <f>IF($D$3=JU!F905,JU!H905,0)</f>
        <v>0</v>
      </c>
      <c r="G912" s="72">
        <f>IF($D$3=JU!I905,JU!K905,0)</f>
        <v>0</v>
      </c>
      <c r="H912" s="72">
        <f t="shared" si="15"/>
        <v>76813000</v>
      </c>
    </row>
    <row r="913" spans="2:8" hidden="1">
      <c r="B913" s="68" t="str">
        <f>IF(OR($D$3=JU!$F906,$D$3=JU!$I906),JU!B906,"")</f>
        <v/>
      </c>
      <c r="C913" s="6" t="str">
        <f>IF(OR($D$3=JU!$F906,$D$3=JU!$I906),JU!C906,"")</f>
        <v/>
      </c>
      <c r="D913" s="73" t="str">
        <f>IF(OR($D$3=JU!$F906,$D$3=JU!$I906),JU!D906,"")</f>
        <v/>
      </c>
      <c r="E913" s="74" t="str">
        <f>IF(OR($D$3=JU!$F906,$D$3=JU!$I906),JU!E906,"")</f>
        <v/>
      </c>
      <c r="F913" s="72">
        <f>IF($D$3=JU!F906,JU!H906,0)</f>
        <v>0</v>
      </c>
      <c r="G913" s="72">
        <f>IF($D$3=JU!I906,JU!K906,0)</f>
        <v>0</v>
      </c>
      <c r="H913" s="72">
        <f t="shared" si="15"/>
        <v>76813000</v>
      </c>
    </row>
    <row r="914" spans="2:8" hidden="1">
      <c r="B914" s="68" t="str">
        <f>IF(OR($D$3=JU!$F907,$D$3=JU!$I907),JU!B907,"")</f>
        <v/>
      </c>
      <c r="C914" s="6" t="str">
        <f>IF(OR($D$3=JU!$F907,$D$3=JU!$I907),JU!C907,"")</f>
        <v/>
      </c>
      <c r="D914" s="73" t="str">
        <f>IF(OR($D$3=JU!$F907,$D$3=JU!$I907),JU!D907,"")</f>
        <v/>
      </c>
      <c r="E914" s="74" t="str">
        <f>IF(OR($D$3=JU!$F907,$D$3=JU!$I907),JU!E907,"")</f>
        <v/>
      </c>
      <c r="F914" s="72">
        <f>IF($D$3=JU!F907,JU!H907,0)</f>
        <v>0</v>
      </c>
      <c r="G914" s="72">
        <f>IF($D$3=JU!I907,JU!K907,0)</f>
        <v>0</v>
      </c>
      <c r="H914" s="72">
        <f t="shared" si="15"/>
        <v>76813000</v>
      </c>
    </row>
    <row r="915" spans="2:8" hidden="1">
      <c r="B915" s="68" t="str">
        <f>IF(OR($D$3=JU!$F908,$D$3=JU!$I908),JU!B908,"")</f>
        <v/>
      </c>
      <c r="C915" s="6" t="str">
        <f>IF(OR($D$3=JU!$F908,$D$3=JU!$I908),JU!C908,"")</f>
        <v/>
      </c>
      <c r="D915" s="73" t="str">
        <f>IF(OR($D$3=JU!$F908,$D$3=JU!$I908),JU!D908,"")</f>
        <v/>
      </c>
      <c r="E915" s="74" t="str">
        <f>IF(OR($D$3=JU!$F908,$D$3=JU!$I908),JU!E908,"")</f>
        <v/>
      </c>
      <c r="F915" s="72">
        <f>IF($D$3=JU!F908,JU!H908,0)</f>
        <v>0</v>
      </c>
      <c r="G915" s="72">
        <f>IF($D$3=JU!I908,JU!K908,0)</f>
        <v>0</v>
      </c>
      <c r="H915" s="72">
        <f t="shared" si="15"/>
        <v>76813000</v>
      </c>
    </row>
    <row r="916" spans="2:8" hidden="1">
      <c r="B916" s="68" t="str">
        <f>IF(OR($D$3=JU!$F909,$D$3=JU!$I909),JU!B909,"")</f>
        <v/>
      </c>
      <c r="C916" s="6" t="str">
        <f>IF(OR($D$3=JU!$F909,$D$3=JU!$I909),JU!C909,"")</f>
        <v/>
      </c>
      <c r="D916" s="73" t="str">
        <f>IF(OR($D$3=JU!$F909,$D$3=JU!$I909),JU!D909,"")</f>
        <v/>
      </c>
      <c r="E916" s="74" t="str">
        <f>IF(OR($D$3=JU!$F909,$D$3=JU!$I909),JU!E909,"")</f>
        <v/>
      </c>
      <c r="F916" s="72">
        <f>IF($D$3=JU!F909,JU!H909,0)</f>
        <v>0</v>
      </c>
      <c r="G916" s="72">
        <f>IF($D$3=JU!I909,JU!K909,0)</f>
        <v>0</v>
      </c>
      <c r="H916" s="72">
        <f t="shared" si="15"/>
        <v>76813000</v>
      </c>
    </row>
    <row r="917" spans="2:8" hidden="1">
      <c r="B917" s="68" t="str">
        <f>IF(OR($D$3=JU!$F910,$D$3=JU!$I910),JU!B910,"")</f>
        <v/>
      </c>
      <c r="C917" s="6" t="str">
        <f>IF(OR($D$3=JU!$F910,$D$3=JU!$I910),JU!C910,"")</f>
        <v/>
      </c>
      <c r="D917" s="73" t="str">
        <f>IF(OR($D$3=JU!$F910,$D$3=JU!$I910),JU!D910,"")</f>
        <v/>
      </c>
      <c r="E917" s="74" t="str">
        <f>IF(OR($D$3=JU!$F910,$D$3=JU!$I910),JU!E910,"")</f>
        <v/>
      </c>
      <c r="F917" s="72">
        <f>IF($D$3=JU!F910,JU!H910,0)</f>
        <v>0</v>
      </c>
      <c r="G917" s="72">
        <f>IF($D$3=JU!I910,JU!K910,0)</f>
        <v>0</v>
      </c>
      <c r="H917" s="72">
        <f t="shared" si="15"/>
        <v>76813000</v>
      </c>
    </row>
    <row r="918" spans="2:8">
      <c r="B918" s="68">
        <f>IF(OR($D$3=JU!$F911,$D$3=JU!$I911),JU!B911,"")</f>
        <v>46134</v>
      </c>
      <c r="C918" s="6" t="str">
        <f>IF(OR($D$3=JU!$F911,$D$3=JU!$I911),JU!C911,"")</f>
        <v>PEMBAYARAN PPH D17 FAJAR 1.730 MATERAI 500K TAHAP 3</v>
      </c>
      <c r="D918" s="73" t="str">
        <f>IF(OR($D$3=JU!$F911,$D$3=JU!$I911),JU!D911,"")</f>
        <v>By. Biaya PEMBAYARAN MATERAI 500K TAHAP 3</v>
      </c>
      <c r="E918" s="74">
        <f>IF(OR($D$3=JU!$F911,$D$3=JU!$I911),JU!E911,"")</f>
        <v>0</v>
      </c>
      <c r="F918" s="72">
        <f>IF($D$3=JU!F911,JU!H911,0)</f>
        <v>500000</v>
      </c>
      <c r="G918" s="72">
        <f>IF($D$3=JU!I911,JU!K911,0)</f>
        <v>0</v>
      </c>
      <c r="H918" s="72">
        <f t="shared" si="15"/>
        <v>77313000</v>
      </c>
    </row>
    <row r="919" spans="2:8" hidden="1">
      <c r="B919" s="68" t="str">
        <f>IF(OR($D$3=JU!$F912,$D$3=JU!$I912),JU!B912,"")</f>
        <v/>
      </c>
      <c r="C919" s="6" t="str">
        <f>IF(OR($D$3=JU!$F912,$D$3=JU!$I912),JU!C912,"")</f>
        <v/>
      </c>
      <c r="D919" s="73" t="str">
        <f>IF(OR($D$3=JU!$F912,$D$3=JU!$I912),JU!D912,"")</f>
        <v/>
      </c>
      <c r="E919" s="74" t="str">
        <f>IF(OR($D$3=JU!$F912,$D$3=JU!$I912),JU!E912,"")</f>
        <v/>
      </c>
      <c r="F919" s="72">
        <f>IF($D$3=JU!F912,JU!H912,0)</f>
        <v>0</v>
      </c>
      <c r="G919" s="72">
        <f>IF($D$3=JU!I912,JU!K912,0)</f>
        <v>0</v>
      </c>
      <c r="H919" s="72">
        <f t="shared" si="15"/>
        <v>77313000</v>
      </c>
    </row>
    <row r="920" spans="2:8" hidden="1">
      <c r="B920" s="68" t="str">
        <f>IF(OR($D$3=JU!$F913,$D$3=JU!$I913),JU!B913,"")</f>
        <v/>
      </c>
      <c r="C920" s="6" t="str">
        <f>IF(OR($D$3=JU!$F913,$D$3=JU!$I913),JU!C913,"")</f>
        <v/>
      </c>
      <c r="D920" s="73" t="str">
        <f>IF(OR($D$3=JU!$F913,$D$3=JU!$I913),JU!D913,"")</f>
        <v/>
      </c>
      <c r="E920" s="74" t="str">
        <f>IF(OR($D$3=JU!$F913,$D$3=JU!$I913),JU!E913,"")</f>
        <v/>
      </c>
      <c r="F920" s="72">
        <f>IF($D$3=JU!F913,JU!H913,0)</f>
        <v>0</v>
      </c>
      <c r="G920" s="72">
        <f>IF($D$3=JU!I913,JU!K913,0)</f>
        <v>0</v>
      </c>
      <c r="H920" s="72">
        <f t="shared" si="15"/>
        <v>77313000</v>
      </c>
    </row>
    <row r="921" spans="2:8" hidden="1">
      <c r="B921" s="68" t="str">
        <f>IF(OR($D$3=JU!$F914,$D$3=JU!$I914),JU!B914,"")</f>
        <v/>
      </c>
      <c r="C921" s="6" t="str">
        <f>IF(OR($D$3=JU!$F914,$D$3=JU!$I914),JU!C914,"")</f>
        <v/>
      </c>
      <c r="D921" s="73" t="str">
        <f>IF(OR($D$3=JU!$F914,$D$3=JU!$I914),JU!D914,"")</f>
        <v/>
      </c>
      <c r="E921" s="74" t="str">
        <f>IF(OR($D$3=JU!$F914,$D$3=JU!$I914),JU!E914,"")</f>
        <v/>
      </c>
      <c r="F921" s="72">
        <f>IF($D$3=JU!F914,JU!H914,0)</f>
        <v>0</v>
      </c>
      <c r="G921" s="72">
        <f>IF($D$3=JU!I914,JU!K914,0)</f>
        <v>0</v>
      </c>
      <c r="H921" s="72">
        <f t="shared" si="15"/>
        <v>77313000</v>
      </c>
    </row>
    <row r="922" spans="2:8" hidden="1">
      <c r="B922" s="68" t="str">
        <f>IF(OR($D$3=JU!$F915,$D$3=JU!$I915),JU!B915,"")</f>
        <v/>
      </c>
      <c r="C922" s="6" t="str">
        <f>IF(OR($D$3=JU!$F915,$D$3=JU!$I915),JU!C915,"")</f>
        <v/>
      </c>
      <c r="D922" s="73" t="str">
        <f>IF(OR($D$3=JU!$F915,$D$3=JU!$I915),JU!D915,"")</f>
        <v/>
      </c>
      <c r="E922" s="74" t="str">
        <f>IF(OR($D$3=JU!$F915,$D$3=JU!$I915),JU!E915,"")</f>
        <v/>
      </c>
      <c r="F922" s="72">
        <f>IF($D$3=JU!F915,JU!H915,0)</f>
        <v>0</v>
      </c>
      <c r="G922" s="72">
        <f>IF($D$3=JU!I915,JU!K915,0)</f>
        <v>0</v>
      </c>
      <c r="H922" s="72">
        <f t="shared" si="15"/>
        <v>77313000</v>
      </c>
    </row>
    <row r="923" spans="2:8" hidden="1">
      <c r="B923" s="68" t="str">
        <f>IF(OR($D$3=JU!$F916,$D$3=JU!$I916),JU!B916,"")</f>
        <v/>
      </c>
      <c r="C923" s="6" t="str">
        <f>IF(OR($D$3=JU!$F916,$D$3=JU!$I916),JU!C916,"")</f>
        <v/>
      </c>
      <c r="D923" s="73" t="str">
        <f>IF(OR($D$3=JU!$F916,$D$3=JU!$I916),JU!D916,"")</f>
        <v/>
      </c>
      <c r="E923" s="74" t="str">
        <f>IF(OR($D$3=JU!$F916,$D$3=JU!$I916),JU!E916,"")</f>
        <v/>
      </c>
      <c r="F923" s="72">
        <f>IF($D$3=JU!F916,JU!H916,0)</f>
        <v>0</v>
      </c>
      <c r="G923" s="72">
        <f>IF($D$3=JU!I916,JU!K916,0)</f>
        <v>0</v>
      </c>
      <c r="H923" s="72">
        <f t="shared" si="15"/>
        <v>77313000</v>
      </c>
    </row>
    <row r="924" spans="2:8" hidden="1">
      <c r="B924" s="68" t="str">
        <f>IF(OR($D$3=JU!$F917,$D$3=JU!$I917),JU!B917,"")</f>
        <v/>
      </c>
      <c r="C924" s="6" t="str">
        <f>IF(OR($D$3=JU!$F917,$D$3=JU!$I917),JU!C917,"")</f>
        <v/>
      </c>
      <c r="D924" s="73" t="str">
        <f>IF(OR($D$3=JU!$F917,$D$3=JU!$I917),JU!D917,"")</f>
        <v/>
      </c>
      <c r="E924" s="74" t="str">
        <f>IF(OR($D$3=JU!$F917,$D$3=JU!$I917),JU!E917,"")</f>
        <v/>
      </c>
      <c r="F924" s="72">
        <f>IF($D$3=JU!F917,JU!H917,0)</f>
        <v>0</v>
      </c>
      <c r="G924" s="72">
        <f>IF($D$3=JU!I917,JU!K917,0)</f>
        <v>0</v>
      </c>
      <c r="H924" s="72">
        <f t="shared" si="15"/>
        <v>77313000</v>
      </c>
    </row>
    <row r="925" spans="2:8" hidden="1">
      <c r="B925" s="68" t="str">
        <f>IF(OR($D$3=JU!$F918,$D$3=JU!$I918),JU!B918,"")</f>
        <v/>
      </c>
      <c r="C925" s="6" t="str">
        <f>IF(OR($D$3=JU!$F918,$D$3=JU!$I918),JU!C918,"")</f>
        <v/>
      </c>
      <c r="D925" s="73" t="str">
        <f>IF(OR($D$3=JU!$F918,$D$3=JU!$I918),JU!D918,"")</f>
        <v/>
      </c>
      <c r="E925" s="74" t="str">
        <f>IF(OR($D$3=JU!$F918,$D$3=JU!$I918),JU!E918,"")</f>
        <v/>
      </c>
      <c r="F925" s="72">
        <f>IF($D$3=JU!F918,JU!H918,0)</f>
        <v>0</v>
      </c>
      <c r="G925" s="72">
        <f>IF($D$3=JU!I918,JU!K918,0)</f>
        <v>0</v>
      </c>
      <c r="H925" s="72">
        <f t="shared" si="15"/>
        <v>77313000</v>
      </c>
    </row>
    <row r="926" spans="2:8" hidden="1">
      <c r="B926" s="68" t="str">
        <f>IF(OR($D$3=JU!$F919,$D$3=JU!$I919),JU!B919,"")</f>
        <v/>
      </c>
      <c r="C926" s="6" t="str">
        <f>IF(OR($D$3=JU!$F919,$D$3=JU!$I919),JU!C919,"")</f>
        <v/>
      </c>
      <c r="D926" s="73" t="str">
        <f>IF(OR($D$3=JU!$F919,$D$3=JU!$I919),JU!D919,"")</f>
        <v/>
      </c>
      <c r="E926" s="74" t="str">
        <f>IF(OR($D$3=JU!$F919,$D$3=JU!$I919),JU!E919,"")</f>
        <v/>
      </c>
      <c r="F926" s="72">
        <f>IF($D$3=JU!F919,JU!H919,0)</f>
        <v>0</v>
      </c>
      <c r="G926" s="72">
        <f>IF($D$3=JU!I919,JU!K919,0)</f>
        <v>0</v>
      </c>
      <c r="H926" s="72">
        <f t="shared" si="15"/>
        <v>77313000</v>
      </c>
    </row>
    <row r="927" spans="2:8" hidden="1">
      <c r="B927" s="68" t="str">
        <f>IF(OR($D$3=JU!$F920,$D$3=JU!$I920),JU!B920,"")</f>
        <v/>
      </c>
      <c r="C927" s="6" t="str">
        <f>IF(OR($D$3=JU!$F920,$D$3=JU!$I920),JU!C920,"")</f>
        <v/>
      </c>
      <c r="D927" s="73" t="str">
        <f>IF(OR($D$3=JU!$F920,$D$3=JU!$I920),JU!D920,"")</f>
        <v/>
      </c>
      <c r="E927" s="74" t="str">
        <f>IF(OR($D$3=JU!$F920,$D$3=JU!$I920),JU!E920,"")</f>
        <v/>
      </c>
      <c r="F927" s="72">
        <f>IF($D$3=JU!F920,JU!H920,0)</f>
        <v>0</v>
      </c>
      <c r="G927" s="72">
        <f>IF($D$3=JU!I920,JU!K920,0)</f>
        <v>0</v>
      </c>
      <c r="H927" s="72">
        <f t="shared" si="15"/>
        <v>77313000</v>
      </c>
    </row>
    <row r="928" spans="2:8" hidden="1">
      <c r="B928" s="68" t="str">
        <f>IF(OR($D$3=JU!$F921,$D$3=JU!$I921),JU!B921,"")</f>
        <v/>
      </c>
      <c r="C928" s="6" t="str">
        <f>IF(OR($D$3=JU!$F921,$D$3=JU!$I921),JU!C921,"")</f>
        <v/>
      </c>
      <c r="D928" s="73" t="str">
        <f>IF(OR($D$3=JU!$F921,$D$3=JU!$I921),JU!D921,"")</f>
        <v/>
      </c>
      <c r="E928" s="74" t="str">
        <f>IF(OR($D$3=JU!$F921,$D$3=JU!$I921),JU!E921,"")</f>
        <v/>
      </c>
      <c r="F928" s="72">
        <f>IF($D$3=JU!F921,JU!H921,0)</f>
        <v>0</v>
      </c>
      <c r="G928" s="72">
        <f>IF($D$3=JU!I921,JU!K921,0)</f>
        <v>0</v>
      </c>
      <c r="H928" s="72">
        <f t="shared" si="15"/>
        <v>77313000</v>
      </c>
    </row>
    <row r="929" spans="2:8" hidden="1">
      <c r="B929" s="68" t="str">
        <f>IF(OR($D$3=JU!$F922,$D$3=JU!$I922),JU!B922,"")</f>
        <v/>
      </c>
      <c r="C929" s="6" t="str">
        <f>IF(OR($D$3=JU!$F922,$D$3=JU!$I922),JU!C922,"")</f>
        <v/>
      </c>
      <c r="D929" s="73" t="str">
        <f>IF(OR($D$3=JU!$F922,$D$3=JU!$I922),JU!D922,"")</f>
        <v/>
      </c>
      <c r="E929" s="74" t="str">
        <f>IF(OR($D$3=JU!$F922,$D$3=JU!$I922),JU!E922,"")</f>
        <v/>
      </c>
      <c r="F929" s="72">
        <f>IF($D$3=JU!F922,JU!H922,0)</f>
        <v>0</v>
      </c>
      <c r="G929" s="72">
        <f>IF($D$3=JU!I922,JU!K922,0)</f>
        <v>0</v>
      </c>
      <c r="H929" s="72">
        <f t="shared" si="15"/>
        <v>77313000</v>
      </c>
    </row>
    <row r="930" spans="2:8" hidden="1">
      <c r="B930" s="68" t="str">
        <f>IF(OR($D$3=JU!$F923,$D$3=JU!$I923),JU!B923,"")</f>
        <v/>
      </c>
      <c r="C930" s="6" t="str">
        <f>IF(OR($D$3=JU!$F923,$D$3=JU!$I923),JU!C923,"")</f>
        <v/>
      </c>
      <c r="D930" s="73" t="str">
        <f>IF(OR($D$3=JU!$F923,$D$3=JU!$I923),JU!D923,"")</f>
        <v/>
      </c>
      <c r="E930" s="74" t="str">
        <f>IF(OR($D$3=JU!$F923,$D$3=JU!$I923),JU!E923,"")</f>
        <v/>
      </c>
      <c r="F930" s="72">
        <f>IF($D$3=JU!F923,JU!H923,0)</f>
        <v>0</v>
      </c>
      <c r="G930" s="72">
        <f>IF($D$3=JU!I923,JU!K923,0)</f>
        <v>0</v>
      </c>
      <c r="H930" s="72">
        <f t="shared" si="15"/>
        <v>77313000</v>
      </c>
    </row>
    <row r="931" spans="2:8" hidden="1">
      <c r="B931" s="68" t="str">
        <f>IF(OR($D$3=JU!$F924,$D$3=JU!$I924),JU!B924,"")</f>
        <v/>
      </c>
      <c r="C931" s="6" t="str">
        <f>IF(OR($D$3=JU!$F924,$D$3=JU!$I924),JU!C924,"")</f>
        <v/>
      </c>
      <c r="D931" s="73" t="str">
        <f>IF(OR($D$3=JU!$F924,$D$3=JU!$I924),JU!D924,"")</f>
        <v/>
      </c>
      <c r="E931" s="74" t="str">
        <f>IF(OR($D$3=JU!$F924,$D$3=JU!$I924),JU!E924,"")</f>
        <v/>
      </c>
      <c r="F931" s="72">
        <f>IF($D$3=JU!F924,JU!H924,0)</f>
        <v>0</v>
      </c>
      <c r="G931" s="72">
        <f>IF($D$3=JU!I924,JU!K924,0)</f>
        <v>0</v>
      </c>
      <c r="H931" s="72">
        <f t="shared" si="15"/>
        <v>77313000</v>
      </c>
    </row>
    <row r="932" spans="2:8" hidden="1">
      <c r="B932" s="68" t="str">
        <f>IF(OR($D$3=JU!$F925,$D$3=JU!$I925),JU!B925,"")</f>
        <v/>
      </c>
      <c r="C932" s="6" t="str">
        <f>IF(OR($D$3=JU!$F925,$D$3=JU!$I925),JU!C925,"")</f>
        <v/>
      </c>
      <c r="D932" s="73" t="str">
        <f>IF(OR($D$3=JU!$F925,$D$3=JU!$I925),JU!D925,"")</f>
        <v/>
      </c>
      <c r="E932" s="74" t="str">
        <f>IF(OR($D$3=JU!$F925,$D$3=JU!$I925),JU!E925,"")</f>
        <v/>
      </c>
      <c r="F932" s="72">
        <f>IF($D$3=JU!F925,JU!H925,0)</f>
        <v>0</v>
      </c>
      <c r="G932" s="72">
        <f>IF($D$3=JU!I925,JU!K925,0)</f>
        <v>0</v>
      </c>
      <c r="H932" s="72">
        <f t="shared" si="15"/>
        <v>77313000</v>
      </c>
    </row>
    <row r="933" spans="2:8" hidden="1">
      <c r="B933" s="68" t="str">
        <f>IF(OR($D$3=JU!$F926,$D$3=JU!$I926),JU!B926,"")</f>
        <v/>
      </c>
      <c r="C933" s="6" t="str">
        <f>IF(OR($D$3=JU!$F926,$D$3=JU!$I926),JU!C926,"")</f>
        <v/>
      </c>
      <c r="D933" s="73" t="str">
        <f>IF(OR($D$3=JU!$F926,$D$3=JU!$I926),JU!D926,"")</f>
        <v/>
      </c>
      <c r="E933" s="74" t="str">
        <f>IF(OR($D$3=JU!$F926,$D$3=JU!$I926),JU!E926,"")</f>
        <v/>
      </c>
      <c r="F933" s="72">
        <f>IF($D$3=JU!F926,JU!H926,0)</f>
        <v>0</v>
      </c>
      <c r="G933" s="72">
        <f>IF($D$3=JU!I926,JU!K926,0)</f>
        <v>0</v>
      </c>
      <c r="H933" s="72">
        <f t="shared" si="15"/>
        <v>77313000</v>
      </c>
    </row>
    <row r="934" spans="2:8" hidden="1">
      <c r="B934" s="68" t="str">
        <f>IF(OR($D$3=JU!$F927,$D$3=JU!$I927),JU!B927,"")</f>
        <v/>
      </c>
      <c r="C934" s="6" t="str">
        <f>IF(OR($D$3=JU!$F927,$D$3=JU!$I927),JU!C927,"")</f>
        <v/>
      </c>
      <c r="D934" s="73" t="str">
        <f>IF(OR($D$3=JU!$F927,$D$3=JU!$I927),JU!D927,"")</f>
        <v/>
      </c>
      <c r="E934" s="74" t="str">
        <f>IF(OR($D$3=JU!$F927,$D$3=JU!$I927),JU!E927,"")</f>
        <v/>
      </c>
      <c r="F934" s="72">
        <f>IF($D$3=JU!F927,JU!H927,0)</f>
        <v>0</v>
      </c>
      <c r="G934" s="72">
        <f>IF($D$3=JU!I927,JU!K927,0)</f>
        <v>0</v>
      </c>
      <c r="H934" s="72">
        <f t="shared" si="15"/>
        <v>77313000</v>
      </c>
    </row>
    <row r="935" spans="2:8" hidden="1">
      <c r="B935" s="68" t="str">
        <f>IF(OR($D$3=JU!$F928,$D$3=JU!$I928),JU!B928,"")</f>
        <v/>
      </c>
      <c r="C935" s="6" t="str">
        <f>IF(OR($D$3=JU!$F928,$D$3=JU!$I928),JU!C928,"")</f>
        <v/>
      </c>
      <c r="D935" s="73" t="str">
        <f>IF(OR($D$3=JU!$F928,$D$3=JU!$I928),JU!D928,"")</f>
        <v/>
      </c>
      <c r="E935" s="74" t="str">
        <f>IF(OR($D$3=JU!$F928,$D$3=JU!$I928),JU!E928,"")</f>
        <v/>
      </c>
      <c r="F935" s="72">
        <f>IF($D$3=JU!F928,JU!H928,0)</f>
        <v>0</v>
      </c>
      <c r="G935" s="72">
        <f>IF($D$3=JU!I928,JU!K928,0)</f>
        <v>0</v>
      </c>
      <c r="H935" s="72">
        <f t="shared" si="15"/>
        <v>77313000</v>
      </c>
    </row>
    <row r="936" spans="2:8" hidden="1">
      <c r="B936" s="68" t="str">
        <f>IF(OR($D$3=JU!$F929,$D$3=JU!$I929),JU!B929,"")</f>
        <v/>
      </c>
      <c r="C936" s="6" t="str">
        <f>IF(OR($D$3=JU!$F929,$D$3=JU!$I929),JU!C929,"")</f>
        <v/>
      </c>
      <c r="D936" s="73" t="str">
        <f>IF(OR($D$3=JU!$F929,$D$3=JU!$I929),JU!D929,"")</f>
        <v/>
      </c>
      <c r="E936" s="74" t="str">
        <f>IF(OR($D$3=JU!$F929,$D$3=JU!$I929),JU!E929,"")</f>
        <v/>
      </c>
      <c r="F936" s="72">
        <f>IF($D$3=JU!F929,JU!H929,0)</f>
        <v>0</v>
      </c>
      <c r="G936" s="72">
        <f>IF($D$3=JU!I929,JU!K929,0)</f>
        <v>0</v>
      </c>
      <c r="H936" s="72">
        <f t="shared" si="15"/>
        <v>77313000</v>
      </c>
    </row>
    <row r="937" spans="2:8" hidden="1">
      <c r="B937" s="68" t="str">
        <f>IF(OR($D$3=JU!$F930,$D$3=JU!$I930),JU!B930,"")</f>
        <v/>
      </c>
      <c r="C937" s="6" t="str">
        <f>IF(OR($D$3=JU!$F930,$D$3=JU!$I930),JU!C930,"")</f>
        <v/>
      </c>
      <c r="D937" s="73" t="str">
        <f>IF(OR($D$3=JU!$F930,$D$3=JU!$I930),JU!D930,"")</f>
        <v/>
      </c>
      <c r="E937" s="74" t="str">
        <f>IF(OR($D$3=JU!$F930,$D$3=JU!$I930),JU!E930,"")</f>
        <v/>
      </c>
      <c r="F937" s="72">
        <f>IF($D$3=JU!F930,JU!H930,0)</f>
        <v>0</v>
      </c>
      <c r="G937" s="72">
        <f>IF($D$3=JU!I930,JU!K930,0)</f>
        <v>0</v>
      </c>
      <c r="H937" s="72">
        <f t="shared" si="15"/>
        <v>77313000</v>
      </c>
    </row>
    <row r="938" spans="2:8" hidden="1">
      <c r="B938" s="68" t="str">
        <f>IF(OR($D$3=JU!$F931,$D$3=JU!$I931),JU!B931,"")</f>
        <v/>
      </c>
      <c r="C938" s="6" t="str">
        <f>IF(OR($D$3=JU!$F931,$D$3=JU!$I931),JU!C931,"")</f>
        <v/>
      </c>
      <c r="D938" s="73" t="str">
        <f>IF(OR($D$3=JU!$F931,$D$3=JU!$I931),JU!D931,"")</f>
        <v/>
      </c>
      <c r="E938" s="74" t="str">
        <f>IF(OR($D$3=JU!$F931,$D$3=JU!$I931),JU!E931,"")</f>
        <v/>
      </c>
      <c r="F938" s="72">
        <f>IF($D$3=JU!F931,JU!H931,0)</f>
        <v>0</v>
      </c>
      <c r="G938" s="72">
        <f>IF($D$3=JU!I931,JU!K931,0)</f>
        <v>0</v>
      </c>
      <c r="H938" s="72">
        <f t="shared" si="15"/>
        <v>77313000</v>
      </c>
    </row>
    <row r="939" spans="2:8" hidden="1">
      <c r="B939" s="68" t="str">
        <f>IF(OR($D$3=JU!$F932,$D$3=JU!$I932),JU!B932,"")</f>
        <v/>
      </c>
      <c r="C939" s="6" t="str">
        <f>IF(OR($D$3=JU!$F932,$D$3=JU!$I932),JU!C932,"")</f>
        <v/>
      </c>
      <c r="D939" s="73" t="str">
        <f>IF(OR($D$3=JU!$F932,$D$3=JU!$I932),JU!D932,"")</f>
        <v/>
      </c>
      <c r="E939" s="74" t="str">
        <f>IF(OR($D$3=JU!$F932,$D$3=JU!$I932),JU!E932,"")</f>
        <v/>
      </c>
      <c r="F939" s="72">
        <f>IF($D$3=JU!F932,JU!H932,0)</f>
        <v>0</v>
      </c>
      <c r="G939" s="72">
        <f>IF($D$3=JU!I932,JU!K932,0)</f>
        <v>0</v>
      </c>
      <c r="H939" s="72">
        <f t="shared" si="15"/>
        <v>77313000</v>
      </c>
    </row>
    <row r="940" spans="2:8" hidden="1">
      <c r="B940" s="68" t="str">
        <f>IF(OR($D$3=JU!$F933,$D$3=JU!$I933),JU!B933,"")</f>
        <v/>
      </c>
      <c r="C940" s="6" t="str">
        <f>IF(OR($D$3=JU!$F933,$D$3=JU!$I933),JU!C933,"")</f>
        <v/>
      </c>
      <c r="D940" s="73" t="str">
        <f>IF(OR($D$3=JU!$F933,$D$3=JU!$I933),JU!D933,"")</f>
        <v/>
      </c>
      <c r="E940" s="74" t="str">
        <f>IF(OR($D$3=JU!$F933,$D$3=JU!$I933),JU!E933,"")</f>
        <v/>
      </c>
      <c r="F940" s="72">
        <f>IF($D$3=JU!F933,JU!H933,0)</f>
        <v>0</v>
      </c>
      <c r="G940" s="72">
        <f>IF($D$3=JU!I933,JU!K933,0)</f>
        <v>0</v>
      </c>
      <c r="H940" s="72">
        <f t="shared" si="15"/>
        <v>77313000</v>
      </c>
    </row>
    <row r="941" spans="2:8" hidden="1">
      <c r="B941" s="68" t="str">
        <f>IF(OR($D$3=JU!$F934,$D$3=JU!$I934),JU!B934,"")</f>
        <v/>
      </c>
      <c r="C941" s="6" t="str">
        <f>IF(OR($D$3=JU!$F934,$D$3=JU!$I934),JU!C934,"")</f>
        <v/>
      </c>
      <c r="D941" s="73" t="str">
        <f>IF(OR($D$3=JU!$F934,$D$3=JU!$I934),JU!D934,"")</f>
        <v/>
      </c>
      <c r="E941" s="74" t="str">
        <f>IF(OR($D$3=JU!$F934,$D$3=JU!$I934),JU!E934,"")</f>
        <v/>
      </c>
      <c r="F941" s="72">
        <f>IF($D$3=JU!F934,JU!H934,0)</f>
        <v>0</v>
      </c>
      <c r="G941" s="72">
        <f>IF($D$3=JU!I934,JU!K934,0)</f>
        <v>0</v>
      </c>
      <c r="H941" s="72">
        <f t="shared" si="15"/>
        <v>77313000</v>
      </c>
    </row>
    <row r="942" spans="2:8" hidden="1">
      <c r="B942" s="68" t="str">
        <f>IF(OR($D$3=JU!$F935,$D$3=JU!$I935),JU!B935,"")</f>
        <v/>
      </c>
      <c r="C942" s="6" t="str">
        <f>IF(OR($D$3=JU!$F935,$D$3=JU!$I935),JU!C935,"")</f>
        <v/>
      </c>
      <c r="D942" s="73" t="str">
        <f>IF(OR($D$3=JU!$F935,$D$3=JU!$I935),JU!D935,"")</f>
        <v/>
      </c>
      <c r="E942" s="74" t="str">
        <f>IF(OR($D$3=JU!$F935,$D$3=JU!$I935),JU!E935,"")</f>
        <v/>
      </c>
      <c r="F942" s="72">
        <f>IF($D$3=JU!F935,JU!H935,0)</f>
        <v>0</v>
      </c>
      <c r="G942" s="72">
        <f>IF($D$3=JU!I935,JU!K935,0)</f>
        <v>0</v>
      </c>
      <c r="H942" s="72">
        <f t="shared" si="15"/>
        <v>77313000</v>
      </c>
    </row>
    <row r="943" spans="2:8" hidden="1">
      <c r="B943" s="68" t="str">
        <f>IF(OR($D$3=JU!$F936,$D$3=JU!$I936),JU!B936,"")</f>
        <v/>
      </c>
      <c r="C943" s="6" t="str">
        <f>IF(OR($D$3=JU!$F936,$D$3=JU!$I936),JU!C936,"")</f>
        <v/>
      </c>
      <c r="D943" s="73" t="str">
        <f>IF(OR($D$3=JU!$F936,$D$3=JU!$I936),JU!D936,"")</f>
        <v/>
      </c>
      <c r="E943" s="74" t="str">
        <f>IF(OR($D$3=JU!$F936,$D$3=JU!$I936),JU!E936,"")</f>
        <v/>
      </c>
      <c r="F943" s="72">
        <f>IF($D$3=JU!F936,JU!H936,0)</f>
        <v>0</v>
      </c>
      <c r="G943" s="72">
        <f>IF($D$3=JU!I936,JU!K936,0)</f>
        <v>0</v>
      </c>
      <c r="H943" s="72">
        <f t="shared" si="15"/>
        <v>77313000</v>
      </c>
    </row>
    <row r="944" spans="2:8" hidden="1">
      <c r="B944" s="68" t="str">
        <f>IF(OR($D$3=JU!$F937,$D$3=JU!$I937),JU!B937,"")</f>
        <v/>
      </c>
      <c r="C944" s="6" t="str">
        <f>IF(OR($D$3=JU!$F937,$D$3=JU!$I937),JU!C937,"")</f>
        <v/>
      </c>
      <c r="D944" s="73" t="str">
        <f>IF(OR($D$3=JU!$F937,$D$3=JU!$I937),JU!D937,"")</f>
        <v/>
      </c>
      <c r="E944" s="74" t="str">
        <f>IF(OR($D$3=JU!$F937,$D$3=JU!$I937),JU!E937,"")</f>
        <v/>
      </c>
      <c r="F944" s="72">
        <f>IF($D$3=JU!F937,JU!H937,0)</f>
        <v>0</v>
      </c>
      <c r="G944" s="72">
        <f>IF($D$3=JU!I937,JU!K937,0)</f>
        <v>0</v>
      </c>
      <c r="H944" s="72">
        <f t="shared" si="15"/>
        <v>77313000</v>
      </c>
    </row>
    <row r="945" spans="2:8" hidden="1">
      <c r="B945" s="68" t="str">
        <f>IF(OR($D$3=JU!$F938,$D$3=JU!$I938),JU!B938,"")</f>
        <v/>
      </c>
      <c r="C945" s="6" t="str">
        <f>IF(OR($D$3=JU!$F938,$D$3=JU!$I938),JU!C938,"")</f>
        <v/>
      </c>
      <c r="D945" s="73" t="str">
        <f>IF(OR($D$3=JU!$F938,$D$3=JU!$I938),JU!D938,"")</f>
        <v/>
      </c>
      <c r="E945" s="74" t="str">
        <f>IF(OR($D$3=JU!$F938,$D$3=JU!$I938),JU!E938,"")</f>
        <v/>
      </c>
      <c r="F945" s="72">
        <f>IF($D$3=JU!F938,JU!H938,0)</f>
        <v>0</v>
      </c>
      <c r="G945" s="72">
        <f>IF($D$3=JU!I938,JU!K938,0)</f>
        <v>0</v>
      </c>
      <c r="H945" s="72">
        <f t="shared" si="15"/>
        <v>77313000</v>
      </c>
    </row>
    <row r="946" spans="2:8" hidden="1">
      <c r="B946" s="68" t="str">
        <f>IF(OR($D$3=JU!$F939,$D$3=JU!$I939),JU!B939,"")</f>
        <v/>
      </c>
      <c r="C946" s="6" t="str">
        <f>IF(OR($D$3=JU!$F939,$D$3=JU!$I939),JU!C939,"")</f>
        <v/>
      </c>
      <c r="D946" s="73" t="str">
        <f>IF(OR($D$3=JU!$F939,$D$3=JU!$I939),JU!D939,"")</f>
        <v/>
      </c>
      <c r="E946" s="74" t="str">
        <f>IF(OR($D$3=JU!$F939,$D$3=JU!$I939),JU!E939,"")</f>
        <v/>
      </c>
      <c r="F946" s="72">
        <f>IF($D$3=JU!F939,JU!H939,0)</f>
        <v>0</v>
      </c>
      <c r="G946" s="72">
        <f>IF($D$3=JU!I939,JU!K939,0)</f>
        <v>0</v>
      </c>
      <c r="H946" s="72">
        <f t="shared" si="15"/>
        <v>77313000</v>
      </c>
    </row>
    <row r="947" spans="2:8" hidden="1">
      <c r="B947" s="68" t="str">
        <f>IF(OR($D$3=JU!$F940,$D$3=JU!$I940),JU!B940,"")</f>
        <v/>
      </c>
      <c r="C947" s="6" t="str">
        <f>IF(OR($D$3=JU!$F940,$D$3=JU!$I940),JU!C940,"")</f>
        <v/>
      </c>
      <c r="D947" s="73" t="str">
        <f>IF(OR($D$3=JU!$F940,$D$3=JU!$I940),JU!D940,"")</f>
        <v/>
      </c>
      <c r="E947" s="74" t="str">
        <f>IF(OR($D$3=JU!$F940,$D$3=JU!$I940),JU!E940,"")</f>
        <v/>
      </c>
      <c r="F947" s="72">
        <f>IF($D$3=JU!F940,JU!H940,0)</f>
        <v>0</v>
      </c>
      <c r="G947" s="72">
        <f>IF($D$3=JU!I940,JU!K940,0)</f>
        <v>0</v>
      </c>
      <c r="H947" s="72">
        <f t="shared" si="15"/>
        <v>77313000</v>
      </c>
    </row>
    <row r="948" spans="2:8" hidden="1">
      <c r="B948" s="68" t="str">
        <f>IF(OR($D$3=JU!$F941,$D$3=JU!$I941),JU!B941,"")</f>
        <v/>
      </c>
      <c r="C948" s="6" t="str">
        <f>IF(OR($D$3=JU!$F941,$D$3=JU!$I941),JU!C941,"")</f>
        <v/>
      </c>
      <c r="D948" s="73" t="str">
        <f>IF(OR($D$3=JU!$F941,$D$3=JU!$I941),JU!D941,"")</f>
        <v/>
      </c>
      <c r="E948" s="74" t="str">
        <f>IF(OR($D$3=JU!$F941,$D$3=JU!$I941),JU!E941,"")</f>
        <v/>
      </c>
      <c r="F948" s="72">
        <f>IF($D$3=JU!F941,JU!H941,0)</f>
        <v>0</v>
      </c>
      <c r="G948" s="72">
        <f>IF($D$3=JU!I941,JU!K941,0)</f>
        <v>0</v>
      </c>
      <c r="H948" s="72">
        <f t="shared" si="15"/>
        <v>77313000</v>
      </c>
    </row>
    <row r="949" spans="2:8" hidden="1">
      <c r="B949" s="68" t="str">
        <f>IF(OR($D$3=JU!$F942,$D$3=JU!$I942),JU!B942,"")</f>
        <v/>
      </c>
      <c r="C949" s="6" t="str">
        <f>IF(OR($D$3=JU!$F942,$D$3=JU!$I942),JU!C942,"")</f>
        <v/>
      </c>
      <c r="D949" s="73" t="str">
        <f>IF(OR($D$3=JU!$F942,$D$3=JU!$I942),JU!D942,"")</f>
        <v/>
      </c>
      <c r="E949" s="74" t="str">
        <f>IF(OR($D$3=JU!$F942,$D$3=JU!$I942),JU!E942,"")</f>
        <v/>
      </c>
      <c r="F949" s="72">
        <f>IF($D$3=JU!F942,JU!H942,0)</f>
        <v>0</v>
      </c>
      <c r="G949" s="72">
        <f>IF($D$3=JU!I942,JU!K942,0)</f>
        <v>0</v>
      </c>
      <c r="H949" s="72">
        <f t="shared" si="15"/>
        <v>77313000</v>
      </c>
    </row>
    <row r="950" spans="2:8" hidden="1">
      <c r="B950" s="68" t="str">
        <f>IF(OR($D$3=JU!$F943,$D$3=JU!$I943),JU!B943,"")</f>
        <v/>
      </c>
      <c r="C950" s="6" t="str">
        <f>IF(OR($D$3=JU!$F943,$D$3=JU!$I943),JU!C943,"")</f>
        <v/>
      </c>
      <c r="D950" s="73" t="str">
        <f>IF(OR($D$3=JU!$F943,$D$3=JU!$I943),JU!D943,"")</f>
        <v/>
      </c>
      <c r="E950" s="74" t="str">
        <f>IF(OR($D$3=JU!$F943,$D$3=JU!$I943),JU!E943,"")</f>
        <v/>
      </c>
      <c r="F950" s="72">
        <f>IF($D$3=JU!F943,JU!H943,0)</f>
        <v>0</v>
      </c>
      <c r="G950" s="72">
        <f>IF($D$3=JU!I943,JU!K943,0)</f>
        <v>0</v>
      </c>
      <c r="H950" s="72">
        <f t="shared" si="15"/>
        <v>77313000</v>
      </c>
    </row>
    <row r="951" spans="2:8" hidden="1">
      <c r="B951" s="68" t="str">
        <f>IF(OR($D$3=JU!$F944,$D$3=JU!$I944),JU!B944,"")</f>
        <v/>
      </c>
      <c r="C951" s="6" t="str">
        <f>IF(OR($D$3=JU!$F944,$D$3=JU!$I944),JU!C944,"")</f>
        <v/>
      </c>
      <c r="D951" s="73" t="str">
        <f>IF(OR($D$3=JU!$F944,$D$3=JU!$I944),JU!D944,"")</f>
        <v/>
      </c>
      <c r="E951" s="74" t="str">
        <f>IF(OR($D$3=JU!$F944,$D$3=JU!$I944),JU!E944,"")</f>
        <v/>
      </c>
      <c r="F951" s="72">
        <f>IF($D$3=JU!F944,JU!H944,0)</f>
        <v>0</v>
      </c>
      <c r="G951" s="72">
        <f>IF($D$3=JU!I944,JU!K944,0)</f>
        <v>0</v>
      </c>
      <c r="H951" s="72">
        <f t="shared" si="15"/>
        <v>77313000</v>
      </c>
    </row>
    <row r="952" spans="2:8" hidden="1">
      <c r="B952" s="68" t="str">
        <f>IF(OR($D$3=JU!$F945,$D$3=JU!$I945),JU!B945,"")</f>
        <v/>
      </c>
      <c r="C952" s="6" t="str">
        <f>IF(OR($D$3=JU!$F945,$D$3=JU!$I945),JU!C945,"")</f>
        <v/>
      </c>
      <c r="D952" s="73" t="str">
        <f>IF(OR($D$3=JU!$F945,$D$3=JU!$I945),JU!D945,"")</f>
        <v/>
      </c>
      <c r="E952" s="74" t="str">
        <f>IF(OR($D$3=JU!$F945,$D$3=JU!$I945),JU!E945,"")</f>
        <v/>
      </c>
      <c r="F952" s="72">
        <f>IF($D$3=JU!F945,JU!H945,0)</f>
        <v>0</v>
      </c>
      <c r="G952" s="72">
        <f>IF($D$3=JU!I945,JU!K945,0)</f>
        <v>0</v>
      </c>
      <c r="H952" s="72">
        <f t="shared" si="15"/>
        <v>77313000</v>
      </c>
    </row>
    <row r="953" spans="2:8" hidden="1">
      <c r="B953" s="68" t="str">
        <f>IF(OR($D$3=JU!$F946,$D$3=JU!$I946),JU!B946,"")</f>
        <v/>
      </c>
      <c r="C953" s="6" t="str">
        <f>IF(OR($D$3=JU!$F946,$D$3=JU!$I946),JU!C946,"")</f>
        <v/>
      </c>
      <c r="D953" s="73" t="str">
        <f>IF(OR($D$3=JU!$F946,$D$3=JU!$I946),JU!D946,"")</f>
        <v/>
      </c>
      <c r="E953" s="74" t="str">
        <f>IF(OR($D$3=JU!$F946,$D$3=JU!$I946),JU!E946,"")</f>
        <v/>
      </c>
      <c r="F953" s="72">
        <f>IF($D$3=JU!F946,JU!H946,0)</f>
        <v>0</v>
      </c>
      <c r="G953" s="72">
        <f>IF($D$3=JU!I946,JU!K946,0)</f>
        <v>0</v>
      </c>
      <c r="H953" s="72">
        <f t="shared" si="15"/>
        <v>77313000</v>
      </c>
    </row>
    <row r="954" spans="2:8" hidden="1">
      <c r="B954" s="68" t="str">
        <f>IF(OR($D$3=JU!$F947,$D$3=JU!$I947),JU!B947,"")</f>
        <v/>
      </c>
      <c r="C954" s="6" t="str">
        <f>IF(OR($D$3=JU!$F947,$D$3=JU!$I947),JU!C947,"")</f>
        <v/>
      </c>
      <c r="D954" s="73" t="str">
        <f>IF(OR($D$3=JU!$F947,$D$3=JU!$I947),JU!D947,"")</f>
        <v/>
      </c>
      <c r="E954" s="74" t="str">
        <f>IF(OR($D$3=JU!$F947,$D$3=JU!$I947),JU!E947,"")</f>
        <v/>
      </c>
      <c r="F954" s="72">
        <f>IF($D$3=JU!F947,JU!H947,0)</f>
        <v>0</v>
      </c>
      <c r="G954" s="72">
        <f>IF($D$3=JU!I947,JU!K947,0)</f>
        <v>0</v>
      </c>
      <c r="H954" s="72">
        <f t="shared" si="15"/>
        <v>77313000</v>
      </c>
    </row>
    <row r="955" spans="2:8" hidden="1">
      <c r="B955" s="68" t="str">
        <f>IF(OR($D$3=JU!$F948,$D$3=JU!$I948),JU!B948,"")</f>
        <v/>
      </c>
      <c r="C955" s="6" t="str">
        <f>IF(OR($D$3=JU!$F948,$D$3=JU!$I948),JU!C948,"")</f>
        <v/>
      </c>
      <c r="D955" s="73" t="str">
        <f>IF(OR($D$3=JU!$F948,$D$3=JU!$I948),JU!D948,"")</f>
        <v/>
      </c>
      <c r="E955" s="74" t="str">
        <f>IF(OR($D$3=JU!$F948,$D$3=JU!$I948),JU!E948,"")</f>
        <v/>
      </c>
      <c r="F955" s="72">
        <f>IF($D$3=JU!F948,JU!H948,0)</f>
        <v>0</v>
      </c>
      <c r="G955" s="72">
        <f>IF($D$3=JU!I948,JU!K948,0)</f>
        <v>0</v>
      </c>
      <c r="H955" s="72">
        <f t="shared" si="15"/>
        <v>77313000</v>
      </c>
    </row>
    <row r="956" spans="2:8" hidden="1">
      <c r="B956" s="68" t="str">
        <f>IF(OR($D$3=JU!$F949,$D$3=JU!$I949),JU!B949,"")</f>
        <v/>
      </c>
      <c r="C956" s="6" t="str">
        <f>IF(OR($D$3=JU!$F949,$D$3=JU!$I949),JU!C949,"")</f>
        <v/>
      </c>
      <c r="D956" s="73" t="str">
        <f>IF(OR($D$3=JU!$F949,$D$3=JU!$I949),JU!D949,"")</f>
        <v/>
      </c>
      <c r="E956" s="74" t="str">
        <f>IF(OR($D$3=JU!$F949,$D$3=JU!$I949),JU!E949,"")</f>
        <v/>
      </c>
      <c r="F956" s="72">
        <f>IF($D$3=JU!F949,JU!H949,0)</f>
        <v>0</v>
      </c>
      <c r="G956" s="72">
        <f>IF($D$3=JU!I949,JU!K949,0)</f>
        <v>0</v>
      </c>
      <c r="H956" s="72">
        <f t="shared" si="15"/>
        <v>77313000</v>
      </c>
    </row>
    <row r="957" spans="2:8" hidden="1">
      <c r="B957" s="68" t="str">
        <f>IF(OR($D$3=JU!$F950,$D$3=JU!$I950),JU!B950,"")</f>
        <v/>
      </c>
      <c r="C957" s="6" t="str">
        <f>IF(OR($D$3=JU!$F950,$D$3=JU!$I950),JU!C950,"")</f>
        <v/>
      </c>
      <c r="D957" s="73" t="str">
        <f>IF(OR($D$3=JU!$F950,$D$3=JU!$I950),JU!D950,"")</f>
        <v/>
      </c>
      <c r="E957" s="74" t="str">
        <f>IF(OR($D$3=JU!$F950,$D$3=JU!$I950),JU!E950,"")</f>
        <v/>
      </c>
      <c r="F957" s="72">
        <f>IF($D$3=JU!F950,JU!H950,0)</f>
        <v>0</v>
      </c>
      <c r="G957" s="72">
        <f>IF($D$3=JU!I950,JU!K950,0)</f>
        <v>0</v>
      </c>
      <c r="H957" s="72">
        <f t="shared" si="15"/>
        <v>77313000</v>
      </c>
    </row>
    <row r="958" spans="2:8" hidden="1">
      <c r="B958" s="68" t="str">
        <f>IF(OR($D$3=JU!$F951,$D$3=JU!$I951),JU!B951,"")</f>
        <v/>
      </c>
      <c r="C958" s="6" t="str">
        <f>IF(OR($D$3=JU!$F951,$D$3=JU!$I951),JU!C951,"")</f>
        <v/>
      </c>
      <c r="D958" s="73" t="str">
        <f>IF(OR($D$3=JU!$F951,$D$3=JU!$I951),JU!D951,"")</f>
        <v/>
      </c>
      <c r="E958" s="74" t="str">
        <f>IF(OR($D$3=JU!$F951,$D$3=JU!$I951),JU!E951,"")</f>
        <v/>
      </c>
      <c r="F958" s="72">
        <f>IF($D$3=JU!F951,JU!H951,0)</f>
        <v>0</v>
      </c>
      <c r="G958" s="72">
        <f>IF($D$3=JU!I951,JU!K951,0)</f>
        <v>0</v>
      </c>
      <c r="H958" s="72">
        <f t="shared" si="15"/>
        <v>77313000</v>
      </c>
    </row>
    <row r="959" spans="2:8" hidden="1">
      <c r="B959" s="68" t="str">
        <f>IF(OR($D$3=JU!$F952,$D$3=JU!$I952),JU!B952,"")</f>
        <v/>
      </c>
      <c r="C959" s="6" t="str">
        <f>IF(OR($D$3=JU!$F952,$D$3=JU!$I952),JU!C952,"")</f>
        <v/>
      </c>
      <c r="D959" s="73" t="str">
        <f>IF(OR($D$3=JU!$F952,$D$3=JU!$I952),JU!D952,"")</f>
        <v/>
      </c>
      <c r="E959" s="74" t="str">
        <f>IF(OR($D$3=JU!$F952,$D$3=JU!$I952),JU!E952,"")</f>
        <v/>
      </c>
      <c r="F959" s="72">
        <f>IF($D$3=JU!F952,JU!H952,0)</f>
        <v>0</v>
      </c>
      <c r="G959" s="72">
        <f>IF($D$3=JU!I952,JU!K952,0)</f>
        <v>0</v>
      </c>
      <c r="H959" s="72">
        <f t="shared" si="15"/>
        <v>77313000</v>
      </c>
    </row>
    <row r="960" spans="2:8" hidden="1">
      <c r="B960" s="68" t="str">
        <f>IF(OR($D$3=JU!$F953,$D$3=JU!$I953),JU!B953,"")</f>
        <v/>
      </c>
      <c r="C960" s="6" t="str">
        <f>IF(OR($D$3=JU!$F953,$D$3=JU!$I953),JU!C953,"")</f>
        <v/>
      </c>
      <c r="D960" s="73" t="str">
        <f>IF(OR($D$3=JU!$F953,$D$3=JU!$I953),JU!D953,"")</f>
        <v/>
      </c>
      <c r="E960" s="74" t="str">
        <f>IF(OR($D$3=JU!$F953,$D$3=JU!$I953),JU!E953,"")</f>
        <v/>
      </c>
      <c r="F960" s="72">
        <f>IF($D$3=JU!F953,JU!H953,0)</f>
        <v>0</v>
      </c>
      <c r="G960" s="72">
        <f>IF($D$3=JU!I953,JU!K953,0)</f>
        <v>0</v>
      </c>
      <c r="H960" s="72">
        <f t="shared" si="15"/>
        <v>77313000</v>
      </c>
    </row>
    <row r="961" spans="2:8" hidden="1">
      <c r="B961" s="68" t="str">
        <f>IF(OR($D$3=JU!$F954,$D$3=JU!$I954),JU!B954,"")</f>
        <v/>
      </c>
      <c r="C961" s="6" t="str">
        <f>IF(OR($D$3=JU!$F954,$D$3=JU!$I954),JU!C954,"")</f>
        <v/>
      </c>
      <c r="D961" s="73" t="str">
        <f>IF(OR($D$3=JU!$F954,$D$3=JU!$I954),JU!D954,"")</f>
        <v/>
      </c>
      <c r="E961" s="74" t="str">
        <f>IF(OR($D$3=JU!$F954,$D$3=JU!$I954),JU!E954,"")</f>
        <v/>
      </c>
      <c r="F961" s="72">
        <f>IF($D$3=JU!F954,JU!H954,0)</f>
        <v>0</v>
      </c>
      <c r="G961" s="72">
        <f>IF($D$3=JU!I954,JU!K954,0)</f>
        <v>0</v>
      </c>
      <c r="H961" s="72">
        <f t="shared" si="15"/>
        <v>77313000</v>
      </c>
    </row>
    <row r="962" spans="2:8" hidden="1">
      <c r="B962" s="68" t="str">
        <f>IF(OR($D$3=JU!$F955,$D$3=JU!$I955),JU!B955,"")</f>
        <v/>
      </c>
      <c r="C962" s="6" t="str">
        <f>IF(OR($D$3=JU!$F955,$D$3=JU!$I955),JU!C955,"")</f>
        <v/>
      </c>
      <c r="D962" s="73" t="str">
        <f>IF(OR($D$3=JU!$F955,$D$3=JU!$I955),JU!D955,"")</f>
        <v/>
      </c>
      <c r="E962" s="74" t="str">
        <f>IF(OR($D$3=JU!$F955,$D$3=JU!$I955),JU!E955,"")</f>
        <v/>
      </c>
      <c r="F962" s="72">
        <f>IF($D$3=JU!F955,JU!H955,0)</f>
        <v>0</v>
      </c>
      <c r="G962" s="72">
        <f>IF($D$3=JU!I955,JU!K955,0)</f>
        <v>0</v>
      </c>
      <c r="H962" s="72">
        <f t="shared" si="15"/>
        <v>77313000</v>
      </c>
    </row>
    <row r="963" spans="2:8" hidden="1">
      <c r="B963" s="68" t="str">
        <f>IF(OR($D$3=JU!$F956,$D$3=JU!$I956),JU!B956,"")</f>
        <v/>
      </c>
      <c r="C963" s="6" t="str">
        <f>IF(OR($D$3=JU!$F956,$D$3=JU!$I956),JU!C956,"")</f>
        <v/>
      </c>
      <c r="D963" s="73" t="str">
        <f>IF(OR($D$3=JU!$F956,$D$3=JU!$I956),JU!D956,"")</f>
        <v/>
      </c>
      <c r="E963" s="74" t="str">
        <f>IF(OR($D$3=JU!$F956,$D$3=JU!$I956),JU!E956,"")</f>
        <v/>
      </c>
      <c r="F963" s="72">
        <f>IF($D$3=JU!F956,JU!H956,0)</f>
        <v>0</v>
      </c>
      <c r="G963" s="72">
        <f>IF($D$3=JU!I956,JU!K956,0)</f>
        <v>0</v>
      </c>
      <c r="H963" s="72">
        <f t="shared" si="15"/>
        <v>77313000</v>
      </c>
    </row>
    <row r="964" spans="2:8" hidden="1">
      <c r="B964" s="68" t="str">
        <f>IF(OR($D$3=JU!$F957,$D$3=JU!$I957),JU!B957,"")</f>
        <v/>
      </c>
      <c r="C964" s="6" t="str">
        <f>IF(OR($D$3=JU!$F957,$D$3=JU!$I957),JU!C957,"")</f>
        <v/>
      </c>
      <c r="D964" s="73" t="str">
        <f>IF(OR($D$3=JU!$F957,$D$3=JU!$I957),JU!D957,"")</f>
        <v/>
      </c>
      <c r="E964" s="74" t="str">
        <f>IF(OR($D$3=JU!$F957,$D$3=JU!$I957),JU!E957,"")</f>
        <v/>
      </c>
      <c r="F964" s="72">
        <f>IF($D$3=JU!F957,JU!H957,0)</f>
        <v>0</v>
      </c>
      <c r="G964" s="72">
        <f>IF($D$3=JU!I957,JU!K957,0)</f>
        <v>0</v>
      </c>
      <c r="H964" s="72">
        <f t="shared" si="15"/>
        <v>77313000</v>
      </c>
    </row>
    <row r="965" spans="2:8" hidden="1">
      <c r="B965" s="68" t="str">
        <f>IF(OR($D$3=JU!$F958,$D$3=JU!$I958),JU!B958,"")</f>
        <v/>
      </c>
      <c r="C965" s="6" t="str">
        <f>IF(OR($D$3=JU!$F958,$D$3=JU!$I958),JU!C958,"")</f>
        <v/>
      </c>
      <c r="D965" s="73" t="str">
        <f>IF(OR($D$3=JU!$F958,$D$3=JU!$I958),JU!D958,"")</f>
        <v/>
      </c>
      <c r="E965" s="74" t="str">
        <f>IF(OR($D$3=JU!$F958,$D$3=JU!$I958),JU!E958,"")</f>
        <v/>
      </c>
      <c r="F965" s="72">
        <f>IF($D$3=JU!F958,JU!H958,0)</f>
        <v>0</v>
      </c>
      <c r="G965" s="72">
        <f>IF($D$3=JU!I958,JU!K958,0)</f>
        <v>0</v>
      </c>
      <c r="H965" s="72">
        <f t="shared" si="15"/>
        <v>77313000</v>
      </c>
    </row>
    <row r="966" spans="2:8" hidden="1">
      <c r="B966" s="68" t="str">
        <f>IF(OR($D$3=JU!$F959,$D$3=JU!$I959),JU!B959,"")</f>
        <v/>
      </c>
      <c r="C966" s="6" t="str">
        <f>IF(OR($D$3=JU!$F959,$D$3=JU!$I959),JU!C959,"")</f>
        <v/>
      </c>
      <c r="D966" s="73" t="str">
        <f>IF(OR($D$3=JU!$F959,$D$3=JU!$I959),JU!D959,"")</f>
        <v/>
      </c>
      <c r="E966" s="74" t="str">
        <f>IF(OR($D$3=JU!$F959,$D$3=JU!$I959),JU!E959,"")</f>
        <v/>
      </c>
      <c r="F966" s="72">
        <f>IF($D$3=JU!F959,JU!H959,0)</f>
        <v>0</v>
      </c>
      <c r="G966" s="72">
        <f>IF($D$3=JU!I959,JU!K959,0)</f>
        <v>0</v>
      </c>
      <c r="H966" s="72">
        <f t="shared" si="15"/>
        <v>77313000</v>
      </c>
    </row>
    <row r="967" spans="2:8" hidden="1">
      <c r="B967" s="68" t="str">
        <f>IF(OR($D$3=JU!$F960,$D$3=JU!$I960),JU!B960,"")</f>
        <v/>
      </c>
      <c r="C967" s="6" t="str">
        <f>IF(OR($D$3=JU!$F960,$D$3=JU!$I960),JU!C960,"")</f>
        <v/>
      </c>
      <c r="D967" s="73" t="str">
        <f>IF(OR($D$3=JU!$F960,$D$3=JU!$I960),JU!D960,"")</f>
        <v/>
      </c>
      <c r="E967" s="74" t="str">
        <f>IF(OR($D$3=JU!$F960,$D$3=JU!$I960),JU!E960,"")</f>
        <v/>
      </c>
      <c r="F967" s="72">
        <f>IF($D$3=JU!F960,JU!H960,0)</f>
        <v>0</v>
      </c>
      <c r="G967" s="72">
        <f>IF($D$3=JU!I960,JU!K960,0)</f>
        <v>0</v>
      </c>
      <c r="H967" s="72">
        <f t="shared" si="15"/>
        <v>77313000</v>
      </c>
    </row>
    <row r="968" spans="2:8" hidden="1">
      <c r="B968" s="68" t="str">
        <f>IF(OR($D$3=JU!$F961,$D$3=JU!$I961),JU!B961,"")</f>
        <v/>
      </c>
      <c r="C968" s="6" t="str">
        <f>IF(OR($D$3=JU!$F961,$D$3=JU!$I961),JU!C961,"")</f>
        <v/>
      </c>
      <c r="D968" s="73" t="str">
        <f>IF(OR($D$3=JU!$F961,$D$3=JU!$I961),JU!D961,"")</f>
        <v/>
      </c>
      <c r="E968" s="74" t="str">
        <f>IF(OR($D$3=JU!$F961,$D$3=JU!$I961),JU!E961,"")</f>
        <v/>
      </c>
      <c r="F968" s="72">
        <f>IF($D$3=JU!F961,JU!H961,0)</f>
        <v>0</v>
      </c>
      <c r="G968" s="72">
        <f>IF($D$3=JU!I961,JU!K961,0)</f>
        <v>0</v>
      </c>
      <c r="H968" s="72">
        <f t="shared" si="15"/>
        <v>77313000</v>
      </c>
    </row>
    <row r="969" spans="2:8" hidden="1">
      <c r="B969" s="68" t="str">
        <f>IF(OR($D$3=JU!$F962,$D$3=JU!$I962),JU!B962,"")</f>
        <v/>
      </c>
      <c r="C969" s="6" t="str">
        <f>IF(OR($D$3=JU!$F962,$D$3=JU!$I962),JU!C962,"")</f>
        <v/>
      </c>
      <c r="D969" s="73" t="str">
        <f>IF(OR($D$3=JU!$F962,$D$3=JU!$I962),JU!D962,"")</f>
        <v/>
      </c>
      <c r="E969" s="74" t="str">
        <f>IF(OR($D$3=JU!$F962,$D$3=JU!$I962),JU!E962,"")</f>
        <v/>
      </c>
      <c r="F969" s="72">
        <f>IF($D$3=JU!F962,JU!H962,0)</f>
        <v>0</v>
      </c>
      <c r="G969" s="72">
        <f>IF($D$3=JU!I962,JU!K962,0)</f>
        <v>0</v>
      </c>
      <c r="H969" s="72">
        <f t="shared" si="15"/>
        <v>77313000</v>
      </c>
    </row>
    <row r="970" spans="2:8" hidden="1">
      <c r="B970" s="68" t="str">
        <f>IF(OR($D$3=JU!$F963,$D$3=JU!$I963),JU!B963,"")</f>
        <v/>
      </c>
      <c r="C970" s="6" t="str">
        <f>IF(OR($D$3=JU!$F963,$D$3=JU!$I963),JU!C963,"")</f>
        <v/>
      </c>
      <c r="D970" s="73" t="str">
        <f>IF(OR($D$3=JU!$F963,$D$3=JU!$I963),JU!D963,"")</f>
        <v/>
      </c>
      <c r="E970" s="74" t="str">
        <f>IF(OR($D$3=JU!$F963,$D$3=JU!$I963),JU!E963,"")</f>
        <v/>
      </c>
      <c r="F970" s="72">
        <f>IF($D$3=JU!F963,JU!H963,0)</f>
        <v>0</v>
      </c>
      <c r="G970" s="72">
        <f>IF($D$3=JU!I963,JU!K963,0)</f>
        <v>0</v>
      </c>
      <c r="H970" s="72">
        <f t="shared" si="15"/>
        <v>77313000</v>
      </c>
    </row>
    <row r="971" spans="2:8" hidden="1">
      <c r="B971" s="68" t="str">
        <f>IF(OR($D$3=JU!$F964,$D$3=JU!$I964),JU!B964,"")</f>
        <v/>
      </c>
      <c r="C971" s="6" t="str">
        <f>IF(OR($D$3=JU!$F964,$D$3=JU!$I964),JU!C964,"")</f>
        <v/>
      </c>
      <c r="D971" s="73" t="str">
        <f>IF(OR($D$3=JU!$F964,$D$3=JU!$I964),JU!D964,"")</f>
        <v/>
      </c>
      <c r="E971" s="74" t="str">
        <f>IF(OR($D$3=JU!$F964,$D$3=JU!$I964),JU!E964,"")</f>
        <v/>
      </c>
      <c r="F971" s="72">
        <f>IF($D$3=JU!F964,JU!H964,0)</f>
        <v>0</v>
      </c>
      <c r="G971" s="72">
        <f>IF($D$3=JU!I964,JU!K964,0)</f>
        <v>0</v>
      </c>
      <c r="H971" s="72">
        <f t="shared" si="15"/>
        <v>77313000</v>
      </c>
    </row>
    <row r="972" spans="2:8" hidden="1">
      <c r="B972" s="68" t="str">
        <f>IF(OR($D$3=JU!$F965,$D$3=JU!$I965),JU!B965,"")</f>
        <v/>
      </c>
      <c r="C972" s="6" t="str">
        <f>IF(OR($D$3=JU!$F965,$D$3=JU!$I965),JU!C965,"")</f>
        <v/>
      </c>
      <c r="D972" s="73" t="str">
        <f>IF(OR($D$3=JU!$F965,$D$3=JU!$I965),JU!D965,"")</f>
        <v/>
      </c>
      <c r="E972" s="74" t="str">
        <f>IF(OR($D$3=JU!$F965,$D$3=JU!$I965),JU!E965,"")</f>
        <v/>
      </c>
      <c r="F972" s="72">
        <f>IF($D$3=JU!F965,JU!H965,0)</f>
        <v>0</v>
      </c>
      <c r="G972" s="72">
        <f>IF($D$3=JU!I965,JU!K965,0)</f>
        <v>0</v>
      </c>
      <c r="H972" s="72">
        <f t="shared" si="15"/>
        <v>77313000</v>
      </c>
    </row>
    <row r="973" spans="2:8" hidden="1">
      <c r="B973" s="68" t="str">
        <f>IF(OR($D$3=JU!$F966,$D$3=JU!$I966),JU!B966,"")</f>
        <v/>
      </c>
      <c r="C973" s="6" t="str">
        <f>IF(OR($D$3=JU!$F966,$D$3=JU!$I966),JU!C966,"")</f>
        <v/>
      </c>
      <c r="D973" s="73" t="str">
        <f>IF(OR($D$3=JU!$F966,$D$3=JU!$I966),JU!D966,"")</f>
        <v/>
      </c>
      <c r="E973" s="74" t="str">
        <f>IF(OR($D$3=JU!$F966,$D$3=JU!$I966),JU!E966,"")</f>
        <v/>
      </c>
      <c r="F973" s="72">
        <f>IF($D$3=JU!F966,JU!H966,0)</f>
        <v>0</v>
      </c>
      <c r="G973" s="72">
        <f>IF($D$3=JU!I966,JU!K966,0)</f>
        <v>0</v>
      </c>
      <c r="H973" s="72">
        <f t="shared" si="15"/>
        <v>77313000</v>
      </c>
    </row>
    <row r="974" spans="2:8" hidden="1">
      <c r="B974" s="68" t="str">
        <f>IF(OR($D$3=JU!$F967,$D$3=JU!$I967),JU!B967,"")</f>
        <v/>
      </c>
      <c r="C974" s="6" t="str">
        <f>IF(OR($D$3=JU!$F967,$D$3=JU!$I967),JU!C967,"")</f>
        <v/>
      </c>
      <c r="D974" s="73" t="str">
        <f>IF(OR($D$3=JU!$F967,$D$3=JU!$I967),JU!D967,"")</f>
        <v/>
      </c>
      <c r="E974" s="74" t="str">
        <f>IF(OR($D$3=JU!$F967,$D$3=JU!$I967),JU!E967,"")</f>
        <v/>
      </c>
      <c r="F974" s="72">
        <f>IF($D$3=JU!F967,JU!H967,0)</f>
        <v>0</v>
      </c>
      <c r="G974" s="72">
        <f>IF($D$3=JU!I967,JU!K967,0)</f>
        <v>0</v>
      </c>
      <c r="H974" s="72">
        <f t="shared" ref="H974:H1037" si="16">IF($H$7="DEBET",H973+F974-G974,H973+G974-F974)</f>
        <v>77313000</v>
      </c>
    </row>
    <row r="975" spans="2:8" hidden="1">
      <c r="B975" s="68" t="str">
        <f>IF(OR($D$3=JU!$F968,$D$3=JU!$I968),JU!B968,"")</f>
        <v/>
      </c>
      <c r="C975" s="6" t="str">
        <f>IF(OR($D$3=JU!$F968,$D$3=JU!$I968),JU!C968,"")</f>
        <v/>
      </c>
      <c r="D975" s="73" t="str">
        <f>IF(OR($D$3=JU!$F968,$D$3=JU!$I968),JU!D968,"")</f>
        <v/>
      </c>
      <c r="E975" s="74" t="str">
        <f>IF(OR($D$3=JU!$F968,$D$3=JU!$I968),JU!E968,"")</f>
        <v/>
      </c>
      <c r="F975" s="72">
        <f>IF($D$3=JU!F968,JU!H968,0)</f>
        <v>0</v>
      </c>
      <c r="G975" s="72">
        <f>IF($D$3=JU!I968,JU!K968,0)</f>
        <v>0</v>
      </c>
      <c r="H975" s="72">
        <f t="shared" si="16"/>
        <v>77313000</v>
      </c>
    </row>
    <row r="976" spans="2:8" hidden="1">
      <c r="B976" s="68" t="str">
        <f>IF(OR($D$3=JU!$F969,$D$3=JU!$I969),JU!B969,"")</f>
        <v/>
      </c>
      <c r="C976" s="6" t="str">
        <f>IF(OR($D$3=JU!$F969,$D$3=JU!$I969),JU!C969,"")</f>
        <v/>
      </c>
      <c r="D976" s="73" t="str">
        <f>IF(OR($D$3=JU!$F969,$D$3=JU!$I969),JU!D969,"")</f>
        <v/>
      </c>
      <c r="E976" s="74" t="str">
        <f>IF(OR($D$3=JU!$F969,$D$3=JU!$I969),JU!E969,"")</f>
        <v/>
      </c>
      <c r="F976" s="72">
        <f>IF($D$3=JU!F969,JU!H969,0)</f>
        <v>0</v>
      </c>
      <c r="G976" s="72">
        <f>IF($D$3=JU!I969,JU!K969,0)</f>
        <v>0</v>
      </c>
      <c r="H976" s="72">
        <f t="shared" si="16"/>
        <v>77313000</v>
      </c>
    </row>
    <row r="977" spans="2:8" hidden="1">
      <c r="B977" s="68" t="str">
        <f>IF(OR($D$3=JU!$F970,$D$3=JU!$I970),JU!B970,"")</f>
        <v/>
      </c>
      <c r="C977" s="6" t="str">
        <f>IF(OR($D$3=JU!$F970,$D$3=JU!$I970),JU!C970,"")</f>
        <v/>
      </c>
      <c r="D977" s="73" t="str">
        <f>IF(OR($D$3=JU!$F970,$D$3=JU!$I970),JU!D970,"")</f>
        <v/>
      </c>
      <c r="E977" s="74" t="str">
        <f>IF(OR($D$3=JU!$F970,$D$3=JU!$I970),JU!E970,"")</f>
        <v/>
      </c>
      <c r="F977" s="72">
        <f>IF($D$3=JU!F970,JU!H970,0)</f>
        <v>0</v>
      </c>
      <c r="G977" s="72">
        <f>IF($D$3=JU!I970,JU!K970,0)</f>
        <v>0</v>
      </c>
      <c r="H977" s="72">
        <f t="shared" si="16"/>
        <v>77313000</v>
      </c>
    </row>
    <row r="978" spans="2:8" hidden="1">
      <c r="B978" s="68" t="str">
        <f>IF(OR($D$3=JU!$F971,$D$3=JU!$I971),JU!B971,"")</f>
        <v/>
      </c>
      <c r="C978" s="6" t="str">
        <f>IF(OR($D$3=JU!$F971,$D$3=JU!$I971),JU!C971,"")</f>
        <v/>
      </c>
      <c r="D978" s="73" t="str">
        <f>IF(OR($D$3=JU!$F971,$D$3=JU!$I971),JU!D971,"")</f>
        <v/>
      </c>
      <c r="E978" s="74" t="str">
        <f>IF(OR($D$3=JU!$F971,$D$3=JU!$I971),JU!E971,"")</f>
        <v/>
      </c>
      <c r="F978" s="72">
        <f>IF($D$3=JU!F971,JU!H971,0)</f>
        <v>0</v>
      </c>
      <c r="G978" s="72">
        <f>IF($D$3=JU!I971,JU!K971,0)</f>
        <v>0</v>
      </c>
      <c r="H978" s="72">
        <f t="shared" si="16"/>
        <v>77313000</v>
      </c>
    </row>
    <row r="979" spans="2:8" hidden="1">
      <c r="B979" s="68" t="str">
        <f>IF(OR($D$3=JU!$F972,$D$3=JU!$I972),JU!B972,"")</f>
        <v/>
      </c>
      <c r="C979" s="6" t="str">
        <f>IF(OR($D$3=JU!$F972,$D$3=JU!$I972),JU!C972,"")</f>
        <v/>
      </c>
      <c r="D979" s="73" t="str">
        <f>IF(OR($D$3=JU!$F972,$D$3=JU!$I972),JU!D972,"")</f>
        <v/>
      </c>
      <c r="E979" s="74" t="str">
        <f>IF(OR($D$3=JU!$F972,$D$3=JU!$I972),JU!E972,"")</f>
        <v/>
      </c>
      <c r="F979" s="72">
        <f>IF($D$3=JU!F972,JU!H972,0)</f>
        <v>0</v>
      </c>
      <c r="G979" s="72">
        <f>IF($D$3=JU!I972,JU!K972,0)</f>
        <v>0</v>
      </c>
      <c r="H979" s="72">
        <f t="shared" si="16"/>
        <v>77313000</v>
      </c>
    </row>
    <row r="980" spans="2:8" hidden="1">
      <c r="B980" s="68" t="str">
        <f>IF(OR($D$3=JU!$F973,$D$3=JU!$I973),JU!B973,"")</f>
        <v/>
      </c>
      <c r="C980" s="6" t="str">
        <f>IF(OR($D$3=JU!$F973,$D$3=JU!$I973),JU!C973,"")</f>
        <v/>
      </c>
      <c r="D980" s="73" t="str">
        <f>IF(OR($D$3=JU!$F973,$D$3=JU!$I973),JU!D973,"")</f>
        <v/>
      </c>
      <c r="E980" s="74" t="str">
        <f>IF(OR($D$3=JU!$F973,$D$3=JU!$I973),JU!E973,"")</f>
        <v/>
      </c>
      <c r="F980" s="72">
        <f>IF($D$3=JU!F973,JU!H973,0)</f>
        <v>0</v>
      </c>
      <c r="G980" s="72">
        <f>IF($D$3=JU!I973,JU!K973,0)</f>
        <v>0</v>
      </c>
      <c r="H980" s="72">
        <f t="shared" si="16"/>
        <v>77313000</v>
      </c>
    </row>
    <row r="981" spans="2:8" hidden="1">
      <c r="B981" s="68" t="str">
        <f>IF(OR($D$3=JU!$F974,$D$3=JU!$I974),JU!B974,"")</f>
        <v/>
      </c>
      <c r="C981" s="6" t="str">
        <f>IF(OR($D$3=JU!$F974,$D$3=JU!$I974),JU!C974,"")</f>
        <v/>
      </c>
      <c r="D981" s="73" t="str">
        <f>IF(OR($D$3=JU!$F974,$D$3=JU!$I974),JU!D974,"")</f>
        <v/>
      </c>
      <c r="E981" s="74" t="str">
        <f>IF(OR($D$3=JU!$F974,$D$3=JU!$I974),JU!E974,"")</f>
        <v/>
      </c>
      <c r="F981" s="72">
        <f>IF($D$3=JU!F974,JU!H974,0)</f>
        <v>0</v>
      </c>
      <c r="G981" s="72">
        <f>IF($D$3=JU!I974,JU!K974,0)</f>
        <v>0</v>
      </c>
      <c r="H981" s="72">
        <f t="shared" si="16"/>
        <v>77313000</v>
      </c>
    </row>
    <row r="982" spans="2:8">
      <c r="B982" s="68">
        <f>IF(OR($D$3=JU!$F975,$D$3=JU!$I975),JU!B975,"")</f>
        <v>46139</v>
      </c>
      <c r="C982" s="6" t="str">
        <f>IF(OR($D$3=JU!$F975,$D$3=JU!$I975),JU!C975,"")</f>
        <v>PEMBAYARAN PDAM 1.545 X 3 (TAHAP 3 : E2, D21) (TAHAP 4: F28) MATERAI 500K X 3 SN3 (TAHAP 3 : E2, D21) (TAHAP 4 : F28)</v>
      </c>
      <c r="D982" s="73" t="str">
        <f>IF(OR($D$3=JU!$F975,$D$3=JU!$I975),JU!D975,"")</f>
        <v>By. Biaya PEMBAYARAN MATERAI 500K X 3 SN3 (TAHAP 3 : E2, D21) (TAHAP 4 : F28)</v>
      </c>
      <c r="E982" s="74">
        <f>IF(OR($D$3=JU!$F975,$D$3=JU!$I975),JU!E975,"")</f>
        <v>0</v>
      </c>
      <c r="F982" s="72">
        <f>IF($D$3=JU!F975,JU!H975,0)</f>
        <v>1500000</v>
      </c>
      <c r="G982" s="72">
        <f>IF($D$3=JU!I975,JU!K975,0)</f>
        <v>0</v>
      </c>
      <c r="H982" s="72">
        <f t="shared" si="16"/>
        <v>78813000</v>
      </c>
    </row>
    <row r="983" spans="2:8" hidden="1">
      <c r="B983" s="68" t="str">
        <f>IF(OR($D$3=JU!$F976,$D$3=JU!$I976),JU!B976,"")</f>
        <v/>
      </c>
      <c r="C983" s="6" t="str">
        <f>IF(OR($D$3=JU!$F976,$D$3=JU!$I976),JU!C976,"")</f>
        <v/>
      </c>
      <c r="D983" s="73" t="str">
        <f>IF(OR($D$3=JU!$F976,$D$3=JU!$I976),JU!D976,"")</f>
        <v/>
      </c>
      <c r="E983" s="74" t="str">
        <f>IF(OR($D$3=JU!$F976,$D$3=JU!$I976),JU!E976,"")</f>
        <v/>
      </c>
      <c r="F983" s="72">
        <f>IF($D$3=JU!F976,JU!H976,0)</f>
        <v>0</v>
      </c>
      <c r="G983" s="72">
        <f>IF($D$3=JU!I976,JU!K976,0)</f>
        <v>0</v>
      </c>
      <c r="H983" s="72">
        <f t="shared" si="16"/>
        <v>78813000</v>
      </c>
    </row>
    <row r="984" spans="2:8" hidden="1">
      <c r="B984" s="68" t="str">
        <f>IF(OR($D$3=JU!$F977,$D$3=JU!$I977),JU!B977,"")</f>
        <v/>
      </c>
      <c r="C984" s="6" t="str">
        <f>IF(OR($D$3=JU!$F977,$D$3=JU!$I977),JU!C977,"")</f>
        <v/>
      </c>
      <c r="D984" s="73" t="str">
        <f>IF(OR($D$3=JU!$F977,$D$3=JU!$I977),JU!D977,"")</f>
        <v/>
      </c>
      <c r="E984" s="74" t="str">
        <f>IF(OR($D$3=JU!$F977,$D$3=JU!$I977),JU!E977,"")</f>
        <v/>
      </c>
      <c r="F984" s="72">
        <f>IF($D$3=JU!F977,JU!H977,0)</f>
        <v>0</v>
      </c>
      <c r="G984" s="72">
        <f>IF($D$3=JU!I977,JU!K977,0)</f>
        <v>0</v>
      </c>
      <c r="H984" s="72">
        <f t="shared" si="16"/>
        <v>78813000</v>
      </c>
    </row>
    <row r="985" spans="2:8" hidden="1">
      <c r="B985" s="68" t="str">
        <f>IF(OR($D$3=JU!$F978,$D$3=JU!$I978),JU!B978,"")</f>
        <v/>
      </c>
      <c r="C985" s="6" t="str">
        <f>IF(OR($D$3=JU!$F978,$D$3=JU!$I978),JU!C978,"")</f>
        <v/>
      </c>
      <c r="D985" s="73" t="str">
        <f>IF(OR($D$3=JU!$F978,$D$3=JU!$I978),JU!D978,"")</f>
        <v/>
      </c>
      <c r="E985" s="74" t="str">
        <f>IF(OR($D$3=JU!$F978,$D$3=JU!$I978),JU!E978,"")</f>
        <v/>
      </c>
      <c r="F985" s="72">
        <f>IF($D$3=JU!F978,JU!H978,0)</f>
        <v>0</v>
      </c>
      <c r="G985" s="72">
        <f>IF($D$3=JU!I978,JU!K978,0)</f>
        <v>0</v>
      </c>
      <c r="H985" s="72">
        <f t="shared" si="16"/>
        <v>78813000</v>
      </c>
    </row>
    <row r="986" spans="2:8" hidden="1">
      <c r="B986" s="68" t="str">
        <f>IF(OR($D$3=JU!$F979,$D$3=JU!$I979),JU!B979,"")</f>
        <v/>
      </c>
      <c r="C986" s="6" t="str">
        <f>IF(OR($D$3=JU!$F979,$D$3=JU!$I979),JU!C979,"")</f>
        <v/>
      </c>
      <c r="D986" s="73" t="str">
        <f>IF(OR($D$3=JU!$F979,$D$3=JU!$I979),JU!D979,"")</f>
        <v/>
      </c>
      <c r="E986" s="74" t="str">
        <f>IF(OR($D$3=JU!$F979,$D$3=JU!$I979),JU!E979,"")</f>
        <v/>
      </c>
      <c r="F986" s="72">
        <f>IF($D$3=JU!F979,JU!H979,0)</f>
        <v>0</v>
      </c>
      <c r="G986" s="72">
        <f>IF($D$3=JU!I979,JU!K979,0)</f>
        <v>0</v>
      </c>
      <c r="H986" s="72">
        <f t="shared" si="16"/>
        <v>78813000</v>
      </c>
    </row>
    <row r="987" spans="2:8" hidden="1">
      <c r="B987" s="68" t="str">
        <f>IF(OR($D$3=JU!$F980,$D$3=JU!$I980),JU!B980,"")</f>
        <v/>
      </c>
      <c r="C987" s="6" t="str">
        <f>IF(OR($D$3=JU!$F980,$D$3=JU!$I980),JU!C980,"")</f>
        <v/>
      </c>
      <c r="D987" s="73" t="str">
        <f>IF(OR($D$3=JU!$F980,$D$3=JU!$I980),JU!D980,"")</f>
        <v/>
      </c>
      <c r="E987" s="74" t="str">
        <f>IF(OR($D$3=JU!$F980,$D$3=JU!$I980),JU!E980,"")</f>
        <v/>
      </c>
      <c r="F987" s="72">
        <f>IF($D$3=JU!F980,JU!H980,0)</f>
        <v>0</v>
      </c>
      <c r="G987" s="72">
        <f>IF($D$3=JU!I980,JU!K980,0)</f>
        <v>0</v>
      </c>
      <c r="H987" s="72">
        <f t="shared" si="16"/>
        <v>78813000</v>
      </c>
    </row>
    <row r="988" spans="2:8" hidden="1">
      <c r="B988" s="68" t="str">
        <f>IF(OR($D$3=JU!$F981,$D$3=JU!$I981),JU!B981,"")</f>
        <v/>
      </c>
      <c r="C988" s="6" t="str">
        <f>IF(OR($D$3=JU!$F981,$D$3=JU!$I981),JU!C981,"")</f>
        <v/>
      </c>
      <c r="D988" s="73" t="str">
        <f>IF(OR($D$3=JU!$F981,$D$3=JU!$I981),JU!D981,"")</f>
        <v/>
      </c>
      <c r="E988" s="74" t="str">
        <f>IF(OR($D$3=JU!$F981,$D$3=JU!$I981),JU!E981,"")</f>
        <v/>
      </c>
      <c r="F988" s="72">
        <f>IF($D$3=JU!F981,JU!H981,0)</f>
        <v>0</v>
      </c>
      <c r="G988" s="72">
        <f>IF($D$3=JU!I981,JU!K981,0)</f>
        <v>0</v>
      </c>
      <c r="H988" s="72">
        <f t="shared" si="16"/>
        <v>78813000</v>
      </c>
    </row>
    <row r="989" spans="2:8" hidden="1">
      <c r="B989" s="68" t="str">
        <f>IF(OR($D$3=JU!$F982,$D$3=JU!$I982),JU!B982,"")</f>
        <v/>
      </c>
      <c r="C989" s="6" t="str">
        <f>IF(OR($D$3=JU!$F982,$D$3=JU!$I982),JU!C982,"")</f>
        <v/>
      </c>
      <c r="D989" s="73" t="str">
        <f>IF(OR($D$3=JU!$F982,$D$3=JU!$I982),JU!D982,"")</f>
        <v/>
      </c>
      <c r="E989" s="74" t="str">
        <f>IF(OR($D$3=JU!$F982,$D$3=JU!$I982),JU!E982,"")</f>
        <v/>
      </c>
      <c r="F989" s="72">
        <f>IF($D$3=JU!F982,JU!H982,0)</f>
        <v>0</v>
      </c>
      <c r="G989" s="72">
        <f>IF($D$3=JU!I982,JU!K982,0)</f>
        <v>0</v>
      </c>
      <c r="H989" s="72">
        <f t="shared" si="16"/>
        <v>78813000</v>
      </c>
    </row>
    <row r="990" spans="2:8" hidden="1">
      <c r="B990" s="68" t="str">
        <f>IF(OR($D$3=JU!$F983,$D$3=JU!$I983),JU!B983,"")</f>
        <v/>
      </c>
      <c r="C990" s="6" t="str">
        <f>IF(OR($D$3=JU!$F983,$D$3=JU!$I983),JU!C983,"")</f>
        <v/>
      </c>
      <c r="D990" s="73" t="str">
        <f>IF(OR($D$3=JU!$F983,$D$3=JU!$I983),JU!D983,"")</f>
        <v/>
      </c>
      <c r="E990" s="74" t="str">
        <f>IF(OR($D$3=JU!$F983,$D$3=JU!$I983),JU!E983,"")</f>
        <v/>
      </c>
      <c r="F990" s="72">
        <f>IF($D$3=JU!F983,JU!H983,0)</f>
        <v>0</v>
      </c>
      <c r="G990" s="72">
        <f>IF($D$3=JU!I983,JU!K983,0)</f>
        <v>0</v>
      </c>
      <c r="H990" s="72">
        <f t="shared" si="16"/>
        <v>78813000</v>
      </c>
    </row>
    <row r="991" spans="2:8" hidden="1">
      <c r="B991" s="68" t="str">
        <f>IF(OR($D$3=JU!$F984,$D$3=JU!$I984),JU!B984,"")</f>
        <v/>
      </c>
      <c r="C991" s="6" t="str">
        <f>IF(OR($D$3=JU!$F984,$D$3=JU!$I984),JU!C984,"")</f>
        <v/>
      </c>
      <c r="D991" s="73" t="str">
        <f>IF(OR($D$3=JU!$F984,$D$3=JU!$I984),JU!D984,"")</f>
        <v/>
      </c>
      <c r="E991" s="74" t="str">
        <f>IF(OR($D$3=JU!$F984,$D$3=JU!$I984),JU!E984,"")</f>
        <v/>
      </c>
      <c r="F991" s="72">
        <f>IF($D$3=JU!F984,JU!H984,0)</f>
        <v>0</v>
      </c>
      <c r="G991" s="72">
        <f>IF($D$3=JU!I984,JU!K984,0)</f>
        <v>0</v>
      </c>
      <c r="H991" s="72">
        <f t="shared" si="16"/>
        <v>78813000</v>
      </c>
    </row>
    <row r="992" spans="2:8" hidden="1">
      <c r="B992" s="68" t="str">
        <f>IF(OR($D$3=JU!$F985,$D$3=JU!$I985),JU!B985,"")</f>
        <v/>
      </c>
      <c r="C992" s="6" t="str">
        <f>IF(OR($D$3=JU!$F985,$D$3=JU!$I985),JU!C985,"")</f>
        <v/>
      </c>
      <c r="D992" s="73" t="str">
        <f>IF(OR($D$3=JU!$F985,$D$3=JU!$I985),JU!D985,"")</f>
        <v/>
      </c>
      <c r="E992" s="74" t="str">
        <f>IF(OR($D$3=JU!$F985,$D$3=JU!$I985),JU!E985,"")</f>
        <v/>
      </c>
      <c r="F992" s="72">
        <f>IF($D$3=JU!F985,JU!H985,0)</f>
        <v>0</v>
      </c>
      <c r="G992" s="72">
        <f>IF($D$3=JU!I985,JU!K985,0)</f>
        <v>0</v>
      </c>
      <c r="H992" s="72">
        <f t="shared" si="16"/>
        <v>78813000</v>
      </c>
    </row>
    <row r="993" spans="2:8" hidden="1">
      <c r="B993" s="68" t="str">
        <f>IF(OR($D$3=JU!$F986,$D$3=JU!$I986),JU!B986,"")</f>
        <v/>
      </c>
      <c r="C993" s="6" t="str">
        <f>IF(OR($D$3=JU!$F986,$D$3=JU!$I986),JU!C986,"")</f>
        <v/>
      </c>
      <c r="D993" s="73" t="str">
        <f>IF(OR($D$3=JU!$F986,$D$3=JU!$I986),JU!D986,"")</f>
        <v/>
      </c>
      <c r="E993" s="74" t="str">
        <f>IF(OR($D$3=JU!$F986,$D$3=JU!$I986),JU!E986,"")</f>
        <v/>
      </c>
      <c r="F993" s="72">
        <f>IF($D$3=JU!F986,JU!H986,0)</f>
        <v>0</v>
      </c>
      <c r="G993" s="72">
        <f>IF($D$3=JU!I986,JU!K986,0)</f>
        <v>0</v>
      </c>
      <c r="H993" s="72">
        <f t="shared" si="16"/>
        <v>78813000</v>
      </c>
    </row>
    <row r="994" spans="2:8" hidden="1">
      <c r="B994" s="68" t="str">
        <f>IF(OR($D$3=JU!$F987,$D$3=JU!$I987),JU!B987,"")</f>
        <v/>
      </c>
      <c r="C994" s="6" t="str">
        <f>IF(OR($D$3=JU!$F987,$D$3=JU!$I987),JU!C987,"")</f>
        <v/>
      </c>
      <c r="D994" s="73" t="str">
        <f>IF(OR($D$3=JU!$F987,$D$3=JU!$I987),JU!D987,"")</f>
        <v/>
      </c>
      <c r="E994" s="74" t="str">
        <f>IF(OR($D$3=JU!$F987,$D$3=JU!$I987),JU!E987,"")</f>
        <v/>
      </c>
      <c r="F994" s="72">
        <f>IF($D$3=JU!F987,JU!H987,0)</f>
        <v>0</v>
      </c>
      <c r="G994" s="72">
        <f>IF($D$3=JU!I987,JU!K987,0)</f>
        <v>0</v>
      </c>
      <c r="H994" s="72">
        <f t="shared" si="16"/>
        <v>78813000</v>
      </c>
    </row>
    <row r="995" spans="2:8" hidden="1">
      <c r="B995" s="68" t="str">
        <f>IF(OR($D$3=JU!$F988,$D$3=JU!$I988),JU!B988,"")</f>
        <v/>
      </c>
      <c r="C995" s="6" t="str">
        <f>IF(OR($D$3=JU!$F988,$D$3=JU!$I988),JU!C988,"")</f>
        <v/>
      </c>
      <c r="D995" s="73" t="str">
        <f>IF(OR($D$3=JU!$F988,$D$3=JU!$I988),JU!D988,"")</f>
        <v/>
      </c>
      <c r="E995" s="74" t="str">
        <f>IF(OR($D$3=JU!$F988,$D$3=JU!$I988),JU!E988,"")</f>
        <v/>
      </c>
      <c r="F995" s="72">
        <f>IF($D$3=JU!F988,JU!H988,0)</f>
        <v>0</v>
      </c>
      <c r="G995" s="72">
        <f>IF($D$3=JU!I988,JU!K988,0)</f>
        <v>0</v>
      </c>
      <c r="H995" s="72">
        <f t="shared" si="16"/>
        <v>78813000</v>
      </c>
    </row>
    <row r="996" spans="2:8" hidden="1">
      <c r="B996" s="68" t="str">
        <f>IF(OR($D$3=JU!$F989,$D$3=JU!$I989),JU!B989,"")</f>
        <v/>
      </c>
      <c r="C996" s="6" t="str">
        <f>IF(OR($D$3=JU!$F989,$D$3=JU!$I989),JU!C989,"")</f>
        <v/>
      </c>
      <c r="D996" s="73" t="str">
        <f>IF(OR($D$3=JU!$F989,$D$3=JU!$I989),JU!D989,"")</f>
        <v/>
      </c>
      <c r="E996" s="74" t="str">
        <f>IF(OR($D$3=JU!$F989,$D$3=JU!$I989),JU!E989,"")</f>
        <v/>
      </c>
      <c r="F996" s="72">
        <f>IF($D$3=JU!F989,JU!H989,0)</f>
        <v>0</v>
      </c>
      <c r="G996" s="72">
        <f>IF($D$3=JU!I989,JU!K989,0)</f>
        <v>0</v>
      </c>
      <c r="H996" s="72">
        <f t="shared" si="16"/>
        <v>78813000</v>
      </c>
    </row>
    <row r="997" spans="2:8" hidden="1">
      <c r="B997" s="68" t="str">
        <f>IF(OR($D$3=JU!$F990,$D$3=JU!$I990),JU!B990,"")</f>
        <v/>
      </c>
      <c r="C997" s="6" t="str">
        <f>IF(OR($D$3=JU!$F990,$D$3=JU!$I990),JU!C990,"")</f>
        <v/>
      </c>
      <c r="D997" s="73" t="str">
        <f>IF(OR($D$3=JU!$F990,$D$3=JU!$I990),JU!D990,"")</f>
        <v/>
      </c>
      <c r="E997" s="74" t="str">
        <f>IF(OR($D$3=JU!$F990,$D$3=JU!$I990),JU!E990,"")</f>
        <v/>
      </c>
      <c r="F997" s="72">
        <f>IF($D$3=JU!F990,JU!H990,0)</f>
        <v>0</v>
      </c>
      <c r="G997" s="72">
        <f>IF($D$3=JU!I990,JU!K990,0)</f>
        <v>0</v>
      </c>
      <c r="H997" s="72">
        <f t="shared" si="16"/>
        <v>78813000</v>
      </c>
    </row>
    <row r="998" spans="2:8" hidden="1">
      <c r="B998" s="68" t="str">
        <f>IF(OR($D$3=JU!$F991,$D$3=JU!$I991),JU!B991,"")</f>
        <v/>
      </c>
      <c r="C998" s="6" t="str">
        <f>IF(OR($D$3=JU!$F991,$D$3=JU!$I991),JU!C991,"")</f>
        <v/>
      </c>
      <c r="D998" s="73" t="str">
        <f>IF(OR($D$3=JU!$F991,$D$3=JU!$I991),JU!D991,"")</f>
        <v/>
      </c>
      <c r="E998" s="74" t="str">
        <f>IF(OR($D$3=JU!$F991,$D$3=JU!$I991),JU!E991,"")</f>
        <v/>
      </c>
      <c r="F998" s="72">
        <f>IF($D$3=JU!F991,JU!H991,0)</f>
        <v>0</v>
      </c>
      <c r="G998" s="72">
        <f>IF($D$3=JU!I991,JU!K991,0)</f>
        <v>0</v>
      </c>
      <c r="H998" s="72">
        <f t="shared" si="16"/>
        <v>78813000</v>
      </c>
    </row>
    <row r="999" spans="2:8" hidden="1">
      <c r="B999" s="68" t="str">
        <f>IF(OR($D$3=JU!$F992,$D$3=JU!$I992),JU!B992,"")</f>
        <v/>
      </c>
      <c r="C999" s="6" t="str">
        <f>IF(OR($D$3=JU!$F992,$D$3=JU!$I992),JU!C992,"")</f>
        <v/>
      </c>
      <c r="D999" s="73" t="str">
        <f>IF(OR($D$3=JU!$F992,$D$3=JU!$I992),JU!D992,"")</f>
        <v/>
      </c>
      <c r="E999" s="74" t="str">
        <f>IF(OR($D$3=JU!$F992,$D$3=JU!$I992),JU!E992,"")</f>
        <v/>
      </c>
      <c r="F999" s="72">
        <f>IF($D$3=JU!F992,JU!H992,0)</f>
        <v>0</v>
      </c>
      <c r="G999" s="72">
        <f>IF($D$3=JU!I992,JU!K992,0)</f>
        <v>0</v>
      </c>
      <c r="H999" s="72">
        <f t="shared" si="16"/>
        <v>78813000</v>
      </c>
    </row>
    <row r="1000" spans="2:8" hidden="1">
      <c r="B1000" s="68" t="str">
        <f>IF(OR($D$3=JU!$F993,$D$3=JU!$I993),JU!B993,"")</f>
        <v/>
      </c>
      <c r="C1000" s="6" t="str">
        <f>IF(OR($D$3=JU!$F993,$D$3=JU!$I993),JU!C993,"")</f>
        <v/>
      </c>
      <c r="D1000" s="73" t="str">
        <f>IF(OR($D$3=JU!$F993,$D$3=JU!$I993),JU!D993,"")</f>
        <v/>
      </c>
      <c r="E1000" s="74" t="str">
        <f>IF(OR($D$3=JU!$F993,$D$3=JU!$I993),JU!E993,"")</f>
        <v/>
      </c>
      <c r="F1000" s="72">
        <f>IF($D$3=JU!F993,JU!H993,0)</f>
        <v>0</v>
      </c>
      <c r="G1000" s="72">
        <f>IF($D$3=JU!I993,JU!K993,0)</f>
        <v>0</v>
      </c>
      <c r="H1000" s="72">
        <f t="shared" si="16"/>
        <v>78813000</v>
      </c>
    </row>
    <row r="1001" spans="2:8" hidden="1">
      <c r="B1001" s="68" t="str">
        <f>IF(OR($D$3=JU!$F994,$D$3=JU!$I994),JU!B994,"")</f>
        <v/>
      </c>
      <c r="C1001" s="6" t="str">
        <f>IF(OR($D$3=JU!$F994,$D$3=JU!$I994),JU!C994,"")</f>
        <v/>
      </c>
      <c r="D1001" s="73" t="str">
        <f>IF(OR($D$3=JU!$F994,$D$3=JU!$I994),JU!D994,"")</f>
        <v/>
      </c>
      <c r="E1001" s="74" t="str">
        <f>IF(OR($D$3=JU!$F994,$D$3=JU!$I994),JU!E994,"")</f>
        <v/>
      </c>
      <c r="F1001" s="72">
        <f>IF($D$3=JU!F994,JU!H994,0)</f>
        <v>0</v>
      </c>
      <c r="G1001" s="72">
        <f>IF($D$3=JU!I994,JU!K994,0)</f>
        <v>0</v>
      </c>
      <c r="H1001" s="72">
        <f t="shared" si="16"/>
        <v>78813000</v>
      </c>
    </row>
    <row r="1002" spans="2:8" hidden="1">
      <c r="B1002" s="68" t="str">
        <f>IF(OR($D$3=JU!$F995,$D$3=JU!$I995),JU!B995,"")</f>
        <v/>
      </c>
      <c r="C1002" s="6" t="str">
        <f>IF(OR($D$3=JU!$F995,$D$3=JU!$I995),JU!C995,"")</f>
        <v/>
      </c>
      <c r="D1002" s="73" t="str">
        <f>IF(OR($D$3=JU!$F995,$D$3=JU!$I995),JU!D995,"")</f>
        <v/>
      </c>
      <c r="E1002" s="74" t="str">
        <f>IF(OR($D$3=JU!$F995,$D$3=JU!$I995),JU!E995,"")</f>
        <v/>
      </c>
      <c r="F1002" s="72">
        <f>IF($D$3=JU!F995,JU!H995,0)</f>
        <v>0</v>
      </c>
      <c r="G1002" s="72">
        <f>IF($D$3=JU!I995,JU!K995,0)</f>
        <v>0</v>
      </c>
      <c r="H1002" s="72">
        <f t="shared" si="16"/>
        <v>78813000</v>
      </c>
    </row>
    <row r="1003" spans="2:8" hidden="1">
      <c r="B1003" s="68" t="str">
        <f>IF(OR($D$3=JU!$F996,$D$3=JU!$I996),JU!B996,"")</f>
        <v/>
      </c>
      <c r="C1003" s="6" t="str">
        <f>IF(OR($D$3=JU!$F996,$D$3=JU!$I996),JU!C996,"")</f>
        <v/>
      </c>
      <c r="D1003" s="73" t="str">
        <f>IF(OR($D$3=JU!$F996,$D$3=JU!$I996),JU!D996,"")</f>
        <v/>
      </c>
      <c r="E1003" s="74" t="str">
        <f>IF(OR($D$3=JU!$F996,$D$3=JU!$I996),JU!E996,"")</f>
        <v/>
      </c>
      <c r="F1003" s="72">
        <f>IF($D$3=JU!F996,JU!H996,0)</f>
        <v>0</v>
      </c>
      <c r="G1003" s="72">
        <f>IF($D$3=JU!I996,JU!K996,0)</f>
        <v>0</v>
      </c>
      <c r="H1003" s="72">
        <f t="shared" si="16"/>
        <v>78813000</v>
      </c>
    </row>
    <row r="1004" spans="2:8" hidden="1">
      <c r="B1004" s="68" t="str">
        <f>IF(OR($D$3=JU!$F997,$D$3=JU!$I997),JU!B997,"")</f>
        <v/>
      </c>
      <c r="C1004" s="6" t="str">
        <f>IF(OR($D$3=JU!$F997,$D$3=JU!$I997),JU!C997,"")</f>
        <v/>
      </c>
      <c r="D1004" s="73" t="str">
        <f>IF(OR($D$3=JU!$F997,$D$3=JU!$I997),JU!D997,"")</f>
        <v/>
      </c>
      <c r="E1004" s="74" t="str">
        <f>IF(OR($D$3=JU!$F997,$D$3=JU!$I997),JU!E997,"")</f>
        <v/>
      </c>
      <c r="F1004" s="72">
        <f>IF($D$3=JU!F997,JU!H997,0)</f>
        <v>0</v>
      </c>
      <c r="G1004" s="72">
        <f>IF($D$3=JU!I997,JU!K997,0)</f>
        <v>0</v>
      </c>
      <c r="H1004" s="72">
        <f t="shared" si="16"/>
        <v>78813000</v>
      </c>
    </row>
    <row r="1005" spans="2:8">
      <c r="B1005" s="68">
        <f>IF(OR($D$3=JU!$F998,$D$3=JU!$I998),JU!B998,"")</f>
        <v>46139</v>
      </c>
      <c r="C1005" s="6" t="str">
        <f>IF(OR($D$3=JU!$F998,$D$3=JU!$I998),JU!C998,"")</f>
        <v>BIAYA NOTARIS 4 JT X 3 (TAHAP 3: E2 TAHMATIA D21 NIASA) (TAHAP 4: F28 WULANDA IRWAN)4</v>
      </c>
      <c r="D1005" s="73" t="str">
        <f>IF(OR($D$3=JU!$F998,$D$3=JU!$I998),JU!D998,"")</f>
        <v>By. Biaya BIAYA NOTARIS 4 JT X 3 (TAHAP 3: E2 TAHMATIA D21 NIASA) (TAHAP 4: F28 WULANDA IRWAN)4</v>
      </c>
      <c r="E1005" s="74">
        <f>IF(OR($D$3=JU!$F998,$D$3=JU!$I998),JU!E998,"")</f>
        <v>0</v>
      </c>
      <c r="F1005" s="72">
        <f>IF($D$3=JU!F998,JU!H998,0)</f>
        <v>12000000</v>
      </c>
      <c r="G1005" s="72">
        <f>IF($D$3=JU!I998,JU!K998,0)</f>
        <v>0</v>
      </c>
      <c r="H1005" s="72">
        <f t="shared" si="16"/>
        <v>90813000</v>
      </c>
    </row>
    <row r="1006" spans="2:8" hidden="1">
      <c r="B1006" s="68" t="str">
        <f>IF(OR($D$3=JU!$F999,$D$3=JU!$I999),JU!B999,"")</f>
        <v/>
      </c>
      <c r="C1006" s="6" t="str">
        <f>IF(OR($D$3=JU!$F999,$D$3=JU!$I999),JU!C999,"")</f>
        <v/>
      </c>
      <c r="D1006" s="73" t="str">
        <f>IF(OR($D$3=JU!$F999,$D$3=JU!$I999),JU!D999,"")</f>
        <v/>
      </c>
      <c r="E1006" s="74" t="str">
        <f>IF(OR($D$3=JU!$F999,$D$3=JU!$I999),JU!E999,"")</f>
        <v/>
      </c>
      <c r="F1006" s="72">
        <f>IF($D$3=JU!F999,JU!H999,0)</f>
        <v>0</v>
      </c>
      <c r="G1006" s="72">
        <f>IF($D$3=JU!I999,JU!K999,0)</f>
        <v>0</v>
      </c>
      <c r="H1006" s="72">
        <f t="shared" si="16"/>
        <v>90813000</v>
      </c>
    </row>
    <row r="1007" spans="2:8" hidden="1">
      <c r="B1007" s="68" t="str">
        <f>IF(OR($D$3=JU!$F1000,$D$3=JU!$I1000),JU!B1000,"")</f>
        <v/>
      </c>
      <c r="C1007" s="6" t="str">
        <f>IF(OR($D$3=JU!$F1000,$D$3=JU!$I1000),JU!C1000,"")</f>
        <v/>
      </c>
      <c r="D1007" s="73" t="str">
        <f>IF(OR($D$3=JU!$F1000,$D$3=JU!$I1000),JU!D1000,"")</f>
        <v/>
      </c>
      <c r="E1007" s="74" t="str">
        <f>IF(OR($D$3=JU!$F1000,$D$3=JU!$I1000),JU!E1000,"")</f>
        <v/>
      </c>
      <c r="F1007" s="72">
        <f>IF($D$3=JU!F1000,JU!H1000,0)</f>
        <v>0</v>
      </c>
      <c r="G1007" s="72">
        <f>IF($D$3=JU!I1000,JU!K1000,0)</f>
        <v>0</v>
      </c>
      <c r="H1007" s="72">
        <f t="shared" si="16"/>
        <v>90813000</v>
      </c>
    </row>
    <row r="1008" spans="2:8" hidden="1">
      <c r="B1008" s="68" t="str">
        <f>IF(OR($D$3=JU!$F1001,$D$3=JU!$I1001),JU!B1001,"")</f>
        <v/>
      </c>
      <c r="C1008" s="6" t="str">
        <f>IF(OR($D$3=JU!$F1001,$D$3=JU!$I1001),JU!C1001,"")</f>
        <v/>
      </c>
      <c r="D1008" s="73" t="str">
        <f>IF(OR($D$3=JU!$F1001,$D$3=JU!$I1001),JU!D1001,"")</f>
        <v/>
      </c>
      <c r="E1008" s="74" t="str">
        <f>IF(OR($D$3=JU!$F1001,$D$3=JU!$I1001),JU!E1001,"")</f>
        <v/>
      </c>
      <c r="F1008" s="72">
        <f>IF($D$3=JU!F1001,JU!H1001,0)</f>
        <v>0</v>
      </c>
      <c r="G1008" s="72">
        <f>IF($D$3=JU!I1001,JU!K1001,0)</f>
        <v>0</v>
      </c>
      <c r="H1008" s="72">
        <f t="shared" si="16"/>
        <v>90813000</v>
      </c>
    </row>
    <row r="1009" spans="2:8" hidden="1">
      <c r="B1009" s="68" t="str">
        <f>IF(OR($D$3=JU!$F1002,$D$3=JU!$I1002),JU!B1002,"")</f>
        <v/>
      </c>
      <c r="C1009" s="6" t="str">
        <f>IF(OR($D$3=JU!$F1002,$D$3=JU!$I1002),JU!C1002,"")</f>
        <v/>
      </c>
      <c r="D1009" s="73" t="str">
        <f>IF(OR($D$3=JU!$F1002,$D$3=JU!$I1002),JU!D1002,"")</f>
        <v/>
      </c>
      <c r="E1009" s="74" t="str">
        <f>IF(OR($D$3=JU!$F1002,$D$3=JU!$I1002),JU!E1002,"")</f>
        <v/>
      </c>
      <c r="F1009" s="72">
        <f>IF($D$3=JU!F1002,JU!H1002,0)</f>
        <v>0</v>
      </c>
      <c r="G1009" s="72">
        <f>IF($D$3=JU!I1002,JU!K1002,0)</f>
        <v>0</v>
      </c>
      <c r="H1009" s="72">
        <f t="shared" si="16"/>
        <v>90813000</v>
      </c>
    </row>
    <row r="1010" spans="2:8" hidden="1">
      <c r="B1010" s="68" t="str">
        <f>IF(OR($D$3=JU!$F1003,$D$3=JU!$I1003),JU!B1003,"")</f>
        <v/>
      </c>
      <c r="C1010" s="6" t="str">
        <f>IF(OR($D$3=JU!$F1003,$D$3=JU!$I1003),JU!C1003,"")</f>
        <v/>
      </c>
      <c r="D1010" s="73" t="str">
        <f>IF(OR($D$3=JU!$F1003,$D$3=JU!$I1003),JU!D1003,"")</f>
        <v/>
      </c>
      <c r="E1010" s="74" t="str">
        <f>IF(OR($D$3=JU!$F1003,$D$3=JU!$I1003),JU!E1003,"")</f>
        <v/>
      </c>
      <c r="F1010" s="72">
        <f>IF($D$3=JU!F1003,JU!H1003,0)</f>
        <v>0</v>
      </c>
      <c r="G1010" s="72">
        <f>IF($D$3=JU!I1003,JU!K1003,0)</f>
        <v>0</v>
      </c>
      <c r="H1010" s="72">
        <f t="shared" si="16"/>
        <v>90813000</v>
      </c>
    </row>
    <row r="1011" spans="2:8" hidden="1">
      <c r="B1011" s="68" t="str">
        <f>IF(OR($D$3=JU!$F1004,$D$3=JU!$I1004),JU!B1004,"")</f>
        <v/>
      </c>
      <c r="C1011" s="6" t="str">
        <f>IF(OR($D$3=JU!$F1004,$D$3=JU!$I1004),JU!C1004,"")</f>
        <v/>
      </c>
      <c r="D1011" s="73" t="str">
        <f>IF(OR($D$3=JU!$F1004,$D$3=JU!$I1004),JU!D1004,"")</f>
        <v/>
      </c>
      <c r="E1011" s="74" t="str">
        <f>IF(OR($D$3=JU!$F1004,$D$3=JU!$I1004),JU!E1004,"")</f>
        <v/>
      </c>
      <c r="F1011" s="72">
        <f>IF($D$3=JU!F1004,JU!H1004,0)</f>
        <v>0</v>
      </c>
      <c r="G1011" s="72">
        <f>IF($D$3=JU!I1004,JU!K1004,0)</f>
        <v>0</v>
      </c>
      <c r="H1011" s="72">
        <f t="shared" si="16"/>
        <v>90813000</v>
      </c>
    </row>
    <row r="1012" spans="2:8" hidden="1">
      <c r="B1012" s="68" t="str">
        <f>IF(OR($D$3=JU!$F1005,$D$3=JU!$I1005),JU!B1005,"")</f>
        <v/>
      </c>
      <c r="C1012" s="6" t="str">
        <f>IF(OR($D$3=JU!$F1005,$D$3=JU!$I1005),JU!C1005,"")</f>
        <v/>
      </c>
      <c r="D1012" s="73" t="str">
        <f>IF(OR($D$3=JU!$F1005,$D$3=JU!$I1005),JU!D1005,"")</f>
        <v/>
      </c>
      <c r="E1012" s="74" t="str">
        <f>IF(OR($D$3=JU!$F1005,$D$3=JU!$I1005),JU!E1005,"")</f>
        <v/>
      </c>
      <c r="F1012" s="72">
        <f>IF($D$3=JU!F1005,JU!H1005,0)</f>
        <v>0</v>
      </c>
      <c r="G1012" s="72">
        <f>IF($D$3=JU!I1005,JU!K1005,0)</f>
        <v>0</v>
      </c>
      <c r="H1012" s="72">
        <f t="shared" si="16"/>
        <v>90813000</v>
      </c>
    </row>
    <row r="1013" spans="2:8" hidden="1">
      <c r="B1013" s="68" t="str">
        <f>IF(OR($D$3=JU!$F1006,$D$3=JU!$I1006),JU!B1006,"")</f>
        <v/>
      </c>
      <c r="C1013" s="6" t="str">
        <f>IF(OR($D$3=JU!$F1006,$D$3=JU!$I1006),JU!C1006,"")</f>
        <v/>
      </c>
      <c r="D1013" s="73" t="str">
        <f>IF(OR($D$3=JU!$F1006,$D$3=JU!$I1006),JU!D1006,"")</f>
        <v/>
      </c>
      <c r="E1013" s="74" t="str">
        <f>IF(OR($D$3=JU!$F1006,$D$3=JU!$I1006),JU!E1006,"")</f>
        <v/>
      </c>
      <c r="F1013" s="72">
        <f>IF($D$3=JU!F1006,JU!H1006,0)</f>
        <v>0</v>
      </c>
      <c r="G1013" s="72">
        <f>IF($D$3=JU!I1006,JU!K1006,0)</f>
        <v>0</v>
      </c>
      <c r="H1013" s="72">
        <f t="shared" si="16"/>
        <v>90813000</v>
      </c>
    </row>
    <row r="1014" spans="2:8" hidden="1">
      <c r="B1014" s="68" t="str">
        <f>IF(OR($D$3=JU!$F1007,$D$3=JU!$I1007),JU!B1007,"")</f>
        <v/>
      </c>
      <c r="C1014" s="6" t="str">
        <f>IF(OR($D$3=JU!$F1007,$D$3=JU!$I1007),JU!C1007,"")</f>
        <v/>
      </c>
      <c r="D1014" s="73" t="str">
        <f>IF(OR($D$3=JU!$F1007,$D$3=JU!$I1007),JU!D1007,"")</f>
        <v/>
      </c>
      <c r="E1014" s="74" t="str">
        <f>IF(OR($D$3=JU!$F1007,$D$3=JU!$I1007),JU!E1007,"")</f>
        <v/>
      </c>
      <c r="F1014" s="72">
        <f>IF($D$3=JU!F1007,JU!H1007,0)</f>
        <v>0</v>
      </c>
      <c r="G1014" s="72">
        <f>IF($D$3=JU!I1007,JU!K1007,0)</f>
        <v>0</v>
      </c>
      <c r="H1014" s="72">
        <f t="shared" si="16"/>
        <v>90813000</v>
      </c>
    </row>
    <row r="1015" spans="2:8" hidden="1">
      <c r="B1015" s="68" t="str">
        <f>IF(OR($D$3=JU!$F1008,$D$3=JU!$I1008),JU!B1008,"")</f>
        <v/>
      </c>
      <c r="C1015" s="6" t="str">
        <f>IF(OR($D$3=JU!$F1008,$D$3=JU!$I1008),JU!C1008,"")</f>
        <v/>
      </c>
      <c r="D1015" s="73" t="str">
        <f>IF(OR($D$3=JU!$F1008,$D$3=JU!$I1008),JU!D1008,"")</f>
        <v/>
      </c>
      <c r="E1015" s="74" t="str">
        <f>IF(OR($D$3=JU!$F1008,$D$3=JU!$I1008),JU!E1008,"")</f>
        <v/>
      </c>
      <c r="F1015" s="72">
        <f>IF($D$3=JU!F1008,JU!H1008,0)</f>
        <v>0</v>
      </c>
      <c r="G1015" s="72">
        <f>IF($D$3=JU!I1008,JU!K1008,0)</f>
        <v>0</v>
      </c>
      <c r="H1015" s="72">
        <f t="shared" si="16"/>
        <v>90813000</v>
      </c>
    </row>
    <row r="1016" spans="2:8" hidden="1">
      <c r="B1016" s="68" t="str">
        <f>IF(OR($D$3=JU!$F1009,$D$3=JU!$I1009),JU!B1009,"")</f>
        <v/>
      </c>
      <c r="C1016" s="6" t="str">
        <f>IF(OR($D$3=JU!$F1009,$D$3=JU!$I1009),JU!C1009,"")</f>
        <v/>
      </c>
      <c r="D1016" s="73" t="str">
        <f>IF(OR($D$3=JU!$F1009,$D$3=JU!$I1009),JU!D1009,"")</f>
        <v/>
      </c>
      <c r="E1016" s="74" t="str">
        <f>IF(OR($D$3=JU!$F1009,$D$3=JU!$I1009),JU!E1009,"")</f>
        <v/>
      </c>
      <c r="F1016" s="72">
        <f>IF($D$3=JU!F1009,JU!H1009,0)</f>
        <v>0</v>
      </c>
      <c r="G1016" s="72">
        <f>IF($D$3=JU!I1009,JU!K1009,0)</f>
        <v>0</v>
      </c>
      <c r="H1016" s="72">
        <f t="shared" si="16"/>
        <v>90813000</v>
      </c>
    </row>
    <row r="1017" spans="2:8" hidden="1">
      <c r="B1017" s="68" t="str">
        <f>IF(OR($D$3=JU!$F1010,$D$3=JU!$I1010),JU!B1010,"")</f>
        <v/>
      </c>
      <c r="C1017" s="6" t="str">
        <f>IF(OR($D$3=JU!$F1010,$D$3=JU!$I1010),JU!C1010,"")</f>
        <v/>
      </c>
      <c r="D1017" s="73" t="str">
        <f>IF(OR($D$3=JU!$F1010,$D$3=JU!$I1010),JU!D1010,"")</f>
        <v/>
      </c>
      <c r="E1017" s="74" t="str">
        <f>IF(OR($D$3=JU!$F1010,$D$3=JU!$I1010),JU!E1010,"")</f>
        <v/>
      </c>
      <c r="F1017" s="72">
        <f>IF($D$3=JU!F1010,JU!H1010,0)</f>
        <v>0</v>
      </c>
      <c r="G1017" s="72">
        <f>IF($D$3=JU!I1010,JU!K1010,0)</f>
        <v>0</v>
      </c>
      <c r="H1017" s="72">
        <f t="shared" si="16"/>
        <v>90813000</v>
      </c>
    </row>
    <row r="1018" spans="2:8" hidden="1">
      <c r="B1018" s="68" t="str">
        <f>IF(OR($D$3=JU!$F1011,$D$3=JU!$I1011),JU!B1011,"")</f>
        <v/>
      </c>
      <c r="C1018" s="6" t="str">
        <f>IF(OR($D$3=JU!$F1011,$D$3=JU!$I1011),JU!C1011,"")</f>
        <v/>
      </c>
      <c r="D1018" s="73" t="str">
        <f>IF(OR($D$3=JU!$F1011,$D$3=JU!$I1011),JU!D1011,"")</f>
        <v/>
      </c>
      <c r="E1018" s="74" t="str">
        <f>IF(OR($D$3=JU!$F1011,$D$3=JU!$I1011),JU!E1011,"")</f>
        <v/>
      </c>
      <c r="F1018" s="72">
        <f>IF($D$3=JU!F1011,JU!H1011,0)</f>
        <v>0</v>
      </c>
      <c r="G1018" s="72">
        <f>IF($D$3=JU!I1011,JU!K1011,0)</f>
        <v>0</v>
      </c>
      <c r="H1018" s="72">
        <f t="shared" si="16"/>
        <v>90813000</v>
      </c>
    </row>
    <row r="1019" spans="2:8" hidden="1">
      <c r="B1019" s="68" t="str">
        <f>IF(OR($D$3=JU!$F1012,$D$3=JU!$I1012),JU!B1012,"")</f>
        <v/>
      </c>
      <c r="C1019" s="6" t="str">
        <f>IF(OR($D$3=JU!$F1012,$D$3=JU!$I1012),JU!C1012,"")</f>
        <v/>
      </c>
      <c r="D1019" s="73" t="str">
        <f>IF(OR($D$3=JU!$F1012,$D$3=JU!$I1012),JU!D1012,"")</f>
        <v/>
      </c>
      <c r="E1019" s="74" t="str">
        <f>IF(OR($D$3=JU!$F1012,$D$3=JU!$I1012),JU!E1012,"")</f>
        <v/>
      </c>
      <c r="F1019" s="72">
        <f>IF($D$3=JU!F1012,JU!H1012,0)</f>
        <v>0</v>
      </c>
      <c r="G1019" s="72">
        <f>IF($D$3=JU!I1012,JU!K1012,0)</f>
        <v>0</v>
      </c>
      <c r="H1019" s="72">
        <f t="shared" si="16"/>
        <v>90813000</v>
      </c>
    </row>
    <row r="1020" spans="2:8" hidden="1">
      <c r="B1020" s="68" t="str">
        <f>IF(OR($D$3=JU!$F1013,$D$3=JU!$I1013),JU!B1013,"")</f>
        <v/>
      </c>
      <c r="C1020" s="6" t="str">
        <f>IF(OR($D$3=JU!$F1013,$D$3=JU!$I1013),JU!C1013,"")</f>
        <v/>
      </c>
      <c r="D1020" s="73" t="str">
        <f>IF(OR($D$3=JU!$F1013,$D$3=JU!$I1013),JU!D1013,"")</f>
        <v/>
      </c>
      <c r="E1020" s="74" t="str">
        <f>IF(OR($D$3=JU!$F1013,$D$3=JU!$I1013),JU!E1013,"")</f>
        <v/>
      </c>
      <c r="F1020" s="72">
        <f>IF($D$3=JU!F1013,JU!H1013,0)</f>
        <v>0</v>
      </c>
      <c r="G1020" s="72">
        <f>IF($D$3=JU!I1013,JU!K1013,0)</f>
        <v>0</v>
      </c>
      <c r="H1020" s="72">
        <f t="shared" si="16"/>
        <v>90813000</v>
      </c>
    </row>
    <row r="1021" spans="2:8" hidden="1">
      <c r="B1021" s="68" t="str">
        <f>IF(OR($D$3=JU!$F1014,$D$3=JU!$I1014),JU!B1014,"")</f>
        <v/>
      </c>
      <c r="C1021" s="6" t="str">
        <f>IF(OR($D$3=JU!$F1014,$D$3=JU!$I1014),JU!C1014,"")</f>
        <v/>
      </c>
      <c r="D1021" s="73" t="str">
        <f>IF(OR($D$3=JU!$F1014,$D$3=JU!$I1014),JU!D1014,"")</f>
        <v/>
      </c>
      <c r="E1021" s="74" t="str">
        <f>IF(OR($D$3=JU!$F1014,$D$3=JU!$I1014),JU!E1014,"")</f>
        <v/>
      </c>
      <c r="F1021" s="72">
        <f>IF($D$3=JU!F1014,JU!H1014,0)</f>
        <v>0</v>
      </c>
      <c r="G1021" s="72">
        <f>IF($D$3=JU!I1014,JU!K1014,0)</f>
        <v>0</v>
      </c>
      <c r="H1021" s="72">
        <f t="shared" si="16"/>
        <v>90813000</v>
      </c>
    </row>
    <row r="1022" spans="2:8" hidden="1">
      <c r="B1022" s="68" t="str">
        <f>IF(OR($D$3=JU!$F1015,$D$3=JU!$I1015),JU!B1015,"")</f>
        <v/>
      </c>
      <c r="C1022" s="6" t="str">
        <f>IF(OR($D$3=JU!$F1015,$D$3=JU!$I1015),JU!C1015,"")</f>
        <v/>
      </c>
      <c r="D1022" s="73" t="str">
        <f>IF(OR($D$3=JU!$F1015,$D$3=JU!$I1015),JU!D1015,"")</f>
        <v/>
      </c>
      <c r="E1022" s="74" t="str">
        <f>IF(OR($D$3=JU!$F1015,$D$3=JU!$I1015),JU!E1015,"")</f>
        <v/>
      </c>
      <c r="F1022" s="72">
        <f>IF($D$3=JU!F1015,JU!H1015,0)</f>
        <v>0</v>
      </c>
      <c r="G1022" s="72">
        <f>IF($D$3=JU!I1015,JU!K1015,0)</f>
        <v>0</v>
      </c>
      <c r="H1022" s="72">
        <f t="shared" si="16"/>
        <v>90813000</v>
      </c>
    </row>
    <row r="1023" spans="2:8" hidden="1">
      <c r="B1023" s="68" t="str">
        <f>IF(OR($D$3=JU!$F1016,$D$3=JU!$I1016),JU!B1016,"")</f>
        <v/>
      </c>
      <c r="C1023" s="6" t="str">
        <f>IF(OR($D$3=JU!$F1016,$D$3=JU!$I1016),JU!C1016,"")</f>
        <v/>
      </c>
      <c r="D1023" s="73" t="str">
        <f>IF(OR($D$3=JU!$F1016,$D$3=JU!$I1016),JU!D1016,"")</f>
        <v/>
      </c>
      <c r="E1023" s="74" t="str">
        <f>IF(OR($D$3=JU!$F1016,$D$3=JU!$I1016),JU!E1016,"")</f>
        <v/>
      </c>
      <c r="F1023" s="72">
        <f>IF($D$3=JU!F1016,JU!H1016,0)</f>
        <v>0</v>
      </c>
      <c r="G1023" s="72">
        <f>IF($D$3=JU!I1016,JU!K1016,0)</f>
        <v>0</v>
      </c>
      <c r="H1023" s="72">
        <f t="shared" si="16"/>
        <v>90813000</v>
      </c>
    </row>
    <row r="1024" spans="2:8" hidden="1">
      <c r="B1024" s="68" t="str">
        <f>IF(OR($D$3=JU!$F1017,$D$3=JU!$I1017),JU!B1017,"")</f>
        <v/>
      </c>
      <c r="C1024" s="6" t="str">
        <f>IF(OR($D$3=JU!$F1017,$D$3=JU!$I1017),JU!C1017,"")</f>
        <v/>
      </c>
      <c r="D1024" s="73" t="str">
        <f>IF(OR($D$3=JU!$F1017,$D$3=JU!$I1017),JU!D1017,"")</f>
        <v/>
      </c>
      <c r="E1024" s="74" t="str">
        <f>IF(OR($D$3=JU!$F1017,$D$3=JU!$I1017),JU!E1017,"")</f>
        <v/>
      </c>
      <c r="F1024" s="72">
        <f>IF($D$3=JU!F1017,JU!H1017,0)</f>
        <v>0</v>
      </c>
      <c r="G1024" s="72">
        <f>IF($D$3=JU!I1017,JU!K1017,0)</f>
        <v>0</v>
      </c>
      <c r="H1024" s="72">
        <f t="shared" si="16"/>
        <v>90813000</v>
      </c>
    </row>
    <row r="1025" spans="2:8" hidden="1">
      <c r="B1025" s="68" t="str">
        <f>IF(OR($D$3=JU!$F1018,$D$3=JU!$I1018),JU!B1018,"")</f>
        <v/>
      </c>
      <c r="C1025" s="6" t="str">
        <f>IF(OR($D$3=JU!$F1018,$D$3=JU!$I1018),JU!C1018,"")</f>
        <v/>
      </c>
      <c r="D1025" s="73" t="str">
        <f>IF(OR($D$3=JU!$F1018,$D$3=JU!$I1018),JU!D1018,"")</f>
        <v/>
      </c>
      <c r="E1025" s="74" t="str">
        <f>IF(OR($D$3=JU!$F1018,$D$3=JU!$I1018),JU!E1018,"")</f>
        <v/>
      </c>
      <c r="F1025" s="72">
        <f>IF($D$3=JU!F1018,JU!H1018,0)</f>
        <v>0</v>
      </c>
      <c r="G1025" s="72">
        <f>IF($D$3=JU!I1018,JU!K1018,0)</f>
        <v>0</v>
      </c>
      <c r="H1025" s="72">
        <f t="shared" si="16"/>
        <v>90813000</v>
      </c>
    </row>
    <row r="1026" spans="2:8" hidden="1">
      <c r="B1026" s="68" t="str">
        <f>IF(OR($D$3=JU!$F1019,$D$3=JU!$I1019),JU!B1019,"")</f>
        <v/>
      </c>
      <c r="C1026" s="6" t="str">
        <f>IF(OR($D$3=JU!$F1019,$D$3=JU!$I1019),JU!C1019,"")</f>
        <v/>
      </c>
      <c r="D1026" s="73" t="str">
        <f>IF(OR($D$3=JU!$F1019,$D$3=JU!$I1019),JU!D1019,"")</f>
        <v/>
      </c>
      <c r="E1026" s="74" t="str">
        <f>IF(OR($D$3=JU!$F1019,$D$3=JU!$I1019),JU!E1019,"")</f>
        <v/>
      </c>
      <c r="F1026" s="72">
        <f>IF($D$3=JU!F1019,JU!H1019,0)</f>
        <v>0</v>
      </c>
      <c r="G1026" s="72">
        <f>IF($D$3=JU!I1019,JU!K1019,0)</f>
        <v>0</v>
      </c>
      <c r="H1026" s="72">
        <f t="shared" si="16"/>
        <v>90813000</v>
      </c>
    </row>
    <row r="1027" spans="2:8" hidden="1">
      <c r="B1027" s="68" t="str">
        <f>IF(OR($D$3=JU!$F1020,$D$3=JU!$I1020),JU!B1020,"")</f>
        <v/>
      </c>
      <c r="C1027" s="6" t="str">
        <f>IF(OR($D$3=JU!$F1020,$D$3=JU!$I1020),JU!C1020,"")</f>
        <v/>
      </c>
      <c r="D1027" s="73" t="str">
        <f>IF(OR($D$3=JU!$F1020,$D$3=JU!$I1020),JU!D1020,"")</f>
        <v/>
      </c>
      <c r="E1027" s="74" t="str">
        <f>IF(OR($D$3=JU!$F1020,$D$3=JU!$I1020),JU!E1020,"")</f>
        <v/>
      </c>
      <c r="F1027" s="72">
        <f>IF($D$3=JU!F1020,JU!H1020,0)</f>
        <v>0</v>
      </c>
      <c r="G1027" s="72">
        <f>IF($D$3=JU!I1020,JU!K1020,0)</f>
        <v>0</v>
      </c>
      <c r="H1027" s="72">
        <f t="shared" si="16"/>
        <v>90813000</v>
      </c>
    </row>
    <row r="1028" spans="2:8">
      <c r="B1028" s="68">
        <f>IF(OR($D$3=JU!$F1021,$D$3=JU!$I1021),JU!B1021,"")</f>
        <v>46141</v>
      </c>
      <c r="C1028" s="6" t="str">
        <f>IF(OR($D$3=JU!$F1021,$D$3=JU!$I1021),JU!C1021,"")</f>
        <v>PEMBAYARAN PDAM E6 D18 1.545 X 2 MATERAI 500K X 2 SN3 TAHAP 3</v>
      </c>
      <c r="D1028" s="73" t="str">
        <f>IF(OR($D$3=JU!$F1021,$D$3=JU!$I1021),JU!D1021,"")</f>
        <v>By. Biaya PEMBAYARAN MATERAI 500K X 2 SN3 TAHAP 3</v>
      </c>
      <c r="E1028" s="74">
        <f>IF(OR($D$3=JU!$F1021,$D$3=JU!$I1021),JU!E1021,"")</f>
        <v>0</v>
      </c>
      <c r="F1028" s="72">
        <f>IF($D$3=JU!F1021,JU!H1021,0)</f>
        <v>1000000</v>
      </c>
      <c r="G1028" s="72">
        <f>IF($D$3=JU!I1021,JU!K1021,0)</f>
        <v>0</v>
      </c>
      <c r="H1028" s="72">
        <f t="shared" si="16"/>
        <v>91813000</v>
      </c>
    </row>
    <row r="1029" spans="2:8" hidden="1">
      <c r="B1029" s="68" t="str">
        <f>IF(OR($D$3=JU!$F1022,$D$3=JU!$I1022),JU!B1022,"")</f>
        <v/>
      </c>
      <c r="C1029" s="6" t="str">
        <f>IF(OR($D$3=JU!$F1022,$D$3=JU!$I1022),JU!C1022,"")</f>
        <v/>
      </c>
      <c r="D1029" s="73" t="str">
        <f>IF(OR($D$3=JU!$F1022,$D$3=JU!$I1022),JU!D1022,"")</f>
        <v/>
      </c>
      <c r="E1029" s="74" t="str">
        <f>IF(OR($D$3=JU!$F1022,$D$3=JU!$I1022),JU!E1022,"")</f>
        <v/>
      </c>
      <c r="F1029" s="72">
        <f>IF($D$3=JU!F1022,JU!H1022,0)</f>
        <v>0</v>
      </c>
      <c r="G1029" s="72">
        <f>IF($D$3=JU!I1022,JU!K1022,0)</f>
        <v>0</v>
      </c>
      <c r="H1029" s="72">
        <f t="shared" si="16"/>
        <v>91813000</v>
      </c>
    </row>
    <row r="1030" spans="2:8" hidden="1">
      <c r="B1030" s="68" t="str">
        <f>IF(OR($D$3=JU!$F1023,$D$3=JU!$I1023),JU!B1023,"")</f>
        <v/>
      </c>
      <c r="C1030" s="6" t="str">
        <f>IF(OR($D$3=JU!$F1023,$D$3=JU!$I1023),JU!C1023,"")</f>
        <v/>
      </c>
      <c r="D1030" s="73" t="str">
        <f>IF(OR($D$3=JU!$F1023,$D$3=JU!$I1023),JU!D1023,"")</f>
        <v/>
      </c>
      <c r="E1030" s="74" t="str">
        <f>IF(OR($D$3=JU!$F1023,$D$3=JU!$I1023),JU!E1023,"")</f>
        <v/>
      </c>
      <c r="F1030" s="72">
        <f>IF($D$3=JU!F1023,JU!H1023,0)</f>
        <v>0</v>
      </c>
      <c r="G1030" s="72">
        <f>IF($D$3=JU!I1023,JU!K1023,0)</f>
        <v>0</v>
      </c>
      <c r="H1030" s="72">
        <f t="shared" si="16"/>
        <v>91813000</v>
      </c>
    </row>
    <row r="1031" spans="2:8" hidden="1">
      <c r="B1031" s="68" t="str">
        <f>IF(OR($D$3=JU!$F1024,$D$3=JU!$I1024),JU!B1024,"")</f>
        <v/>
      </c>
      <c r="C1031" s="6" t="str">
        <f>IF(OR($D$3=JU!$F1024,$D$3=JU!$I1024),JU!C1024,"")</f>
        <v/>
      </c>
      <c r="D1031" s="73" t="str">
        <f>IF(OR($D$3=JU!$F1024,$D$3=JU!$I1024),JU!D1024,"")</f>
        <v/>
      </c>
      <c r="E1031" s="74" t="str">
        <f>IF(OR($D$3=JU!$F1024,$D$3=JU!$I1024),JU!E1024,"")</f>
        <v/>
      </c>
      <c r="F1031" s="72">
        <f>IF($D$3=JU!F1024,JU!H1024,0)</f>
        <v>0</v>
      </c>
      <c r="G1031" s="72">
        <f>IF($D$3=JU!I1024,JU!K1024,0)</f>
        <v>0</v>
      </c>
      <c r="H1031" s="72">
        <f t="shared" si="16"/>
        <v>91813000</v>
      </c>
    </row>
    <row r="1032" spans="2:8" hidden="1">
      <c r="B1032" s="68" t="str">
        <f>IF(OR($D$3=JU!$F1025,$D$3=JU!$I1025),JU!B1025,"")</f>
        <v/>
      </c>
      <c r="C1032" s="6" t="str">
        <f>IF(OR($D$3=JU!$F1025,$D$3=JU!$I1025),JU!C1025,"")</f>
        <v/>
      </c>
      <c r="D1032" s="73" t="str">
        <f>IF(OR($D$3=JU!$F1025,$D$3=JU!$I1025),JU!D1025,"")</f>
        <v/>
      </c>
      <c r="E1032" s="74" t="str">
        <f>IF(OR($D$3=JU!$F1025,$D$3=JU!$I1025),JU!E1025,"")</f>
        <v/>
      </c>
      <c r="F1032" s="72">
        <f>IF($D$3=JU!F1025,JU!H1025,0)</f>
        <v>0</v>
      </c>
      <c r="G1032" s="72">
        <f>IF($D$3=JU!I1025,JU!K1025,0)</f>
        <v>0</v>
      </c>
      <c r="H1032" s="72">
        <f t="shared" si="16"/>
        <v>91813000</v>
      </c>
    </row>
    <row r="1033" spans="2:8" hidden="1">
      <c r="B1033" s="68" t="str">
        <f>IF(OR($D$3=JU!$F1026,$D$3=JU!$I1026),JU!B1026,"")</f>
        <v/>
      </c>
      <c r="C1033" s="6" t="str">
        <f>IF(OR($D$3=JU!$F1026,$D$3=JU!$I1026),JU!C1026,"")</f>
        <v/>
      </c>
      <c r="D1033" s="73" t="str">
        <f>IF(OR($D$3=JU!$F1026,$D$3=JU!$I1026),JU!D1026,"")</f>
        <v/>
      </c>
      <c r="E1033" s="74" t="str">
        <f>IF(OR($D$3=JU!$F1026,$D$3=JU!$I1026),JU!E1026,"")</f>
        <v/>
      </c>
      <c r="F1033" s="72">
        <f>IF($D$3=JU!F1026,JU!H1026,0)</f>
        <v>0</v>
      </c>
      <c r="G1033" s="72">
        <f>IF($D$3=JU!I1026,JU!K1026,0)</f>
        <v>0</v>
      </c>
      <c r="H1033" s="72">
        <f t="shared" si="16"/>
        <v>91813000</v>
      </c>
    </row>
    <row r="1034" spans="2:8" hidden="1">
      <c r="B1034" s="68" t="str">
        <f>IF(OR($D$3=JU!$F1027,$D$3=JU!$I1027),JU!B1027,"")</f>
        <v/>
      </c>
      <c r="C1034" s="6" t="str">
        <f>IF(OR($D$3=JU!$F1027,$D$3=JU!$I1027),JU!C1027,"")</f>
        <v/>
      </c>
      <c r="D1034" s="73" t="str">
        <f>IF(OR($D$3=JU!$F1027,$D$3=JU!$I1027),JU!D1027,"")</f>
        <v/>
      </c>
      <c r="E1034" s="74" t="str">
        <f>IF(OR($D$3=JU!$F1027,$D$3=JU!$I1027),JU!E1027,"")</f>
        <v/>
      </c>
      <c r="F1034" s="72">
        <f>IF($D$3=JU!F1027,JU!H1027,0)</f>
        <v>0</v>
      </c>
      <c r="G1034" s="72">
        <f>IF($D$3=JU!I1027,JU!K1027,0)</f>
        <v>0</v>
      </c>
      <c r="H1034" s="72">
        <f t="shared" si="16"/>
        <v>91813000</v>
      </c>
    </row>
    <row r="1035" spans="2:8" hidden="1">
      <c r="B1035" s="68" t="str">
        <f>IF(OR($D$3=JU!$F1028,$D$3=JU!$I1028),JU!B1028,"")</f>
        <v/>
      </c>
      <c r="C1035" s="6" t="str">
        <f>IF(OR($D$3=JU!$F1028,$D$3=JU!$I1028),JU!C1028,"")</f>
        <v/>
      </c>
      <c r="D1035" s="73" t="str">
        <f>IF(OR($D$3=JU!$F1028,$D$3=JU!$I1028),JU!D1028,"")</f>
        <v/>
      </c>
      <c r="E1035" s="74" t="str">
        <f>IF(OR($D$3=JU!$F1028,$D$3=JU!$I1028),JU!E1028,"")</f>
        <v/>
      </c>
      <c r="F1035" s="72">
        <f>IF($D$3=JU!F1028,JU!H1028,0)</f>
        <v>0</v>
      </c>
      <c r="G1035" s="72">
        <f>IF($D$3=JU!I1028,JU!K1028,0)</f>
        <v>0</v>
      </c>
      <c r="H1035" s="72">
        <f t="shared" si="16"/>
        <v>91813000</v>
      </c>
    </row>
    <row r="1036" spans="2:8" hidden="1">
      <c r="B1036" s="68" t="str">
        <f>IF(OR($D$3=JU!$F1029,$D$3=JU!$I1029),JU!B1029,"")</f>
        <v/>
      </c>
      <c r="C1036" s="6" t="str">
        <f>IF(OR($D$3=JU!$F1029,$D$3=JU!$I1029),JU!C1029,"")</f>
        <v/>
      </c>
      <c r="D1036" s="73" t="str">
        <f>IF(OR($D$3=JU!$F1029,$D$3=JU!$I1029),JU!D1029,"")</f>
        <v/>
      </c>
      <c r="E1036" s="74" t="str">
        <f>IF(OR($D$3=JU!$F1029,$D$3=JU!$I1029),JU!E1029,"")</f>
        <v/>
      </c>
      <c r="F1036" s="72">
        <f>IF($D$3=JU!F1029,JU!H1029,0)</f>
        <v>0</v>
      </c>
      <c r="G1036" s="72">
        <f>IF($D$3=JU!I1029,JU!K1029,0)</f>
        <v>0</v>
      </c>
      <c r="H1036" s="72">
        <f t="shared" si="16"/>
        <v>91813000</v>
      </c>
    </row>
    <row r="1037" spans="2:8" hidden="1">
      <c r="B1037" s="68" t="str">
        <f>IF(OR($D$3=JU!$F1030,$D$3=JU!$I1030),JU!B1030,"")</f>
        <v/>
      </c>
      <c r="C1037" s="6" t="str">
        <f>IF(OR($D$3=JU!$F1030,$D$3=JU!$I1030),JU!C1030,"")</f>
        <v/>
      </c>
      <c r="D1037" s="73" t="str">
        <f>IF(OR($D$3=JU!$F1030,$D$3=JU!$I1030),JU!D1030,"")</f>
        <v/>
      </c>
      <c r="E1037" s="74" t="str">
        <f>IF(OR($D$3=JU!$F1030,$D$3=JU!$I1030),JU!E1030,"")</f>
        <v/>
      </c>
      <c r="F1037" s="72">
        <f>IF($D$3=JU!F1030,JU!H1030,0)</f>
        <v>0</v>
      </c>
      <c r="G1037" s="72">
        <f>IF($D$3=JU!I1030,JU!K1030,0)</f>
        <v>0</v>
      </c>
      <c r="H1037" s="72">
        <f t="shared" si="16"/>
        <v>91813000</v>
      </c>
    </row>
    <row r="1038" spans="2:8" hidden="1">
      <c r="B1038" s="68" t="str">
        <f>IF(OR($D$3=JU!$F1031,$D$3=JU!$I1031),JU!B1031,"")</f>
        <v/>
      </c>
      <c r="C1038" s="6" t="str">
        <f>IF(OR($D$3=JU!$F1031,$D$3=JU!$I1031),JU!C1031,"")</f>
        <v/>
      </c>
      <c r="D1038" s="73" t="str">
        <f>IF(OR($D$3=JU!$F1031,$D$3=JU!$I1031),JU!D1031,"")</f>
        <v/>
      </c>
      <c r="E1038" s="74" t="str">
        <f>IF(OR($D$3=JU!$F1031,$D$3=JU!$I1031),JU!E1031,"")</f>
        <v/>
      </c>
      <c r="F1038" s="72">
        <f>IF($D$3=JU!F1031,JU!H1031,0)</f>
        <v>0</v>
      </c>
      <c r="G1038" s="72">
        <f>IF($D$3=JU!I1031,JU!K1031,0)</f>
        <v>0</v>
      </c>
      <c r="H1038" s="72">
        <f t="shared" ref="H1038:H1101" si="17">IF($H$7="DEBET",H1037+F1038-G1038,H1037+G1038-F1038)</f>
        <v>91813000</v>
      </c>
    </row>
    <row r="1039" spans="2:8" hidden="1">
      <c r="B1039" s="68" t="str">
        <f>IF(OR($D$3=JU!$F1032,$D$3=JU!$I1032),JU!B1032,"")</f>
        <v/>
      </c>
      <c r="C1039" s="6" t="str">
        <f>IF(OR($D$3=JU!$F1032,$D$3=JU!$I1032),JU!C1032,"")</f>
        <v/>
      </c>
      <c r="D1039" s="73" t="str">
        <f>IF(OR($D$3=JU!$F1032,$D$3=JU!$I1032),JU!D1032,"")</f>
        <v/>
      </c>
      <c r="E1039" s="74" t="str">
        <f>IF(OR($D$3=JU!$F1032,$D$3=JU!$I1032),JU!E1032,"")</f>
        <v/>
      </c>
      <c r="F1039" s="72">
        <f>IF($D$3=JU!F1032,JU!H1032,0)</f>
        <v>0</v>
      </c>
      <c r="G1039" s="72">
        <f>IF($D$3=JU!I1032,JU!K1032,0)</f>
        <v>0</v>
      </c>
      <c r="H1039" s="72">
        <f t="shared" si="17"/>
        <v>91813000</v>
      </c>
    </row>
    <row r="1040" spans="2:8" hidden="1">
      <c r="B1040" s="68" t="str">
        <f>IF(OR($D$3=JU!$F1033,$D$3=JU!$I1033),JU!B1033,"")</f>
        <v/>
      </c>
      <c r="C1040" s="6" t="str">
        <f>IF(OR($D$3=JU!$F1033,$D$3=JU!$I1033),JU!C1033,"")</f>
        <v/>
      </c>
      <c r="D1040" s="73" t="str">
        <f>IF(OR($D$3=JU!$F1033,$D$3=JU!$I1033),JU!D1033,"")</f>
        <v/>
      </c>
      <c r="E1040" s="74" t="str">
        <f>IF(OR($D$3=JU!$F1033,$D$3=JU!$I1033),JU!E1033,"")</f>
        <v/>
      </c>
      <c r="F1040" s="72">
        <f>IF($D$3=JU!F1033,JU!H1033,0)</f>
        <v>0</v>
      </c>
      <c r="G1040" s="72">
        <f>IF($D$3=JU!I1033,JU!K1033,0)</f>
        <v>0</v>
      </c>
      <c r="H1040" s="72">
        <f t="shared" si="17"/>
        <v>91813000</v>
      </c>
    </row>
    <row r="1041" spans="2:8" hidden="1">
      <c r="B1041" s="68" t="str">
        <f>IF(OR($D$3=JU!$F1034,$D$3=JU!$I1034),JU!B1034,"")</f>
        <v/>
      </c>
      <c r="C1041" s="6" t="str">
        <f>IF(OR($D$3=JU!$F1034,$D$3=JU!$I1034),JU!C1034,"")</f>
        <v/>
      </c>
      <c r="D1041" s="73" t="str">
        <f>IF(OR($D$3=JU!$F1034,$D$3=JU!$I1034),JU!D1034,"")</f>
        <v/>
      </c>
      <c r="E1041" s="74" t="str">
        <f>IF(OR($D$3=JU!$F1034,$D$3=JU!$I1034),JU!E1034,"")</f>
        <v/>
      </c>
      <c r="F1041" s="72">
        <f>IF($D$3=JU!F1034,JU!H1034,0)</f>
        <v>0</v>
      </c>
      <c r="G1041" s="72">
        <f>IF($D$3=JU!I1034,JU!K1034,0)</f>
        <v>0</v>
      </c>
      <c r="H1041" s="72">
        <f t="shared" si="17"/>
        <v>91813000</v>
      </c>
    </row>
    <row r="1042" spans="2:8" hidden="1">
      <c r="B1042" s="68" t="str">
        <f>IF(OR($D$3=JU!$F1035,$D$3=JU!$I1035),JU!B1035,"")</f>
        <v/>
      </c>
      <c r="C1042" s="6" t="str">
        <f>IF(OR($D$3=JU!$F1035,$D$3=JU!$I1035),JU!C1035,"")</f>
        <v/>
      </c>
      <c r="D1042" s="73" t="str">
        <f>IF(OR($D$3=JU!$F1035,$D$3=JU!$I1035),JU!D1035,"")</f>
        <v/>
      </c>
      <c r="E1042" s="74" t="str">
        <f>IF(OR($D$3=JU!$F1035,$D$3=JU!$I1035),JU!E1035,"")</f>
        <v/>
      </c>
      <c r="F1042" s="72">
        <f>IF($D$3=JU!F1035,JU!H1035,0)</f>
        <v>0</v>
      </c>
      <c r="G1042" s="72">
        <f>IF($D$3=JU!I1035,JU!K1035,0)</f>
        <v>0</v>
      </c>
      <c r="H1042" s="72">
        <f t="shared" si="17"/>
        <v>91813000</v>
      </c>
    </row>
    <row r="1043" spans="2:8" hidden="1">
      <c r="B1043" s="68" t="str">
        <f>IF(OR($D$3=JU!$F1036,$D$3=JU!$I1036),JU!B1036,"")</f>
        <v/>
      </c>
      <c r="C1043" s="6" t="str">
        <f>IF(OR($D$3=JU!$F1036,$D$3=JU!$I1036),JU!C1036,"")</f>
        <v/>
      </c>
      <c r="D1043" s="73" t="str">
        <f>IF(OR($D$3=JU!$F1036,$D$3=JU!$I1036),JU!D1036,"")</f>
        <v/>
      </c>
      <c r="E1043" s="74" t="str">
        <f>IF(OR($D$3=JU!$F1036,$D$3=JU!$I1036),JU!E1036,"")</f>
        <v/>
      </c>
      <c r="F1043" s="72">
        <f>IF($D$3=JU!F1036,JU!H1036,0)</f>
        <v>0</v>
      </c>
      <c r="G1043" s="72">
        <f>IF($D$3=JU!I1036,JU!K1036,0)</f>
        <v>0</v>
      </c>
      <c r="H1043" s="72">
        <f t="shared" si="17"/>
        <v>91813000</v>
      </c>
    </row>
    <row r="1044" spans="2:8" hidden="1">
      <c r="B1044" s="68" t="str">
        <f>IF(OR($D$3=JU!$F1037,$D$3=JU!$I1037),JU!B1037,"")</f>
        <v/>
      </c>
      <c r="C1044" s="6" t="str">
        <f>IF(OR($D$3=JU!$F1037,$D$3=JU!$I1037),JU!C1037,"")</f>
        <v/>
      </c>
      <c r="D1044" s="73" t="str">
        <f>IF(OR($D$3=JU!$F1037,$D$3=JU!$I1037),JU!D1037,"")</f>
        <v/>
      </c>
      <c r="E1044" s="74" t="str">
        <f>IF(OR($D$3=JU!$F1037,$D$3=JU!$I1037),JU!E1037,"")</f>
        <v/>
      </c>
      <c r="F1044" s="72">
        <f>IF($D$3=JU!F1037,JU!H1037,0)</f>
        <v>0</v>
      </c>
      <c r="G1044" s="72">
        <f>IF($D$3=JU!I1037,JU!K1037,0)</f>
        <v>0</v>
      </c>
      <c r="H1044" s="72">
        <f t="shared" si="17"/>
        <v>91813000</v>
      </c>
    </row>
    <row r="1045" spans="2:8" hidden="1">
      <c r="B1045" s="68" t="str">
        <f>IF(OR($D$3=JU!$F1038,$D$3=JU!$I1038),JU!B1038,"")</f>
        <v/>
      </c>
      <c r="C1045" s="6" t="str">
        <f>IF(OR($D$3=JU!$F1038,$D$3=JU!$I1038),JU!C1038,"")</f>
        <v/>
      </c>
      <c r="D1045" s="73" t="str">
        <f>IF(OR($D$3=JU!$F1038,$D$3=JU!$I1038),JU!D1038,"")</f>
        <v/>
      </c>
      <c r="E1045" s="74" t="str">
        <f>IF(OR($D$3=JU!$F1038,$D$3=JU!$I1038),JU!E1038,"")</f>
        <v/>
      </c>
      <c r="F1045" s="72">
        <f>IF($D$3=JU!F1038,JU!H1038,0)</f>
        <v>0</v>
      </c>
      <c r="G1045" s="72">
        <f>IF($D$3=JU!I1038,JU!K1038,0)</f>
        <v>0</v>
      </c>
      <c r="H1045" s="72">
        <f t="shared" si="17"/>
        <v>91813000</v>
      </c>
    </row>
    <row r="1046" spans="2:8" hidden="1">
      <c r="B1046" s="68" t="str">
        <f>IF(OR($D$3=JU!$F1039,$D$3=JU!$I1039),JU!B1039,"")</f>
        <v/>
      </c>
      <c r="C1046" s="6" t="str">
        <f>IF(OR($D$3=JU!$F1039,$D$3=JU!$I1039),JU!C1039,"")</f>
        <v/>
      </c>
      <c r="D1046" s="73" t="str">
        <f>IF(OR($D$3=JU!$F1039,$D$3=JU!$I1039),JU!D1039,"")</f>
        <v/>
      </c>
      <c r="E1046" s="74" t="str">
        <f>IF(OR($D$3=JU!$F1039,$D$3=JU!$I1039),JU!E1039,"")</f>
        <v/>
      </c>
      <c r="F1046" s="72">
        <f>IF($D$3=JU!F1039,JU!H1039,0)</f>
        <v>0</v>
      </c>
      <c r="G1046" s="72">
        <f>IF($D$3=JU!I1039,JU!K1039,0)</f>
        <v>0</v>
      </c>
      <c r="H1046" s="72">
        <f t="shared" si="17"/>
        <v>91813000</v>
      </c>
    </row>
    <row r="1047" spans="2:8" hidden="1">
      <c r="B1047" s="68" t="str">
        <f>IF(OR($D$3=JU!$F1040,$D$3=JU!$I1040),JU!B1040,"")</f>
        <v/>
      </c>
      <c r="C1047" s="6" t="str">
        <f>IF(OR($D$3=JU!$F1040,$D$3=JU!$I1040),JU!C1040,"")</f>
        <v/>
      </c>
      <c r="D1047" s="73" t="str">
        <f>IF(OR($D$3=JU!$F1040,$D$3=JU!$I1040),JU!D1040,"")</f>
        <v/>
      </c>
      <c r="E1047" s="74" t="str">
        <f>IF(OR($D$3=JU!$F1040,$D$3=JU!$I1040),JU!E1040,"")</f>
        <v/>
      </c>
      <c r="F1047" s="72">
        <f>IF($D$3=JU!F1040,JU!H1040,0)</f>
        <v>0</v>
      </c>
      <c r="G1047" s="72">
        <f>IF($D$3=JU!I1040,JU!K1040,0)</f>
        <v>0</v>
      </c>
      <c r="H1047" s="72">
        <f t="shared" si="17"/>
        <v>91813000</v>
      </c>
    </row>
    <row r="1048" spans="2:8" hidden="1">
      <c r="B1048" s="68" t="str">
        <f>IF(OR($D$3=JU!$F1041,$D$3=JU!$I1041),JU!B1041,"")</f>
        <v/>
      </c>
      <c r="C1048" s="6" t="str">
        <f>IF(OR($D$3=JU!$F1041,$D$3=JU!$I1041),JU!C1041,"")</f>
        <v/>
      </c>
      <c r="D1048" s="73" t="str">
        <f>IF(OR($D$3=JU!$F1041,$D$3=JU!$I1041),JU!D1041,"")</f>
        <v/>
      </c>
      <c r="E1048" s="74" t="str">
        <f>IF(OR($D$3=JU!$F1041,$D$3=JU!$I1041),JU!E1041,"")</f>
        <v/>
      </c>
      <c r="F1048" s="72">
        <f>IF($D$3=JU!F1041,JU!H1041,0)</f>
        <v>0</v>
      </c>
      <c r="G1048" s="72">
        <f>IF($D$3=JU!I1041,JU!K1041,0)</f>
        <v>0</v>
      </c>
      <c r="H1048" s="72">
        <f t="shared" si="17"/>
        <v>91813000</v>
      </c>
    </row>
    <row r="1049" spans="2:8" hidden="1">
      <c r="B1049" s="68" t="str">
        <f>IF(OR($D$3=JU!$F1042,$D$3=JU!$I1042),JU!B1042,"")</f>
        <v/>
      </c>
      <c r="C1049" s="6" t="str">
        <f>IF(OR($D$3=JU!$F1042,$D$3=JU!$I1042),JU!C1042,"")</f>
        <v/>
      </c>
      <c r="D1049" s="73" t="str">
        <f>IF(OR($D$3=JU!$F1042,$D$3=JU!$I1042),JU!D1042,"")</f>
        <v/>
      </c>
      <c r="E1049" s="74" t="str">
        <f>IF(OR($D$3=JU!$F1042,$D$3=JU!$I1042),JU!E1042,"")</f>
        <v/>
      </c>
      <c r="F1049" s="72">
        <f>IF($D$3=JU!F1042,JU!H1042,0)</f>
        <v>0</v>
      </c>
      <c r="G1049" s="72">
        <f>IF($D$3=JU!I1042,JU!K1042,0)</f>
        <v>0</v>
      </c>
      <c r="H1049" s="72">
        <f t="shared" si="17"/>
        <v>91813000</v>
      </c>
    </row>
    <row r="1050" spans="2:8" hidden="1">
      <c r="B1050" s="68" t="str">
        <f>IF(OR($D$3=JU!$F1043,$D$3=JU!$I1043),JU!B1043,"")</f>
        <v/>
      </c>
      <c r="C1050" s="6" t="str">
        <f>IF(OR($D$3=JU!$F1043,$D$3=JU!$I1043),JU!C1043,"")</f>
        <v/>
      </c>
      <c r="D1050" s="73" t="str">
        <f>IF(OR($D$3=JU!$F1043,$D$3=JU!$I1043),JU!D1043,"")</f>
        <v/>
      </c>
      <c r="E1050" s="74" t="str">
        <f>IF(OR($D$3=JU!$F1043,$D$3=JU!$I1043),JU!E1043,"")</f>
        <v/>
      </c>
      <c r="F1050" s="72">
        <f>IF($D$3=JU!F1043,JU!H1043,0)</f>
        <v>0</v>
      </c>
      <c r="G1050" s="72">
        <f>IF($D$3=JU!I1043,JU!K1043,0)</f>
        <v>0</v>
      </c>
      <c r="H1050" s="72">
        <f t="shared" si="17"/>
        <v>91813000</v>
      </c>
    </row>
    <row r="1051" spans="2:8" hidden="1">
      <c r="B1051" s="68" t="str">
        <f>IF(OR($D$3=JU!$F1044,$D$3=JU!$I1044),JU!B1044,"")</f>
        <v/>
      </c>
      <c r="C1051" s="6" t="str">
        <f>IF(OR($D$3=JU!$F1044,$D$3=JU!$I1044),JU!C1044,"")</f>
        <v/>
      </c>
      <c r="D1051" s="73" t="str">
        <f>IF(OR($D$3=JU!$F1044,$D$3=JU!$I1044),JU!D1044,"")</f>
        <v/>
      </c>
      <c r="E1051" s="74" t="str">
        <f>IF(OR($D$3=JU!$F1044,$D$3=JU!$I1044),JU!E1044,"")</f>
        <v/>
      </c>
      <c r="F1051" s="72">
        <f>IF($D$3=JU!F1044,JU!H1044,0)</f>
        <v>0</v>
      </c>
      <c r="G1051" s="72">
        <f>IF($D$3=JU!I1044,JU!K1044,0)</f>
        <v>0</v>
      </c>
      <c r="H1051" s="72">
        <f t="shared" si="17"/>
        <v>91813000</v>
      </c>
    </row>
    <row r="1052" spans="2:8" hidden="1">
      <c r="B1052" s="68" t="str">
        <f>IF(OR($D$3=JU!$F1045,$D$3=JU!$I1045),JU!B1045,"")</f>
        <v/>
      </c>
      <c r="C1052" s="6" t="str">
        <f>IF(OR($D$3=JU!$F1045,$D$3=JU!$I1045),JU!C1045,"")</f>
        <v/>
      </c>
      <c r="D1052" s="73" t="str">
        <f>IF(OR($D$3=JU!$F1045,$D$3=JU!$I1045),JU!D1045,"")</f>
        <v/>
      </c>
      <c r="E1052" s="74" t="str">
        <f>IF(OR($D$3=JU!$F1045,$D$3=JU!$I1045),JU!E1045,"")</f>
        <v/>
      </c>
      <c r="F1052" s="72">
        <f>IF($D$3=JU!F1045,JU!H1045,0)</f>
        <v>0</v>
      </c>
      <c r="G1052" s="72">
        <f>IF($D$3=JU!I1045,JU!K1045,0)</f>
        <v>0</v>
      </c>
      <c r="H1052" s="72">
        <f t="shared" si="17"/>
        <v>91813000</v>
      </c>
    </row>
    <row r="1053" spans="2:8" hidden="1">
      <c r="B1053" s="68" t="str">
        <f>IF(OR($D$3=JU!$F1046,$D$3=JU!$I1046),JU!B1046,"")</f>
        <v/>
      </c>
      <c r="C1053" s="6" t="str">
        <f>IF(OR($D$3=JU!$F1046,$D$3=JU!$I1046),JU!C1046,"")</f>
        <v/>
      </c>
      <c r="D1053" s="73" t="str">
        <f>IF(OR($D$3=JU!$F1046,$D$3=JU!$I1046),JU!D1046,"")</f>
        <v/>
      </c>
      <c r="E1053" s="74" t="str">
        <f>IF(OR($D$3=JU!$F1046,$D$3=JU!$I1046),JU!E1046,"")</f>
        <v/>
      </c>
      <c r="F1053" s="72">
        <f>IF($D$3=JU!F1046,JU!H1046,0)</f>
        <v>0</v>
      </c>
      <c r="G1053" s="72">
        <f>IF($D$3=JU!I1046,JU!K1046,0)</f>
        <v>0</v>
      </c>
      <c r="H1053" s="72">
        <f t="shared" si="17"/>
        <v>91813000</v>
      </c>
    </row>
    <row r="1054" spans="2:8" hidden="1">
      <c r="B1054" s="68" t="str">
        <f>IF(OR($D$3=JU!$F1047,$D$3=JU!$I1047),JU!B1047,"")</f>
        <v/>
      </c>
      <c r="C1054" s="6" t="str">
        <f>IF(OR($D$3=JU!$F1047,$D$3=JU!$I1047),JU!C1047,"")</f>
        <v/>
      </c>
      <c r="D1054" s="73" t="str">
        <f>IF(OR($D$3=JU!$F1047,$D$3=JU!$I1047),JU!D1047,"")</f>
        <v/>
      </c>
      <c r="E1054" s="74" t="str">
        <f>IF(OR($D$3=JU!$F1047,$D$3=JU!$I1047),JU!E1047,"")</f>
        <v/>
      </c>
      <c r="F1054" s="72">
        <f>IF($D$3=JU!F1047,JU!H1047,0)</f>
        <v>0</v>
      </c>
      <c r="G1054" s="72">
        <f>IF($D$3=JU!I1047,JU!K1047,0)</f>
        <v>0</v>
      </c>
      <c r="H1054" s="72">
        <f t="shared" si="17"/>
        <v>91813000</v>
      </c>
    </row>
    <row r="1055" spans="2:8" hidden="1">
      <c r="B1055" s="68" t="str">
        <f>IF(OR($D$3=JU!$F1048,$D$3=JU!$I1048),JU!B1048,"")</f>
        <v/>
      </c>
      <c r="C1055" s="6" t="str">
        <f>IF(OR($D$3=JU!$F1048,$D$3=JU!$I1048),JU!C1048,"")</f>
        <v/>
      </c>
      <c r="D1055" s="73" t="str">
        <f>IF(OR($D$3=JU!$F1048,$D$3=JU!$I1048),JU!D1048,"")</f>
        <v/>
      </c>
      <c r="E1055" s="74" t="str">
        <f>IF(OR($D$3=JU!$F1048,$D$3=JU!$I1048),JU!E1048,"")</f>
        <v/>
      </c>
      <c r="F1055" s="72">
        <f>IF($D$3=JU!F1048,JU!H1048,0)</f>
        <v>0</v>
      </c>
      <c r="G1055" s="72">
        <f>IF($D$3=JU!I1048,JU!K1048,0)</f>
        <v>0</v>
      </c>
      <c r="H1055" s="72">
        <f t="shared" si="17"/>
        <v>91813000</v>
      </c>
    </row>
    <row r="1056" spans="2:8" hidden="1">
      <c r="B1056" s="68" t="str">
        <f>IF(OR($D$3=JU!$F1049,$D$3=JU!$I1049),JU!B1049,"")</f>
        <v/>
      </c>
      <c r="C1056" s="6" t="str">
        <f>IF(OR($D$3=JU!$F1049,$D$3=JU!$I1049),JU!C1049,"")</f>
        <v/>
      </c>
      <c r="D1056" s="73" t="str">
        <f>IF(OR($D$3=JU!$F1049,$D$3=JU!$I1049),JU!D1049,"")</f>
        <v/>
      </c>
      <c r="E1056" s="74" t="str">
        <f>IF(OR($D$3=JU!$F1049,$D$3=JU!$I1049),JU!E1049,"")</f>
        <v/>
      </c>
      <c r="F1056" s="72">
        <f>IF($D$3=JU!F1049,JU!H1049,0)</f>
        <v>0</v>
      </c>
      <c r="G1056" s="72">
        <f>IF($D$3=JU!I1049,JU!K1049,0)</f>
        <v>0</v>
      </c>
      <c r="H1056" s="72">
        <f t="shared" si="17"/>
        <v>91813000</v>
      </c>
    </row>
    <row r="1057" spans="2:8" hidden="1">
      <c r="B1057" s="68" t="str">
        <f>IF(OR($D$3=JU!$F1050,$D$3=JU!$I1050),JU!B1050,"")</f>
        <v/>
      </c>
      <c r="C1057" s="6" t="str">
        <f>IF(OR($D$3=JU!$F1050,$D$3=JU!$I1050),JU!C1050,"")</f>
        <v/>
      </c>
      <c r="D1057" s="73" t="str">
        <f>IF(OR($D$3=JU!$F1050,$D$3=JU!$I1050),JU!D1050,"")</f>
        <v/>
      </c>
      <c r="E1057" s="74" t="str">
        <f>IF(OR($D$3=JU!$F1050,$D$3=JU!$I1050),JU!E1050,"")</f>
        <v/>
      </c>
      <c r="F1057" s="72">
        <f>IF($D$3=JU!F1050,JU!H1050,0)</f>
        <v>0</v>
      </c>
      <c r="G1057" s="72">
        <f>IF($D$3=JU!I1050,JU!K1050,0)</f>
        <v>0</v>
      </c>
      <c r="H1057" s="72">
        <f t="shared" si="17"/>
        <v>91813000</v>
      </c>
    </row>
    <row r="1058" spans="2:8" hidden="1">
      <c r="B1058" s="68" t="str">
        <f>IF(OR($D$3=JU!$F1051,$D$3=JU!$I1051),JU!B1051,"")</f>
        <v/>
      </c>
      <c r="C1058" s="6" t="str">
        <f>IF(OR($D$3=JU!$F1051,$D$3=JU!$I1051),JU!C1051,"")</f>
        <v/>
      </c>
      <c r="D1058" s="73" t="str">
        <f>IF(OR($D$3=JU!$F1051,$D$3=JU!$I1051),JU!D1051,"")</f>
        <v/>
      </c>
      <c r="E1058" s="74" t="str">
        <f>IF(OR($D$3=JU!$F1051,$D$3=JU!$I1051),JU!E1051,"")</f>
        <v/>
      </c>
      <c r="F1058" s="72">
        <f>IF($D$3=JU!F1051,JU!H1051,0)</f>
        <v>0</v>
      </c>
      <c r="G1058" s="72">
        <f>IF($D$3=JU!I1051,JU!K1051,0)</f>
        <v>0</v>
      </c>
      <c r="H1058" s="72">
        <f t="shared" si="17"/>
        <v>91813000</v>
      </c>
    </row>
    <row r="1059" spans="2:8" hidden="1">
      <c r="B1059" s="68" t="str">
        <f>IF(OR($D$3=JU!$F1052,$D$3=JU!$I1052),JU!B1052,"")</f>
        <v/>
      </c>
      <c r="C1059" s="6" t="str">
        <f>IF(OR($D$3=JU!$F1052,$D$3=JU!$I1052),JU!C1052,"")</f>
        <v/>
      </c>
      <c r="D1059" s="73" t="str">
        <f>IF(OR($D$3=JU!$F1052,$D$3=JU!$I1052),JU!D1052,"")</f>
        <v/>
      </c>
      <c r="E1059" s="74" t="str">
        <f>IF(OR($D$3=JU!$F1052,$D$3=JU!$I1052),JU!E1052,"")</f>
        <v/>
      </c>
      <c r="F1059" s="72">
        <f>IF($D$3=JU!F1052,JU!H1052,0)</f>
        <v>0</v>
      </c>
      <c r="G1059" s="72">
        <f>IF($D$3=JU!I1052,JU!K1052,0)</f>
        <v>0</v>
      </c>
      <c r="H1059" s="72">
        <f t="shared" si="17"/>
        <v>91813000</v>
      </c>
    </row>
    <row r="1060" spans="2:8" hidden="1">
      <c r="B1060" s="68" t="str">
        <f>IF(OR($D$3=JU!$F1053,$D$3=JU!$I1053),JU!B1053,"")</f>
        <v/>
      </c>
      <c r="C1060" s="6" t="str">
        <f>IF(OR($D$3=JU!$F1053,$D$3=JU!$I1053),JU!C1053,"")</f>
        <v/>
      </c>
      <c r="D1060" s="73" t="str">
        <f>IF(OR($D$3=JU!$F1053,$D$3=JU!$I1053),JU!D1053,"")</f>
        <v/>
      </c>
      <c r="E1060" s="74" t="str">
        <f>IF(OR($D$3=JU!$F1053,$D$3=JU!$I1053),JU!E1053,"")</f>
        <v/>
      </c>
      <c r="F1060" s="72">
        <f>IF($D$3=JU!F1053,JU!H1053,0)</f>
        <v>0</v>
      </c>
      <c r="G1060" s="72">
        <f>IF($D$3=JU!I1053,JU!K1053,0)</f>
        <v>0</v>
      </c>
      <c r="H1060" s="72">
        <f t="shared" si="17"/>
        <v>91813000</v>
      </c>
    </row>
    <row r="1061" spans="2:8" hidden="1">
      <c r="B1061" s="68" t="str">
        <f>IF(OR($D$3=JU!$F1054,$D$3=JU!$I1054),JU!B1054,"")</f>
        <v/>
      </c>
      <c r="C1061" s="6" t="str">
        <f>IF(OR($D$3=JU!$F1054,$D$3=JU!$I1054),JU!C1054,"")</f>
        <v/>
      </c>
      <c r="D1061" s="73" t="str">
        <f>IF(OR($D$3=JU!$F1054,$D$3=JU!$I1054),JU!D1054,"")</f>
        <v/>
      </c>
      <c r="E1061" s="74" t="str">
        <f>IF(OR($D$3=JU!$F1054,$D$3=JU!$I1054),JU!E1054,"")</f>
        <v/>
      </c>
      <c r="F1061" s="72">
        <f>IF($D$3=JU!F1054,JU!H1054,0)</f>
        <v>0</v>
      </c>
      <c r="G1061" s="72">
        <f>IF($D$3=JU!I1054,JU!K1054,0)</f>
        <v>0</v>
      </c>
      <c r="H1061" s="72">
        <f t="shared" si="17"/>
        <v>91813000</v>
      </c>
    </row>
    <row r="1062" spans="2:8" hidden="1">
      <c r="B1062" s="68" t="str">
        <f>IF(OR($D$3=JU!$F1055,$D$3=JU!$I1055),JU!B1055,"")</f>
        <v/>
      </c>
      <c r="C1062" s="6" t="str">
        <f>IF(OR($D$3=JU!$F1055,$D$3=JU!$I1055),JU!C1055,"")</f>
        <v/>
      </c>
      <c r="D1062" s="73" t="str">
        <f>IF(OR($D$3=JU!$F1055,$D$3=JU!$I1055),JU!D1055,"")</f>
        <v/>
      </c>
      <c r="E1062" s="74" t="str">
        <f>IF(OR($D$3=JU!$F1055,$D$3=JU!$I1055),JU!E1055,"")</f>
        <v/>
      </c>
      <c r="F1062" s="72">
        <f>IF($D$3=JU!F1055,JU!H1055,0)</f>
        <v>0</v>
      </c>
      <c r="G1062" s="72">
        <f>IF($D$3=JU!I1055,JU!K1055,0)</f>
        <v>0</v>
      </c>
      <c r="H1062" s="72">
        <f t="shared" si="17"/>
        <v>91813000</v>
      </c>
    </row>
    <row r="1063" spans="2:8" hidden="1">
      <c r="B1063" s="68" t="str">
        <f>IF(OR($D$3=JU!$F1056,$D$3=JU!$I1056),JU!B1056,"")</f>
        <v/>
      </c>
      <c r="C1063" s="6" t="str">
        <f>IF(OR($D$3=JU!$F1056,$D$3=JU!$I1056),JU!C1056,"")</f>
        <v/>
      </c>
      <c r="D1063" s="73" t="str">
        <f>IF(OR($D$3=JU!$F1056,$D$3=JU!$I1056),JU!D1056,"")</f>
        <v/>
      </c>
      <c r="E1063" s="74" t="str">
        <f>IF(OR($D$3=JU!$F1056,$D$3=JU!$I1056),JU!E1056,"")</f>
        <v/>
      </c>
      <c r="F1063" s="72">
        <f>IF($D$3=JU!F1056,JU!H1056,0)</f>
        <v>0</v>
      </c>
      <c r="G1063" s="72">
        <f>IF($D$3=JU!I1056,JU!K1056,0)</f>
        <v>0</v>
      </c>
      <c r="H1063" s="72">
        <f t="shared" si="17"/>
        <v>91813000</v>
      </c>
    </row>
    <row r="1064" spans="2:8" hidden="1">
      <c r="B1064" s="68" t="str">
        <f>IF(OR($D$3=JU!$F1057,$D$3=JU!$I1057),JU!B1057,"")</f>
        <v/>
      </c>
      <c r="C1064" s="6" t="str">
        <f>IF(OR($D$3=JU!$F1057,$D$3=JU!$I1057),JU!C1057,"")</f>
        <v/>
      </c>
      <c r="D1064" s="73" t="str">
        <f>IF(OR($D$3=JU!$F1057,$D$3=JU!$I1057),JU!D1057,"")</f>
        <v/>
      </c>
      <c r="E1064" s="74" t="str">
        <f>IF(OR($D$3=JU!$F1057,$D$3=JU!$I1057),JU!E1057,"")</f>
        <v/>
      </c>
      <c r="F1064" s="72">
        <f>IF($D$3=JU!F1057,JU!H1057,0)</f>
        <v>0</v>
      </c>
      <c r="G1064" s="72">
        <f>IF($D$3=JU!I1057,JU!K1057,0)</f>
        <v>0</v>
      </c>
      <c r="H1064" s="72">
        <f t="shared" si="17"/>
        <v>91813000</v>
      </c>
    </row>
    <row r="1065" spans="2:8" hidden="1">
      <c r="B1065" s="68" t="str">
        <f>IF(OR($D$3=JU!$F1058,$D$3=JU!$I1058),JU!B1058,"")</f>
        <v/>
      </c>
      <c r="C1065" s="6" t="str">
        <f>IF(OR($D$3=JU!$F1058,$D$3=JU!$I1058),JU!C1058,"")</f>
        <v/>
      </c>
      <c r="D1065" s="73" t="str">
        <f>IF(OR($D$3=JU!$F1058,$D$3=JU!$I1058),JU!D1058,"")</f>
        <v/>
      </c>
      <c r="E1065" s="74" t="str">
        <f>IF(OR($D$3=JU!$F1058,$D$3=JU!$I1058),JU!E1058,"")</f>
        <v/>
      </c>
      <c r="F1065" s="72">
        <f>IF($D$3=JU!F1058,JU!H1058,0)</f>
        <v>0</v>
      </c>
      <c r="G1065" s="72">
        <f>IF($D$3=JU!I1058,JU!K1058,0)</f>
        <v>0</v>
      </c>
      <c r="H1065" s="72">
        <f t="shared" si="17"/>
        <v>91813000</v>
      </c>
    </row>
    <row r="1066" spans="2:8" hidden="1">
      <c r="B1066" s="68" t="str">
        <f>IF(OR($D$3=JU!$F1059,$D$3=JU!$I1059),JU!B1059,"")</f>
        <v/>
      </c>
      <c r="C1066" s="6" t="str">
        <f>IF(OR($D$3=JU!$F1059,$D$3=JU!$I1059),JU!C1059,"")</f>
        <v/>
      </c>
      <c r="D1066" s="73" t="str">
        <f>IF(OR($D$3=JU!$F1059,$D$3=JU!$I1059),JU!D1059,"")</f>
        <v/>
      </c>
      <c r="E1066" s="74" t="str">
        <f>IF(OR($D$3=JU!$F1059,$D$3=JU!$I1059),JU!E1059,"")</f>
        <v/>
      </c>
      <c r="F1066" s="72">
        <f>IF($D$3=JU!F1059,JU!H1059,0)</f>
        <v>0</v>
      </c>
      <c r="G1066" s="72">
        <f>IF($D$3=JU!I1059,JU!K1059,0)</f>
        <v>0</v>
      </c>
      <c r="H1066" s="72">
        <f t="shared" si="17"/>
        <v>91813000</v>
      </c>
    </row>
    <row r="1067" spans="2:8" hidden="1">
      <c r="B1067" s="68" t="str">
        <f>IF(OR($D$3=JU!$F1060,$D$3=JU!$I1060),JU!B1060,"")</f>
        <v/>
      </c>
      <c r="C1067" s="6" t="str">
        <f>IF(OR($D$3=JU!$F1060,$D$3=JU!$I1060),JU!C1060,"")</f>
        <v/>
      </c>
      <c r="D1067" s="73" t="str">
        <f>IF(OR($D$3=JU!$F1060,$D$3=JU!$I1060),JU!D1060,"")</f>
        <v/>
      </c>
      <c r="E1067" s="74" t="str">
        <f>IF(OR($D$3=JU!$F1060,$D$3=JU!$I1060),JU!E1060,"")</f>
        <v/>
      </c>
      <c r="F1067" s="72">
        <f>IF($D$3=JU!F1060,JU!H1060,0)</f>
        <v>0</v>
      </c>
      <c r="G1067" s="72">
        <f>IF($D$3=JU!I1060,JU!K1060,0)</f>
        <v>0</v>
      </c>
      <c r="H1067" s="72">
        <f t="shared" si="17"/>
        <v>91813000</v>
      </c>
    </row>
    <row r="1068" spans="2:8" hidden="1">
      <c r="B1068" s="68" t="str">
        <f>IF(OR($D$3=JU!$F1061,$D$3=JU!$I1061),JU!B1061,"")</f>
        <v/>
      </c>
      <c r="C1068" s="6" t="str">
        <f>IF(OR($D$3=JU!$F1061,$D$3=JU!$I1061),JU!C1061,"")</f>
        <v/>
      </c>
      <c r="D1068" s="73" t="str">
        <f>IF(OR($D$3=JU!$F1061,$D$3=JU!$I1061),JU!D1061,"")</f>
        <v/>
      </c>
      <c r="E1068" s="74" t="str">
        <f>IF(OR($D$3=JU!$F1061,$D$3=JU!$I1061),JU!E1061,"")</f>
        <v/>
      </c>
      <c r="F1068" s="72">
        <f>IF($D$3=JU!F1061,JU!H1061,0)</f>
        <v>0</v>
      </c>
      <c r="G1068" s="72">
        <f>IF($D$3=JU!I1061,JU!K1061,0)</f>
        <v>0</v>
      </c>
      <c r="H1068" s="72">
        <f t="shared" si="17"/>
        <v>91813000</v>
      </c>
    </row>
    <row r="1069" spans="2:8" hidden="1">
      <c r="B1069" s="68" t="str">
        <f>IF(OR($D$3=JU!$F1062,$D$3=JU!$I1062),JU!B1062,"")</f>
        <v/>
      </c>
      <c r="C1069" s="6" t="str">
        <f>IF(OR($D$3=JU!$F1062,$D$3=JU!$I1062),JU!C1062,"")</f>
        <v/>
      </c>
      <c r="D1069" s="73" t="str">
        <f>IF(OR($D$3=JU!$F1062,$D$3=JU!$I1062),JU!D1062,"")</f>
        <v/>
      </c>
      <c r="E1069" s="74" t="str">
        <f>IF(OR($D$3=JU!$F1062,$D$3=JU!$I1062),JU!E1062,"")</f>
        <v/>
      </c>
      <c r="F1069" s="72">
        <f>IF($D$3=JU!F1062,JU!H1062,0)</f>
        <v>0</v>
      </c>
      <c r="G1069" s="72">
        <f>IF($D$3=JU!I1062,JU!K1062,0)</f>
        <v>0</v>
      </c>
      <c r="H1069" s="72">
        <f t="shared" si="17"/>
        <v>91813000</v>
      </c>
    </row>
    <row r="1070" spans="2:8" hidden="1">
      <c r="B1070" s="68" t="str">
        <f>IF(OR($D$3=JU!$F1063,$D$3=JU!$I1063),JU!B1063,"")</f>
        <v/>
      </c>
      <c r="C1070" s="6" t="str">
        <f>IF(OR($D$3=JU!$F1063,$D$3=JU!$I1063),JU!C1063,"")</f>
        <v/>
      </c>
      <c r="D1070" s="73" t="str">
        <f>IF(OR($D$3=JU!$F1063,$D$3=JU!$I1063),JU!D1063,"")</f>
        <v/>
      </c>
      <c r="E1070" s="74" t="str">
        <f>IF(OR($D$3=JU!$F1063,$D$3=JU!$I1063),JU!E1063,"")</f>
        <v/>
      </c>
      <c r="F1070" s="72">
        <f>IF($D$3=JU!F1063,JU!H1063,0)</f>
        <v>0</v>
      </c>
      <c r="G1070" s="72">
        <f>IF($D$3=JU!I1063,JU!K1063,0)</f>
        <v>0</v>
      </c>
      <c r="H1070" s="72">
        <f t="shared" si="17"/>
        <v>91813000</v>
      </c>
    </row>
    <row r="1071" spans="2:8" hidden="1">
      <c r="B1071" s="68" t="str">
        <f>IF(OR($D$3=JU!$F1064,$D$3=JU!$I1064),JU!B1064,"")</f>
        <v/>
      </c>
      <c r="C1071" s="6" t="str">
        <f>IF(OR($D$3=JU!$F1064,$D$3=JU!$I1064),JU!C1064,"")</f>
        <v/>
      </c>
      <c r="D1071" s="73" t="str">
        <f>IF(OR($D$3=JU!$F1064,$D$3=JU!$I1064),JU!D1064,"")</f>
        <v/>
      </c>
      <c r="E1071" s="74" t="str">
        <f>IF(OR($D$3=JU!$F1064,$D$3=JU!$I1064),JU!E1064,"")</f>
        <v/>
      </c>
      <c r="F1071" s="72">
        <f>IF($D$3=JU!F1064,JU!H1064,0)</f>
        <v>0</v>
      </c>
      <c r="G1071" s="72">
        <f>IF($D$3=JU!I1064,JU!K1064,0)</f>
        <v>0</v>
      </c>
      <c r="H1071" s="72">
        <f t="shared" si="17"/>
        <v>91813000</v>
      </c>
    </row>
    <row r="1072" spans="2:8" hidden="1">
      <c r="B1072" s="68" t="str">
        <f>IF(OR($D$3=JU!$F1065,$D$3=JU!$I1065),JU!B1065,"")</f>
        <v/>
      </c>
      <c r="C1072" s="6" t="str">
        <f>IF(OR($D$3=JU!$F1065,$D$3=JU!$I1065),JU!C1065,"")</f>
        <v/>
      </c>
      <c r="D1072" s="73" t="str">
        <f>IF(OR($D$3=JU!$F1065,$D$3=JU!$I1065),JU!D1065,"")</f>
        <v/>
      </c>
      <c r="E1072" s="74" t="str">
        <f>IF(OR($D$3=JU!$F1065,$D$3=JU!$I1065),JU!E1065,"")</f>
        <v/>
      </c>
      <c r="F1072" s="72">
        <f>IF($D$3=JU!F1065,JU!H1065,0)</f>
        <v>0</v>
      </c>
      <c r="G1072" s="72">
        <f>IF($D$3=JU!I1065,JU!K1065,0)</f>
        <v>0</v>
      </c>
      <c r="H1072" s="72">
        <f t="shared" si="17"/>
        <v>91813000</v>
      </c>
    </row>
    <row r="1073" spans="2:8" hidden="1">
      <c r="B1073" s="68" t="str">
        <f>IF(OR($D$3=JU!$F1066,$D$3=JU!$I1066),JU!B1066,"")</f>
        <v/>
      </c>
      <c r="C1073" s="6" t="str">
        <f>IF(OR($D$3=JU!$F1066,$D$3=JU!$I1066),JU!C1066,"")</f>
        <v/>
      </c>
      <c r="D1073" s="73" t="str">
        <f>IF(OR($D$3=JU!$F1066,$D$3=JU!$I1066),JU!D1066,"")</f>
        <v/>
      </c>
      <c r="E1073" s="74" t="str">
        <f>IF(OR($D$3=JU!$F1066,$D$3=JU!$I1066),JU!E1066,"")</f>
        <v/>
      </c>
      <c r="F1073" s="72">
        <f>IF($D$3=JU!F1066,JU!H1066,0)</f>
        <v>0</v>
      </c>
      <c r="G1073" s="72">
        <f>IF($D$3=JU!I1066,JU!K1066,0)</f>
        <v>0</v>
      </c>
      <c r="H1073" s="72">
        <f t="shared" si="17"/>
        <v>91813000</v>
      </c>
    </row>
    <row r="1074" spans="2:8" hidden="1">
      <c r="B1074" s="68" t="str">
        <f>IF(OR($D$3=JU!$F1067,$D$3=JU!$I1067),JU!B1067,"")</f>
        <v/>
      </c>
      <c r="C1074" s="6" t="str">
        <f>IF(OR($D$3=JU!$F1067,$D$3=JU!$I1067),JU!C1067,"")</f>
        <v/>
      </c>
      <c r="D1074" s="73" t="str">
        <f>IF(OR($D$3=JU!$F1067,$D$3=JU!$I1067),JU!D1067,"")</f>
        <v/>
      </c>
      <c r="E1074" s="74" t="str">
        <f>IF(OR($D$3=JU!$F1067,$D$3=JU!$I1067),JU!E1067,"")</f>
        <v/>
      </c>
      <c r="F1074" s="72">
        <f>IF($D$3=JU!F1067,JU!H1067,0)</f>
        <v>0</v>
      </c>
      <c r="G1074" s="72">
        <f>IF($D$3=JU!I1067,JU!K1067,0)</f>
        <v>0</v>
      </c>
      <c r="H1074" s="72">
        <f t="shared" si="17"/>
        <v>91813000</v>
      </c>
    </row>
    <row r="1075" spans="2:8" hidden="1">
      <c r="B1075" s="68" t="str">
        <f>IF(OR($D$3=JU!$F1068,$D$3=JU!$I1068),JU!B1068,"")</f>
        <v/>
      </c>
      <c r="C1075" s="6" t="str">
        <f>IF(OR($D$3=JU!$F1068,$D$3=JU!$I1068),JU!C1068,"")</f>
        <v/>
      </c>
      <c r="D1075" s="73" t="str">
        <f>IF(OR($D$3=JU!$F1068,$D$3=JU!$I1068),JU!D1068,"")</f>
        <v/>
      </c>
      <c r="E1075" s="74" t="str">
        <f>IF(OR($D$3=JU!$F1068,$D$3=JU!$I1068),JU!E1068,"")</f>
        <v/>
      </c>
      <c r="F1075" s="72">
        <f>IF($D$3=JU!F1068,JU!H1068,0)</f>
        <v>0</v>
      </c>
      <c r="G1075" s="72">
        <f>IF($D$3=JU!I1068,JU!K1068,0)</f>
        <v>0</v>
      </c>
      <c r="H1075" s="72">
        <f t="shared" si="17"/>
        <v>91813000</v>
      </c>
    </row>
    <row r="1076" spans="2:8" hidden="1">
      <c r="B1076" s="68" t="str">
        <f>IF(OR($D$3=JU!$F1069,$D$3=JU!$I1069),JU!B1069,"")</f>
        <v/>
      </c>
      <c r="C1076" s="6" t="str">
        <f>IF(OR($D$3=JU!$F1069,$D$3=JU!$I1069),JU!C1069,"")</f>
        <v/>
      </c>
      <c r="D1076" s="73" t="str">
        <f>IF(OR($D$3=JU!$F1069,$D$3=JU!$I1069),JU!D1069,"")</f>
        <v/>
      </c>
      <c r="E1076" s="74" t="str">
        <f>IF(OR($D$3=JU!$F1069,$D$3=JU!$I1069),JU!E1069,"")</f>
        <v/>
      </c>
      <c r="F1076" s="72">
        <f>IF($D$3=JU!F1069,JU!H1069,0)</f>
        <v>0</v>
      </c>
      <c r="G1076" s="72">
        <f>IF($D$3=JU!I1069,JU!K1069,0)</f>
        <v>0</v>
      </c>
      <c r="H1076" s="72">
        <f t="shared" si="17"/>
        <v>91813000</v>
      </c>
    </row>
    <row r="1077" spans="2:8" hidden="1">
      <c r="B1077" s="68" t="str">
        <f>IF(OR($D$3=JU!$F1070,$D$3=JU!$I1070),JU!B1070,"")</f>
        <v/>
      </c>
      <c r="C1077" s="6" t="str">
        <f>IF(OR($D$3=JU!$F1070,$D$3=JU!$I1070),JU!C1070,"")</f>
        <v/>
      </c>
      <c r="D1077" s="73" t="str">
        <f>IF(OR($D$3=JU!$F1070,$D$3=JU!$I1070),JU!D1070,"")</f>
        <v/>
      </c>
      <c r="E1077" s="74" t="str">
        <f>IF(OR($D$3=JU!$F1070,$D$3=JU!$I1070),JU!E1070,"")</f>
        <v/>
      </c>
      <c r="F1077" s="72">
        <f>IF($D$3=JU!F1070,JU!H1070,0)</f>
        <v>0</v>
      </c>
      <c r="G1077" s="72">
        <f>IF($D$3=JU!I1070,JU!K1070,0)</f>
        <v>0</v>
      </c>
      <c r="H1077" s="72">
        <f t="shared" si="17"/>
        <v>91813000</v>
      </c>
    </row>
    <row r="1078" spans="2:8" hidden="1">
      <c r="B1078" s="68" t="str">
        <f>IF(OR($D$3=JU!$F1071,$D$3=JU!$I1071),JU!B1071,"")</f>
        <v/>
      </c>
      <c r="C1078" s="6" t="str">
        <f>IF(OR($D$3=JU!$F1071,$D$3=JU!$I1071),JU!C1071,"")</f>
        <v/>
      </c>
      <c r="D1078" s="73" t="str">
        <f>IF(OR($D$3=JU!$F1071,$D$3=JU!$I1071),JU!D1071,"")</f>
        <v/>
      </c>
      <c r="E1078" s="74" t="str">
        <f>IF(OR($D$3=JU!$F1071,$D$3=JU!$I1071),JU!E1071,"")</f>
        <v/>
      </c>
      <c r="F1078" s="72">
        <f>IF($D$3=JU!F1071,JU!H1071,0)</f>
        <v>0</v>
      </c>
      <c r="G1078" s="72">
        <f>IF($D$3=JU!I1071,JU!K1071,0)</f>
        <v>0</v>
      </c>
      <c r="H1078" s="72">
        <f t="shared" si="17"/>
        <v>91813000</v>
      </c>
    </row>
    <row r="1079" spans="2:8" hidden="1">
      <c r="B1079" s="68" t="str">
        <f>IF(OR($D$3=JU!$F1072,$D$3=JU!$I1072),JU!B1072,"")</f>
        <v/>
      </c>
      <c r="C1079" s="6" t="str">
        <f>IF(OR($D$3=JU!$F1072,$D$3=JU!$I1072),JU!C1072,"")</f>
        <v/>
      </c>
      <c r="D1079" s="73" t="str">
        <f>IF(OR($D$3=JU!$F1072,$D$3=JU!$I1072),JU!D1072,"")</f>
        <v/>
      </c>
      <c r="E1079" s="74" t="str">
        <f>IF(OR($D$3=JU!$F1072,$D$3=JU!$I1072),JU!E1072,"")</f>
        <v/>
      </c>
      <c r="F1079" s="72">
        <f>IF($D$3=JU!F1072,JU!H1072,0)</f>
        <v>0</v>
      </c>
      <c r="G1079" s="72">
        <f>IF($D$3=JU!I1072,JU!K1072,0)</f>
        <v>0</v>
      </c>
      <c r="H1079" s="72">
        <f t="shared" si="17"/>
        <v>91813000</v>
      </c>
    </row>
    <row r="1080" spans="2:8" hidden="1">
      <c r="B1080" s="68" t="str">
        <f>IF(OR($D$3=JU!$F1073,$D$3=JU!$I1073),JU!B1073,"")</f>
        <v/>
      </c>
      <c r="C1080" s="6" t="str">
        <f>IF(OR($D$3=JU!$F1073,$D$3=JU!$I1073),JU!C1073,"")</f>
        <v/>
      </c>
      <c r="D1080" s="73" t="str">
        <f>IF(OR($D$3=JU!$F1073,$D$3=JU!$I1073),JU!D1073,"")</f>
        <v/>
      </c>
      <c r="E1080" s="74" t="str">
        <f>IF(OR($D$3=JU!$F1073,$D$3=JU!$I1073),JU!E1073,"")</f>
        <v/>
      </c>
      <c r="F1080" s="72">
        <f>IF($D$3=JU!F1073,JU!H1073,0)</f>
        <v>0</v>
      </c>
      <c r="G1080" s="72">
        <f>IF($D$3=JU!I1073,JU!K1073,0)</f>
        <v>0</v>
      </c>
      <c r="H1080" s="72">
        <f t="shared" si="17"/>
        <v>91813000</v>
      </c>
    </row>
    <row r="1081" spans="2:8" hidden="1">
      <c r="B1081" s="68" t="str">
        <f>IF(OR($D$3=JU!$F1074,$D$3=JU!$I1074),JU!B1074,"")</f>
        <v/>
      </c>
      <c r="C1081" s="6" t="str">
        <f>IF(OR($D$3=JU!$F1074,$D$3=JU!$I1074),JU!C1074,"")</f>
        <v/>
      </c>
      <c r="D1081" s="73" t="str">
        <f>IF(OR($D$3=JU!$F1074,$D$3=JU!$I1074),JU!D1074,"")</f>
        <v/>
      </c>
      <c r="E1081" s="74" t="str">
        <f>IF(OR($D$3=JU!$F1074,$D$3=JU!$I1074),JU!E1074,"")</f>
        <v/>
      </c>
      <c r="F1081" s="72">
        <f>IF($D$3=JU!F1074,JU!H1074,0)</f>
        <v>0</v>
      </c>
      <c r="G1081" s="72">
        <f>IF($D$3=JU!I1074,JU!K1074,0)</f>
        <v>0</v>
      </c>
      <c r="H1081" s="72">
        <f t="shared" si="17"/>
        <v>91813000</v>
      </c>
    </row>
    <row r="1082" spans="2:8" hidden="1">
      <c r="B1082" s="68" t="str">
        <f>IF(OR($D$3=JU!$F1075,$D$3=JU!$I1075),JU!B1075,"")</f>
        <v/>
      </c>
      <c r="C1082" s="6" t="str">
        <f>IF(OR($D$3=JU!$F1075,$D$3=JU!$I1075),JU!C1075,"")</f>
        <v/>
      </c>
      <c r="D1082" s="73" t="str">
        <f>IF(OR($D$3=JU!$F1075,$D$3=JU!$I1075),JU!D1075,"")</f>
        <v/>
      </c>
      <c r="E1082" s="74" t="str">
        <f>IF(OR($D$3=JU!$F1075,$D$3=JU!$I1075),JU!E1075,"")</f>
        <v/>
      </c>
      <c r="F1082" s="72">
        <f>IF($D$3=JU!F1075,JU!H1075,0)</f>
        <v>0</v>
      </c>
      <c r="G1082" s="72">
        <f>IF($D$3=JU!I1075,JU!K1075,0)</f>
        <v>0</v>
      </c>
      <c r="H1082" s="72">
        <f t="shared" si="17"/>
        <v>91813000</v>
      </c>
    </row>
    <row r="1083" spans="2:8" hidden="1">
      <c r="B1083" s="68" t="str">
        <f>IF(OR($D$3=JU!$F1076,$D$3=JU!$I1076),JU!B1076,"")</f>
        <v/>
      </c>
      <c r="C1083" s="6" t="str">
        <f>IF(OR($D$3=JU!$F1076,$D$3=JU!$I1076),JU!C1076,"")</f>
        <v/>
      </c>
      <c r="D1083" s="73" t="str">
        <f>IF(OR($D$3=JU!$F1076,$D$3=JU!$I1076),JU!D1076,"")</f>
        <v/>
      </c>
      <c r="E1083" s="74" t="str">
        <f>IF(OR($D$3=JU!$F1076,$D$3=JU!$I1076),JU!E1076,"")</f>
        <v/>
      </c>
      <c r="F1083" s="72">
        <f>IF($D$3=JU!F1076,JU!H1076,0)</f>
        <v>0</v>
      </c>
      <c r="G1083" s="72">
        <f>IF($D$3=JU!I1076,JU!K1076,0)</f>
        <v>0</v>
      </c>
      <c r="H1083" s="72">
        <f t="shared" si="17"/>
        <v>91813000</v>
      </c>
    </row>
    <row r="1084" spans="2:8" hidden="1">
      <c r="B1084" s="68" t="str">
        <f>IF(OR($D$3=JU!$F1077,$D$3=JU!$I1077),JU!B1077,"")</f>
        <v/>
      </c>
      <c r="C1084" s="6" t="str">
        <f>IF(OR($D$3=JU!$F1077,$D$3=JU!$I1077),JU!C1077,"")</f>
        <v/>
      </c>
      <c r="D1084" s="73" t="str">
        <f>IF(OR($D$3=JU!$F1077,$D$3=JU!$I1077),JU!D1077,"")</f>
        <v/>
      </c>
      <c r="E1084" s="74" t="str">
        <f>IF(OR($D$3=JU!$F1077,$D$3=JU!$I1077),JU!E1077,"")</f>
        <v/>
      </c>
      <c r="F1084" s="72">
        <f>IF($D$3=JU!F1077,JU!H1077,0)</f>
        <v>0</v>
      </c>
      <c r="G1084" s="72">
        <f>IF($D$3=JU!I1077,JU!K1077,0)</f>
        <v>0</v>
      </c>
      <c r="H1084" s="72">
        <f t="shared" si="17"/>
        <v>91813000</v>
      </c>
    </row>
    <row r="1085" spans="2:8" hidden="1">
      <c r="B1085" s="68" t="str">
        <f>IF(OR($D$3=JU!$F1078,$D$3=JU!$I1078),JU!B1078,"")</f>
        <v/>
      </c>
      <c r="C1085" s="6" t="str">
        <f>IF(OR($D$3=JU!$F1078,$D$3=JU!$I1078),JU!C1078,"")</f>
        <v/>
      </c>
      <c r="D1085" s="73" t="str">
        <f>IF(OR($D$3=JU!$F1078,$D$3=JU!$I1078),JU!D1078,"")</f>
        <v/>
      </c>
      <c r="E1085" s="74" t="str">
        <f>IF(OR($D$3=JU!$F1078,$D$3=JU!$I1078),JU!E1078,"")</f>
        <v/>
      </c>
      <c r="F1085" s="72">
        <f>IF($D$3=JU!F1078,JU!H1078,0)</f>
        <v>0</v>
      </c>
      <c r="G1085" s="72">
        <f>IF($D$3=JU!I1078,JU!K1078,0)</f>
        <v>0</v>
      </c>
      <c r="H1085" s="72">
        <f t="shared" si="17"/>
        <v>91813000</v>
      </c>
    </row>
    <row r="1086" spans="2:8" hidden="1">
      <c r="B1086" s="68" t="str">
        <f>IF(OR($D$3=JU!$F1079,$D$3=JU!$I1079),JU!B1079,"")</f>
        <v/>
      </c>
      <c r="C1086" s="6" t="str">
        <f>IF(OR($D$3=JU!$F1079,$D$3=JU!$I1079),JU!C1079,"")</f>
        <v/>
      </c>
      <c r="D1086" s="73" t="str">
        <f>IF(OR($D$3=JU!$F1079,$D$3=JU!$I1079),JU!D1079,"")</f>
        <v/>
      </c>
      <c r="E1086" s="74" t="str">
        <f>IF(OR($D$3=JU!$F1079,$D$3=JU!$I1079),JU!E1079,"")</f>
        <v/>
      </c>
      <c r="F1086" s="72">
        <f>IF($D$3=JU!F1079,JU!H1079,0)</f>
        <v>0</v>
      </c>
      <c r="G1086" s="72">
        <f>IF($D$3=JU!I1079,JU!K1079,0)</f>
        <v>0</v>
      </c>
      <c r="H1086" s="72">
        <f t="shared" si="17"/>
        <v>91813000</v>
      </c>
    </row>
    <row r="1087" spans="2:8" hidden="1">
      <c r="B1087" s="68" t="str">
        <f>IF(OR($D$3=JU!$F1080,$D$3=JU!$I1080),JU!B1080,"")</f>
        <v/>
      </c>
      <c r="C1087" s="6" t="str">
        <f>IF(OR($D$3=JU!$F1080,$D$3=JU!$I1080),JU!C1080,"")</f>
        <v/>
      </c>
      <c r="D1087" s="73" t="str">
        <f>IF(OR($D$3=JU!$F1080,$D$3=JU!$I1080),JU!D1080,"")</f>
        <v/>
      </c>
      <c r="E1087" s="74" t="str">
        <f>IF(OR($D$3=JU!$F1080,$D$3=JU!$I1080),JU!E1080,"")</f>
        <v/>
      </c>
      <c r="F1087" s="72">
        <f>IF($D$3=JU!F1080,JU!H1080,0)</f>
        <v>0</v>
      </c>
      <c r="G1087" s="72">
        <f>IF($D$3=JU!I1080,JU!K1080,0)</f>
        <v>0</v>
      </c>
      <c r="H1087" s="72">
        <f t="shared" si="17"/>
        <v>91813000</v>
      </c>
    </row>
    <row r="1088" spans="2:8" hidden="1">
      <c r="B1088" s="68" t="str">
        <f>IF(OR($D$3=JU!$F1081,$D$3=JU!$I1081),JU!B1081,"")</f>
        <v/>
      </c>
      <c r="C1088" s="6" t="str">
        <f>IF(OR($D$3=JU!$F1081,$D$3=JU!$I1081),JU!C1081,"")</f>
        <v/>
      </c>
      <c r="D1088" s="73" t="str">
        <f>IF(OR($D$3=JU!$F1081,$D$3=JU!$I1081),JU!D1081,"")</f>
        <v/>
      </c>
      <c r="E1088" s="74" t="str">
        <f>IF(OR($D$3=JU!$F1081,$D$3=JU!$I1081),JU!E1081,"")</f>
        <v/>
      </c>
      <c r="F1088" s="72">
        <f>IF($D$3=JU!F1081,JU!H1081,0)</f>
        <v>0</v>
      </c>
      <c r="G1088" s="72">
        <f>IF($D$3=JU!I1081,JU!K1081,0)</f>
        <v>0</v>
      </c>
      <c r="H1088" s="72">
        <f t="shared" si="17"/>
        <v>91813000</v>
      </c>
    </row>
    <row r="1089" spans="2:8" hidden="1">
      <c r="B1089" s="68" t="str">
        <f>IF(OR($D$3=JU!$F1082,$D$3=JU!$I1082),JU!B1082,"")</f>
        <v/>
      </c>
      <c r="C1089" s="6" t="str">
        <f>IF(OR($D$3=JU!$F1082,$D$3=JU!$I1082),JU!C1082,"")</f>
        <v/>
      </c>
      <c r="D1089" s="73" t="str">
        <f>IF(OR($D$3=JU!$F1082,$D$3=JU!$I1082),JU!D1082,"")</f>
        <v/>
      </c>
      <c r="E1089" s="74" t="str">
        <f>IF(OR($D$3=JU!$F1082,$D$3=JU!$I1082),JU!E1082,"")</f>
        <v/>
      </c>
      <c r="F1089" s="72">
        <f>IF($D$3=JU!F1082,JU!H1082,0)</f>
        <v>0</v>
      </c>
      <c r="G1089" s="72">
        <f>IF($D$3=JU!I1082,JU!K1082,0)</f>
        <v>0</v>
      </c>
      <c r="H1089" s="72">
        <f t="shared" si="17"/>
        <v>91813000</v>
      </c>
    </row>
    <row r="1090" spans="2:8" hidden="1">
      <c r="B1090" s="68" t="str">
        <f>IF(OR($D$3=JU!$F1083,$D$3=JU!$I1083),JU!B1083,"")</f>
        <v/>
      </c>
      <c r="C1090" s="6" t="str">
        <f>IF(OR($D$3=JU!$F1083,$D$3=JU!$I1083),JU!C1083,"")</f>
        <v/>
      </c>
      <c r="D1090" s="73" t="str">
        <f>IF(OR($D$3=JU!$F1083,$D$3=JU!$I1083),JU!D1083,"")</f>
        <v/>
      </c>
      <c r="E1090" s="74" t="str">
        <f>IF(OR($D$3=JU!$F1083,$D$3=JU!$I1083),JU!E1083,"")</f>
        <v/>
      </c>
      <c r="F1090" s="72">
        <f>IF($D$3=JU!F1083,JU!H1083,0)</f>
        <v>0</v>
      </c>
      <c r="G1090" s="72">
        <f>IF($D$3=JU!I1083,JU!K1083,0)</f>
        <v>0</v>
      </c>
      <c r="H1090" s="72">
        <f t="shared" si="17"/>
        <v>91813000</v>
      </c>
    </row>
    <row r="1091" spans="2:8" hidden="1">
      <c r="B1091" s="68" t="str">
        <f>IF(OR($D$3=JU!$F1084,$D$3=JU!$I1084),JU!B1084,"")</f>
        <v/>
      </c>
      <c r="C1091" s="6" t="str">
        <f>IF(OR($D$3=JU!$F1084,$D$3=JU!$I1084),JU!C1084,"")</f>
        <v/>
      </c>
      <c r="D1091" s="73" t="str">
        <f>IF(OR($D$3=JU!$F1084,$D$3=JU!$I1084),JU!D1084,"")</f>
        <v/>
      </c>
      <c r="E1091" s="74" t="str">
        <f>IF(OR($D$3=JU!$F1084,$D$3=JU!$I1084),JU!E1084,"")</f>
        <v/>
      </c>
      <c r="F1091" s="72">
        <f>IF($D$3=JU!F1084,JU!H1084,0)</f>
        <v>0</v>
      </c>
      <c r="G1091" s="72">
        <f>IF($D$3=JU!I1084,JU!K1084,0)</f>
        <v>0</v>
      </c>
      <c r="H1091" s="72">
        <f t="shared" si="17"/>
        <v>91813000</v>
      </c>
    </row>
    <row r="1092" spans="2:8" hidden="1">
      <c r="B1092" s="68" t="str">
        <f>IF(OR($D$3=JU!$F1085,$D$3=JU!$I1085),JU!B1085,"")</f>
        <v/>
      </c>
      <c r="C1092" s="6" t="str">
        <f>IF(OR($D$3=JU!$F1085,$D$3=JU!$I1085),JU!C1085,"")</f>
        <v/>
      </c>
      <c r="D1092" s="73" t="str">
        <f>IF(OR($D$3=JU!$F1085,$D$3=JU!$I1085),JU!D1085,"")</f>
        <v/>
      </c>
      <c r="E1092" s="74" t="str">
        <f>IF(OR($D$3=JU!$F1085,$D$3=JU!$I1085),JU!E1085,"")</f>
        <v/>
      </c>
      <c r="F1092" s="72">
        <f>IF($D$3=JU!F1085,JU!H1085,0)</f>
        <v>0</v>
      </c>
      <c r="G1092" s="72">
        <f>IF($D$3=JU!I1085,JU!K1085,0)</f>
        <v>0</v>
      </c>
      <c r="H1092" s="72">
        <f t="shared" si="17"/>
        <v>91813000</v>
      </c>
    </row>
    <row r="1093" spans="2:8" hidden="1">
      <c r="B1093" s="68" t="str">
        <f>IF(OR($D$3=JU!$F1086,$D$3=JU!$I1086),JU!B1086,"")</f>
        <v/>
      </c>
      <c r="C1093" s="6" t="str">
        <f>IF(OR($D$3=JU!$F1086,$D$3=JU!$I1086),JU!C1086,"")</f>
        <v/>
      </c>
      <c r="D1093" s="73" t="str">
        <f>IF(OR($D$3=JU!$F1086,$D$3=JU!$I1086),JU!D1086,"")</f>
        <v/>
      </c>
      <c r="E1093" s="74" t="str">
        <f>IF(OR($D$3=JU!$F1086,$D$3=JU!$I1086),JU!E1086,"")</f>
        <v/>
      </c>
      <c r="F1093" s="72">
        <f>IF($D$3=JU!F1086,JU!H1086,0)</f>
        <v>0</v>
      </c>
      <c r="G1093" s="72">
        <f>IF($D$3=JU!I1086,JU!K1086,0)</f>
        <v>0</v>
      </c>
      <c r="H1093" s="72">
        <f t="shared" si="17"/>
        <v>91813000</v>
      </c>
    </row>
    <row r="1094" spans="2:8" hidden="1">
      <c r="B1094" s="68" t="str">
        <f>IF(OR($D$3=JU!$F1087,$D$3=JU!$I1087),JU!B1087,"")</f>
        <v/>
      </c>
      <c r="C1094" s="6" t="str">
        <f>IF(OR($D$3=JU!$F1087,$D$3=JU!$I1087),JU!C1087,"")</f>
        <v/>
      </c>
      <c r="D1094" s="73" t="str">
        <f>IF(OR($D$3=JU!$F1087,$D$3=JU!$I1087),JU!D1087,"")</f>
        <v/>
      </c>
      <c r="E1094" s="74" t="str">
        <f>IF(OR($D$3=JU!$F1087,$D$3=JU!$I1087),JU!E1087,"")</f>
        <v/>
      </c>
      <c r="F1094" s="72">
        <f>IF($D$3=JU!F1087,JU!H1087,0)</f>
        <v>0</v>
      </c>
      <c r="G1094" s="72">
        <f>IF($D$3=JU!I1087,JU!K1087,0)</f>
        <v>0</v>
      </c>
      <c r="H1094" s="72">
        <f t="shared" si="17"/>
        <v>91813000</v>
      </c>
    </row>
    <row r="1095" spans="2:8" hidden="1">
      <c r="B1095" s="68" t="str">
        <f>IF(OR($D$3=JU!$F1088,$D$3=JU!$I1088),JU!B1088,"")</f>
        <v/>
      </c>
      <c r="C1095" s="6" t="str">
        <f>IF(OR($D$3=JU!$F1088,$D$3=JU!$I1088),JU!C1088,"")</f>
        <v/>
      </c>
      <c r="D1095" s="73" t="str">
        <f>IF(OR($D$3=JU!$F1088,$D$3=JU!$I1088),JU!D1088,"")</f>
        <v/>
      </c>
      <c r="E1095" s="74" t="str">
        <f>IF(OR($D$3=JU!$F1088,$D$3=JU!$I1088),JU!E1088,"")</f>
        <v/>
      </c>
      <c r="F1095" s="72">
        <f>IF($D$3=JU!F1088,JU!H1088,0)</f>
        <v>0</v>
      </c>
      <c r="G1095" s="72">
        <f>IF($D$3=JU!I1088,JU!K1088,0)</f>
        <v>0</v>
      </c>
      <c r="H1095" s="72">
        <f t="shared" si="17"/>
        <v>91813000</v>
      </c>
    </row>
    <row r="1096" spans="2:8" hidden="1">
      <c r="B1096" s="68" t="str">
        <f>IF(OR($D$3=JU!$F1089,$D$3=JU!$I1089),JU!B1089,"")</f>
        <v/>
      </c>
      <c r="C1096" s="6" t="str">
        <f>IF(OR($D$3=JU!$F1089,$D$3=JU!$I1089),JU!C1089,"")</f>
        <v/>
      </c>
      <c r="D1096" s="73" t="str">
        <f>IF(OR($D$3=JU!$F1089,$D$3=JU!$I1089),JU!D1089,"")</f>
        <v/>
      </c>
      <c r="E1096" s="74" t="str">
        <f>IF(OR($D$3=JU!$F1089,$D$3=JU!$I1089),JU!E1089,"")</f>
        <v/>
      </c>
      <c r="F1096" s="72">
        <f>IF($D$3=JU!F1089,JU!H1089,0)</f>
        <v>0</v>
      </c>
      <c r="G1096" s="72">
        <f>IF($D$3=JU!I1089,JU!K1089,0)</f>
        <v>0</v>
      </c>
      <c r="H1096" s="72">
        <f t="shared" si="17"/>
        <v>91813000</v>
      </c>
    </row>
    <row r="1097" spans="2:8" hidden="1">
      <c r="B1097" s="68" t="str">
        <f>IF(OR($D$3=JU!$F1090,$D$3=JU!$I1090),JU!B1090,"")</f>
        <v/>
      </c>
      <c r="C1097" s="6" t="str">
        <f>IF(OR($D$3=JU!$F1090,$D$3=JU!$I1090),JU!C1090,"")</f>
        <v/>
      </c>
      <c r="D1097" s="73" t="str">
        <f>IF(OR($D$3=JU!$F1090,$D$3=JU!$I1090),JU!D1090,"")</f>
        <v/>
      </c>
      <c r="E1097" s="74" t="str">
        <f>IF(OR($D$3=JU!$F1090,$D$3=JU!$I1090),JU!E1090,"")</f>
        <v/>
      </c>
      <c r="F1097" s="72">
        <f>IF($D$3=JU!F1090,JU!H1090,0)</f>
        <v>0</v>
      </c>
      <c r="G1097" s="72">
        <f>IF($D$3=JU!I1090,JU!K1090,0)</f>
        <v>0</v>
      </c>
      <c r="H1097" s="72">
        <f t="shared" si="17"/>
        <v>91813000</v>
      </c>
    </row>
    <row r="1098" spans="2:8" hidden="1">
      <c r="B1098" s="68" t="str">
        <f>IF(OR($D$3=JU!$F1091,$D$3=JU!$I1091),JU!B1091,"")</f>
        <v/>
      </c>
      <c r="C1098" s="6" t="str">
        <f>IF(OR($D$3=JU!$F1091,$D$3=JU!$I1091),JU!C1091,"")</f>
        <v/>
      </c>
      <c r="D1098" s="73" t="str">
        <f>IF(OR($D$3=JU!$F1091,$D$3=JU!$I1091),JU!D1091,"")</f>
        <v/>
      </c>
      <c r="E1098" s="74" t="str">
        <f>IF(OR($D$3=JU!$F1091,$D$3=JU!$I1091),JU!E1091,"")</f>
        <v/>
      </c>
      <c r="F1098" s="72">
        <f>IF($D$3=JU!F1091,JU!H1091,0)</f>
        <v>0</v>
      </c>
      <c r="G1098" s="72">
        <f>IF($D$3=JU!I1091,JU!K1091,0)</f>
        <v>0</v>
      </c>
      <c r="H1098" s="72">
        <f t="shared" si="17"/>
        <v>91813000</v>
      </c>
    </row>
    <row r="1099" spans="2:8" hidden="1">
      <c r="B1099" s="68" t="str">
        <f>IF(OR($D$3=JU!$F1092,$D$3=JU!$I1092),JU!B1092,"")</f>
        <v/>
      </c>
      <c r="C1099" s="6" t="str">
        <f>IF(OR($D$3=JU!$F1092,$D$3=JU!$I1092),JU!C1092,"")</f>
        <v/>
      </c>
      <c r="D1099" s="73" t="str">
        <f>IF(OR($D$3=JU!$F1092,$D$3=JU!$I1092),JU!D1092,"")</f>
        <v/>
      </c>
      <c r="E1099" s="74" t="str">
        <f>IF(OR($D$3=JU!$F1092,$D$3=JU!$I1092),JU!E1092,"")</f>
        <v/>
      </c>
      <c r="F1099" s="72">
        <f>IF($D$3=JU!F1092,JU!H1092,0)</f>
        <v>0</v>
      </c>
      <c r="G1099" s="72">
        <f>IF($D$3=JU!I1092,JU!K1092,0)</f>
        <v>0</v>
      </c>
      <c r="H1099" s="72">
        <f t="shared" si="17"/>
        <v>91813000</v>
      </c>
    </row>
    <row r="1100" spans="2:8" hidden="1">
      <c r="B1100" s="68" t="str">
        <f>IF(OR($D$3=JU!$F1093,$D$3=JU!$I1093),JU!B1093,"")</f>
        <v/>
      </c>
      <c r="C1100" s="6" t="str">
        <f>IF(OR($D$3=JU!$F1093,$D$3=JU!$I1093),JU!C1093,"")</f>
        <v/>
      </c>
      <c r="D1100" s="73" t="str">
        <f>IF(OR($D$3=JU!$F1093,$D$3=JU!$I1093),JU!D1093,"")</f>
        <v/>
      </c>
      <c r="E1100" s="74" t="str">
        <f>IF(OR($D$3=JU!$F1093,$D$3=JU!$I1093),JU!E1093,"")</f>
        <v/>
      </c>
      <c r="F1100" s="72">
        <f>IF($D$3=JU!F1093,JU!H1093,0)</f>
        <v>0</v>
      </c>
      <c r="G1100" s="72">
        <f>IF($D$3=JU!I1093,JU!K1093,0)</f>
        <v>0</v>
      </c>
      <c r="H1100" s="72">
        <f t="shared" si="17"/>
        <v>91813000</v>
      </c>
    </row>
    <row r="1101" spans="2:8" hidden="1">
      <c r="B1101" s="68" t="str">
        <f>IF(OR($D$3=JU!$F1094,$D$3=JU!$I1094),JU!B1094,"")</f>
        <v/>
      </c>
      <c r="C1101" s="6" t="str">
        <f>IF(OR($D$3=JU!$F1094,$D$3=JU!$I1094),JU!C1094,"")</f>
        <v/>
      </c>
      <c r="D1101" s="73" t="str">
        <f>IF(OR($D$3=JU!$F1094,$D$3=JU!$I1094),JU!D1094,"")</f>
        <v/>
      </c>
      <c r="E1101" s="74" t="str">
        <f>IF(OR($D$3=JU!$F1094,$D$3=JU!$I1094),JU!E1094,"")</f>
        <v/>
      </c>
      <c r="F1101" s="72">
        <f>IF($D$3=JU!F1094,JU!H1094,0)</f>
        <v>0</v>
      </c>
      <c r="G1101" s="72">
        <f>IF($D$3=JU!I1094,JU!K1094,0)</f>
        <v>0</v>
      </c>
      <c r="H1101" s="72">
        <f t="shared" si="17"/>
        <v>91813000</v>
      </c>
    </row>
    <row r="1102" spans="2:8" hidden="1">
      <c r="B1102" s="68" t="str">
        <f>IF(OR($D$3=JU!$F1095,$D$3=JU!$I1095),JU!B1095,"")</f>
        <v/>
      </c>
      <c r="C1102" s="6" t="str">
        <f>IF(OR($D$3=JU!$F1095,$D$3=JU!$I1095),JU!C1095,"")</f>
        <v/>
      </c>
      <c r="D1102" s="73" t="str">
        <f>IF(OR($D$3=JU!$F1095,$D$3=JU!$I1095),JU!D1095,"")</f>
        <v/>
      </c>
      <c r="E1102" s="74" t="str">
        <f>IF(OR($D$3=JU!$F1095,$D$3=JU!$I1095),JU!E1095,"")</f>
        <v/>
      </c>
      <c r="F1102" s="72">
        <f>IF($D$3=JU!F1095,JU!H1095,0)</f>
        <v>0</v>
      </c>
      <c r="G1102" s="72">
        <f>IF($D$3=JU!I1095,JU!K1095,0)</f>
        <v>0</v>
      </c>
      <c r="H1102" s="72">
        <f t="shared" ref="H1102:H1165" si="18">IF($H$7="DEBET",H1101+F1102-G1102,H1101+G1102-F1102)</f>
        <v>91813000</v>
      </c>
    </row>
    <row r="1103" spans="2:8" hidden="1">
      <c r="B1103" s="68" t="str">
        <f>IF(OR($D$3=JU!$F1096,$D$3=JU!$I1096),JU!B1096,"")</f>
        <v/>
      </c>
      <c r="C1103" s="6" t="str">
        <f>IF(OR($D$3=JU!$F1096,$D$3=JU!$I1096),JU!C1096,"")</f>
        <v/>
      </c>
      <c r="D1103" s="73" t="str">
        <f>IF(OR($D$3=JU!$F1096,$D$3=JU!$I1096),JU!D1096,"")</f>
        <v/>
      </c>
      <c r="E1103" s="74" t="str">
        <f>IF(OR($D$3=JU!$F1096,$D$3=JU!$I1096),JU!E1096,"")</f>
        <v/>
      </c>
      <c r="F1103" s="72">
        <f>IF($D$3=JU!F1096,JU!H1096,0)</f>
        <v>0</v>
      </c>
      <c r="G1103" s="72">
        <f>IF($D$3=JU!I1096,JU!K1096,0)</f>
        <v>0</v>
      </c>
      <c r="H1103" s="72">
        <f t="shared" si="18"/>
        <v>91813000</v>
      </c>
    </row>
    <row r="1104" spans="2:8" hidden="1">
      <c r="B1104" s="68" t="str">
        <f>IF(OR($D$3=JU!$F1097,$D$3=JU!$I1097),JU!B1097,"")</f>
        <v/>
      </c>
      <c r="C1104" s="6" t="str">
        <f>IF(OR($D$3=JU!$F1097,$D$3=JU!$I1097),JU!C1097,"")</f>
        <v/>
      </c>
      <c r="D1104" s="73" t="str">
        <f>IF(OR($D$3=JU!$F1097,$D$3=JU!$I1097),JU!D1097,"")</f>
        <v/>
      </c>
      <c r="E1104" s="74" t="str">
        <f>IF(OR($D$3=JU!$F1097,$D$3=JU!$I1097),JU!E1097,"")</f>
        <v/>
      </c>
      <c r="F1104" s="72">
        <f>IF($D$3=JU!F1097,JU!H1097,0)</f>
        <v>0</v>
      </c>
      <c r="G1104" s="72">
        <f>IF($D$3=JU!I1097,JU!K1097,0)</f>
        <v>0</v>
      </c>
      <c r="H1104" s="72">
        <f t="shared" si="18"/>
        <v>91813000</v>
      </c>
    </row>
    <row r="1105" spans="2:8" hidden="1">
      <c r="B1105" s="68" t="str">
        <f>IF(OR($D$3=JU!$F1098,$D$3=JU!$I1098),JU!B1098,"")</f>
        <v/>
      </c>
      <c r="C1105" s="6" t="str">
        <f>IF(OR($D$3=JU!$F1098,$D$3=JU!$I1098),JU!C1098,"")</f>
        <v/>
      </c>
      <c r="D1105" s="73" t="str">
        <f>IF(OR($D$3=JU!$F1098,$D$3=JU!$I1098),JU!D1098,"")</f>
        <v/>
      </c>
      <c r="E1105" s="74" t="str">
        <f>IF(OR($D$3=JU!$F1098,$D$3=JU!$I1098),JU!E1098,"")</f>
        <v/>
      </c>
      <c r="F1105" s="72">
        <f>IF($D$3=JU!F1098,JU!H1098,0)</f>
        <v>0</v>
      </c>
      <c r="G1105" s="72">
        <f>IF($D$3=JU!I1098,JU!K1098,0)</f>
        <v>0</v>
      </c>
      <c r="H1105" s="72">
        <f t="shared" si="18"/>
        <v>91813000</v>
      </c>
    </row>
    <row r="1106" spans="2:8" hidden="1">
      <c r="B1106" s="68" t="str">
        <f>IF(OR($D$3=JU!$F1099,$D$3=JU!$I1099),JU!B1099,"")</f>
        <v/>
      </c>
      <c r="C1106" s="6" t="str">
        <f>IF(OR($D$3=JU!$F1099,$D$3=JU!$I1099),JU!C1099,"")</f>
        <v/>
      </c>
      <c r="D1106" s="73" t="str">
        <f>IF(OR($D$3=JU!$F1099,$D$3=JU!$I1099),JU!D1099,"")</f>
        <v/>
      </c>
      <c r="E1106" s="74" t="str">
        <f>IF(OR($D$3=JU!$F1099,$D$3=JU!$I1099),JU!E1099,"")</f>
        <v/>
      </c>
      <c r="F1106" s="72">
        <f>IF($D$3=JU!F1099,JU!H1099,0)</f>
        <v>0</v>
      </c>
      <c r="G1106" s="72">
        <f>IF($D$3=JU!I1099,JU!K1099,0)</f>
        <v>0</v>
      </c>
      <c r="H1106" s="72">
        <f t="shared" si="18"/>
        <v>91813000</v>
      </c>
    </row>
    <row r="1107" spans="2:8" hidden="1">
      <c r="B1107" s="68" t="str">
        <f>IF(OR($D$3=JU!$F1100,$D$3=JU!$I1100),JU!B1100,"")</f>
        <v/>
      </c>
      <c r="C1107" s="6" t="str">
        <f>IF(OR($D$3=JU!$F1100,$D$3=JU!$I1100),JU!C1100,"")</f>
        <v/>
      </c>
      <c r="D1107" s="73" t="str">
        <f>IF(OR($D$3=JU!$F1100,$D$3=JU!$I1100),JU!D1100,"")</f>
        <v/>
      </c>
      <c r="E1107" s="74" t="str">
        <f>IF(OR($D$3=JU!$F1100,$D$3=JU!$I1100),JU!E1100,"")</f>
        <v/>
      </c>
      <c r="F1107" s="72">
        <f>IF($D$3=JU!F1100,JU!H1100,0)</f>
        <v>0</v>
      </c>
      <c r="G1107" s="72">
        <f>IF($D$3=JU!I1100,JU!K1100,0)</f>
        <v>0</v>
      </c>
      <c r="H1107" s="72">
        <f t="shared" si="18"/>
        <v>91813000</v>
      </c>
    </row>
    <row r="1108" spans="2:8" hidden="1">
      <c r="B1108" s="68" t="str">
        <f>IF(OR($D$3=JU!$F1101,$D$3=JU!$I1101),JU!B1101,"")</f>
        <v/>
      </c>
      <c r="C1108" s="6" t="str">
        <f>IF(OR($D$3=JU!$F1101,$D$3=JU!$I1101),JU!C1101,"")</f>
        <v/>
      </c>
      <c r="D1108" s="73" t="str">
        <f>IF(OR($D$3=JU!$F1101,$D$3=JU!$I1101),JU!D1101,"")</f>
        <v/>
      </c>
      <c r="E1108" s="74" t="str">
        <f>IF(OR($D$3=JU!$F1101,$D$3=JU!$I1101),JU!E1101,"")</f>
        <v/>
      </c>
      <c r="F1108" s="72">
        <f>IF($D$3=JU!F1101,JU!H1101,0)</f>
        <v>0</v>
      </c>
      <c r="G1108" s="72">
        <f>IF($D$3=JU!I1101,JU!K1101,0)</f>
        <v>0</v>
      </c>
      <c r="H1108" s="72">
        <f t="shared" si="18"/>
        <v>91813000</v>
      </c>
    </row>
    <row r="1109" spans="2:8" hidden="1">
      <c r="B1109" s="68" t="str">
        <f>IF(OR($D$3=JU!$F1102,$D$3=JU!$I1102),JU!B1102,"")</f>
        <v/>
      </c>
      <c r="C1109" s="6" t="str">
        <f>IF(OR($D$3=JU!$F1102,$D$3=JU!$I1102),JU!C1102,"")</f>
        <v/>
      </c>
      <c r="D1109" s="73" t="str">
        <f>IF(OR($D$3=JU!$F1102,$D$3=JU!$I1102),JU!D1102,"")</f>
        <v/>
      </c>
      <c r="E1109" s="74" t="str">
        <f>IF(OR($D$3=JU!$F1102,$D$3=JU!$I1102),JU!E1102,"")</f>
        <v/>
      </c>
      <c r="F1109" s="72">
        <f>IF($D$3=JU!F1102,JU!H1102,0)</f>
        <v>0</v>
      </c>
      <c r="G1109" s="72">
        <f>IF($D$3=JU!I1102,JU!K1102,0)</f>
        <v>0</v>
      </c>
      <c r="H1109" s="72">
        <f t="shared" si="18"/>
        <v>91813000</v>
      </c>
    </row>
    <row r="1110" spans="2:8" hidden="1">
      <c r="B1110" s="68" t="str">
        <f>IF(OR($D$3=JU!$F1103,$D$3=JU!$I1103),JU!B1103,"")</f>
        <v/>
      </c>
      <c r="C1110" s="6" t="str">
        <f>IF(OR($D$3=JU!$F1103,$D$3=JU!$I1103),JU!C1103,"")</f>
        <v/>
      </c>
      <c r="D1110" s="73" t="str">
        <f>IF(OR($D$3=JU!$F1103,$D$3=JU!$I1103),JU!D1103,"")</f>
        <v/>
      </c>
      <c r="E1110" s="74" t="str">
        <f>IF(OR($D$3=JU!$F1103,$D$3=JU!$I1103),JU!E1103,"")</f>
        <v/>
      </c>
      <c r="F1110" s="72">
        <f>IF($D$3=JU!F1103,JU!H1103,0)</f>
        <v>0</v>
      </c>
      <c r="G1110" s="72">
        <f>IF($D$3=JU!I1103,JU!K1103,0)</f>
        <v>0</v>
      </c>
      <c r="H1110" s="72">
        <f t="shared" si="18"/>
        <v>91813000</v>
      </c>
    </row>
    <row r="1111" spans="2:8" hidden="1">
      <c r="B1111" s="68" t="str">
        <f>IF(OR($D$3=JU!$F1104,$D$3=JU!$I1104),JU!B1104,"")</f>
        <v/>
      </c>
      <c r="C1111" s="6" t="str">
        <f>IF(OR($D$3=JU!$F1104,$D$3=JU!$I1104),JU!C1104,"")</f>
        <v/>
      </c>
      <c r="D1111" s="73" t="str">
        <f>IF(OR($D$3=JU!$F1104,$D$3=JU!$I1104),JU!D1104,"")</f>
        <v/>
      </c>
      <c r="E1111" s="74" t="str">
        <f>IF(OR($D$3=JU!$F1104,$D$3=JU!$I1104),JU!E1104,"")</f>
        <v/>
      </c>
      <c r="F1111" s="72">
        <f>IF($D$3=JU!F1104,JU!H1104,0)</f>
        <v>0</v>
      </c>
      <c r="G1111" s="72">
        <f>IF($D$3=JU!I1104,JU!K1104,0)</f>
        <v>0</v>
      </c>
      <c r="H1111" s="72">
        <f t="shared" si="18"/>
        <v>91813000</v>
      </c>
    </row>
    <row r="1112" spans="2:8" hidden="1">
      <c r="B1112" s="68" t="str">
        <f>IF(OR($D$3=JU!$F1105,$D$3=JU!$I1105),JU!B1105,"")</f>
        <v/>
      </c>
      <c r="C1112" s="6" t="str">
        <f>IF(OR($D$3=JU!$F1105,$D$3=JU!$I1105),JU!C1105,"")</f>
        <v/>
      </c>
      <c r="D1112" s="73" t="str">
        <f>IF(OR($D$3=JU!$F1105,$D$3=JU!$I1105),JU!D1105,"")</f>
        <v/>
      </c>
      <c r="E1112" s="74" t="str">
        <f>IF(OR($D$3=JU!$F1105,$D$3=JU!$I1105),JU!E1105,"")</f>
        <v/>
      </c>
      <c r="F1112" s="72">
        <f>IF($D$3=JU!F1105,JU!H1105,0)</f>
        <v>0</v>
      </c>
      <c r="G1112" s="72">
        <f>IF($D$3=JU!I1105,JU!K1105,0)</f>
        <v>0</v>
      </c>
      <c r="H1112" s="72">
        <f t="shared" si="18"/>
        <v>91813000</v>
      </c>
    </row>
    <row r="1113" spans="2:8" hidden="1">
      <c r="B1113" s="68" t="str">
        <f>IF(OR($D$3=JU!$F1106,$D$3=JU!$I1106),JU!B1106,"")</f>
        <v/>
      </c>
      <c r="C1113" s="6" t="str">
        <f>IF(OR($D$3=JU!$F1106,$D$3=JU!$I1106),JU!C1106,"")</f>
        <v/>
      </c>
      <c r="D1113" s="73" t="str">
        <f>IF(OR($D$3=JU!$F1106,$D$3=JU!$I1106),JU!D1106,"")</f>
        <v/>
      </c>
      <c r="E1113" s="74" t="str">
        <f>IF(OR($D$3=JU!$F1106,$D$3=JU!$I1106),JU!E1106,"")</f>
        <v/>
      </c>
      <c r="F1113" s="72">
        <f>IF($D$3=JU!F1106,JU!H1106,0)</f>
        <v>0</v>
      </c>
      <c r="G1113" s="72">
        <f>IF($D$3=JU!I1106,JU!K1106,0)</f>
        <v>0</v>
      </c>
      <c r="H1113" s="72">
        <f t="shared" si="18"/>
        <v>91813000</v>
      </c>
    </row>
    <row r="1114" spans="2:8" hidden="1">
      <c r="B1114" s="68" t="str">
        <f>IF(OR($D$3=JU!$F1107,$D$3=JU!$I1107),JU!B1107,"")</f>
        <v/>
      </c>
      <c r="C1114" s="6" t="str">
        <f>IF(OR($D$3=JU!$F1107,$D$3=JU!$I1107),JU!C1107,"")</f>
        <v/>
      </c>
      <c r="D1114" s="73" t="str">
        <f>IF(OR($D$3=JU!$F1107,$D$3=JU!$I1107),JU!D1107,"")</f>
        <v/>
      </c>
      <c r="E1114" s="74" t="str">
        <f>IF(OR($D$3=JU!$F1107,$D$3=JU!$I1107),JU!E1107,"")</f>
        <v/>
      </c>
      <c r="F1114" s="72">
        <f>IF($D$3=JU!F1107,JU!H1107,0)</f>
        <v>0</v>
      </c>
      <c r="G1114" s="72">
        <f>IF($D$3=JU!I1107,JU!K1107,0)</f>
        <v>0</v>
      </c>
      <c r="H1114" s="72">
        <f t="shared" si="18"/>
        <v>91813000</v>
      </c>
    </row>
    <row r="1115" spans="2:8" hidden="1">
      <c r="B1115" s="68" t="str">
        <f>IF(OR($D$3=JU!$F1108,$D$3=JU!$I1108),JU!B1108,"")</f>
        <v/>
      </c>
      <c r="C1115" s="6" t="str">
        <f>IF(OR($D$3=JU!$F1108,$D$3=JU!$I1108),JU!C1108,"")</f>
        <v/>
      </c>
      <c r="D1115" s="73" t="str">
        <f>IF(OR($D$3=JU!$F1108,$D$3=JU!$I1108),JU!D1108,"")</f>
        <v/>
      </c>
      <c r="E1115" s="74" t="str">
        <f>IF(OR($D$3=JU!$F1108,$D$3=JU!$I1108),JU!E1108,"")</f>
        <v/>
      </c>
      <c r="F1115" s="72">
        <f>IF($D$3=JU!F1108,JU!H1108,0)</f>
        <v>0</v>
      </c>
      <c r="G1115" s="72">
        <f>IF($D$3=JU!I1108,JU!K1108,0)</f>
        <v>0</v>
      </c>
      <c r="H1115" s="72">
        <f t="shared" si="18"/>
        <v>91813000</v>
      </c>
    </row>
    <row r="1116" spans="2:8" hidden="1">
      <c r="B1116" s="68" t="str">
        <f>IF(OR($D$3=JU!$F1109,$D$3=JU!$I1109),JU!B1109,"")</f>
        <v/>
      </c>
      <c r="C1116" s="6" t="str">
        <f>IF(OR($D$3=JU!$F1109,$D$3=JU!$I1109),JU!C1109,"")</f>
        <v/>
      </c>
      <c r="D1116" s="73" t="str">
        <f>IF(OR($D$3=JU!$F1109,$D$3=JU!$I1109),JU!D1109,"")</f>
        <v/>
      </c>
      <c r="E1116" s="74" t="str">
        <f>IF(OR($D$3=JU!$F1109,$D$3=JU!$I1109),JU!E1109,"")</f>
        <v/>
      </c>
      <c r="F1116" s="72">
        <f>IF($D$3=JU!F1109,JU!H1109,0)</f>
        <v>0</v>
      </c>
      <c r="G1116" s="72">
        <f>IF($D$3=JU!I1109,JU!K1109,0)</f>
        <v>0</v>
      </c>
      <c r="H1116" s="72">
        <f t="shared" si="18"/>
        <v>91813000</v>
      </c>
    </row>
    <row r="1117" spans="2:8" hidden="1">
      <c r="B1117" s="68" t="str">
        <f>IF(OR($D$3=JU!$F1110,$D$3=JU!$I1110),JU!B1110,"")</f>
        <v/>
      </c>
      <c r="C1117" s="6" t="str">
        <f>IF(OR($D$3=JU!$F1110,$D$3=JU!$I1110),JU!C1110,"")</f>
        <v/>
      </c>
      <c r="D1117" s="73" t="str">
        <f>IF(OR($D$3=JU!$F1110,$D$3=JU!$I1110),JU!D1110,"")</f>
        <v/>
      </c>
      <c r="E1117" s="74" t="str">
        <f>IF(OR($D$3=JU!$F1110,$D$3=JU!$I1110),JU!E1110,"")</f>
        <v/>
      </c>
      <c r="F1117" s="72">
        <f>IF($D$3=JU!F1110,JU!H1110,0)</f>
        <v>0</v>
      </c>
      <c r="G1117" s="72">
        <f>IF($D$3=JU!I1110,JU!K1110,0)</f>
        <v>0</v>
      </c>
      <c r="H1117" s="72">
        <f t="shared" si="18"/>
        <v>91813000</v>
      </c>
    </row>
    <row r="1118" spans="2:8" hidden="1">
      <c r="B1118" s="68" t="str">
        <f>IF(OR($D$3=JU!$F1111,$D$3=JU!$I1111),JU!B1111,"")</f>
        <v/>
      </c>
      <c r="C1118" s="6" t="str">
        <f>IF(OR($D$3=JU!$F1111,$D$3=JU!$I1111),JU!C1111,"")</f>
        <v/>
      </c>
      <c r="D1118" s="73" t="str">
        <f>IF(OR($D$3=JU!$F1111,$D$3=JU!$I1111),JU!D1111,"")</f>
        <v/>
      </c>
      <c r="E1118" s="74" t="str">
        <f>IF(OR($D$3=JU!$F1111,$D$3=JU!$I1111),JU!E1111,"")</f>
        <v/>
      </c>
      <c r="F1118" s="72">
        <f>IF($D$3=JU!F1111,JU!H1111,0)</f>
        <v>0</v>
      </c>
      <c r="G1118" s="72">
        <f>IF($D$3=JU!I1111,JU!K1111,0)</f>
        <v>0</v>
      </c>
      <c r="H1118" s="72">
        <f t="shared" si="18"/>
        <v>91813000</v>
      </c>
    </row>
    <row r="1119" spans="2:8" hidden="1">
      <c r="B1119" s="68" t="str">
        <f>IF(OR($D$3=JU!$F1112,$D$3=JU!$I1112),JU!B1112,"")</f>
        <v/>
      </c>
      <c r="C1119" s="6" t="str">
        <f>IF(OR($D$3=JU!$F1112,$D$3=JU!$I1112),JU!C1112,"")</f>
        <v/>
      </c>
      <c r="D1119" s="73" t="str">
        <f>IF(OR($D$3=JU!$F1112,$D$3=JU!$I1112),JU!D1112,"")</f>
        <v/>
      </c>
      <c r="E1119" s="74" t="str">
        <f>IF(OR($D$3=JU!$F1112,$D$3=JU!$I1112),JU!E1112,"")</f>
        <v/>
      </c>
      <c r="F1119" s="72">
        <f>IF($D$3=JU!F1112,JU!H1112,0)</f>
        <v>0</v>
      </c>
      <c r="G1119" s="72">
        <f>IF($D$3=JU!I1112,JU!K1112,0)</f>
        <v>0</v>
      </c>
      <c r="H1119" s="72">
        <f t="shared" si="18"/>
        <v>91813000</v>
      </c>
    </row>
    <row r="1120" spans="2:8" hidden="1">
      <c r="B1120" s="68" t="str">
        <f>IF(OR($D$3=JU!$F1113,$D$3=JU!$I1113),JU!B1113,"")</f>
        <v/>
      </c>
      <c r="C1120" s="6" t="str">
        <f>IF(OR($D$3=JU!$F1113,$D$3=JU!$I1113),JU!C1113,"")</f>
        <v/>
      </c>
      <c r="D1120" s="73" t="str">
        <f>IF(OR($D$3=JU!$F1113,$D$3=JU!$I1113),JU!D1113,"")</f>
        <v/>
      </c>
      <c r="E1120" s="74" t="str">
        <f>IF(OR($D$3=JU!$F1113,$D$3=JU!$I1113),JU!E1113,"")</f>
        <v/>
      </c>
      <c r="F1120" s="72">
        <f>IF($D$3=JU!F1113,JU!H1113,0)</f>
        <v>0</v>
      </c>
      <c r="G1120" s="72">
        <f>IF($D$3=JU!I1113,JU!K1113,0)</f>
        <v>0</v>
      </c>
      <c r="H1120" s="72">
        <f t="shared" si="18"/>
        <v>91813000</v>
      </c>
    </row>
    <row r="1121" spans="2:8" hidden="1">
      <c r="B1121" s="68" t="str">
        <f>IF(OR($D$3=JU!$F1114,$D$3=JU!$I1114),JU!B1114,"")</f>
        <v/>
      </c>
      <c r="C1121" s="6" t="str">
        <f>IF(OR($D$3=JU!$F1114,$D$3=JU!$I1114),JU!C1114,"")</f>
        <v/>
      </c>
      <c r="D1121" s="73" t="str">
        <f>IF(OR($D$3=JU!$F1114,$D$3=JU!$I1114),JU!D1114,"")</f>
        <v/>
      </c>
      <c r="E1121" s="74" t="str">
        <f>IF(OR($D$3=JU!$F1114,$D$3=JU!$I1114),JU!E1114,"")</f>
        <v/>
      </c>
      <c r="F1121" s="72">
        <f>IF($D$3=JU!F1114,JU!H1114,0)</f>
        <v>0</v>
      </c>
      <c r="G1121" s="72">
        <f>IF($D$3=JU!I1114,JU!K1114,0)</f>
        <v>0</v>
      </c>
      <c r="H1121" s="72">
        <f t="shared" si="18"/>
        <v>91813000</v>
      </c>
    </row>
    <row r="1122" spans="2:8" hidden="1">
      <c r="B1122" s="68" t="str">
        <f>IF(OR($D$3=JU!$F1115,$D$3=JU!$I1115),JU!B1115,"")</f>
        <v/>
      </c>
      <c r="C1122" s="6" t="str">
        <f>IF(OR($D$3=JU!$F1115,$D$3=JU!$I1115),JU!C1115,"")</f>
        <v/>
      </c>
      <c r="D1122" s="73" t="str">
        <f>IF(OR($D$3=JU!$F1115,$D$3=JU!$I1115),JU!D1115,"")</f>
        <v/>
      </c>
      <c r="E1122" s="74" t="str">
        <f>IF(OR($D$3=JU!$F1115,$D$3=JU!$I1115),JU!E1115,"")</f>
        <v/>
      </c>
      <c r="F1122" s="72">
        <f>IF($D$3=JU!F1115,JU!H1115,0)</f>
        <v>0</v>
      </c>
      <c r="G1122" s="72">
        <f>IF($D$3=JU!I1115,JU!K1115,0)</f>
        <v>0</v>
      </c>
      <c r="H1122" s="72">
        <f t="shared" si="18"/>
        <v>91813000</v>
      </c>
    </row>
    <row r="1123" spans="2:8" hidden="1">
      <c r="B1123" s="68" t="str">
        <f>IF(OR($D$3=JU!$F1116,$D$3=JU!$I1116),JU!B1116,"")</f>
        <v/>
      </c>
      <c r="C1123" s="6" t="str">
        <f>IF(OR($D$3=JU!$F1116,$D$3=JU!$I1116),JU!C1116,"")</f>
        <v/>
      </c>
      <c r="D1123" s="73" t="str">
        <f>IF(OR($D$3=JU!$F1116,$D$3=JU!$I1116),JU!D1116,"")</f>
        <v/>
      </c>
      <c r="E1123" s="74" t="str">
        <f>IF(OR($D$3=JU!$F1116,$D$3=JU!$I1116),JU!E1116,"")</f>
        <v/>
      </c>
      <c r="F1123" s="72">
        <f>IF($D$3=JU!F1116,JU!H1116,0)</f>
        <v>0</v>
      </c>
      <c r="G1123" s="72">
        <f>IF($D$3=JU!I1116,JU!K1116,0)</f>
        <v>0</v>
      </c>
      <c r="H1123" s="72">
        <f t="shared" si="18"/>
        <v>91813000</v>
      </c>
    </row>
    <row r="1124" spans="2:8" hidden="1">
      <c r="B1124" s="68" t="str">
        <f>IF(OR($D$3=JU!$F1117,$D$3=JU!$I1117),JU!B1117,"")</f>
        <v/>
      </c>
      <c r="C1124" s="6" t="str">
        <f>IF(OR($D$3=JU!$F1117,$D$3=JU!$I1117),JU!C1117,"")</f>
        <v/>
      </c>
      <c r="D1124" s="73" t="str">
        <f>IF(OR($D$3=JU!$F1117,$D$3=JU!$I1117),JU!D1117,"")</f>
        <v/>
      </c>
      <c r="E1124" s="74" t="str">
        <f>IF(OR($D$3=JU!$F1117,$D$3=JU!$I1117),JU!E1117,"")</f>
        <v/>
      </c>
      <c r="F1124" s="72">
        <f>IF($D$3=JU!F1117,JU!H1117,0)</f>
        <v>0</v>
      </c>
      <c r="G1124" s="72">
        <f>IF($D$3=JU!I1117,JU!K1117,0)</f>
        <v>0</v>
      </c>
      <c r="H1124" s="72">
        <f t="shared" si="18"/>
        <v>91813000</v>
      </c>
    </row>
    <row r="1125" spans="2:8" hidden="1">
      <c r="B1125" s="68" t="str">
        <f>IF(OR($D$3=JU!$F1118,$D$3=JU!$I1118),JU!B1118,"")</f>
        <v/>
      </c>
      <c r="C1125" s="6" t="str">
        <f>IF(OR($D$3=JU!$F1118,$D$3=JU!$I1118),JU!C1118,"")</f>
        <v/>
      </c>
      <c r="D1125" s="73" t="str">
        <f>IF(OR($D$3=JU!$F1118,$D$3=JU!$I1118),JU!D1118,"")</f>
        <v/>
      </c>
      <c r="E1125" s="74" t="str">
        <f>IF(OR($D$3=JU!$F1118,$D$3=JU!$I1118),JU!E1118,"")</f>
        <v/>
      </c>
      <c r="F1125" s="72">
        <f>IF($D$3=JU!F1118,JU!H1118,0)</f>
        <v>0</v>
      </c>
      <c r="G1125" s="72">
        <f>IF($D$3=JU!I1118,JU!K1118,0)</f>
        <v>0</v>
      </c>
      <c r="H1125" s="72">
        <f t="shared" si="18"/>
        <v>91813000</v>
      </c>
    </row>
    <row r="1126" spans="2:8" hidden="1">
      <c r="B1126" s="68" t="str">
        <f>IF(OR($D$3=JU!$F1119,$D$3=JU!$I1119),JU!B1119,"")</f>
        <v/>
      </c>
      <c r="C1126" s="6" t="str">
        <f>IF(OR($D$3=JU!$F1119,$D$3=JU!$I1119),JU!C1119,"")</f>
        <v/>
      </c>
      <c r="D1126" s="73" t="str">
        <f>IF(OR($D$3=JU!$F1119,$D$3=JU!$I1119),JU!D1119,"")</f>
        <v/>
      </c>
      <c r="E1126" s="74" t="str">
        <f>IF(OR($D$3=JU!$F1119,$D$3=JU!$I1119),JU!E1119,"")</f>
        <v/>
      </c>
      <c r="F1126" s="72">
        <f>IF($D$3=JU!F1119,JU!H1119,0)</f>
        <v>0</v>
      </c>
      <c r="G1126" s="72">
        <f>IF($D$3=JU!I1119,JU!K1119,0)</f>
        <v>0</v>
      </c>
      <c r="H1126" s="72">
        <f t="shared" si="18"/>
        <v>91813000</v>
      </c>
    </row>
    <row r="1127" spans="2:8" hidden="1">
      <c r="B1127" s="68" t="str">
        <f>IF(OR($D$3=JU!$F1120,$D$3=JU!$I1120),JU!B1120,"")</f>
        <v/>
      </c>
      <c r="C1127" s="6" t="str">
        <f>IF(OR($D$3=JU!$F1120,$D$3=JU!$I1120),JU!C1120,"")</f>
        <v/>
      </c>
      <c r="D1127" s="73" t="str">
        <f>IF(OR($D$3=JU!$F1120,$D$3=JU!$I1120),JU!D1120,"")</f>
        <v/>
      </c>
      <c r="E1127" s="74" t="str">
        <f>IF(OR($D$3=JU!$F1120,$D$3=JU!$I1120),JU!E1120,"")</f>
        <v/>
      </c>
      <c r="F1127" s="72">
        <f>IF($D$3=JU!F1120,JU!H1120,0)</f>
        <v>0</v>
      </c>
      <c r="G1127" s="72">
        <f>IF($D$3=JU!I1120,JU!K1120,0)</f>
        <v>0</v>
      </c>
      <c r="H1127" s="72">
        <f t="shared" si="18"/>
        <v>91813000</v>
      </c>
    </row>
    <row r="1128" spans="2:8" hidden="1">
      <c r="B1128" s="68" t="str">
        <f>IF(OR($D$3=JU!$F1121,$D$3=JU!$I1121),JU!B1121,"")</f>
        <v/>
      </c>
      <c r="C1128" s="6" t="str">
        <f>IF(OR($D$3=JU!$F1121,$D$3=JU!$I1121),JU!C1121,"")</f>
        <v/>
      </c>
      <c r="D1128" s="73" t="str">
        <f>IF(OR($D$3=JU!$F1121,$D$3=JU!$I1121),JU!D1121,"")</f>
        <v/>
      </c>
      <c r="E1128" s="74" t="str">
        <f>IF(OR($D$3=JU!$F1121,$D$3=JU!$I1121),JU!E1121,"")</f>
        <v/>
      </c>
      <c r="F1128" s="72">
        <f>IF($D$3=JU!F1121,JU!H1121,0)</f>
        <v>0</v>
      </c>
      <c r="G1128" s="72">
        <f>IF($D$3=JU!I1121,JU!K1121,0)</f>
        <v>0</v>
      </c>
      <c r="H1128" s="72">
        <f t="shared" si="18"/>
        <v>91813000</v>
      </c>
    </row>
    <row r="1129" spans="2:8" hidden="1">
      <c r="B1129" s="68" t="str">
        <f>IF(OR($D$3=JU!$F1122,$D$3=JU!$I1122),JU!B1122,"")</f>
        <v/>
      </c>
      <c r="C1129" s="6" t="str">
        <f>IF(OR($D$3=JU!$F1122,$D$3=JU!$I1122),JU!C1122,"")</f>
        <v/>
      </c>
      <c r="D1129" s="73" t="str">
        <f>IF(OR($D$3=JU!$F1122,$D$3=JU!$I1122),JU!D1122,"")</f>
        <v/>
      </c>
      <c r="E1129" s="74" t="str">
        <f>IF(OR($D$3=JU!$F1122,$D$3=JU!$I1122),JU!E1122,"")</f>
        <v/>
      </c>
      <c r="F1129" s="72">
        <f>IF($D$3=JU!F1122,JU!H1122,0)</f>
        <v>0</v>
      </c>
      <c r="G1129" s="72">
        <f>IF($D$3=JU!I1122,JU!K1122,0)</f>
        <v>0</v>
      </c>
      <c r="H1129" s="72">
        <f t="shared" si="18"/>
        <v>91813000</v>
      </c>
    </row>
    <row r="1130" spans="2:8" hidden="1">
      <c r="B1130" s="68" t="str">
        <f>IF(OR($D$3=JU!$F1123,$D$3=JU!$I1123),JU!B1123,"")</f>
        <v/>
      </c>
      <c r="C1130" s="6" t="str">
        <f>IF(OR($D$3=JU!$F1123,$D$3=JU!$I1123),JU!C1123,"")</f>
        <v/>
      </c>
      <c r="D1130" s="73" t="str">
        <f>IF(OR($D$3=JU!$F1123,$D$3=JU!$I1123),JU!D1123,"")</f>
        <v/>
      </c>
      <c r="E1130" s="74" t="str">
        <f>IF(OR($D$3=JU!$F1123,$D$3=JU!$I1123),JU!E1123,"")</f>
        <v/>
      </c>
      <c r="F1130" s="72">
        <f>IF($D$3=JU!F1123,JU!H1123,0)</f>
        <v>0</v>
      </c>
      <c r="G1130" s="72">
        <f>IF($D$3=JU!I1123,JU!K1123,0)</f>
        <v>0</v>
      </c>
      <c r="H1130" s="72">
        <f t="shared" si="18"/>
        <v>91813000</v>
      </c>
    </row>
    <row r="1131" spans="2:8" hidden="1">
      <c r="B1131" s="68" t="str">
        <f>IF(OR($D$3=JU!$F1124,$D$3=JU!$I1124),JU!B1124,"")</f>
        <v/>
      </c>
      <c r="C1131" s="6" t="str">
        <f>IF(OR($D$3=JU!$F1124,$D$3=JU!$I1124),JU!C1124,"")</f>
        <v/>
      </c>
      <c r="D1131" s="73" t="str">
        <f>IF(OR($D$3=JU!$F1124,$D$3=JU!$I1124),JU!D1124,"")</f>
        <v/>
      </c>
      <c r="E1131" s="74" t="str">
        <f>IF(OR($D$3=JU!$F1124,$D$3=JU!$I1124),JU!E1124,"")</f>
        <v/>
      </c>
      <c r="F1131" s="72">
        <f>IF($D$3=JU!F1124,JU!H1124,0)</f>
        <v>0</v>
      </c>
      <c r="G1131" s="72">
        <f>IF($D$3=JU!I1124,JU!K1124,0)</f>
        <v>0</v>
      </c>
      <c r="H1131" s="72">
        <f t="shared" si="18"/>
        <v>91813000</v>
      </c>
    </row>
    <row r="1132" spans="2:8" hidden="1">
      <c r="B1132" s="68" t="str">
        <f>IF(OR($D$3=JU!$F1125,$D$3=JU!$I1125),JU!B1125,"")</f>
        <v/>
      </c>
      <c r="C1132" s="6" t="str">
        <f>IF(OR($D$3=JU!$F1125,$D$3=JU!$I1125),JU!C1125,"")</f>
        <v/>
      </c>
      <c r="D1132" s="73" t="str">
        <f>IF(OR($D$3=JU!$F1125,$D$3=JU!$I1125),JU!D1125,"")</f>
        <v/>
      </c>
      <c r="E1132" s="74" t="str">
        <f>IF(OR($D$3=JU!$F1125,$D$3=JU!$I1125),JU!E1125,"")</f>
        <v/>
      </c>
      <c r="F1132" s="72">
        <f>IF($D$3=JU!F1125,JU!H1125,0)</f>
        <v>0</v>
      </c>
      <c r="G1132" s="72">
        <f>IF($D$3=JU!I1125,JU!K1125,0)</f>
        <v>0</v>
      </c>
      <c r="H1132" s="72">
        <f t="shared" si="18"/>
        <v>91813000</v>
      </c>
    </row>
    <row r="1133" spans="2:8" hidden="1">
      <c r="B1133" s="68" t="str">
        <f>IF(OR($D$3=JU!$F1126,$D$3=JU!$I1126),JU!B1126,"")</f>
        <v/>
      </c>
      <c r="C1133" s="6" t="str">
        <f>IF(OR($D$3=JU!$F1126,$D$3=JU!$I1126),JU!C1126,"")</f>
        <v/>
      </c>
      <c r="D1133" s="73" t="str">
        <f>IF(OR($D$3=JU!$F1126,$D$3=JU!$I1126),JU!D1126,"")</f>
        <v/>
      </c>
      <c r="E1133" s="74" t="str">
        <f>IF(OR($D$3=JU!$F1126,$D$3=JU!$I1126),JU!E1126,"")</f>
        <v/>
      </c>
      <c r="F1133" s="72">
        <f>IF($D$3=JU!F1126,JU!H1126,0)</f>
        <v>0</v>
      </c>
      <c r="G1133" s="72">
        <f>IF($D$3=JU!I1126,JU!K1126,0)</f>
        <v>0</v>
      </c>
      <c r="H1133" s="72">
        <f t="shared" si="18"/>
        <v>91813000</v>
      </c>
    </row>
    <row r="1134" spans="2:8" hidden="1">
      <c r="B1134" s="68" t="str">
        <f>IF(OR($D$3=JU!$F1127,$D$3=JU!$I1127),JU!B1127,"")</f>
        <v/>
      </c>
      <c r="C1134" s="6" t="str">
        <f>IF(OR($D$3=JU!$F1127,$D$3=JU!$I1127),JU!C1127,"")</f>
        <v/>
      </c>
      <c r="D1134" s="73" t="str">
        <f>IF(OR($D$3=JU!$F1127,$D$3=JU!$I1127),JU!D1127,"")</f>
        <v/>
      </c>
      <c r="E1134" s="74" t="str">
        <f>IF(OR($D$3=JU!$F1127,$D$3=JU!$I1127),JU!E1127,"")</f>
        <v/>
      </c>
      <c r="F1134" s="72">
        <f>IF($D$3=JU!F1127,JU!H1127,0)</f>
        <v>0</v>
      </c>
      <c r="G1134" s="72">
        <f>IF($D$3=JU!I1127,JU!K1127,0)</f>
        <v>0</v>
      </c>
      <c r="H1134" s="72">
        <f t="shared" si="18"/>
        <v>91813000</v>
      </c>
    </row>
    <row r="1135" spans="2:8" hidden="1">
      <c r="B1135" s="68" t="str">
        <f>IF(OR($D$3=JU!$F1128,$D$3=JU!$I1128),JU!B1128,"")</f>
        <v/>
      </c>
      <c r="C1135" s="6" t="str">
        <f>IF(OR($D$3=JU!$F1128,$D$3=JU!$I1128),JU!C1128,"")</f>
        <v/>
      </c>
      <c r="D1135" s="73" t="str">
        <f>IF(OR($D$3=JU!$F1128,$D$3=JU!$I1128),JU!D1128,"")</f>
        <v/>
      </c>
      <c r="E1135" s="74" t="str">
        <f>IF(OR($D$3=JU!$F1128,$D$3=JU!$I1128),JU!E1128,"")</f>
        <v/>
      </c>
      <c r="F1135" s="72">
        <f>IF($D$3=JU!F1128,JU!H1128,0)</f>
        <v>0</v>
      </c>
      <c r="G1135" s="72">
        <f>IF($D$3=JU!I1128,JU!K1128,0)</f>
        <v>0</v>
      </c>
      <c r="H1135" s="72">
        <f t="shared" si="18"/>
        <v>91813000</v>
      </c>
    </row>
    <row r="1136" spans="2:8" hidden="1">
      <c r="B1136" s="68" t="str">
        <f>IF(OR($D$3=JU!$F1129,$D$3=JU!$I1129),JU!B1129,"")</f>
        <v/>
      </c>
      <c r="C1136" s="6" t="str">
        <f>IF(OR($D$3=JU!$F1129,$D$3=JU!$I1129),JU!C1129,"")</f>
        <v/>
      </c>
      <c r="D1136" s="73" t="str">
        <f>IF(OR($D$3=JU!$F1129,$D$3=JU!$I1129),JU!D1129,"")</f>
        <v/>
      </c>
      <c r="E1136" s="74" t="str">
        <f>IF(OR($D$3=JU!$F1129,$D$3=JU!$I1129),JU!E1129,"")</f>
        <v/>
      </c>
      <c r="F1136" s="72">
        <f>IF($D$3=JU!F1129,JU!H1129,0)</f>
        <v>0</v>
      </c>
      <c r="G1136" s="72">
        <f>IF($D$3=JU!I1129,JU!K1129,0)</f>
        <v>0</v>
      </c>
      <c r="H1136" s="72">
        <f t="shared" si="18"/>
        <v>91813000</v>
      </c>
    </row>
    <row r="1137" spans="2:8" hidden="1">
      <c r="B1137" s="68" t="str">
        <f>IF(OR($D$3=JU!$F1130,$D$3=JU!$I1130),JU!B1130,"")</f>
        <v/>
      </c>
      <c r="C1137" s="6" t="str">
        <f>IF(OR($D$3=JU!$F1130,$D$3=JU!$I1130),JU!C1130,"")</f>
        <v/>
      </c>
      <c r="D1137" s="73" t="str">
        <f>IF(OR($D$3=JU!$F1130,$D$3=JU!$I1130),JU!D1130,"")</f>
        <v/>
      </c>
      <c r="E1137" s="74" t="str">
        <f>IF(OR($D$3=JU!$F1130,$D$3=JU!$I1130),JU!E1130,"")</f>
        <v/>
      </c>
      <c r="F1137" s="72">
        <f>IF($D$3=JU!F1130,JU!H1130,0)</f>
        <v>0</v>
      </c>
      <c r="G1137" s="72">
        <f>IF($D$3=JU!I1130,JU!K1130,0)</f>
        <v>0</v>
      </c>
      <c r="H1137" s="72">
        <f t="shared" si="18"/>
        <v>91813000</v>
      </c>
    </row>
    <row r="1138" spans="2:8" hidden="1">
      <c r="B1138" s="68" t="str">
        <f>IF(OR($D$3=JU!$F1131,$D$3=JU!$I1131),JU!B1131,"")</f>
        <v/>
      </c>
      <c r="C1138" s="6" t="str">
        <f>IF(OR($D$3=JU!$F1131,$D$3=JU!$I1131),JU!C1131,"")</f>
        <v/>
      </c>
      <c r="D1138" s="73" t="str">
        <f>IF(OR($D$3=JU!$F1131,$D$3=JU!$I1131),JU!D1131,"")</f>
        <v/>
      </c>
      <c r="E1138" s="74" t="str">
        <f>IF(OR($D$3=JU!$F1131,$D$3=JU!$I1131),JU!E1131,"")</f>
        <v/>
      </c>
      <c r="F1138" s="72">
        <f>IF($D$3=JU!F1131,JU!H1131,0)</f>
        <v>0</v>
      </c>
      <c r="G1138" s="72">
        <f>IF($D$3=JU!I1131,JU!K1131,0)</f>
        <v>0</v>
      </c>
      <c r="H1138" s="72">
        <f t="shared" si="18"/>
        <v>91813000</v>
      </c>
    </row>
    <row r="1139" spans="2:8" hidden="1">
      <c r="B1139" s="68" t="str">
        <f>IF(OR($D$3=JU!$F1132,$D$3=JU!$I1132),JU!B1132,"")</f>
        <v/>
      </c>
      <c r="C1139" s="6" t="str">
        <f>IF(OR($D$3=JU!$F1132,$D$3=JU!$I1132),JU!C1132,"")</f>
        <v/>
      </c>
      <c r="D1139" s="73" t="str">
        <f>IF(OR($D$3=JU!$F1132,$D$3=JU!$I1132),JU!D1132,"")</f>
        <v/>
      </c>
      <c r="E1139" s="74" t="str">
        <f>IF(OR($D$3=JU!$F1132,$D$3=JU!$I1132),JU!E1132,"")</f>
        <v/>
      </c>
      <c r="F1139" s="72">
        <f>IF($D$3=JU!F1132,JU!H1132,0)</f>
        <v>0</v>
      </c>
      <c r="G1139" s="72">
        <f>IF($D$3=JU!I1132,JU!K1132,0)</f>
        <v>0</v>
      </c>
      <c r="H1139" s="72">
        <f t="shared" si="18"/>
        <v>91813000</v>
      </c>
    </row>
    <row r="1140" spans="2:8" hidden="1">
      <c r="B1140" s="68" t="str">
        <f>IF(OR($D$3=JU!$F1133,$D$3=JU!$I1133),JU!B1133,"")</f>
        <v/>
      </c>
      <c r="C1140" s="6" t="str">
        <f>IF(OR($D$3=JU!$F1133,$D$3=JU!$I1133),JU!C1133,"")</f>
        <v/>
      </c>
      <c r="D1140" s="73" t="str">
        <f>IF(OR($D$3=JU!$F1133,$D$3=JU!$I1133),JU!D1133,"")</f>
        <v/>
      </c>
      <c r="E1140" s="74" t="str">
        <f>IF(OR($D$3=JU!$F1133,$D$3=JU!$I1133),JU!E1133,"")</f>
        <v/>
      </c>
      <c r="F1140" s="72">
        <f>IF($D$3=JU!F1133,JU!H1133,0)</f>
        <v>0</v>
      </c>
      <c r="G1140" s="72">
        <f>IF($D$3=JU!I1133,JU!K1133,0)</f>
        <v>0</v>
      </c>
      <c r="H1140" s="72">
        <f t="shared" si="18"/>
        <v>91813000</v>
      </c>
    </row>
    <row r="1141" spans="2:8" hidden="1">
      <c r="B1141" s="68" t="str">
        <f>IF(OR($D$3=JU!$F1134,$D$3=JU!$I1134),JU!B1134,"")</f>
        <v/>
      </c>
      <c r="C1141" s="6" t="str">
        <f>IF(OR($D$3=JU!$F1134,$D$3=JU!$I1134),JU!C1134,"")</f>
        <v/>
      </c>
      <c r="D1141" s="73" t="str">
        <f>IF(OR($D$3=JU!$F1134,$D$3=JU!$I1134),JU!D1134,"")</f>
        <v/>
      </c>
      <c r="E1141" s="74" t="str">
        <f>IF(OR($D$3=JU!$F1134,$D$3=JU!$I1134),JU!E1134,"")</f>
        <v/>
      </c>
      <c r="F1141" s="72">
        <f>IF($D$3=JU!F1134,JU!H1134,0)</f>
        <v>0</v>
      </c>
      <c r="G1141" s="72">
        <f>IF($D$3=JU!I1134,JU!K1134,0)</f>
        <v>0</v>
      </c>
      <c r="H1141" s="72">
        <f t="shared" si="18"/>
        <v>91813000</v>
      </c>
    </row>
    <row r="1142" spans="2:8" hidden="1">
      <c r="B1142" s="68" t="str">
        <f>IF(OR($D$3=JU!$F1135,$D$3=JU!$I1135),JU!B1135,"")</f>
        <v/>
      </c>
      <c r="C1142" s="6" t="str">
        <f>IF(OR($D$3=JU!$F1135,$D$3=JU!$I1135),JU!C1135,"")</f>
        <v/>
      </c>
      <c r="D1142" s="73" t="str">
        <f>IF(OR($D$3=JU!$F1135,$D$3=JU!$I1135),JU!D1135,"")</f>
        <v/>
      </c>
      <c r="E1142" s="74" t="str">
        <f>IF(OR($D$3=JU!$F1135,$D$3=JU!$I1135),JU!E1135,"")</f>
        <v/>
      </c>
      <c r="F1142" s="72">
        <f>IF($D$3=JU!F1135,JU!H1135,0)</f>
        <v>0</v>
      </c>
      <c r="G1142" s="72">
        <f>IF($D$3=JU!I1135,JU!K1135,0)</f>
        <v>0</v>
      </c>
      <c r="H1142" s="72">
        <f t="shared" si="18"/>
        <v>91813000</v>
      </c>
    </row>
    <row r="1143" spans="2:8" hidden="1">
      <c r="B1143" s="68" t="str">
        <f>IF(OR($D$3=JU!$F1136,$D$3=JU!$I1136),JU!B1136,"")</f>
        <v/>
      </c>
      <c r="C1143" s="6" t="str">
        <f>IF(OR($D$3=JU!$F1136,$D$3=JU!$I1136),JU!C1136,"")</f>
        <v/>
      </c>
      <c r="D1143" s="73" t="str">
        <f>IF(OR($D$3=JU!$F1136,$D$3=JU!$I1136),JU!D1136,"")</f>
        <v/>
      </c>
      <c r="E1143" s="74" t="str">
        <f>IF(OR($D$3=JU!$F1136,$D$3=JU!$I1136),JU!E1136,"")</f>
        <v/>
      </c>
      <c r="F1143" s="72">
        <f>IF($D$3=JU!F1136,JU!H1136,0)</f>
        <v>0</v>
      </c>
      <c r="G1143" s="72">
        <f>IF($D$3=JU!I1136,JU!K1136,0)</f>
        <v>0</v>
      </c>
      <c r="H1143" s="72">
        <f t="shared" si="18"/>
        <v>91813000</v>
      </c>
    </row>
    <row r="1144" spans="2:8" hidden="1">
      <c r="B1144" s="68" t="str">
        <f>IF(OR($D$3=JU!$F1137,$D$3=JU!$I1137),JU!B1137,"")</f>
        <v/>
      </c>
      <c r="C1144" s="6" t="str">
        <f>IF(OR($D$3=JU!$F1137,$D$3=JU!$I1137),JU!C1137,"")</f>
        <v/>
      </c>
      <c r="D1144" s="73" t="str">
        <f>IF(OR($D$3=JU!$F1137,$D$3=JU!$I1137),JU!D1137,"")</f>
        <v/>
      </c>
      <c r="E1144" s="74" t="str">
        <f>IF(OR($D$3=JU!$F1137,$D$3=JU!$I1137),JU!E1137,"")</f>
        <v/>
      </c>
      <c r="F1144" s="72">
        <f>IF($D$3=JU!F1137,JU!H1137,0)</f>
        <v>0</v>
      </c>
      <c r="G1144" s="72">
        <f>IF($D$3=JU!I1137,JU!K1137,0)</f>
        <v>0</v>
      </c>
      <c r="H1144" s="72">
        <f t="shared" si="18"/>
        <v>91813000</v>
      </c>
    </row>
    <row r="1145" spans="2:8" hidden="1">
      <c r="B1145" s="68" t="str">
        <f>IF(OR($D$3=JU!$F1138,$D$3=JU!$I1138),JU!B1138,"")</f>
        <v/>
      </c>
      <c r="C1145" s="6" t="str">
        <f>IF(OR($D$3=JU!$F1138,$D$3=JU!$I1138),JU!C1138,"")</f>
        <v/>
      </c>
      <c r="D1145" s="73" t="str">
        <f>IF(OR($D$3=JU!$F1138,$D$3=JU!$I1138),JU!D1138,"")</f>
        <v/>
      </c>
      <c r="E1145" s="74" t="str">
        <f>IF(OR($D$3=JU!$F1138,$D$3=JU!$I1138),JU!E1138,"")</f>
        <v/>
      </c>
      <c r="F1145" s="72">
        <f>IF($D$3=JU!F1138,JU!H1138,0)</f>
        <v>0</v>
      </c>
      <c r="G1145" s="72">
        <f>IF($D$3=JU!I1138,JU!K1138,0)</f>
        <v>0</v>
      </c>
      <c r="H1145" s="72">
        <f t="shared" si="18"/>
        <v>91813000</v>
      </c>
    </row>
    <row r="1146" spans="2:8" hidden="1">
      <c r="B1146" s="68" t="str">
        <f>IF(OR($D$3=JU!$F1139,$D$3=JU!$I1139),JU!B1139,"")</f>
        <v/>
      </c>
      <c r="C1146" s="6" t="str">
        <f>IF(OR($D$3=JU!$F1139,$D$3=JU!$I1139),JU!C1139,"")</f>
        <v/>
      </c>
      <c r="D1146" s="73" t="str">
        <f>IF(OR($D$3=JU!$F1139,$D$3=JU!$I1139),JU!D1139,"")</f>
        <v/>
      </c>
      <c r="E1146" s="74" t="str">
        <f>IF(OR($D$3=JU!$F1139,$D$3=JU!$I1139),JU!E1139,"")</f>
        <v/>
      </c>
      <c r="F1146" s="72">
        <f>IF($D$3=JU!F1139,JU!H1139,0)</f>
        <v>0</v>
      </c>
      <c r="G1146" s="72">
        <f>IF($D$3=JU!I1139,JU!K1139,0)</f>
        <v>0</v>
      </c>
      <c r="H1146" s="72">
        <f t="shared" si="18"/>
        <v>91813000</v>
      </c>
    </row>
    <row r="1147" spans="2:8" hidden="1">
      <c r="B1147" s="68" t="str">
        <f>IF(OR($D$3=JU!$F1140,$D$3=JU!$I1140),JU!B1140,"")</f>
        <v/>
      </c>
      <c r="C1147" s="6" t="str">
        <f>IF(OR($D$3=JU!$F1140,$D$3=JU!$I1140),JU!C1140,"")</f>
        <v/>
      </c>
      <c r="D1147" s="73" t="str">
        <f>IF(OR($D$3=JU!$F1140,$D$3=JU!$I1140),JU!D1140,"")</f>
        <v/>
      </c>
      <c r="E1147" s="74" t="str">
        <f>IF(OR($D$3=JU!$F1140,$D$3=JU!$I1140),JU!E1140,"")</f>
        <v/>
      </c>
      <c r="F1147" s="72">
        <f>IF($D$3=JU!F1140,JU!H1140,0)</f>
        <v>0</v>
      </c>
      <c r="G1147" s="72">
        <f>IF($D$3=JU!I1140,JU!K1140,0)</f>
        <v>0</v>
      </c>
      <c r="H1147" s="72">
        <f t="shared" si="18"/>
        <v>91813000</v>
      </c>
    </row>
    <row r="1148" spans="2:8" hidden="1">
      <c r="B1148" s="68" t="str">
        <f>IF(OR($D$3=JU!$F1141,$D$3=JU!$I1141),JU!B1141,"")</f>
        <v/>
      </c>
      <c r="C1148" s="6" t="str">
        <f>IF(OR($D$3=JU!$F1141,$D$3=JU!$I1141),JU!C1141,"")</f>
        <v/>
      </c>
      <c r="D1148" s="73" t="str">
        <f>IF(OR($D$3=JU!$F1141,$D$3=JU!$I1141),JU!D1141,"")</f>
        <v/>
      </c>
      <c r="E1148" s="74" t="str">
        <f>IF(OR($D$3=JU!$F1141,$D$3=JU!$I1141),JU!E1141,"")</f>
        <v/>
      </c>
      <c r="F1148" s="72">
        <f>IF($D$3=JU!F1141,JU!H1141,0)</f>
        <v>0</v>
      </c>
      <c r="G1148" s="72">
        <f>IF($D$3=JU!I1141,JU!K1141,0)</f>
        <v>0</v>
      </c>
      <c r="H1148" s="72">
        <f t="shared" si="18"/>
        <v>91813000</v>
      </c>
    </row>
    <row r="1149" spans="2:8" hidden="1">
      <c r="B1149" s="68" t="str">
        <f>IF(OR($D$3=JU!$F1142,$D$3=JU!$I1142),JU!B1142,"")</f>
        <v/>
      </c>
      <c r="C1149" s="6" t="str">
        <f>IF(OR($D$3=JU!$F1142,$D$3=JU!$I1142),JU!C1142,"")</f>
        <v/>
      </c>
      <c r="D1149" s="73" t="str">
        <f>IF(OR($D$3=JU!$F1142,$D$3=JU!$I1142),JU!D1142,"")</f>
        <v/>
      </c>
      <c r="E1149" s="74" t="str">
        <f>IF(OR($D$3=JU!$F1142,$D$3=JU!$I1142),JU!E1142,"")</f>
        <v/>
      </c>
      <c r="F1149" s="72">
        <f>IF($D$3=JU!F1142,JU!H1142,0)</f>
        <v>0</v>
      </c>
      <c r="G1149" s="72">
        <f>IF($D$3=JU!I1142,JU!K1142,0)</f>
        <v>0</v>
      </c>
      <c r="H1149" s="72">
        <f t="shared" si="18"/>
        <v>91813000</v>
      </c>
    </row>
    <row r="1150" spans="2:8" hidden="1">
      <c r="B1150" s="68" t="str">
        <f>IF(OR($D$3=JU!$F1143,$D$3=JU!$I1143),JU!B1143,"")</f>
        <v/>
      </c>
      <c r="C1150" s="6" t="str">
        <f>IF(OR($D$3=JU!$F1143,$D$3=JU!$I1143),JU!C1143,"")</f>
        <v/>
      </c>
      <c r="D1150" s="73" t="str">
        <f>IF(OR($D$3=JU!$F1143,$D$3=JU!$I1143),JU!D1143,"")</f>
        <v/>
      </c>
      <c r="E1150" s="74" t="str">
        <f>IF(OR($D$3=JU!$F1143,$D$3=JU!$I1143),JU!E1143,"")</f>
        <v/>
      </c>
      <c r="F1150" s="72">
        <f>IF($D$3=JU!F1143,JU!H1143,0)</f>
        <v>0</v>
      </c>
      <c r="G1150" s="72">
        <f>IF($D$3=JU!I1143,JU!K1143,0)</f>
        <v>0</v>
      </c>
      <c r="H1150" s="72">
        <f t="shared" si="18"/>
        <v>91813000</v>
      </c>
    </row>
    <row r="1151" spans="2:8" hidden="1">
      <c r="B1151" s="68" t="str">
        <f>IF(OR($D$3=JU!$F1144,$D$3=JU!$I1144),JU!B1144,"")</f>
        <v/>
      </c>
      <c r="C1151" s="6" t="str">
        <f>IF(OR($D$3=JU!$F1144,$D$3=JU!$I1144),JU!C1144,"")</f>
        <v/>
      </c>
      <c r="D1151" s="73" t="str">
        <f>IF(OR($D$3=JU!$F1144,$D$3=JU!$I1144),JU!D1144,"")</f>
        <v/>
      </c>
      <c r="E1151" s="74" t="str">
        <f>IF(OR($D$3=JU!$F1144,$D$3=JU!$I1144),JU!E1144,"")</f>
        <v/>
      </c>
      <c r="F1151" s="72">
        <f>IF($D$3=JU!F1144,JU!H1144,0)</f>
        <v>0</v>
      </c>
      <c r="G1151" s="72">
        <f>IF($D$3=JU!I1144,JU!K1144,0)</f>
        <v>0</v>
      </c>
      <c r="H1151" s="72">
        <f t="shared" si="18"/>
        <v>91813000</v>
      </c>
    </row>
    <row r="1152" spans="2:8" hidden="1">
      <c r="B1152" s="68" t="str">
        <f>IF(OR($D$3=JU!$F1145,$D$3=JU!$I1145),JU!B1145,"")</f>
        <v/>
      </c>
      <c r="C1152" s="6" t="str">
        <f>IF(OR($D$3=JU!$F1145,$D$3=JU!$I1145),JU!C1145,"")</f>
        <v/>
      </c>
      <c r="D1152" s="73" t="str">
        <f>IF(OR($D$3=JU!$F1145,$D$3=JU!$I1145),JU!D1145,"")</f>
        <v/>
      </c>
      <c r="E1152" s="74" t="str">
        <f>IF(OR($D$3=JU!$F1145,$D$3=JU!$I1145),JU!E1145,"")</f>
        <v/>
      </c>
      <c r="F1152" s="72">
        <f>IF($D$3=JU!F1145,JU!H1145,0)</f>
        <v>0</v>
      </c>
      <c r="G1152" s="72">
        <f>IF($D$3=JU!I1145,JU!K1145,0)</f>
        <v>0</v>
      </c>
      <c r="H1152" s="72">
        <f t="shared" si="18"/>
        <v>91813000</v>
      </c>
    </row>
    <row r="1153" spans="2:9" hidden="1">
      <c r="B1153" s="68" t="str">
        <f>IF(OR($D$3=JU!$F1146,$D$3=JU!$I1146),JU!B1146,"")</f>
        <v/>
      </c>
      <c r="C1153" s="6" t="str">
        <f>IF(OR($D$3=JU!$F1146,$D$3=JU!$I1146),JU!C1146,"")</f>
        <v/>
      </c>
      <c r="D1153" s="73" t="str">
        <f>IF(OR($D$3=JU!$F1146,$D$3=JU!$I1146),JU!D1146,"")</f>
        <v/>
      </c>
      <c r="E1153" s="74" t="str">
        <f>IF(OR($D$3=JU!$F1146,$D$3=JU!$I1146),JU!E1146,"")</f>
        <v/>
      </c>
      <c r="F1153" s="72">
        <f>IF($D$3=JU!F1146,JU!H1146,0)</f>
        <v>0</v>
      </c>
      <c r="G1153" s="72">
        <f>IF($D$3=JU!I1146,JU!K1146,0)</f>
        <v>0</v>
      </c>
      <c r="H1153" s="72">
        <f t="shared" si="18"/>
        <v>91813000</v>
      </c>
    </row>
    <row r="1154" spans="2:9" hidden="1">
      <c r="B1154" s="68" t="str">
        <f>IF(OR($D$3=JU!$F1147,$D$3=JU!$I1147),JU!B1147,"")</f>
        <v/>
      </c>
      <c r="C1154" s="6" t="str">
        <f>IF(OR($D$3=JU!$F1147,$D$3=JU!$I1147),JU!C1147,"")</f>
        <v/>
      </c>
      <c r="D1154" s="73" t="str">
        <f>IF(OR($D$3=JU!$F1147,$D$3=JU!$I1147),JU!D1147,"")</f>
        <v/>
      </c>
      <c r="E1154" s="74" t="str">
        <f>IF(OR($D$3=JU!$F1147,$D$3=JU!$I1147),JU!E1147,"")</f>
        <v/>
      </c>
      <c r="F1154" s="72">
        <f>IF($D$3=JU!F1147,JU!H1147,0)</f>
        <v>0</v>
      </c>
      <c r="G1154" s="72">
        <f>IF($D$3=JU!I1147,JU!K1147,0)</f>
        <v>0</v>
      </c>
      <c r="H1154" s="72">
        <f t="shared" si="18"/>
        <v>91813000</v>
      </c>
    </row>
    <row r="1155" spans="2:9" hidden="1">
      <c r="B1155" s="68" t="str">
        <f>IF(OR($D$3=JU!$F1148,$D$3=JU!$I1148),JU!B1148,"")</f>
        <v/>
      </c>
      <c r="C1155" s="6" t="str">
        <f>IF(OR($D$3=JU!$F1148,$D$3=JU!$I1148),JU!C1148,"")</f>
        <v/>
      </c>
      <c r="D1155" s="73" t="str">
        <f>IF(OR($D$3=JU!$F1148,$D$3=JU!$I1148),JU!D1148,"")</f>
        <v/>
      </c>
      <c r="E1155" s="74" t="str">
        <f>IF(OR($D$3=JU!$F1148,$D$3=JU!$I1148),JU!E1148,"")</f>
        <v/>
      </c>
      <c r="F1155" s="72">
        <f>IF($D$3=JU!F1148,JU!H1148,0)</f>
        <v>0</v>
      </c>
      <c r="G1155" s="72">
        <f>IF($D$3=JU!I1148,JU!K1148,0)</f>
        <v>0</v>
      </c>
      <c r="H1155" s="72">
        <f t="shared" si="18"/>
        <v>91813000</v>
      </c>
    </row>
    <row r="1156" spans="2:9" hidden="1">
      <c r="B1156" s="68" t="str">
        <f>IF(OR($D$3=JU!$F1149,$D$3=JU!$I1149),JU!B1149,"")</f>
        <v/>
      </c>
      <c r="C1156" s="6" t="str">
        <f>IF(OR($D$3=JU!$F1149,$D$3=JU!$I1149),JU!C1149,"")</f>
        <v/>
      </c>
      <c r="D1156" s="73" t="str">
        <f>IF(OR($D$3=JU!$F1149,$D$3=JU!$I1149),JU!D1149,"")</f>
        <v/>
      </c>
      <c r="E1156" s="74" t="str">
        <f>IF(OR($D$3=JU!$F1149,$D$3=JU!$I1149),JU!E1149,"")</f>
        <v/>
      </c>
      <c r="F1156" s="72">
        <f>IF($D$3=JU!F1149,JU!H1149,0)</f>
        <v>0</v>
      </c>
      <c r="G1156" s="72">
        <f>IF($D$3=JU!I1149,JU!K1149,0)</f>
        <v>0</v>
      </c>
      <c r="H1156" s="72">
        <f t="shared" si="18"/>
        <v>91813000</v>
      </c>
    </row>
    <row r="1157" spans="2:9" hidden="1">
      <c r="B1157" s="68" t="str">
        <f>IF(OR($D$3=JU!$F1150,$D$3=JU!$I1150),JU!B1150,"")</f>
        <v/>
      </c>
      <c r="C1157" s="6" t="str">
        <f>IF(OR($D$3=JU!$F1150,$D$3=JU!$I1150),JU!C1150,"")</f>
        <v/>
      </c>
      <c r="D1157" s="73" t="str">
        <f>IF(OR($D$3=JU!$F1150,$D$3=JU!$I1150),JU!D1150,"")</f>
        <v/>
      </c>
      <c r="E1157" s="74" t="str">
        <f>IF(OR($D$3=JU!$F1150,$D$3=JU!$I1150),JU!E1150,"")</f>
        <v/>
      </c>
      <c r="F1157" s="72">
        <f>IF($D$3=JU!F1150,JU!H1150,0)</f>
        <v>0</v>
      </c>
      <c r="G1157" s="72">
        <f>IF($D$3=JU!I1150,JU!K1150,0)</f>
        <v>0</v>
      </c>
      <c r="H1157" s="72">
        <f t="shared" si="18"/>
        <v>91813000</v>
      </c>
    </row>
    <row r="1158" spans="2:9" hidden="1">
      <c r="B1158" s="68" t="str">
        <f>IF(OR($D$3=JU!$F1151,$D$3=JU!$I1151),JU!B1151,"")</f>
        <v/>
      </c>
      <c r="C1158" s="6" t="str">
        <f>IF(OR($D$3=JU!$F1151,$D$3=JU!$I1151),JU!C1151,"")</f>
        <v/>
      </c>
      <c r="D1158" s="73" t="str">
        <f>IF(OR($D$3=JU!$F1151,$D$3=JU!$I1151),JU!D1151,"")</f>
        <v/>
      </c>
      <c r="E1158" s="74" t="str">
        <f>IF(OR($D$3=JU!$F1151,$D$3=JU!$I1151),JU!E1151,"")</f>
        <v/>
      </c>
      <c r="F1158" s="72">
        <f>IF($D$3=JU!F1151,JU!H1151,0)</f>
        <v>0</v>
      </c>
      <c r="G1158" s="72">
        <f>IF($D$3=JU!I1151,JU!K1151,0)</f>
        <v>0</v>
      </c>
      <c r="H1158" s="72">
        <f t="shared" si="18"/>
        <v>91813000</v>
      </c>
    </row>
    <row r="1159" spans="2:9" hidden="1">
      <c r="B1159" s="68" t="str">
        <f>IF(OR($D$3=JU!$F1152,$D$3=JU!$I1152),JU!B1152,"")</f>
        <v/>
      </c>
      <c r="C1159" s="6" t="str">
        <f>IF(OR($D$3=JU!$F1152,$D$3=JU!$I1152),JU!C1152,"")</f>
        <v/>
      </c>
      <c r="D1159" s="73" t="str">
        <f>IF(OR($D$3=JU!$F1152,$D$3=JU!$I1152),JU!D1152,"")</f>
        <v/>
      </c>
      <c r="E1159" s="74" t="str">
        <f>IF(OR($D$3=JU!$F1152,$D$3=JU!$I1152),JU!E1152,"")</f>
        <v/>
      </c>
      <c r="F1159" s="72">
        <f>IF($D$3=JU!F1152,JU!H1152,0)</f>
        <v>0</v>
      </c>
      <c r="G1159" s="72">
        <f>IF($D$3=JU!I1152,JU!K1152,0)</f>
        <v>0</v>
      </c>
      <c r="H1159" s="72">
        <f t="shared" si="18"/>
        <v>91813000</v>
      </c>
      <c r="I1159" s="18">
        <f>H1159-1070000000-55484700-100000000</f>
        <v>-1133671700</v>
      </c>
    </row>
    <row r="1160" spans="2:9" hidden="1">
      <c r="B1160" s="68" t="str">
        <f>IF(OR($D$3=JU!$F1153,$D$3=JU!$I1153),JU!B1153,"")</f>
        <v/>
      </c>
      <c r="C1160" s="6" t="str">
        <f>IF(OR($D$3=JU!$F1153,$D$3=JU!$I1153),JU!C1153,"")</f>
        <v/>
      </c>
      <c r="D1160" s="73" t="str">
        <f>IF(OR($D$3=JU!$F1153,$D$3=JU!$I1153),JU!D1153,"")</f>
        <v/>
      </c>
      <c r="E1160" s="74" t="str">
        <f>IF(OR($D$3=JU!$F1153,$D$3=JU!$I1153),JU!E1153,"")</f>
        <v/>
      </c>
      <c r="F1160" s="72">
        <f>IF($D$3=JU!F1153,JU!H1153,0)</f>
        <v>0</v>
      </c>
      <c r="G1160" s="72">
        <f>IF($D$3=JU!I1153,JU!K1153,0)</f>
        <v>0</v>
      </c>
      <c r="H1160" s="72">
        <f t="shared" si="18"/>
        <v>91813000</v>
      </c>
      <c r="I1160" s="18">
        <f>H1160-1070000000-55484700-100000000</f>
        <v>-1133671700</v>
      </c>
    </row>
    <row r="1161" spans="2:9" hidden="1">
      <c r="B1161" s="68" t="str">
        <f>IF(OR($D$3=JU!$F1154,$D$3=JU!$I1154),JU!B1154,"")</f>
        <v/>
      </c>
      <c r="C1161" s="6" t="str">
        <f>IF(OR($D$3=JU!$F1154,$D$3=JU!$I1154),JU!C1154,"")</f>
        <v/>
      </c>
      <c r="D1161" s="73" t="str">
        <f>IF(OR($D$3=JU!$F1154,$D$3=JU!$I1154),JU!D1154,"")</f>
        <v/>
      </c>
      <c r="E1161" s="74" t="str">
        <f>IF(OR($D$3=JU!$F1154,$D$3=JU!$I1154),JU!E1154,"")</f>
        <v/>
      </c>
      <c r="F1161" s="72">
        <f>IF($D$3=JU!F1154,JU!H1154,0)</f>
        <v>0</v>
      </c>
      <c r="G1161" s="72">
        <f>IF($D$3=JU!I1154,JU!K1154,0)</f>
        <v>0</v>
      </c>
      <c r="H1161" s="72">
        <f t="shared" si="18"/>
        <v>91813000</v>
      </c>
    </row>
    <row r="1162" spans="2:9" hidden="1">
      <c r="B1162" s="68" t="str">
        <f>IF(OR($D$3=JU!$F1155,$D$3=JU!$I1155),JU!B1155,"")</f>
        <v/>
      </c>
      <c r="C1162" s="6" t="str">
        <f>IF(OR($D$3=JU!$F1155,$D$3=JU!$I1155),JU!C1155,"")</f>
        <v/>
      </c>
      <c r="D1162" s="73" t="str">
        <f>IF(OR($D$3=JU!$F1155,$D$3=JU!$I1155),JU!D1155,"")</f>
        <v/>
      </c>
      <c r="E1162" s="74" t="str">
        <f>IF(OR($D$3=JU!$F1155,$D$3=JU!$I1155),JU!E1155,"")</f>
        <v/>
      </c>
      <c r="F1162" s="72">
        <f>IF($D$3=JU!F1155,JU!H1155,0)</f>
        <v>0</v>
      </c>
      <c r="G1162" s="72">
        <f>IF($D$3=JU!I1155,JU!K1155,0)</f>
        <v>0</v>
      </c>
      <c r="H1162" s="72">
        <f t="shared" si="18"/>
        <v>91813000</v>
      </c>
    </row>
    <row r="1163" spans="2:9" hidden="1">
      <c r="B1163" s="68" t="str">
        <f>IF(OR($D$3=JU!$F1156,$D$3=JU!$I1156),JU!B1156,"")</f>
        <v/>
      </c>
      <c r="C1163" s="6" t="str">
        <f>IF(OR($D$3=JU!$F1156,$D$3=JU!$I1156),JU!C1156,"")</f>
        <v/>
      </c>
      <c r="D1163" s="73" t="str">
        <f>IF(OR($D$3=JU!$F1156,$D$3=JU!$I1156),JU!D1156,"")</f>
        <v/>
      </c>
      <c r="E1163" s="74" t="str">
        <f>IF(OR($D$3=JU!$F1156,$D$3=JU!$I1156),JU!E1156,"")</f>
        <v/>
      </c>
      <c r="F1163" s="72">
        <f>IF($D$3=JU!F1156,JU!H1156,0)</f>
        <v>0</v>
      </c>
      <c r="G1163" s="72">
        <f>IF($D$3=JU!I1156,JU!K1156,0)</f>
        <v>0</v>
      </c>
      <c r="H1163" s="72">
        <f t="shared" si="18"/>
        <v>91813000</v>
      </c>
    </row>
    <row r="1164" spans="2:9" hidden="1">
      <c r="B1164" s="68" t="str">
        <f>IF(OR($D$3=JU!$F1157,$D$3=JU!$I1157),JU!B1157,"")</f>
        <v/>
      </c>
      <c r="C1164" s="6" t="str">
        <f>IF(OR($D$3=JU!$F1157,$D$3=JU!$I1157),JU!C1157,"")</f>
        <v/>
      </c>
      <c r="D1164" s="73" t="str">
        <f>IF(OR($D$3=JU!$F1157,$D$3=JU!$I1157),JU!D1157,"")</f>
        <v/>
      </c>
      <c r="E1164" s="74" t="str">
        <f>IF(OR($D$3=JU!$F1157,$D$3=JU!$I1157),JU!E1157,"")</f>
        <v/>
      </c>
      <c r="F1164" s="72">
        <f>IF($D$3=JU!F1157,JU!H1157,0)</f>
        <v>0</v>
      </c>
      <c r="G1164" s="72">
        <f>IF($D$3=JU!I1157,JU!K1157,0)</f>
        <v>0</v>
      </c>
      <c r="H1164" s="72">
        <f t="shared" si="18"/>
        <v>91813000</v>
      </c>
    </row>
    <row r="1165" spans="2:9" hidden="1">
      <c r="B1165" s="68" t="str">
        <f>IF(OR($D$3=JU!$F1158,$D$3=JU!$I1158),JU!B1158,"")</f>
        <v/>
      </c>
      <c r="C1165" s="6" t="str">
        <f>IF(OR($D$3=JU!$F1158,$D$3=JU!$I1158),JU!C1158,"")</f>
        <v/>
      </c>
      <c r="D1165" s="73" t="str">
        <f>IF(OR($D$3=JU!$F1158,$D$3=JU!$I1158),JU!D1158,"")</f>
        <v/>
      </c>
      <c r="E1165" s="74" t="str">
        <f>IF(OR($D$3=JU!$F1158,$D$3=JU!$I1158),JU!E1158,"")</f>
        <v/>
      </c>
      <c r="F1165" s="72">
        <f>IF($D$3=JU!F1158,JU!H1158,0)</f>
        <v>0</v>
      </c>
      <c r="G1165" s="72">
        <f>IF($D$3=JU!I1158,JU!K1158,0)</f>
        <v>0</v>
      </c>
      <c r="H1165" s="72">
        <f t="shared" si="18"/>
        <v>91813000</v>
      </c>
    </row>
    <row r="1166" spans="2:9" hidden="1">
      <c r="B1166" s="68" t="str">
        <f>IF(OR($D$3=JU!$F1159,$D$3=JU!$I1159),JU!B1159,"")</f>
        <v/>
      </c>
      <c r="C1166" s="6" t="str">
        <f>IF(OR($D$3=JU!$F1159,$D$3=JU!$I1159),JU!C1159,"")</f>
        <v/>
      </c>
      <c r="D1166" s="73" t="str">
        <f>IF(OR($D$3=JU!$F1159,$D$3=JU!$I1159),JU!D1159,"")</f>
        <v/>
      </c>
      <c r="E1166" s="74" t="str">
        <f>IF(OR($D$3=JU!$F1159,$D$3=JU!$I1159),JU!E1159,"")</f>
        <v/>
      </c>
      <c r="F1166" s="72">
        <f>IF($D$3=JU!F1159,JU!H1159,0)</f>
        <v>0</v>
      </c>
      <c r="G1166" s="72">
        <f>IF($D$3=JU!I1159,JU!K1159,0)</f>
        <v>0</v>
      </c>
      <c r="H1166" s="72">
        <f t="shared" ref="H1166:H1229" si="19">IF($H$7="DEBET",H1165+F1166-G1166,H1165+G1166-F1166)</f>
        <v>91813000</v>
      </c>
    </row>
    <row r="1167" spans="2:9" hidden="1">
      <c r="B1167" s="68" t="str">
        <f>IF(OR($D$3=JU!$F1160,$D$3=JU!$I1160),JU!B1160,"")</f>
        <v/>
      </c>
      <c r="C1167" s="6" t="str">
        <f>IF(OR($D$3=JU!$F1160,$D$3=JU!$I1160),JU!C1160,"")</f>
        <v/>
      </c>
      <c r="D1167" s="73" t="str">
        <f>IF(OR($D$3=JU!$F1160,$D$3=JU!$I1160),JU!D1160,"")</f>
        <v/>
      </c>
      <c r="E1167" s="74" t="str">
        <f>IF(OR($D$3=JU!$F1160,$D$3=JU!$I1160),JU!E1160,"")</f>
        <v/>
      </c>
      <c r="F1167" s="72">
        <f>IF($D$3=JU!F1160,JU!H1160,0)</f>
        <v>0</v>
      </c>
      <c r="G1167" s="72">
        <f>IF($D$3=JU!I1160,JU!K1160,0)</f>
        <v>0</v>
      </c>
      <c r="H1167" s="72">
        <f t="shared" si="19"/>
        <v>91813000</v>
      </c>
    </row>
    <row r="1168" spans="2:9" hidden="1">
      <c r="B1168" s="68" t="str">
        <f>IF(OR($D$3=JU!$F1161,$D$3=JU!$I1161),JU!B1161,"")</f>
        <v/>
      </c>
      <c r="C1168" s="6" t="str">
        <f>IF(OR($D$3=JU!$F1161,$D$3=JU!$I1161),JU!C1161,"")</f>
        <v/>
      </c>
      <c r="D1168" s="73" t="str">
        <f>IF(OR($D$3=JU!$F1161,$D$3=JU!$I1161),JU!D1161,"")</f>
        <v/>
      </c>
      <c r="E1168" s="74" t="str">
        <f>IF(OR($D$3=JU!$F1161,$D$3=JU!$I1161),JU!E1161,"")</f>
        <v/>
      </c>
      <c r="F1168" s="72">
        <f>IF($D$3=JU!F1161,JU!H1161,0)</f>
        <v>0</v>
      </c>
      <c r="G1168" s="72">
        <f>IF($D$3=JU!I1161,JU!K1161,0)</f>
        <v>0</v>
      </c>
      <c r="H1168" s="72">
        <f t="shared" si="19"/>
        <v>91813000</v>
      </c>
    </row>
    <row r="1169" spans="2:8" hidden="1">
      <c r="B1169" s="68" t="str">
        <f>IF(OR($D$3=JU!$F1162,$D$3=JU!$I1162),JU!B1162,"")</f>
        <v/>
      </c>
      <c r="C1169" s="6" t="str">
        <f>IF(OR($D$3=JU!$F1162,$D$3=JU!$I1162),JU!C1162,"")</f>
        <v/>
      </c>
      <c r="D1169" s="73" t="str">
        <f>IF(OR($D$3=JU!$F1162,$D$3=JU!$I1162),JU!D1162,"")</f>
        <v/>
      </c>
      <c r="E1169" s="74" t="str">
        <f>IF(OR($D$3=JU!$F1162,$D$3=JU!$I1162),JU!E1162,"")</f>
        <v/>
      </c>
      <c r="F1169" s="72">
        <f>IF($D$3=JU!F1162,JU!H1162,0)</f>
        <v>0</v>
      </c>
      <c r="G1169" s="72">
        <f>IF($D$3=JU!I1162,JU!K1162,0)</f>
        <v>0</v>
      </c>
      <c r="H1169" s="72">
        <f t="shared" si="19"/>
        <v>91813000</v>
      </c>
    </row>
    <row r="1170" spans="2:8" hidden="1">
      <c r="B1170" s="68" t="str">
        <f>IF(OR($D$3=JU!$F1163,$D$3=JU!$I1163),JU!B1163,"")</f>
        <v/>
      </c>
      <c r="C1170" s="6" t="str">
        <f>IF(OR($D$3=JU!$F1163,$D$3=JU!$I1163),JU!C1163,"")</f>
        <v/>
      </c>
      <c r="D1170" s="73" t="str">
        <f>IF(OR($D$3=JU!$F1163,$D$3=JU!$I1163),JU!D1163,"")</f>
        <v/>
      </c>
      <c r="E1170" s="74" t="str">
        <f>IF(OR($D$3=JU!$F1163,$D$3=JU!$I1163),JU!E1163,"")</f>
        <v/>
      </c>
      <c r="F1170" s="72">
        <f>IF($D$3=JU!F1163,JU!H1163,0)</f>
        <v>0</v>
      </c>
      <c r="G1170" s="72">
        <f>IF($D$3=JU!I1163,JU!K1163,0)</f>
        <v>0</v>
      </c>
      <c r="H1170" s="72">
        <f t="shared" si="19"/>
        <v>91813000</v>
      </c>
    </row>
    <row r="1171" spans="2:8" hidden="1">
      <c r="B1171" s="68" t="str">
        <f>IF(OR($D$3=JU!$F1164,$D$3=JU!$I1164),JU!B1164,"")</f>
        <v/>
      </c>
      <c r="C1171" s="6" t="str">
        <f>IF(OR($D$3=JU!$F1164,$D$3=JU!$I1164),JU!C1164,"")</f>
        <v/>
      </c>
      <c r="D1171" s="73" t="str">
        <f>IF(OR($D$3=JU!$F1164,$D$3=JU!$I1164),JU!D1164,"")</f>
        <v/>
      </c>
      <c r="E1171" s="74" t="str">
        <f>IF(OR($D$3=JU!$F1164,$D$3=JU!$I1164),JU!E1164,"")</f>
        <v/>
      </c>
      <c r="F1171" s="72">
        <f>IF($D$3=JU!F1164,JU!H1164,0)</f>
        <v>0</v>
      </c>
      <c r="G1171" s="72">
        <f>IF($D$3=JU!I1164,JU!K1164,0)</f>
        <v>0</v>
      </c>
      <c r="H1171" s="72">
        <f t="shared" si="19"/>
        <v>91813000</v>
      </c>
    </row>
    <row r="1172" spans="2:8" hidden="1">
      <c r="B1172" s="68" t="str">
        <f>IF(OR($D$3=JU!$F1165,$D$3=JU!$I1165),JU!B1165,"")</f>
        <v/>
      </c>
      <c r="C1172" s="6" t="str">
        <f>IF(OR($D$3=JU!$F1165,$D$3=JU!$I1165),JU!C1165,"")</f>
        <v/>
      </c>
      <c r="D1172" s="73" t="str">
        <f>IF(OR($D$3=JU!$F1165,$D$3=JU!$I1165),JU!D1165,"")</f>
        <v/>
      </c>
      <c r="E1172" s="74" t="str">
        <f>IF(OR($D$3=JU!$F1165,$D$3=JU!$I1165),JU!E1165,"")</f>
        <v/>
      </c>
      <c r="F1172" s="72">
        <f>IF($D$3=JU!F1165,JU!H1165,0)</f>
        <v>0</v>
      </c>
      <c r="G1172" s="72">
        <f>IF($D$3=JU!I1165,JU!K1165,0)</f>
        <v>0</v>
      </c>
      <c r="H1172" s="72">
        <f t="shared" si="19"/>
        <v>91813000</v>
      </c>
    </row>
    <row r="1173" spans="2:8" hidden="1">
      <c r="B1173" s="68" t="str">
        <f>IF(OR($D$3=JU!$F1166,$D$3=JU!$I1166),JU!B1166,"")</f>
        <v/>
      </c>
      <c r="C1173" s="6" t="str">
        <f>IF(OR($D$3=JU!$F1166,$D$3=JU!$I1166),JU!C1166,"")</f>
        <v/>
      </c>
      <c r="D1173" s="73" t="str">
        <f>IF(OR($D$3=JU!$F1166,$D$3=JU!$I1166),JU!D1166,"")</f>
        <v/>
      </c>
      <c r="E1173" s="74" t="str">
        <f>IF(OR($D$3=JU!$F1166,$D$3=JU!$I1166),JU!E1166,"")</f>
        <v/>
      </c>
      <c r="F1173" s="72">
        <f>IF($D$3=JU!F1166,JU!H1166,0)</f>
        <v>0</v>
      </c>
      <c r="G1173" s="72">
        <f>IF($D$3=JU!I1166,JU!K1166,0)</f>
        <v>0</v>
      </c>
      <c r="H1173" s="72">
        <f t="shared" si="19"/>
        <v>91813000</v>
      </c>
    </row>
    <row r="1174" spans="2:8" hidden="1">
      <c r="B1174" s="68" t="str">
        <f>IF(OR($D$3=JU!$F1167,$D$3=JU!$I1167),JU!B1167,"")</f>
        <v/>
      </c>
      <c r="C1174" s="6" t="str">
        <f>IF(OR($D$3=JU!$F1167,$D$3=JU!$I1167),JU!C1167,"")</f>
        <v/>
      </c>
      <c r="D1174" s="73" t="str">
        <f>IF(OR($D$3=JU!$F1167,$D$3=JU!$I1167),JU!D1167,"")</f>
        <v/>
      </c>
      <c r="E1174" s="74" t="str">
        <f>IF(OR($D$3=JU!$F1167,$D$3=JU!$I1167),JU!E1167,"")</f>
        <v/>
      </c>
      <c r="F1174" s="72">
        <f>IF($D$3=JU!F1167,JU!H1167,0)</f>
        <v>0</v>
      </c>
      <c r="G1174" s="72">
        <f>IF($D$3=JU!I1167,JU!K1167,0)</f>
        <v>0</v>
      </c>
      <c r="H1174" s="72">
        <f t="shared" si="19"/>
        <v>91813000</v>
      </c>
    </row>
    <row r="1175" spans="2:8" hidden="1">
      <c r="B1175" s="68" t="str">
        <f>IF(OR($D$3=JU!$F1168,$D$3=JU!$I1168),JU!B1168,"")</f>
        <v/>
      </c>
      <c r="C1175" s="6" t="str">
        <f>IF(OR($D$3=JU!$F1168,$D$3=JU!$I1168),JU!C1168,"")</f>
        <v/>
      </c>
      <c r="D1175" s="73" t="str">
        <f>IF(OR($D$3=JU!$F1168,$D$3=JU!$I1168),JU!D1168,"")</f>
        <v/>
      </c>
      <c r="E1175" s="74" t="str">
        <f>IF(OR($D$3=JU!$F1168,$D$3=JU!$I1168),JU!E1168,"")</f>
        <v/>
      </c>
      <c r="F1175" s="72">
        <f>IF($D$3=JU!F1168,JU!H1168,0)</f>
        <v>0</v>
      </c>
      <c r="G1175" s="72">
        <f>IF($D$3=JU!I1168,JU!K1168,0)</f>
        <v>0</v>
      </c>
      <c r="H1175" s="72">
        <f t="shared" si="19"/>
        <v>91813000</v>
      </c>
    </row>
    <row r="1176" spans="2:8" hidden="1">
      <c r="B1176" s="68" t="str">
        <f>IF(OR($D$3=JU!$F1169,$D$3=JU!$I1169),JU!B1169,"")</f>
        <v/>
      </c>
      <c r="C1176" s="6" t="str">
        <f>IF(OR($D$3=JU!$F1169,$D$3=JU!$I1169),JU!C1169,"")</f>
        <v/>
      </c>
      <c r="D1176" s="73" t="str">
        <f>IF(OR($D$3=JU!$F1169,$D$3=JU!$I1169),JU!D1169,"")</f>
        <v/>
      </c>
      <c r="E1176" s="74" t="str">
        <f>IF(OR($D$3=JU!$F1169,$D$3=JU!$I1169),JU!E1169,"")</f>
        <v/>
      </c>
      <c r="F1176" s="72">
        <f>IF($D$3=JU!F1169,JU!H1169,0)</f>
        <v>0</v>
      </c>
      <c r="G1176" s="72">
        <f>IF($D$3=JU!I1169,JU!K1169,0)</f>
        <v>0</v>
      </c>
      <c r="H1176" s="72">
        <f t="shared" si="19"/>
        <v>91813000</v>
      </c>
    </row>
    <row r="1177" spans="2:8" hidden="1">
      <c r="B1177" s="68" t="str">
        <f>IF(OR($D$3=JU!$F1170,$D$3=JU!$I1170),JU!B1170,"")</f>
        <v/>
      </c>
      <c r="C1177" s="6" t="str">
        <f>IF(OR($D$3=JU!$F1170,$D$3=JU!$I1170),JU!C1170,"")</f>
        <v/>
      </c>
      <c r="D1177" s="73" t="str">
        <f>IF(OR($D$3=JU!$F1170,$D$3=JU!$I1170),JU!D1170,"")</f>
        <v/>
      </c>
      <c r="E1177" s="74" t="str">
        <f>IF(OR($D$3=JU!$F1170,$D$3=JU!$I1170),JU!E1170,"")</f>
        <v/>
      </c>
      <c r="F1177" s="72">
        <f>IF($D$3=JU!F1170,JU!H1170,0)</f>
        <v>0</v>
      </c>
      <c r="G1177" s="72">
        <f>IF($D$3=JU!I1170,JU!K1170,0)</f>
        <v>0</v>
      </c>
      <c r="H1177" s="72">
        <f t="shared" si="19"/>
        <v>91813000</v>
      </c>
    </row>
    <row r="1178" spans="2:8" hidden="1">
      <c r="B1178" s="68" t="str">
        <f>IF(OR($D$3=JU!$F1171,$D$3=JU!$I1171),JU!B1171,"")</f>
        <v/>
      </c>
      <c r="C1178" s="6" t="str">
        <f>IF(OR($D$3=JU!$F1171,$D$3=JU!$I1171),JU!C1171,"")</f>
        <v/>
      </c>
      <c r="D1178" s="73" t="str">
        <f>IF(OR($D$3=JU!$F1171,$D$3=JU!$I1171),JU!D1171,"")</f>
        <v/>
      </c>
      <c r="E1178" s="74" t="str">
        <f>IF(OR($D$3=JU!$F1171,$D$3=JU!$I1171),JU!E1171,"")</f>
        <v/>
      </c>
      <c r="F1178" s="72">
        <f>IF($D$3=JU!F1171,JU!H1171,0)</f>
        <v>0</v>
      </c>
      <c r="G1178" s="72">
        <f>IF($D$3=JU!I1171,JU!K1171,0)</f>
        <v>0</v>
      </c>
      <c r="H1178" s="72">
        <f t="shared" si="19"/>
        <v>91813000</v>
      </c>
    </row>
    <row r="1179" spans="2:8" hidden="1">
      <c r="B1179" s="68" t="str">
        <f>IF(OR($D$3=JU!$F1172,$D$3=JU!$I1172),JU!B1172,"")</f>
        <v/>
      </c>
      <c r="C1179" s="6" t="str">
        <f>IF(OR($D$3=JU!$F1172,$D$3=JU!$I1172),JU!C1172,"")</f>
        <v/>
      </c>
      <c r="D1179" s="73" t="str">
        <f>IF(OR($D$3=JU!$F1172,$D$3=JU!$I1172),JU!D1172,"")</f>
        <v/>
      </c>
      <c r="E1179" s="74" t="str">
        <f>IF(OR($D$3=JU!$F1172,$D$3=JU!$I1172),JU!E1172,"")</f>
        <v/>
      </c>
      <c r="F1179" s="72">
        <f>IF($D$3=JU!F1172,JU!H1172,0)</f>
        <v>0</v>
      </c>
      <c r="G1179" s="72">
        <f>IF($D$3=JU!I1172,JU!K1172,0)</f>
        <v>0</v>
      </c>
      <c r="H1179" s="72">
        <f t="shared" si="19"/>
        <v>91813000</v>
      </c>
    </row>
    <row r="1180" spans="2:8" hidden="1">
      <c r="B1180" s="68" t="str">
        <f>IF(OR($D$3=JU!$F1173,$D$3=JU!$I1173),JU!B1173,"")</f>
        <v/>
      </c>
      <c r="C1180" s="6" t="str">
        <f>IF(OR($D$3=JU!$F1173,$D$3=JU!$I1173),JU!C1173,"")</f>
        <v/>
      </c>
      <c r="D1180" s="73" t="str">
        <f>IF(OR($D$3=JU!$F1173,$D$3=JU!$I1173),JU!D1173,"")</f>
        <v/>
      </c>
      <c r="E1180" s="74" t="str">
        <f>IF(OR($D$3=JU!$F1173,$D$3=JU!$I1173),JU!E1173,"")</f>
        <v/>
      </c>
      <c r="F1180" s="72">
        <f>IF($D$3=JU!F1173,JU!H1173,0)</f>
        <v>0</v>
      </c>
      <c r="G1180" s="72">
        <f>IF($D$3=JU!I1173,JU!K1173,0)</f>
        <v>0</v>
      </c>
      <c r="H1180" s="72">
        <f t="shared" si="19"/>
        <v>91813000</v>
      </c>
    </row>
    <row r="1181" spans="2:8" hidden="1">
      <c r="B1181" s="68" t="str">
        <f>IF(OR($D$3=JU!$F1174,$D$3=JU!$I1174),JU!B1174,"")</f>
        <v/>
      </c>
      <c r="C1181" s="6" t="str">
        <f>IF(OR($D$3=JU!$F1174,$D$3=JU!$I1174),JU!C1174,"")</f>
        <v/>
      </c>
      <c r="D1181" s="73" t="str">
        <f>IF(OR($D$3=JU!$F1174,$D$3=JU!$I1174),JU!D1174,"")</f>
        <v/>
      </c>
      <c r="E1181" s="74" t="str">
        <f>IF(OR($D$3=JU!$F1174,$D$3=JU!$I1174),JU!E1174,"")</f>
        <v/>
      </c>
      <c r="F1181" s="72">
        <f>IF($D$3=JU!F1174,JU!H1174,0)</f>
        <v>0</v>
      </c>
      <c r="G1181" s="72">
        <f>IF($D$3=JU!I1174,JU!K1174,0)</f>
        <v>0</v>
      </c>
      <c r="H1181" s="72">
        <f t="shared" si="19"/>
        <v>91813000</v>
      </c>
    </row>
    <row r="1182" spans="2:8" hidden="1">
      <c r="B1182" s="68" t="str">
        <f>IF(OR($D$3=JU!$F1175,$D$3=JU!$I1175),JU!B1175,"")</f>
        <v/>
      </c>
      <c r="C1182" s="6" t="str">
        <f>IF(OR($D$3=JU!$F1175,$D$3=JU!$I1175),JU!C1175,"")</f>
        <v/>
      </c>
      <c r="D1182" s="73" t="str">
        <f>IF(OR($D$3=JU!$F1175,$D$3=JU!$I1175),JU!D1175,"")</f>
        <v/>
      </c>
      <c r="E1182" s="74" t="str">
        <f>IF(OR($D$3=JU!$F1175,$D$3=JU!$I1175),JU!E1175,"")</f>
        <v/>
      </c>
      <c r="F1182" s="72">
        <f>IF($D$3=JU!F1175,JU!H1175,0)</f>
        <v>0</v>
      </c>
      <c r="G1182" s="72">
        <f>IF($D$3=JU!I1175,JU!K1175,0)</f>
        <v>0</v>
      </c>
      <c r="H1182" s="72">
        <f t="shared" si="19"/>
        <v>91813000</v>
      </c>
    </row>
    <row r="1183" spans="2:8" hidden="1">
      <c r="B1183" s="68" t="str">
        <f>IF(OR($D$3=JU!$F1176,$D$3=JU!$I1176),JU!B1176,"")</f>
        <v/>
      </c>
      <c r="C1183" s="6" t="str">
        <f>IF(OR($D$3=JU!$F1176,$D$3=JU!$I1176),JU!C1176,"")</f>
        <v/>
      </c>
      <c r="D1183" s="73" t="str">
        <f>IF(OR($D$3=JU!$F1176,$D$3=JU!$I1176),JU!D1176,"")</f>
        <v/>
      </c>
      <c r="E1183" s="74" t="str">
        <f>IF(OR($D$3=JU!$F1176,$D$3=JU!$I1176),JU!E1176,"")</f>
        <v/>
      </c>
      <c r="F1183" s="72">
        <f>IF($D$3=JU!F1176,JU!H1176,0)</f>
        <v>0</v>
      </c>
      <c r="G1183" s="72">
        <f>IF($D$3=JU!I1176,JU!K1176,0)</f>
        <v>0</v>
      </c>
      <c r="H1183" s="72">
        <f t="shared" si="19"/>
        <v>91813000</v>
      </c>
    </row>
    <row r="1184" spans="2:8" hidden="1">
      <c r="B1184" s="68" t="str">
        <f>IF(OR($D$3=JU!$F1177,$D$3=JU!$I1177),JU!B1177,"")</f>
        <v/>
      </c>
      <c r="C1184" s="6" t="str">
        <f>IF(OR($D$3=JU!$F1177,$D$3=JU!$I1177),JU!C1177,"")</f>
        <v/>
      </c>
      <c r="D1184" s="73" t="str">
        <f>IF(OR($D$3=JU!$F1177,$D$3=JU!$I1177),JU!D1177,"")</f>
        <v/>
      </c>
      <c r="E1184" s="74" t="str">
        <f>IF(OR($D$3=JU!$F1177,$D$3=JU!$I1177),JU!E1177,"")</f>
        <v/>
      </c>
      <c r="F1184" s="72">
        <f>IF($D$3=JU!F1177,JU!H1177,0)</f>
        <v>0</v>
      </c>
      <c r="G1184" s="72">
        <f>IF($D$3=JU!I1177,JU!K1177,0)</f>
        <v>0</v>
      </c>
      <c r="H1184" s="72">
        <f t="shared" si="19"/>
        <v>91813000</v>
      </c>
    </row>
    <row r="1185" spans="2:8" hidden="1">
      <c r="B1185" s="68" t="str">
        <f>IF(OR($D$3=JU!$F1178,$D$3=JU!$I1178),JU!B1178,"")</f>
        <v/>
      </c>
      <c r="C1185" s="6" t="str">
        <f>IF(OR($D$3=JU!$F1178,$D$3=JU!$I1178),JU!C1178,"")</f>
        <v/>
      </c>
      <c r="D1185" s="73" t="str">
        <f>IF(OR($D$3=JU!$F1178,$D$3=JU!$I1178),JU!D1178,"")</f>
        <v/>
      </c>
      <c r="E1185" s="74" t="str">
        <f>IF(OR($D$3=JU!$F1178,$D$3=JU!$I1178),JU!E1178,"")</f>
        <v/>
      </c>
      <c r="F1185" s="72">
        <f>IF($D$3=JU!F1178,JU!H1178,0)</f>
        <v>0</v>
      </c>
      <c r="G1185" s="72">
        <f>IF($D$3=JU!I1178,JU!K1178,0)</f>
        <v>0</v>
      </c>
      <c r="H1185" s="72">
        <f t="shared" si="19"/>
        <v>91813000</v>
      </c>
    </row>
    <row r="1186" spans="2:8" hidden="1">
      <c r="B1186" s="68" t="str">
        <f>IF(OR($D$3=JU!$F1179,$D$3=JU!$I1179),JU!B1179,"")</f>
        <v/>
      </c>
      <c r="C1186" s="6" t="str">
        <f>IF(OR($D$3=JU!$F1179,$D$3=JU!$I1179),JU!C1179,"")</f>
        <v/>
      </c>
      <c r="D1186" s="73" t="str">
        <f>IF(OR($D$3=JU!$F1179,$D$3=JU!$I1179),JU!D1179,"")</f>
        <v/>
      </c>
      <c r="E1186" s="74" t="str">
        <f>IF(OR($D$3=JU!$F1179,$D$3=JU!$I1179),JU!E1179,"")</f>
        <v/>
      </c>
      <c r="F1186" s="72">
        <f>IF($D$3=JU!F1179,JU!H1179,0)</f>
        <v>0</v>
      </c>
      <c r="G1186" s="72">
        <f>IF($D$3=JU!I1179,JU!K1179,0)</f>
        <v>0</v>
      </c>
      <c r="H1186" s="72">
        <f t="shared" si="19"/>
        <v>91813000</v>
      </c>
    </row>
    <row r="1187" spans="2:8" hidden="1">
      <c r="B1187" s="68" t="str">
        <f>IF(OR($D$3=JU!$F1180,$D$3=JU!$I1180),JU!B1180,"")</f>
        <v/>
      </c>
      <c r="C1187" s="6" t="str">
        <f>IF(OR($D$3=JU!$F1180,$D$3=JU!$I1180),JU!C1180,"")</f>
        <v/>
      </c>
      <c r="D1187" s="73" t="str">
        <f>IF(OR($D$3=JU!$F1180,$D$3=JU!$I1180),JU!D1180,"")</f>
        <v/>
      </c>
      <c r="E1187" s="74" t="str">
        <f>IF(OR($D$3=JU!$F1180,$D$3=JU!$I1180),JU!E1180,"")</f>
        <v/>
      </c>
      <c r="F1187" s="72">
        <f>IF($D$3=JU!F1180,JU!H1180,0)</f>
        <v>0</v>
      </c>
      <c r="G1187" s="72">
        <f>IF($D$3=JU!I1180,JU!K1180,0)</f>
        <v>0</v>
      </c>
      <c r="H1187" s="72">
        <f t="shared" si="19"/>
        <v>91813000</v>
      </c>
    </row>
    <row r="1188" spans="2:8" hidden="1">
      <c r="B1188" s="68" t="str">
        <f>IF(OR($D$3=JU!$F1181,$D$3=JU!$I1181),JU!B1181,"")</f>
        <v/>
      </c>
      <c r="C1188" s="6" t="str">
        <f>IF(OR($D$3=JU!$F1181,$D$3=JU!$I1181),JU!C1181,"")</f>
        <v/>
      </c>
      <c r="D1188" s="73" t="str">
        <f>IF(OR($D$3=JU!$F1181,$D$3=JU!$I1181),JU!D1181,"")</f>
        <v/>
      </c>
      <c r="E1188" s="74" t="str">
        <f>IF(OR($D$3=JU!$F1181,$D$3=JU!$I1181),JU!E1181,"")</f>
        <v/>
      </c>
      <c r="F1188" s="72">
        <f>IF($D$3=JU!F1181,JU!H1181,0)</f>
        <v>0</v>
      </c>
      <c r="G1188" s="72">
        <f>IF($D$3=JU!I1181,JU!K1181,0)</f>
        <v>0</v>
      </c>
      <c r="H1188" s="72">
        <f t="shared" si="19"/>
        <v>91813000</v>
      </c>
    </row>
    <row r="1189" spans="2:8" hidden="1">
      <c r="B1189" s="68" t="str">
        <f>IF(OR($D$3=JU!$F1182,$D$3=JU!$I1182),JU!B1182,"")</f>
        <v/>
      </c>
      <c r="C1189" s="6" t="str">
        <f>IF(OR($D$3=JU!$F1182,$D$3=JU!$I1182),JU!C1182,"")</f>
        <v/>
      </c>
      <c r="D1189" s="73" t="str">
        <f>IF(OR($D$3=JU!$F1182,$D$3=JU!$I1182),JU!D1182,"")</f>
        <v/>
      </c>
      <c r="E1189" s="74" t="str">
        <f>IF(OR($D$3=JU!$F1182,$D$3=JU!$I1182),JU!E1182,"")</f>
        <v/>
      </c>
      <c r="F1189" s="72">
        <f>IF($D$3=JU!F1182,JU!H1182,0)</f>
        <v>0</v>
      </c>
      <c r="G1189" s="72">
        <f>IF($D$3=JU!I1182,JU!K1182,0)</f>
        <v>0</v>
      </c>
      <c r="H1189" s="72">
        <f t="shared" si="19"/>
        <v>91813000</v>
      </c>
    </row>
    <row r="1190" spans="2:8" hidden="1">
      <c r="B1190" s="68" t="str">
        <f>IF(OR($D$3=JU!$F1183,$D$3=JU!$I1183),JU!B1183,"")</f>
        <v/>
      </c>
      <c r="C1190" s="6" t="str">
        <f>IF(OR($D$3=JU!$F1183,$D$3=JU!$I1183),JU!C1183,"")</f>
        <v/>
      </c>
      <c r="D1190" s="73" t="str">
        <f>IF(OR($D$3=JU!$F1183,$D$3=JU!$I1183),JU!D1183,"")</f>
        <v/>
      </c>
      <c r="E1190" s="74" t="str">
        <f>IF(OR($D$3=JU!$F1183,$D$3=JU!$I1183),JU!E1183,"")</f>
        <v/>
      </c>
      <c r="F1190" s="72">
        <f>IF($D$3=JU!F1183,JU!H1183,0)</f>
        <v>0</v>
      </c>
      <c r="G1190" s="72">
        <f>IF($D$3=JU!I1183,JU!K1183,0)</f>
        <v>0</v>
      </c>
      <c r="H1190" s="72">
        <f t="shared" si="19"/>
        <v>91813000</v>
      </c>
    </row>
    <row r="1191" spans="2:8" hidden="1">
      <c r="B1191" s="68" t="str">
        <f>IF(OR($D$3=JU!$F1184,$D$3=JU!$I1184),JU!B1184,"")</f>
        <v/>
      </c>
      <c r="C1191" s="6" t="str">
        <f>IF(OR($D$3=JU!$F1184,$D$3=JU!$I1184),JU!C1184,"")</f>
        <v/>
      </c>
      <c r="D1191" s="73" t="str">
        <f>IF(OR($D$3=JU!$F1184,$D$3=JU!$I1184),JU!D1184,"")</f>
        <v/>
      </c>
      <c r="E1191" s="74" t="str">
        <f>IF(OR($D$3=JU!$F1184,$D$3=JU!$I1184),JU!E1184,"")</f>
        <v/>
      </c>
      <c r="F1191" s="72">
        <f>IF($D$3=JU!F1184,JU!H1184,0)</f>
        <v>0</v>
      </c>
      <c r="G1191" s="72">
        <f>IF($D$3=JU!I1184,JU!K1184,0)</f>
        <v>0</v>
      </c>
      <c r="H1191" s="72">
        <f t="shared" si="19"/>
        <v>91813000</v>
      </c>
    </row>
    <row r="1192" spans="2:8" hidden="1">
      <c r="B1192" s="68" t="str">
        <f>IF(OR($D$3=JU!$F1185,$D$3=JU!$I1185),JU!B1185,"")</f>
        <v/>
      </c>
      <c r="C1192" s="6" t="str">
        <f>IF(OR($D$3=JU!$F1185,$D$3=JU!$I1185),JU!C1185,"")</f>
        <v/>
      </c>
      <c r="D1192" s="73" t="str">
        <f>IF(OR($D$3=JU!$F1185,$D$3=JU!$I1185),JU!D1185,"")</f>
        <v/>
      </c>
      <c r="E1192" s="74" t="str">
        <f>IF(OR($D$3=JU!$F1185,$D$3=JU!$I1185),JU!E1185,"")</f>
        <v/>
      </c>
      <c r="F1192" s="72">
        <f>IF($D$3=JU!F1185,JU!H1185,0)</f>
        <v>0</v>
      </c>
      <c r="G1192" s="72">
        <f>IF($D$3=JU!I1185,JU!K1185,0)</f>
        <v>0</v>
      </c>
      <c r="H1192" s="72">
        <f t="shared" si="19"/>
        <v>91813000</v>
      </c>
    </row>
    <row r="1193" spans="2:8" hidden="1">
      <c r="B1193" s="68" t="str">
        <f>IF(OR($D$3=JU!$F1186,$D$3=JU!$I1186),JU!B1186,"")</f>
        <v/>
      </c>
      <c r="C1193" s="6" t="str">
        <f>IF(OR($D$3=JU!$F1186,$D$3=JU!$I1186),JU!C1186,"")</f>
        <v/>
      </c>
      <c r="D1193" s="73" t="str">
        <f>IF(OR($D$3=JU!$F1186,$D$3=JU!$I1186),JU!D1186,"")</f>
        <v/>
      </c>
      <c r="E1193" s="74" t="str">
        <f>IF(OR($D$3=JU!$F1186,$D$3=JU!$I1186),JU!E1186,"")</f>
        <v/>
      </c>
      <c r="F1193" s="72">
        <f>IF($D$3=JU!F1186,JU!H1186,0)</f>
        <v>0</v>
      </c>
      <c r="G1193" s="72">
        <f>IF($D$3=JU!I1186,JU!K1186,0)</f>
        <v>0</v>
      </c>
      <c r="H1193" s="72">
        <f t="shared" si="19"/>
        <v>91813000</v>
      </c>
    </row>
    <row r="1194" spans="2:8" hidden="1">
      <c r="B1194" s="68" t="str">
        <f>IF(OR($D$3=JU!$F1187,$D$3=JU!$I1187),JU!B1187,"")</f>
        <v/>
      </c>
      <c r="C1194" s="6" t="str">
        <f>IF(OR($D$3=JU!$F1187,$D$3=JU!$I1187),JU!C1187,"")</f>
        <v/>
      </c>
      <c r="D1194" s="73" t="str">
        <f>IF(OR($D$3=JU!$F1187,$D$3=JU!$I1187),JU!D1187,"")</f>
        <v/>
      </c>
      <c r="E1194" s="74" t="str">
        <f>IF(OR($D$3=JU!$F1187,$D$3=JU!$I1187),JU!E1187,"")</f>
        <v/>
      </c>
      <c r="F1194" s="72">
        <f>IF($D$3=JU!F1187,JU!H1187,0)</f>
        <v>0</v>
      </c>
      <c r="G1194" s="72">
        <f>IF($D$3=JU!I1187,JU!K1187,0)</f>
        <v>0</v>
      </c>
      <c r="H1194" s="72">
        <f t="shared" si="19"/>
        <v>91813000</v>
      </c>
    </row>
    <row r="1195" spans="2:8" hidden="1">
      <c r="B1195" s="68" t="str">
        <f>IF(OR($D$3=JU!$F1188,$D$3=JU!$I1188),JU!B1188,"")</f>
        <v/>
      </c>
      <c r="C1195" s="6" t="str">
        <f>IF(OR($D$3=JU!$F1188,$D$3=JU!$I1188),JU!C1188,"")</f>
        <v/>
      </c>
      <c r="D1195" s="73" t="str">
        <f>IF(OR($D$3=JU!$F1188,$D$3=JU!$I1188),JU!D1188,"")</f>
        <v/>
      </c>
      <c r="E1195" s="74" t="str">
        <f>IF(OR($D$3=JU!$F1188,$D$3=JU!$I1188),JU!E1188,"")</f>
        <v/>
      </c>
      <c r="F1195" s="72">
        <f>IF($D$3=JU!F1188,JU!H1188,0)</f>
        <v>0</v>
      </c>
      <c r="G1195" s="72">
        <f>IF($D$3=JU!I1188,JU!K1188,0)</f>
        <v>0</v>
      </c>
      <c r="H1195" s="72">
        <f t="shared" si="19"/>
        <v>91813000</v>
      </c>
    </row>
    <row r="1196" spans="2:8" hidden="1">
      <c r="B1196" s="68" t="str">
        <f>IF(OR($D$3=JU!$F1189,$D$3=JU!$I1189),JU!B1189,"")</f>
        <v/>
      </c>
      <c r="C1196" s="6" t="str">
        <f>IF(OR($D$3=JU!$F1189,$D$3=JU!$I1189),JU!C1189,"")</f>
        <v/>
      </c>
      <c r="D1196" s="73" t="str">
        <f>IF(OR($D$3=JU!$F1189,$D$3=JU!$I1189),JU!D1189,"")</f>
        <v/>
      </c>
      <c r="E1196" s="74" t="str">
        <f>IF(OR($D$3=JU!$F1189,$D$3=JU!$I1189),JU!E1189,"")</f>
        <v/>
      </c>
      <c r="F1196" s="72">
        <f>IF($D$3=JU!F1189,JU!H1189,0)</f>
        <v>0</v>
      </c>
      <c r="G1196" s="72">
        <f>IF($D$3=JU!I1189,JU!K1189,0)</f>
        <v>0</v>
      </c>
      <c r="H1196" s="72">
        <f t="shared" si="19"/>
        <v>91813000</v>
      </c>
    </row>
    <row r="1197" spans="2:8" hidden="1">
      <c r="B1197" s="68" t="str">
        <f>IF(OR($D$3=JU!$F1190,$D$3=JU!$I1190),JU!B1190,"")</f>
        <v/>
      </c>
      <c r="C1197" s="6" t="str">
        <f>IF(OR($D$3=JU!$F1190,$D$3=JU!$I1190),JU!C1190,"")</f>
        <v/>
      </c>
      <c r="D1197" s="73" t="str">
        <f>IF(OR($D$3=JU!$F1190,$D$3=JU!$I1190),JU!D1190,"")</f>
        <v/>
      </c>
      <c r="E1197" s="74" t="str">
        <f>IF(OR($D$3=JU!$F1190,$D$3=JU!$I1190),JU!E1190,"")</f>
        <v/>
      </c>
      <c r="F1197" s="72">
        <f>IF($D$3=JU!F1190,JU!H1190,0)</f>
        <v>0</v>
      </c>
      <c r="G1197" s="72">
        <f>IF($D$3=JU!I1190,JU!K1190,0)</f>
        <v>0</v>
      </c>
      <c r="H1197" s="72">
        <f t="shared" si="19"/>
        <v>91813000</v>
      </c>
    </row>
    <row r="1198" spans="2:8" hidden="1">
      <c r="B1198" s="68" t="str">
        <f>IF(OR($D$3=JU!$F1191,$D$3=JU!$I1191),JU!B1191,"")</f>
        <v/>
      </c>
      <c r="C1198" s="6" t="str">
        <f>IF(OR($D$3=JU!$F1191,$D$3=JU!$I1191),JU!C1191,"")</f>
        <v/>
      </c>
      <c r="D1198" s="73" t="str">
        <f>IF(OR($D$3=JU!$F1191,$D$3=JU!$I1191),JU!D1191,"")</f>
        <v/>
      </c>
      <c r="E1198" s="74" t="str">
        <f>IF(OR($D$3=JU!$F1191,$D$3=JU!$I1191),JU!E1191,"")</f>
        <v/>
      </c>
      <c r="F1198" s="72">
        <f>IF($D$3=JU!F1191,JU!H1191,0)</f>
        <v>0</v>
      </c>
      <c r="G1198" s="72">
        <f>IF($D$3=JU!I1191,JU!K1191,0)</f>
        <v>0</v>
      </c>
      <c r="H1198" s="72">
        <f t="shared" si="19"/>
        <v>91813000</v>
      </c>
    </row>
    <row r="1199" spans="2:8" hidden="1">
      <c r="B1199" s="68" t="str">
        <f>IF(OR($D$3=JU!$F1192,$D$3=JU!$I1192),JU!B1192,"")</f>
        <v/>
      </c>
      <c r="C1199" s="6" t="str">
        <f>IF(OR($D$3=JU!$F1192,$D$3=JU!$I1192),JU!C1192,"")</f>
        <v/>
      </c>
      <c r="D1199" s="73" t="str">
        <f>IF(OR($D$3=JU!$F1192,$D$3=JU!$I1192),JU!D1192,"")</f>
        <v/>
      </c>
      <c r="E1199" s="74" t="str">
        <f>IF(OR($D$3=JU!$F1192,$D$3=JU!$I1192),JU!E1192,"")</f>
        <v/>
      </c>
      <c r="F1199" s="72">
        <f>IF($D$3=JU!F1192,JU!H1192,0)</f>
        <v>0</v>
      </c>
      <c r="G1199" s="72">
        <f>IF($D$3=JU!I1192,JU!K1192,0)</f>
        <v>0</v>
      </c>
      <c r="H1199" s="72">
        <f t="shared" si="19"/>
        <v>91813000</v>
      </c>
    </row>
    <row r="1200" spans="2:8" hidden="1">
      <c r="B1200" s="68" t="str">
        <f>IF(OR($D$3=JU!$F1193,$D$3=JU!$I1193),JU!B1193,"")</f>
        <v/>
      </c>
      <c r="C1200" s="6" t="str">
        <f>IF(OR($D$3=JU!$F1193,$D$3=JU!$I1193),JU!C1193,"")</f>
        <v/>
      </c>
      <c r="D1200" s="73" t="str">
        <f>IF(OR($D$3=JU!$F1193,$D$3=JU!$I1193),JU!D1193,"")</f>
        <v/>
      </c>
      <c r="E1200" s="74" t="str">
        <f>IF(OR($D$3=JU!$F1193,$D$3=JU!$I1193),JU!E1193,"")</f>
        <v/>
      </c>
      <c r="F1200" s="72">
        <f>IF($D$3=JU!F1193,JU!H1193,0)</f>
        <v>0</v>
      </c>
      <c r="G1200" s="72">
        <f>IF($D$3=JU!I1193,JU!K1193,0)</f>
        <v>0</v>
      </c>
      <c r="H1200" s="72">
        <f t="shared" si="19"/>
        <v>91813000</v>
      </c>
    </row>
    <row r="1201" spans="2:8" hidden="1">
      <c r="B1201" s="68" t="str">
        <f>IF(OR($D$3=JU!$F1194,$D$3=JU!$I1194),JU!B1194,"")</f>
        <v/>
      </c>
      <c r="C1201" s="6" t="str">
        <f>IF(OR($D$3=JU!$F1194,$D$3=JU!$I1194),JU!C1194,"")</f>
        <v/>
      </c>
      <c r="D1201" s="73" t="str">
        <f>IF(OR($D$3=JU!$F1194,$D$3=JU!$I1194),JU!D1194,"")</f>
        <v/>
      </c>
      <c r="E1201" s="74" t="str">
        <f>IF(OR($D$3=JU!$F1194,$D$3=JU!$I1194),JU!E1194,"")</f>
        <v/>
      </c>
      <c r="F1201" s="72">
        <f>IF($D$3=JU!F1194,JU!H1194,0)</f>
        <v>0</v>
      </c>
      <c r="G1201" s="72">
        <f>IF($D$3=JU!I1194,JU!K1194,0)</f>
        <v>0</v>
      </c>
      <c r="H1201" s="72">
        <f t="shared" si="19"/>
        <v>91813000</v>
      </c>
    </row>
    <row r="1202" spans="2:8" hidden="1">
      <c r="B1202" s="68" t="str">
        <f>IF(OR($D$3=JU!$F1195,$D$3=JU!$I1195),JU!B1195,"")</f>
        <v/>
      </c>
      <c r="C1202" s="6" t="str">
        <f>IF(OR($D$3=JU!$F1195,$D$3=JU!$I1195),JU!C1195,"")</f>
        <v/>
      </c>
      <c r="D1202" s="73" t="str">
        <f>IF(OR($D$3=JU!$F1195,$D$3=JU!$I1195),JU!D1195,"")</f>
        <v/>
      </c>
      <c r="E1202" s="74" t="str">
        <f>IF(OR($D$3=JU!$F1195,$D$3=JU!$I1195),JU!E1195,"")</f>
        <v/>
      </c>
      <c r="F1202" s="72">
        <f>IF($D$3=JU!F1195,JU!H1195,0)</f>
        <v>0</v>
      </c>
      <c r="G1202" s="72">
        <f>IF($D$3=JU!I1195,JU!K1195,0)</f>
        <v>0</v>
      </c>
      <c r="H1202" s="72">
        <f t="shared" si="19"/>
        <v>91813000</v>
      </c>
    </row>
    <row r="1203" spans="2:8" hidden="1">
      <c r="B1203" s="68" t="str">
        <f>IF(OR($D$3=JU!$F1196,$D$3=JU!$I1196),JU!B1196,"")</f>
        <v/>
      </c>
      <c r="C1203" s="6" t="str">
        <f>IF(OR($D$3=JU!$F1196,$D$3=JU!$I1196),JU!C1196,"")</f>
        <v/>
      </c>
      <c r="D1203" s="73" t="str">
        <f>IF(OR($D$3=JU!$F1196,$D$3=JU!$I1196),JU!D1196,"")</f>
        <v/>
      </c>
      <c r="E1203" s="74" t="str">
        <f>IF(OR($D$3=JU!$F1196,$D$3=JU!$I1196),JU!E1196,"")</f>
        <v/>
      </c>
      <c r="F1203" s="72">
        <f>IF($D$3=JU!F1196,JU!H1196,0)</f>
        <v>0</v>
      </c>
      <c r="G1203" s="72">
        <f>IF($D$3=JU!I1196,JU!K1196,0)</f>
        <v>0</v>
      </c>
      <c r="H1203" s="72">
        <f t="shared" si="19"/>
        <v>91813000</v>
      </c>
    </row>
    <row r="1204" spans="2:8" hidden="1">
      <c r="B1204" s="68" t="str">
        <f>IF(OR($D$3=JU!$F1197,$D$3=JU!$I1197),JU!B1197,"")</f>
        <v/>
      </c>
      <c r="C1204" s="6" t="str">
        <f>IF(OR($D$3=JU!$F1197,$D$3=JU!$I1197),JU!C1197,"")</f>
        <v/>
      </c>
      <c r="D1204" s="73" t="str">
        <f>IF(OR($D$3=JU!$F1197,$D$3=JU!$I1197),JU!D1197,"")</f>
        <v/>
      </c>
      <c r="E1204" s="74" t="str">
        <f>IF(OR($D$3=JU!$F1197,$D$3=JU!$I1197),JU!E1197,"")</f>
        <v/>
      </c>
      <c r="F1204" s="72">
        <f>IF($D$3=JU!F1197,JU!H1197,0)</f>
        <v>0</v>
      </c>
      <c r="G1204" s="72">
        <f>IF($D$3=JU!I1197,JU!K1197,0)</f>
        <v>0</v>
      </c>
      <c r="H1204" s="72">
        <f t="shared" si="19"/>
        <v>91813000</v>
      </c>
    </row>
    <row r="1205" spans="2:8" hidden="1">
      <c r="B1205" s="68" t="str">
        <f>IF(OR($D$3=JU!$F1198,$D$3=JU!$I1198),JU!B1198,"")</f>
        <v/>
      </c>
      <c r="C1205" s="6" t="str">
        <f>IF(OR($D$3=JU!$F1198,$D$3=JU!$I1198),JU!C1198,"")</f>
        <v/>
      </c>
      <c r="D1205" s="73" t="str">
        <f>IF(OR($D$3=JU!$F1198,$D$3=JU!$I1198),JU!D1198,"")</f>
        <v/>
      </c>
      <c r="E1205" s="74" t="str">
        <f>IF(OR($D$3=JU!$F1198,$D$3=JU!$I1198),JU!E1198,"")</f>
        <v/>
      </c>
      <c r="F1205" s="72">
        <f>IF($D$3=JU!F1198,JU!H1198,0)</f>
        <v>0</v>
      </c>
      <c r="G1205" s="72">
        <f>IF($D$3=JU!I1198,JU!K1198,0)</f>
        <v>0</v>
      </c>
      <c r="H1205" s="72">
        <f t="shared" si="19"/>
        <v>91813000</v>
      </c>
    </row>
    <row r="1206" spans="2:8" hidden="1">
      <c r="B1206" s="68" t="str">
        <f>IF(OR($D$3=JU!$F1199,$D$3=JU!$I1199),JU!B1199,"")</f>
        <v/>
      </c>
      <c r="C1206" s="6" t="str">
        <f>IF(OR($D$3=JU!$F1199,$D$3=JU!$I1199),JU!C1199,"")</f>
        <v/>
      </c>
      <c r="D1206" s="73" t="str">
        <f>IF(OR($D$3=JU!$F1199,$D$3=JU!$I1199),JU!D1199,"")</f>
        <v/>
      </c>
      <c r="E1206" s="74" t="str">
        <f>IF(OR($D$3=JU!$F1199,$D$3=JU!$I1199),JU!E1199,"")</f>
        <v/>
      </c>
      <c r="F1206" s="72">
        <f>IF($D$3=JU!F1199,JU!H1199,0)</f>
        <v>0</v>
      </c>
      <c r="G1206" s="72">
        <f>IF($D$3=JU!I1199,JU!K1199,0)</f>
        <v>0</v>
      </c>
      <c r="H1206" s="72">
        <f t="shared" si="19"/>
        <v>91813000</v>
      </c>
    </row>
    <row r="1207" spans="2:8" hidden="1">
      <c r="B1207" s="68" t="str">
        <f>IF(OR($D$3=JU!$F1200,$D$3=JU!$I1200),JU!B1200,"")</f>
        <v/>
      </c>
      <c r="C1207" s="6" t="str">
        <f>IF(OR($D$3=JU!$F1200,$D$3=JU!$I1200),JU!C1200,"")</f>
        <v/>
      </c>
      <c r="D1207" s="73" t="str">
        <f>IF(OR($D$3=JU!$F1200,$D$3=JU!$I1200),JU!D1200,"")</f>
        <v/>
      </c>
      <c r="E1207" s="74" t="str">
        <f>IF(OR($D$3=JU!$F1200,$D$3=JU!$I1200),JU!E1200,"")</f>
        <v/>
      </c>
      <c r="F1207" s="72">
        <f>IF($D$3=JU!F1200,JU!H1200,0)</f>
        <v>0</v>
      </c>
      <c r="G1207" s="72">
        <f>IF($D$3=JU!I1200,JU!K1200,0)</f>
        <v>0</v>
      </c>
      <c r="H1207" s="72">
        <f t="shared" si="19"/>
        <v>91813000</v>
      </c>
    </row>
    <row r="1208" spans="2:8" hidden="1">
      <c r="B1208" s="68" t="str">
        <f>IF(OR($D$3=JU!$F1201,$D$3=JU!$I1201),JU!B1201,"")</f>
        <v/>
      </c>
      <c r="C1208" s="6" t="str">
        <f>IF(OR($D$3=JU!$F1201,$D$3=JU!$I1201),JU!C1201,"")</f>
        <v/>
      </c>
      <c r="D1208" s="73" t="str">
        <f>IF(OR($D$3=JU!$F1201,$D$3=JU!$I1201),JU!D1201,"")</f>
        <v/>
      </c>
      <c r="E1208" s="74" t="str">
        <f>IF(OR($D$3=JU!$F1201,$D$3=JU!$I1201),JU!E1201,"")</f>
        <v/>
      </c>
      <c r="F1208" s="72">
        <f>IF($D$3=JU!F1201,JU!H1201,0)</f>
        <v>0</v>
      </c>
      <c r="G1208" s="72">
        <f>IF($D$3=JU!I1201,JU!K1201,0)</f>
        <v>0</v>
      </c>
      <c r="H1208" s="72">
        <f t="shared" si="19"/>
        <v>91813000</v>
      </c>
    </row>
    <row r="1209" spans="2:8" hidden="1">
      <c r="B1209" s="68" t="str">
        <f>IF(OR($D$3=JU!$F1202,$D$3=JU!$I1202),JU!B1202,"")</f>
        <v/>
      </c>
      <c r="C1209" s="6" t="str">
        <f>IF(OR($D$3=JU!$F1202,$D$3=JU!$I1202),JU!C1202,"")</f>
        <v/>
      </c>
      <c r="D1209" s="73" t="str">
        <f>IF(OR($D$3=JU!$F1202,$D$3=JU!$I1202),JU!D1202,"")</f>
        <v/>
      </c>
      <c r="E1209" s="74" t="str">
        <f>IF(OR($D$3=JU!$F1202,$D$3=JU!$I1202),JU!E1202,"")</f>
        <v/>
      </c>
      <c r="F1209" s="72">
        <f>IF($D$3=JU!F1202,JU!H1202,0)</f>
        <v>0</v>
      </c>
      <c r="G1209" s="72">
        <f>IF($D$3=JU!I1202,JU!K1202,0)</f>
        <v>0</v>
      </c>
      <c r="H1209" s="72">
        <f t="shared" si="19"/>
        <v>91813000</v>
      </c>
    </row>
    <row r="1210" spans="2:8" hidden="1">
      <c r="B1210" s="68" t="str">
        <f>IF(OR($D$3=JU!$F1203,$D$3=JU!$I1203),JU!B1203,"")</f>
        <v/>
      </c>
      <c r="C1210" s="6" t="str">
        <f>IF(OR($D$3=JU!$F1203,$D$3=JU!$I1203),JU!C1203,"")</f>
        <v/>
      </c>
      <c r="D1210" s="73" t="str">
        <f>IF(OR($D$3=JU!$F1203,$D$3=JU!$I1203),JU!D1203,"")</f>
        <v/>
      </c>
      <c r="E1210" s="74" t="str">
        <f>IF(OR($D$3=JU!$F1203,$D$3=JU!$I1203),JU!E1203,"")</f>
        <v/>
      </c>
      <c r="F1210" s="72">
        <f>IF($D$3=JU!F1203,JU!H1203,0)</f>
        <v>0</v>
      </c>
      <c r="G1210" s="72">
        <f>IF($D$3=JU!I1203,JU!K1203,0)</f>
        <v>0</v>
      </c>
      <c r="H1210" s="72">
        <f t="shared" si="19"/>
        <v>91813000</v>
      </c>
    </row>
    <row r="1211" spans="2:8" hidden="1">
      <c r="B1211" s="68" t="str">
        <f>IF(OR($D$3=JU!$F1204,$D$3=JU!$I1204),JU!B1204,"")</f>
        <v/>
      </c>
      <c r="C1211" s="6" t="str">
        <f>IF(OR($D$3=JU!$F1204,$D$3=JU!$I1204),JU!C1204,"")</f>
        <v/>
      </c>
      <c r="D1211" s="73" t="str">
        <f>IF(OR($D$3=JU!$F1204,$D$3=JU!$I1204),JU!D1204,"")</f>
        <v/>
      </c>
      <c r="E1211" s="74" t="str">
        <f>IF(OR($D$3=JU!$F1204,$D$3=JU!$I1204),JU!E1204,"")</f>
        <v/>
      </c>
      <c r="F1211" s="72">
        <f>IF($D$3=JU!F1204,JU!H1204,0)</f>
        <v>0</v>
      </c>
      <c r="G1211" s="72">
        <f>IF($D$3=JU!I1204,JU!K1204,0)</f>
        <v>0</v>
      </c>
      <c r="H1211" s="72">
        <f t="shared" si="19"/>
        <v>91813000</v>
      </c>
    </row>
    <row r="1212" spans="2:8" hidden="1">
      <c r="B1212" s="68" t="str">
        <f>IF(OR($D$3=JU!$F1205,$D$3=JU!$I1205),JU!B1205,"")</f>
        <v/>
      </c>
      <c r="C1212" s="6" t="str">
        <f>IF(OR($D$3=JU!$F1205,$D$3=JU!$I1205),JU!C1205,"")</f>
        <v/>
      </c>
      <c r="D1212" s="73" t="str">
        <f>IF(OR($D$3=JU!$F1205,$D$3=JU!$I1205),JU!D1205,"")</f>
        <v/>
      </c>
      <c r="E1212" s="74" t="str">
        <f>IF(OR($D$3=JU!$F1205,$D$3=JU!$I1205),JU!E1205,"")</f>
        <v/>
      </c>
      <c r="F1212" s="72">
        <f>IF($D$3=JU!F1205,JU!H1205,0)</f>
        <v>0</v>
      </c>
      <c r="G1212" s="72">
        <f>IF($D$3=JU!I1205,JU!K1205,0)</f>
        <v>0</v>
      </c>
      <c r="H1212" s="72">
        <f t="shared" si="19"/>
        <v>91813000</v>
      </c>
    </row>
    <row r="1213" spans="2:8" hidden="1">
      <c r="B1213" s="68" t="str">
        <f>IF(OR($D$3=JU!$F1206,$D$3=JU!$I1206),JU!B1206,"")</f>
        <v/>
      </c>
      <c r="C1213" s="6" t="str">
        <f>IF(OR($D$3=JU!$F1206,$D$3=JU!$I1206),JU!C1206,"")</f>
        <v/>
      </c>
      <c r="D1213" s="73" t="str">
        <f>IF(OR($D$3=JU!$F1206,$D$3=JU!$I1206),JU!D1206,"")</f>
        <v/>
      </c>
      <c r="E1213" s="74" t="str">
        <f>IF(OR($D$3=JU!$F1206,$D$3=JU!$I1206),JU!E1206,"")</f>
        <v/>
      </c>
      <c r="F1213" s="72">
        <f>IF($D$3=JU!F1206,JU!H1206,0)</f>
        <v>0</v>
      </c>
      <c r="G1213" s="72">
        <f>IF($D$3=JU!I1206,JU!K1206,0)</f>
        <v>0</v>
      </c>
      <c r="H1213" s="72">
        <f t="shared" si="19"/>
        <v>91813000</v>
      </c>
    </row>
    <row r="1214" spans="2:8" hidden="1">
      <c r="B1214" s="68" t="str">
        <f>IF(OR($D$3=JU!$F1207,$D$3=JU!$I1207),JU!B1207,"")</f>
        <v/>
      </c>
      <c r="C1214" s="6" t="str">
        <f>IF(OR($D$3=JU!$F1207,$D$3=JU!$I1207),JU!C1207,"")</f>
        <v/>
      </c>
      <c r="D1214" s="73" t="str">
        <f>IF(OR($D$3=JU!$F1207,$D$3=JU!$I1207),JU!D1207,"")</f>
        <v/>
      </c>
      <c r="E1214" s="74" t="str">
        <f>IF(OR($D$3=JU!$F1207,$D$3=JU!$I1207),JU!E1207,"")</f>
        <v/>
      </c>
      <c r="F1214" s="72">
        <f>IF($D$3=JU!F1207,JU!H1207,0)</f>
        <v>0</v>
      </c>
      <c r="G1214" s="72">
        <f>IF($D$3=JU!I1207,JU!K1207,0)</f>
        <v>0</v>
      </c>
      <c r="H1214" s="72">
        <f t="shared" si="19"/>
        <v>91813000</v>
      </c>
    </row>
    <row r="1215" spans="2:8" hidden="1">
      <c r="B1215" s="68" t="str">
        <f>IF(OR($D$3=JU!$F1208,$D$3=JU!$I1208),JU!B1208,"")</f>
        <v/>
      </c>
      <c r="C1215" s="6" t="str">
        <f>IF(OR($D$3=JU!$F1208,$D$3=JU!$I1208),JU!C1208,"")</f>
        <v/>
      </c>
      <c r="D1215" s="73" t="str">
        <f>IF(OR($D$3=JU!$F1208,$D$3=JU!$I1208),JU!D1208,"")</f>
        <v/>
      </c>
      <c r="E1215" s="74" t="str">
        <f>IF(OR($D$3=JU!$F1208,$D$3=JU!$I1208),JU!E1208,"")</f>
        <v/>
      </c>
      <c r="F1215" s="72">
        <f>IF($D$3=JU!F1208,JU!H1208,0)</f>
        <v>0</v>
      </c>
      <c r="G1215" s="72">
        <f>IF($D$3=JU!I1208,JU!K1208,0)</f>
        <v>0</v>
      </c>
      <c r="H1215" s="72">
        <f t="shared" si="19"/>
        <v>91813000</v>
      </c>
    </row>
    <row r="1216" spans="2:8" hidden="1">
      <c r="B1216" s="68" t="str">
        <f>IF(OR($D$3=JU!$F1209,$D$3=JU!$I1209),JU!B1209,"")</f>
        <v/>
      </c>
      <c r="C1216" s="6" t="str">
        <f>IF(OR($D$3=JU!$F1209,$D$3=JU!$I1209),JU!C1209,"")</f>
        <v/>
      </c>
      <c r="D1216" s="73" t="str">
        <f>IF(OR($D$3=JU!$F1209,$D$3=JU!$I1209),JU!D1209,"")</f>
        <v/>
      </c>
      <c r="E1216" s="74" t="str">
        <f>IF(OR($D$3=JU!$F1209,$D$3=JU!$I1209),JU!E1209,"")</f>
        <v/>
      </c>
      <c r="F1216" s="72">
        <f>IF($D$3=JU!F1209,JU!H1209,0)</f>
        <v>0</v>
      </c>
      <c r="G1216" s="72">
        <f>IF($D$3=JU!I1209,JU!K1209,0)</f>
        <v>0</v>
      </c>
      <c r="H1216" s="72">
        <f t="shared" si="19"/>
        <v>91813000</v>
      </c>
    </row>
    <row r="1217" spans="2:8" hidden="1">
      <c r="B1217" s="68" t="str">
        <f>IF(OR($D$3=JU!$F1210,$D$3=JU!$I1210),JU!B1210,"")</f>
        <v/>
      </c>
      <c r="C1217" s="6" t="str">
        <f>IF(OR($D$3=JU!$F1210,$D$3=JU!$I1210),JU!C1210,"")</f>
        <v/>
      </c>
      <c r="D1217" s="73" t="str">
        <f>IF(OR($D$3=JU!$F1210,$D$3=JU!$I1210),JU!D1210,"")</f>
        <v/>
      </c>
      <c r="E1217" s="74" t="str">
        <f>IF(OR($D$3=JU!$F1210,$D$3=JU!$I1210),JU!E1210,"")</f>
        <v/>
      </c>
      <c r="F1217" s="72">
        <f>IF($D$3=JU!F1210,JU!H1210,0)</f>
        <v>0</v>
      </c>
      <c r="G1217" s="72">
        <f>IF($D$3=JU!I1210,JU!K1210,0)</f>
        <v>0</v>
      </c>
      <c r="H1217" s="72">
        <f t="shared" si="19"/>
        <v>91813000</v>
      </c>
    </row>
    <row r="1218" spans="2:8" hidden="1">
      <c r="B1218" s="68" t="str">
        <f>IF(OR($D$3=JU!$F1211,$D$3=JU!$I1211),JU!B1211,"")</f>
        <v/>
      </c>
      <c r="C1218" s="6" t="str">
        <f>IF(OR($D$3=JU!$F1211,$D$3=JU!$I1211),JU!C1211,"")</f>
        <v/>
      </c>
      <c r="D1218" s="73" t="str">
        <f>IF(OR($D$3=JU!$F1211,$D$3=JU!$I1211),JU!D1211,"")</f>
        <v/>
      </c>
      <c r="E1218" s="74" t="str">
        <f>IF(OR($D$3=JU!$F1211,$D$3=JU!$I1211),JU!E1211,"")</f>
        <v/>
      </c>
      <c r="F1218" s="72">
        <f>IF($D$3=JU!F1211,JU!H1211,0)</f>
        <v>0</v>
      </c>
      <c r="G1218" s="72">
        <f>IF($D$3=JU!I1211,JU!K1211,0)</f>
        <v>0</v>
      </c>
      <c r="H1218" s="72">
        <f t="shared" si="19"/>
        <v>91813000</v>
      </c>
    </row>
    <row r="1219" spans="2:8" hidden="1">
      <c r="B1219" s="68" t="str">
        <f>IF(OR($D$3=JU!$F1212,$D$3=JU!$I1212),JU!B1212,"")</f>
        <v/>
      </c>
      <c r="C1219" s="6" t="str">
        <f>IF(OR($D$3=JU!$F1212,$D$3=JU!$I1212),JU!C1212,"")</f>
        <v/>
      </c>
      <c r="D1219" s="73" t="str">
        <f>IF(OR($D$3=JU!$F1212,$D$3=JU!$I1212),JU!D1212,"")</f>
        <v/>
      </c>
      <c r="E1219" s="74" t="str">
        <f>IF(OR($D$3=JU!$F1212,$D$3=JU!$I1212),JU!E1212,"")</f>
        <v/>
      </c>
      <c r="F1219" s="72">
        <f>IF($D$3=JU!F1212,JU!H1212,0)</f>
        <v>0</v>
      </c>
      <c r="G1219" s="72">
        <f>IF($D$3=JU!I1212,JU!K1212,0)</f>
        <v>0</v>
      </c>
      <c r="H1219" s="72">
        <f t="shared" si="19"/>
        <v>91813000</v>
      </c>
    </row>
    <row r="1220" spans="2:8" hidden="1">
      <c r="B1220" s="68" t="str">
        <f>IF(OR($D$3=JU!$F1213,$D$3=JU!$I1213),JU!B1213,"")</f>
        <v/>
      </c>
      <c r="C1220" s="6" t="str">
        <f>IF(OR($D$3=JU!$F1213,$D$3=JU!$I1213),JU!C1213,"")</f>
        <v/>
      </c>
      <c r="D1220" s="73" t="str">
        <f>IF(OR($D$3=JU!$F1213,$D$3=JU!$I1213),JU!D1213,"")</f>
        <v/>
      </c>
      <c r="E1220" s="74" t="str">
        <f>IF(OR($D$3=JU!$F1213,$D$3=JU!$I1213),JU!E1213,"")</f>
        <v/>
      </c>
      <c r="F1220" s="72">
        <f>IF($D$3=JU!F1213,JU!H1213,0)</f>
        <v>0</v>
      </c>
      <c r="G1220" s="72">
        <f>IF($D$3=JU!I1213,JU!K1213,0)</f>
        <v>0</v>
      </c>
      <c r="H1220" s="72">
        <f t="shared" si="19"/>
        <v>91813000</v>
      </c>
    </row>
    <row r="1221" spans="2:8" hidden="1">
      <c r="B1221" s="68" t="str">
        <f>IF(OR($D$3=JU!$F1214,$D$3=JU!$I1214),JU!B1214,"")</f>
        <v/>
      </c>
      <c r="C1221" s="6" t="str">
        <f>IF(OR($D$3=JU!$F1214,$D$3=JU!$I1214),JU!C1214,"")</f>
        <v/>
      </c>
      <c r="D1221" s="73" t="str">
        <f>IF(OR($D$3=JU!$F1214,$D$3=JU!$I1214),JU!D1214,"")</f>
        <v/>
      </c>
      <c r="E1221" s="74" t="str">
        <f>IF(OR($D$3=JU!$F1214,$D$3=JU!$I1214),JU!E1214,"")</f>
        <v/>
      </c>
      <c r="F1221" s="72">
        <f>IF($D$3=JU!F1214,JU!H1214,0)</f>
        <v>0</v>
      </c>
      <c r="G1221" s="72">
        <f>IF($D$3=JU!I1214,JU!K1214,0)</f>
        <v>0</v>
      </c>
      <c r="H1221" s="72">
        <f t="shared" si="19"/>
        <v>91813000</v>
      </c>
    </row>
    <row r="1222" spans="2:8" hidden="1">
      <c r="B1222" s="68" t="str">
        <f>IF(OR($D$3=JU!$F1215,$D$3=JU!$I1215),JU!B1215,"")</f>
        <v/>
      </c>
      <c r="C1222" s="6" t="str">
        <f>IF(OR($D$3=JU!$F1215,$D$3=JU!$I1215),JU!C1215,"")</f>
        <v/>
      </c>
      <c r="D1222" s="73" t="str">
        <f>IF(OR($D$3=JU!$F1215,$D$3=JU!$I1215),JU!D1215,"")</f>
        <v/>
      </c>
      <c r="E1222" s="74" t="str">
        <f>IF(OR($D$3=JU!$F1215,$D$3=JU!$I1215),JU!E1215,"")</f>
        <v/>
      </c>
      <c r="F1222" s="72">
        <f>IF($D$3=JU!F1215,JU!H1215,0)</f>
        <v>0</v>
      </c>
      <c r="G1222" s="72">
        <f>IF($D$3=JU!I1215,JU!K1215,0)</f>
        <v>0</v>
      </c>
      <c r="H1222" s="72">
        <f t="shared" si="19"/>
        <v>91813000</v>
      </c>
    </row>
    <row r="1223" spans="2:8" hidden="1">
      <c r="B1223" s="68" t="str">
        <f>IF(OR($D$3=JU!$F1216,$D$3=JU!$I1216),JU!B1216,"")</f>
        <v/>
      </c>
      <c r="C1223" s="6" t="str">
        <f>IF(OR($D$3=JU!$F1216,$D$3=JU!$I1216),JU!C1216,"")</f>
        <v/>
      </c>
      <c r="D1223" s="73" t="str">
        <f>IF(OR($D$3=JU!$F1216,$D$3=JU!$I1216),JU!D1216,"")</f>
        <v/>
      </c>
      <c r="E1223" s="74" t="str">
        <f>IF(OR($D$3=JU!$F1216,$D$3=JU!$I1216),JU!E1216,"")</f>
        <v/>
      </c>
      <c r="F1223" s="72">
        <f>IF($D$3=JU!F1216,JU!H1216,0)</f>
        <v>0</v>
      </c>
      <c r="G1223" s="72">
        <f>IF($D$3=JU!I1216,JU!K1216,0)</f>
        <v>0</v>
      </c>
      <c r="H1223" s="72">
        <f t="shared" si="19"/>
        <v>91813000</v>
      </c>
    </row>
    <row r="1224" spans="2:8">
      <c r="B1224" s="68">
        <f>IF(OR($D$3=JU!$F1217,$D$3=JU!$I1217),JU!B1217,"")</f>
        <v>46153</v>
      </c>
      <c r="C1224" s="6" t="str">
        <f>IF(OR($D$3=JU!$F1217,$D$3=JU!$I1217),JU!C1217,"")</f>
        <v>PEMBELIAN TAMBAHAN MATERAI AKAD ARINI ASPIATI TAHAP 3</v>
      </c>
      <c r="D1224" s="73" t="str">
        <f>IF(OR($D$3=JU!$F1217,$D$3=JU!$I1217),JU!D1217,"")</f>
        <v>By. Biaya PEMBELIAN TAMBAHAN MATERAI AKAD ARINI ASPIATI TAHAP 3</v>
      </c>
      <c r="E1224" s="74">
        <f>IF(OR($D$3=JU!$F1217,$D$3=JU!$I1217),JU!E1217,"")</f>
        <v>0</v>
      </c>
      <c r="F1224" s="72">
        <f>IF($D$3=JU!F1217,JU!H1217,0)</f>
        <v>120000</v>
      </c>
      <c r="G1224" s="72">
        <f>IF($D$3=JU!I1217,JU!K1217,0)</f>
        <v>0</v>
      </c>
      <c r="H1224" s="72">
        <f t="shared" si="19"/>
        <v>91933000</v>
      </c>
    </row>
    <row r="1225" spans="2:8" hidden="1">
      <c r="B1225" s="68" t="str">
        <f>IF(OR($D$3=JU!$F1218,$D$3=JU!$I1218),JU!B1218,"")</f>
        <v/>
      </c>
      <c r="C1225" s="6" t="str">
        <f>IF(OR($D$3=JU!$F1218,$D$3=JU!$I1218),JU!C1218,"")</f>
        <v/>
      </c>
      <c r="D1225" s="73" t="str">
        <f>IF(OR($D$3=JU!$F1218,$D$3=JU!$I1218),JU!D1218,"")</f>
        <v/>
      </c>
      <c r="E1225" s="74" t="str">
        <f>IF(OR($D$3=JU!$F1218,$D$3=JU!$I1218),JU!E1218,"")</f>
        <v/>
      </c>
      <c r="F1225" s="72">
        <f>IF($D$3=JU!F1218,JU!H1218,0)</f>
        <v>0</v>
      </c>
      <c r="G1225" s="72">
        <f>IF($D$3=JU!I1218,JU!K1218,0)</f>
        <v>0</v>
      </c>
      <c r="H1225" s="72">
        <f t="shared" si="19"/>
        <v>91933000</v>
      </c>
    </row>
    <row r="1226" spans="2:8" hidden="1">
      <c r="B1226" s="68" t="str">
        <f>IF(OR($D$3=JU!$F1219,$D$3=JU!$I1219),JU!B1219,"")</f>
        <v/>
      </c>
      <c r="C1226" s="6" t="str">
        <f>IF(OR($D$3=JU!$F1219,$D$3=JU!$I1219),JU!C1219,"")</f>
        <v/>
      </c>
      <c r="D1226" s="73" t="str">
        <f>IF(OR($D$3=JU!$F1219,$D$3=JU!$I1219),JU!D1219,"")</f>
        <v/>
      </c>
      <c r="E1226" s="74" t="str">
        <f>IF(OR($D$3=JU!$F1219,$D$3=JU!$I1219),JU!E1219,"")</f>
        <v/>
      </c>
      <c r="F1226" s="72">
        <f>IF($D$3=JU!F1219,JU!H1219,0)</f>
        <v>0</v>
      </c>
      <c r="G1226" s="72">
        <f>IF($D$3=JU!I1219,JU!K1219,0)</f>
        <v>0</v>
      </c>
      <c r="H1226" s="72">
        <f t="shared" si="19"/>
        <v>91933000</v>
      </c>
    </row>
    <row r="1227" spans="2:8" hidden="1">
      <c r="B1227" s="68" t="str">
        <f>IF(OR($D$3=JU!$F1220,$D$3=JU!$I1220),JU!B1220,"")</f>
        <v/>
      </c>
      <c r="C1227" s="6" t="str">
        <f>IF(OR($D$3=JU!$F1220,$D$3=JU!$I1220),JU!C1220,"")</f>
        <v/>
      </c>
      <c r="D1227" s="73" t="str">
        <f>IF(OR($D$3=JU!$F1220,$D$3=JU!$I1220),JU!D1220,"")</f>
        <v/>
      </c>
      <c r="E1227" s="74" t="str">
        <f>IF(OR($D$3=JU!$F1220,$D$3=JU!$I1220),JU!E1220,"")</f>
        <v/>
      </c>
      <c r="F1227" s="72">
        <f>IF($D$3=JU!F1220,JU!H1220,0)</f>
        <v>0</v>
      </c>
      <c r="G1227" s="72">
        <f>IF($D$3=JU!I1220,JU!K1220,0)</f>
        <v>0</v>
      </c>
      <c r="H1227" s="72">
        <f t="shared" si="19"/>
        <v>91933000</v>
      </c>
    </row>
    <row r="1228" spans="2:8" hidden="1">
      <c r="B1228" s="68" t="str">
        <f>IF(OR($D$3=JU!$F1221,$D$3=JU!$I1221),JU!B1221,"")</f>
        <v/>
      </c>
      <c r="C1228" s="6" t="str">
        <f>IF(OR($D$3=JU!$F1221,$D$3=JU!$I1221),JU!C1221,"")</f>
        <v/>
      </c>
      <c r="D1228" s="73" t="str">
        <f>IF(OR($D$3=JU!$F1221,$D$3=JU!$I1221),JU!D1221,"")</f>
        <v/>
      </c>
      <c r="E1228" s="74" t="str">
        <f>IF(OR($D$3=JU!$F1221,$D$3=JU!$I1221),JU!E1221,"")</f>
        <v/>
      </c>
      <c r="F1228" s="72">
        <f>IF($D$3=JU!F1221,JU!H1221,0)</f>
        <v>0</v>
      </c>
      <c r="G1228" s="72">
        <f>IF($D$3=JU!I1221,JU!K1221,0)</f>
        <v>0</v>
      </c>
      <c r="H1228" s="72">
        <f t="shared" si="19"/>
        <v>91933000</v>
      </c>
    </row>
    <row r="1229" spans="2:8" hidden="1">
      <c r="B1229" s="68" t="str">
        <f>IF(OR($D$3=JU!$F1222,$D$3=JU!$I1222),JU!B1222,"")</f>
        <v/>
      </c>
      <c r="C1229" s="6" t="str">
        <f>IF(OR($D$3=JU!$F1222,$D$3=JU!$I1222),JU!C1222,"")</f>
        <v/>
      </c>
      <c r="D1229" s="73" t="str">
        <f>IF(OR($D$3=JU!$F1222,$D$3=JU!$I1222),JU!D1222,"")</f>
        <v/>
      </c>
      <c r="E1229" s="74" t="str">
        <f>IF(OR($D$3=JU!$F1222,$D$3=JU!$I1222),JU!E1222,"")</f>
        <v/>
      </c>
      <c r="F1229" s="72">
        <f>IF($D$3=JU!F1222,JU!H1222,0)</f>
        <v>0</v>
      </c>
      <c r="G1229" s="72">
        <f>IF($D$3=JU!I1222,JU!K1222,0)</f>
        <v>0</v>
      </c>
      <c r="H1229" s="72">
        <f t="shared" si="19"/>
        <v>91933000</v>
      </c>
    </row>
    <row r="1230" spans="2:8" hidden="1">
      <c r="B1230" s="68" t="str">
        <f>IF(OR($D$3=JU!$F1223,$D$3=JU!$I1223),JU!B1223,"")</f>
        <v/>
      </c>
      <c r="C1230" s="6" t="str">
        <f>IF(OR($D$3=JU!$F1223,$D$3=JU!$I1223),JU!C1223,"")</f>
        <v/>
      </c>
      <c r="D1230" s="73" t="str">
        <f>IF(OR($D$3=JU!$F1223,$D$3=JU!$I1223),JU!D1223,"")</f>
        <v/>
      </c>
      <c r="E1230" s="74" t="str">
        <f>IF(OR($D$3=JU!$F1223,$D$3=JU!$I1223),JU!E1223,"")</f>
        <v/>
      </c>
      <c r="F1230" s="72">
        <f>IF($D$3=JU!F1223,JU!H1223,0)</f>
        <v>0</v>
      </c>
      <c r="G1230" s="72">
        <f>IF($D$3=JU!I1223,JU!K1223,0)</f>
        <v>0</v>
      </c>
      <c r="H1230" s="72">
        <f t="shared" ref="H1230:H1293" si="20">IF($H$7="DEBET",H1229+F1230-G1230,H1229+G1230-F1230)</f>
        <v>91933000</v>
      </c>
    </row>
    <row r="1231" spans="2:8" hidden="1">
      <c r="B1231" s="68" t="str">
        <f>IF(OR($D$3=JU!$F1224,$D$3=JU!$I1224),JU!B1224,"")</f>
        <v/>
      </c>
      <c r="C1231" s="6" t="str">
        <f>IF(OR($D$3=JU!$F1224,$D$3=JU!$I1224),JU!C1224,"")</f>
        <v/>
      </c>
      <c r="D1231" s="73" t="str">
        <f>IF(OR($D$3=JU!$F1224,$D$3=JU!$I1224),JU!D1224,"")</f>
        <v/>
      </c>
      <c r="E1231" s="74" t="str">
        <f>IF(OR($D$3=JU!$F1224,$D$3=JU!$I1224),JU!E1224,"")</f>
        <v/>
      </c>
      <c r="F1231" s="72">
        <f>IF($D$3=JU!F1224,JU!H1224,0)</f>
        <v>0</v>
      </c>
      <c r="G1231" s="72">
        <f>IF($D$3=JU!I1224,JU!K1224,0)</f>
        <v>0</v>
      </c>
      <c r="H1231" s="72">
        <f t="shared" si="20"/>
        <v>91933000</v>
      </c>
    </row>
    <row r="1232" spans="2:8" hidden="1">
      <c r="B1232" s="68" t="str">
        <f>IF(OR($D$3=JU!$F1225,$D$3=JU!$I1225),JU!B1225,"")</f>
        <v/>
      </c>
      <c r="C1232" s="6" t="str">
        <f>IF(OR($D$3=JU!$F1225,$D$3=JU!$I1225),JU!C1225,"")</f>
        <v/>
      </c>
      <c r="D1232" s="73" t="str">
        <f>IF(OR($D$3=JU!$F1225,$D$3=JU!$I1225),JU!D1225,"")</f>
        <v/>
      </c>
      <c r="E1232" s="74" t="str">
        <f>IF(OR($D$3=JU!$F1225,$D$3=JU!$I1225),JU!E1225,"")</f>
        <v/>
      </c>
      <c r="F1232" s="72">
        <f>IF($D$3=JU!F1225,JU!H1225,0)</f>
        <v>0</v>
      </c>
      <c r="G1232" s="72">
        <f>IF($D$3=JU!I1225,JU!K1225,0)</f>
        <v>0</v>
      </c>
      <c r="H1232" s="72">
        <f t="shared" si="20"/>
        <v>91933000</v>
      </c>
    </row>
    <row r="1233" spans="2:8" hidden="1">
      <c r="B1233" s="68" t="str">
        <f>IF(OR($D$3=JU!$F1226,$D$3=JU!$I1226),JU!B1226,"")</f>
        <v/>
      </c>
      <c r="C1233" s="6" t="str">
        <f>IF(OR($D$3=JU!$F1226,$D$3=JU!$I1226),JU!C1226,"")</f>
        <v/>
      </c>
      <c r="D1233" s="73" t="str">
        <f>IF(OR($D$3=JU!$F1226,$D$3=JU!$I1226),JU!D1226,"")</f>
        <v/>
      </c>
      <c r="E1233" s="74" t="str">
        <f>IF(OR($D$3=JU!$F1226,$D$3=JU!$I1226),JU!E1226,"")</f>
        <v/>
      </c>
      <c r="F1233" s="72">
        <f>IF($D$3=JU!F1226,JU!H1226,0)</f>
        <v>0</v>
      </c>
      <c r="G1233" s="72">
        <f>IF($D$3=JU!I1226,JU!K1226,0)</f>
        <v>0</v>
      </c>
      <c r="H1233" s="72">
        <f t="shared" si="20"/>
        <v>91933000</v>
      </c>
    </row>
    <row r="1234" spans="2:8" hidden="1">
      <c r="B1234" s="68" t="str">
        <f>IF(OR($D$3=JU!$F1227,$D$3=JU!$I1227),JU!B1227,"")</f>
        <v/>
      </c>
      <c r="C1234" s="6" t="str">
        <f>IF(OR($D$3=JU!$F1227,$D$3=JU!$I1227),JU!C1227,"")</f>
        <v/>
      </c>
      <c r="D1234" s="73" t="str">
        <f>IF(OR($D$3=JU!$F1227,$D$3=JU!$I1227),JU!D1227,"")</f>
        <v/>
      </c>
      <c r="E1234" s="74" t="str">
        <f>IF(OR($D$3=JU!$F1227,$D$3=JU!$I1227),JU!E1227,"")</f>
        <v/>
      </c>
      <c r="F1234" s="72">
        <f>IF($D$3=JU!F1227,JU!H1227,0)</f>
        <v>0</v>
      </c>
      <c r="G1234" s="72">
        <f>IF($D$3=JU!I1227,JU!K1227,0)</f>
        <v>0</v>
      </c>
      <c r="H1234" s="72">
        <f t="shared" si="20"/>
        <v>91933000</v>
      </c>
    </row>
    <row r="1235" spans="2:8" hidden="1">
      <c r="B1235" s="68" t="str">
        <f>IF(OR($D$3=JU!$F1228,$D$3=JU!$I1228),JU!B1228,"")</f>
        <v/>
      </c>
      <c r="C1235" s="6" t="str">
        <f>IF(OR($D$3=JU!$F1228,$D$3=JU!$I1228),JU!C1228,"")</f>
        <v/>
      </c>
      <c r="D1235" s="73" t="str">
        <f>IF(OR($D$3=JU!$F1228,$D$3=JU!$I1228),JU!D1228,"")</f>
        <v/>
      </c>
      <c r="E1235" s="74" t="str">
        <f>IF(OR($D$3=JU!$F1228,$D$3=JU!$I1228),JU!E1228,"")</f>
        <v/>
      </c>
      <c r="F1235" s="72">
        <f>IF($D$3=JU!F1228,JU!H1228,0)</f>
        <v>0</v>
      </c>
      <c r="G1235" s="72">
        <f>IF($D$3=JU!I1228,JU!K1228,0)</f>
        <v>0</v>
      </c>
      <c r="H1235" s="72">
        <f t="shared" si="20"/>
        <v>91933000</v>
      </c>
    </row>
    <row r="1236" spans="2:8" hidden="1">
      <c r="B1236" s="68" t="str">
        <f>IF(OR($D$3=JU!$F1229,$D$3=JU!$I1229),JU!B1229,"")</f>
        <v/>
      </c>
      <c r="C1236" s="6" t="str">
        <f>IF(OR($D$3=JU!$F1229,$D$3=JU!$I1229),JU!C1229,"")</f>
        <v/>
      </c>
      <c r="D1236" s="73" t="str">
        <f>IF(OR($D$3=JU!$F1229,$D$3=JU!$I1229),JU!D1229,"")</f>
        <v/>
      </c>
      <c r="E1236" s="74" t="str">
        <f>IF(OR($D$3=JU!$F1229,$D$3=JU!$I1229),JU!E1229,"")</f>
        <v/>
      </c>
      <c r="F1236" s="72">
        <f>IF($D$3=JU!F1229,JU!H1229,0)</f>
        <v>0</v>
      </c>
      <c r="G1236" s="72">
        <f>IF($D$3=JU!I1229,JU!K1229,0)</f>
        <v>0</v>
      </c>
      <c r="H1236" s="72">
        <f t="shared" si="20"/>
        <v>91933000</v>
      </c>
    </row>
    <row r="1237" spans="2:8" hidden="1">
      <c r="B1237" s="68" t="str">
        <f>IF(OR($D$3=JU!$F1230,$D$3=JU!$I1230),JU!B1230,"")</f>
        <v/>
      </c>
      <c r="C1237" s="6" t="str">
        <f>IF(OR($D$3=JU!$F1230,$D$3=JU!$I1230),JU!C1230,"")</f>
        <v/>
      </c>
      <c r="D1237" s="73" t="str">
        <f>IF(OR($D$3=JU!$F1230,$D$3=JU!$I1230),JU!D1230,"")</f>
        <v/>
      </c>
      <c r="E1237" s="74" t="str">
        <f>IF(OR($D$3=JU!$F1230,$D$3=JU!$I1230),JU!E1230,"")</f>
        <v/>
      </c>
      <c r="F1237" s="72">
        <f>IF($D$3=JU!F1230,JU!H1230,0)</f>
        <v>0</v>
      </c>
      <c r="G1237" s="72">
        <f>IF($D$3=JU!I1230,JU!K1230,0)</f>
        <v>0</v>
      </c>
      <c r="H1237" s="72">
        <f t="shared" si="20"/>
        <v>91933000</v>
      </c>
    </row>
    <row r="1238" spans="2:8">
      <c r="B1238" s="68">
        <f>IF(OR($D$3=JU!$F1231,$D$3=JU!$I1231),JU!B1231,"")</f>
        <v>46154</v>
      </c>
      <c r="C1238" s="6" t="str">
        <f>IF(OR($D$3=JU!$F1231,$D$3=JU!$I1231),JU!C1231,"")</f>
        <v xml:space="preserve">BIAYA NOTARIS AKAD BLOK  E26, D17, E6, E9, E10, E28, E34 TAHAP 3 </v>
      </c>
      <c r="D1238" s="73" t="str">
        <f>IF(OR($D$3=JU!$F1231,$D$3=JU!$I1231),JU!D1231,"")</f>
        <v xml:space="preserve">By. Biaya BIAYA NOTARIS AKAD BLOK  E26, D17, E6, E9, E10, E28, E34 TAHAP 3 </v>
      </c>
      <c r="E1238" s="74">
        <f>IF(OR($D$3=JU!$F1231,$D$3=JU!$I1231),JU!E1231,"")</f>
        <v>0</v>
      </c>
      <c r="F1238" s="72">
        <f>IF($D$3=JU!F1231,JU!H1231,0)</f>
        <v>28000000</v>
      </c>
      <c r="G1238" s="72">
        <f>IF($D$3=JU!I1231,JU!K1231,0)</f>
        <v>0</v>
      </c>
      <c r="H1238" s="72">
        <f t="shared" si="20"/>
        <v>119933000</v>
      </c>
    </row>
    <row r="1239" spans="2:8">
      <c r="B1239" s="68">
        <f>IF(OR($D$3=JU!$F1232,$D$3=JU!$I1232),JU!B1232,"")</f>
        <v>46154</v>
      </c>
      <c r="C1239" s="6" t="str">
        <f>IF(OR($D$3=JU!$F1232,$D$3=JU!$I1232),JU!C1232,"")</f>
        <v xml:space="preserve">BIAYA NOTARIS AKAD BLOK  E3 DAN E31 TAHAP 3 </v>
      </c>
      <c r="D1239" s="73" t="str">
        <f>IF(OR($D$3=JU!$F1232,$D$3=JU!$I1232),JU!D1232,"")</f>
        <v xml:space="preserve">By. Biaya BIAYA NOTARIS AKAD BLOK  E3 DAN E31 TAHAP 3 </v>
      </c>
      <c r="E1239" s="74">
        <f>IF(OR($D$3=JU!$F1232,$D$3=JU!$I1232),JU!E1232,"")</f>
        <v>0</v>
      </c>
      <c r="F1239" s="72">
        <f>IF($D$3=JU!F1232,JU!H1232,0)</f>
        <v>8000000</v>
      </c>
      <c r="G1239" s="72">
        <f>IF($D$3=JU!I1232,JU!K1232,0)</f>
        <v>0</v>
      </c>
      <c r="H1239" s="72">
        <f t="shared" si="20"/>
        <v>127933000</v>
      </c>
    </row>
    <row r="1240" spans="2:8">
      <c r="B1240" s="68">
        <f>IF(OR($D$3=JU!$F1233,$D$3=JU!$I1233),JU!B1233,"")</f>
        <v>46154</v>
      </c>
      <c r="C1240" s="6" t="str">
        <f>IF(OR($D$3=JU!$F1233,$D$3=JU!$I1233),JU!C1233,"")</f>
        <v>BIAYA NOTARIS AKAD BLOK  D18 TAHAP 3 NURASIA</v>
      </c>
      <c r="D1240" s="73" t="str">
        <f>IF(OR($D$3=JU!$F1233,$D$3=JU!$I1233),JU!D1233,"")</f>
        <v>By. Biaya BIAYA NOTARIS AKAD BLOK  D18 TAHAP 3 NURASIA</v>
      </c>
      <c r="E1240" s="74">
        <f>IF(OR($D$3=JU!$F1233,$D$3=JU!$I1233),JU!E1233,"")</f>
        <v>0</v>
      </c>
      <c r="F1240" s="72">
        <f>IF($D$3=JU!F1233,JU!H1233,0)</f>
        <v>4000000</v>
      </c>
      <c r="G1240" s="72">
        <f>IF($D$3=JU!I1233,JU!K1233,0)</f>
        <v>0</v>
      </c>
      <c r="H1240" s="72">
        <f t="shared" si="20"/>
        <v>131933000</v>
      </c>
    </row>
    <row r="1241" spans="2:8" hidden="1">
      <c r="B1241" s="68" t="str">
        <f>IF(OR($D$3=JU!$F1234,$D$3=JU!$I1234),JU!B1234,"")</f>
        <v/>
      </c>
      <c r="C1241" s="6" t="str">
        <f>IF(OR($D$3=JU!$F1234,$D$3=JU!$I1234),JU!C1234,"")</f>
        <v/>
      </c>
      <c r="D1241" s="73" t="str">
        <f>IF(OR($D$3=JU!$F1234,$D$3=JU!$I1234),JU!D1234,"")</f>
        <v/>
      </c>
      <c r="E1241" s="74" t="str">
        <f>IF(OR($D$3=JU!$F1234,$D$3=JU!$I1234),JU!E1234,"")</f>
        <v/>
      </c>
      <c r="F1241" s="72">
        <f>IF($D$3=JU!F1234,JU!H1234,0)</f>
        <v>0</v>
      </c>
      <c r="G1241" s="72">
        <f>IF($D$3=JU!I1234,JU!K1234,0)</f>
        <v>0</v>
      </c>
      <c r="H1241" s="72">
        <f t="shared" si="20"/>
        <v>131933000</v>
      </c>
    </row>
    <row r="1242" spans="2:8" hidden="1">
      <c r="B1242" s="68" t="str">
        <f>IF(OR($D$3=JU!$F1235,$D$3=JU!$I1235),JU!B1235,"")</f>
        <v/>
      </c>
      <c r="C1242" s="6" t="str">
        <f>IF(OR($D$3=JU!$F1235,$D$3=JU!$I1235),JU!C1235,"")</f>
        <v/>
      </c>
      <c r="D1242" s="73" t="str">
        <f>IF(OR($D$3=JU!$F1235,$D$3=JU!$I1235),JU!D1235,"")</f>
        <v/>
      </c>
      <c r="E1242" s="74" t="str">
        <f>IF(OR($D$3=JU!$F1235,$D$3=JU!$I1235),JU!E1235,"")</f>
        <v/>
      </c>
      <c r="F1242" s="72">
        <f>IF($D$3=JU!F1235,JU!H1235,0)</f>
        <v>0</v>
      </c>
      <c r="G1242" s="72">
        <f>IF($D$3=JU!I1235,JU!K1235,0)</f>
        <v>0</v>
      </c>
      <c r="H1242" s="72">
        <f t="shared" si="20"/>
        <v>131933000</v>
      </c>
    </row>
    <row r="1243" spans="2:8" hidden="1">
      <c r="B1243" s="68" t="str">
        <f>IF(OR($D$3=JU!$F1236,$D$3=JU!$I1236),JU!B1236,"")</f>
        <v/>
      </c>
      <c r="C1243" s="6" t="str">
        <f>IF(OR($D$3=JU!$F1236,$D$3=JU!$I1236),JU!C1236,"")</f>
        <v/>
      </c>
      <c r="D1243" s="73" t="str">
        <f>IF(OR($D$3=JU!$F1236,$D$3=JU!$I1236),JU!D1236,"")</f>
        <v/>
      </c>
      <c r="E1243" s="74" t="str">
        <f>IF(OR($D$3=JU!$F1236,$D$3=JU!$I1236),JU!E1236,"")</f>
        <v/>
      </c>
      <c r="F1243" s="72">
        <f>IF($D$3=JU!F1236,JU!H1236,0)</f>
        <v>0</v>
      </c>
      <c r="G1243" s="72">
        <f>IF($D$3=JU!I1236,JU!K1236,0)</f>
        <v>0</v>
      </c>
      <c r="H1243" s="72">
        <f t="shared" si="20"/>
        <v>131933000</v>
      </c>
    </row>
    <row r="1244" spans="2:8" hidden="1">
      <c r="B1244" s="68" t="str">
        <f>IF(OR($D$3=JU!$F1237,$D$3=JU!$I1237),JU!B1237,"")</f>
        <v/>
      </c>
      <c r="C1244" s="6" t="str">
        <f>IF(OR($D$3=JU!$F1237,$D$3=JU!$I1237),JU!C1237,"")</f>
        <v/>
      </c>
      <c r="D1244" s="73" t="str">
        <f>IF(OR($D$3=JU!$F1237,$D$3=JU!$I1237),JU!D1237,"")</f>
        <v/>
      </c>
      <c r="E1244" s="74" t="str">
        <f>IF(OR($D$3=JU!$F1237,$D$3=JU!$I1237),JU!E1237,"")</f>
        <v/>
      </c>
      <c r="F1244" s="72">
        <f>IF($D$3=JU!F1237,JU!H1237,0)</f>
        <v>0</v>
      </c>
      <c r="G1244" s="72">
        <f>IF($D$3=JU!I1237,JU!K1237,0)</f>
        <v>0</v>
      </c>
      <c r="H1244" s="72">
        <f t="shared" si="20"/>
        <v>131933000</v>
      </c>
    </row>
    <row r="1245" spans="2:8" hidden="1">
      <c r="B1245" s="68" t="str">
        <f>IF(OR($D$3=JU!$F1238,$D$3=JU!$I1238),JU!B1238,"")</f>
        <v/>
      </c>
      <c r="C1245" s="6" t="str">
        <f>IF(OR($D$3=JU!$F1238,$D$3=JU!$I1238),JU!C1238,"")</f>
        <v/>
      </c>
      <c r="D1245" s="73" t="str">
        <f>IF(OR($D$3=JU!$F1238,$D$3=JU!$I1238),JU!D1238,"")</f>
        <v/>
      </c>
      <c r="E1245" s="74" t="str">
        <f>IF(OR($D$3=JU!$F1238,$D$3=JU!$I1238),JU!E1238,"")</f>
        <v/>
      </c>
      <c r="F1245" s="72">
        <f>IF($D$3=JU!F1238,JU!H1238,0)</f>
        <v>0</v>
      </c>
      <c r="G1245" s="72">
        <f>IF($D$3=JU!I1238,JU!K1238,0)</f>
        <v>0</v>
      </c>
      <c r="H1245" s="72">
        <f t="shared" si="20"/>
        <v>131933000</v>
      </c>
    </row>
    <row r="1246" spans="2:8" hidden="1">
      <c r="B1246" s="68" t="str">
        <f>IF(OR($D$3=JU!$F1239,$D$3=JU!$I1239),JU!B1239,"")</f>
        <v/>
      </c>
      <c r="C1246" s="6" t="str">
        <f>IF(OR($D$3=JU!$F1239,$D$3=JU!$I1239),JU!C1239,"")</f>
        <v/>
      </c>
      <c r="D1246" s="73" t="str">
        <f>IF(OR($D$3=JU!$F1239,$D$3=JU!$I1239),JU!D1239,"")</f>
        <v/>
      </c>
      <c r="E1246" s="74" t="str">
        <f>IF(OR($D$3=JU!$F1239,$D$3=JU!$I1239),JU!E1239,"")</f>
        <v/>
      </c>
      <c r="F1246" s="72">
        <f>IF($D$3=JU!F1239,JU!H1239,0)</f>
        <v>0</v>
      </c>
      <c r="G1246" s="72">
        <f>IF($D$3=JU!I1239,JU!K1239,0)</f>
        <v>0</v>
      </c>
      <c r="H1246" s="72">
        <f t="shared" si="20"/>
        <v>131933000</v>
      </c>
    </row>
    <row r="1247" spans="2:8" hidden="1">
      <c r="B1247" s="68" t="str">
        <f>IF(OR($D$3=JU!$F1240,$D$3=JU!$I1240),JU!B1240,"")</f>
        <v/>
      </c>
      <c r="C1247" s="6" t="str">
        <f>IF(OR($D$3=JU!$F1240,$D$3=JU!$I1240),JU!C1240,"")</f>
        <v/>
      </c>
      <c r="D1247" s="73" t="str">
        <f>IF(OR($D$3=JU!$F1240,$D$3=JU!$I1240),JU!D1240,"")</f>
        <v/>
      </c>
      <c r="E1247" s="74" t="str">
        <f>IF(OR($D$3=JU!$F1240,$D$3=JU!$I1240),JU!E1240,"")</f>
        <v/>
      </c>
      <c r="F1247" s="72">
        <f>IF($D$3=JU!F1240,JU!H1240,0)</f>
        <v>0</v>
      </c>
      <c r="G1247" s="72">
        <f>IF($D$3=JU!I1240,JU!K1240,0)</f>
        <v>0</v>
      </c>
      <c r="H1247" s="72">
        <f t="shared" si="20"/>
        <v>131933000</v>
      </c>
    </row>
    <row r="1248" spans="2:8" hidden="1">
      <c r="B1248" s="68" t="str">
        <f>IF(OR($D$3=JU!$F1241,$D$3=JU!$I1241),JU!B1241,"")</f>
        <v/>
      </c>
      <c r="C1248" s="6" t="str">
        <f>IF(OR($D$3=JU!$F1241,$D$3=JU!$I1241),JU!C1241,"")</f>
        <v/>
      </c>
      <c r="D1248" s="73" t="str">
        <f>IF(OR($D$3=JU!$F1241,$D$3=JU!$I1241),JU!D1241,"")</f>
        <v/>
      </c>
      <c r="E1248" s="74" t="str">
        <f>IF(OR($D$3=JU!$F1241,$D$3=JU!$I1241),JU!E1241,"")</f>
        <v/>
      </c>
      <c r="F1248" s="72">
        <f>IF($D$3=JU!F1241,JU!H1241,0)</f>
        <v>0</v>
      </c>
      <c r="G1248" s="72">
        <f>IF($D$3=JU!I1241,JU!K1241,0)</f>
        <v>0</v>
      </c>
      <c r="H1248" s="72">
        <f t="shared" si="20"/>
        <v>131933000</v>
      </c>
    </row>
    <row r="1249" spans="2:8" hidden="1">
      <c r="B1249" s="68" t="str">
        <f>IF(OR($D$3=JU!$F1242,$D$3=JU!$I1242),JU!B1242,"")</f>
        <v/>
      </c>
      <c r="C1249" s="6" t="str">
        <f>IF(OR($D$3=JU!$F1242,$D$3=JU!$I1242),JU!C1242,"")</f>
        <v/>
      </c>
      <c r="D1249" s="73" t="str">
        <f>IF(OR($D$3=JU!$F1242,$D$3=JU!$I1242),JU!D1242,"")</f>
        <v/>
      </c>
      <c r="E1249" s="74" t="str">
        <f>IF(OR($D$3=JU!$F1242,$D$3=JU!$I1242),JU!E1242,"")</f>
        <v/>
      </c>
      <c r="F1249" s="72">
        <f>IF($D$3=JU!F1242,JU!H1242,0)</f>
        <v>0</v>
      </c>
      <c r="G1249" s="72">
        <f>IF($D$3=JU!I1242,JU!K1242,0)</f>
        <v>0</v>
      </c>
      <c r="H1249" s="72">
        <f t="shared" si="20"/>
        <v>131933000</v>
      </c>
    </row>
    <row r="1250" spans="2:8" hidden="1">
      <c r="B1250" s="68" t="str">
        <f>IF(OR($D$3=JU!$F1243,$D$3=JU!$I1243),JU!B1243,"")</f>
        <v/>
      </c>
      <c r="C1250" s="6" t="str">
        <f>IF(OR($D$3=JU!$F1243,$D$3=JU!$I1243),JU!C1243,"")</f>
        <v/>
      </c>
      <c r="D1250" s="73" t="str">
        <f>IF(OR($D$3=JU!$F1243,$D$3=JU!$I1243),JU!D1243,"")</f>
        <v/>
      </c>
      <c r="E1250" s="74" t="str">
        <f>IF(OR($D$3=JU!$F1243,$D$3=JU!$I1243),JU!E1243,"")</f>
        <v/>
      </c>
      <c r="F1250" s="72">
        <f>IF($D$3=JU!F1243,JU!H1243,0)</f>
        <v>0</v>
      </c>
      <c r="G1250" s="72">
        <f>IF($D$3=JU!I1243,JU!K1243,0)</f>
        <v>0</v>
      </c>
      <c r="H1250" s="72">
        <f t="shared" si="20"/>
        <v>131933000</v>
      </c>
    </row>
    <row r="1251" spans="2:8" hidden="1">
      <c r="B1251" s="68" t="str">
        <f>IF(OR($D$3=JU!$F1244,$D$3=JU!$I1244),JU!B1244,"")</f>
        <v/>
      </c>
      <c r="C1251" s="6" t="str">
        <f>IF(OR($D$3=JU!$F1244,$D$3=JU!$I1244),JU!C1244,"")</f>
        <v/>
      </c>
      <c r="D1251" s="73" t="str">
        <f>IF(OR($D$3=JU!$F1244,$D$3=JU!$I1244),JU!D1244,"")</f>
        <v/>
      </c>
      <c r="E1251" s="74" t="str">
        <f>IF(OR($D$3=JU!$F1244,$D$3=JU!$I1244),JU!E1244,"")</f>
        <v/>
      </c>
      <c r="F1251" s="72">
        <f>IF($D$3=JU!F1244,JU!H1244,0)</f>
        <v>0</v>
      </c>
      <c r="G1251" s="72">
        <f>IF($D$3=JU!I1244,JU!K1244,0)</f>
        <v>0</v>
      </c>
      <c r="H1251" s="72">
        <f t="shared" si="20"/>
        <v>131933000</v>
      </c>
    </row>
    <row r="1252" spans="2:8" hidden="1">
      <c r="B1252" s="68" t="str">
        <f>IF(OR($D$3=JU!$F1245,$D$3=JU!$I1245),JU!B1245,"")</f>
        <v/>
      </c>
      <c r="C1252" s="6" t="str">
        <f>IF(OR($D$3=JU!$F1245,$D$3=JU!$I1245),JU!C1245,"")</f>
        <v/>
      </c>
      <c r="D1252" s="73" t="str">
        <f>IF(OR($D$3=JU!$F1245,$D$3=JU!$I1245),JU!D1245,"")</f>
        <v/>
      </c>
      <c r="E1252" s="74" t="str">
        <f>IF(OR($D$3=JU!$F1245,$D$3=JU!$I1245),JU!E1245,"")</f>
        <v/>
      </c>
      <c r="F1252" s="72">
        <f>IF($D$3=JU!F1245,JU!H1245,0)</f>
        <v>0</v>
      </c>
      <c r="G1252" s="72">
        <f>IF($D$3=JU!I1245,JU!K1245,0)</f>
        <v>0</v>
      </c>
      <c r="H1252" s="72">
        <f t="shared" si="20"/>
        <v>131933000</v>
      </c>
    </row>
    <row r="1253" spans="2:8" hidden="1">
      <c r="B1253" s="68" t="str">
        <f>IF(OR($D$3=JU!$F1246,$D$3=JU!$I1246),JU!B1246,"")</f>
        <v/>
      </c>
      <c r="C1253" s="6" t="str">
        <f>IF(OR($D$3=JU!$F1246,$D$3=JU!$I1246),JU!C1246,"")</f>
        <v/>
      </c>
      <c r="D1253" s="73" t="str">
        <f>IF(OR($D$3=JU!$F1246,$D$3=JU!$I1246),JU!D1246,"")</f>
        <v/>
      </c>
      <c r="E1253" s="74" t="str">
        <f>IF(OR($D$3=JU!$F1246,$D$3=JU!$I1246),JU!E1246,"")</f>
        <v/>
      </c>
      <c r="F1253" s="72">
        <f>IF($D$3=JU!F1246,JU!H1246,0)</f>
        <v>0</v>
      </c>
      <c r="G1253" s="72">
        <f>IF($D$3=JU!I1246,JU!K1246,0)</f>
        <v>0</v>
      </c>
      <c r="H1253" s="72">
        <f t="shared" si="20"/>
        <v>131933000</v>
      </c>
    </row>
    <row r="1254" spans="2:8" hidden="1">
      <c r="B1254" s="68" t="str">
        <f>IF(OR($D$3=JU!$F1247,$D$3=JU!$I1247),JU!B1247,"")</f>
        <v/>
      </c>
      <c r="C1254" s="6" t="str">
        <f>IF(OR($D$3=JU!$F1247,$D$3=JU!$I1247),JU!C1247,"")</f>
        <v/>
      </c>
      <c r="D1254" s="73" t="str">
        <f>IF(OR($D$3=JU!$F1247,$D$3=JU!$I1247),JU!D1247,"")</f>
        <v/>
      </c>
      <c r="E1254" s="74" t="str">
        <f>IF(OR($D$3=JU!$F1247,$D$3=JU!$I1247),JU!E1247,"")</f>
        <v/>
      </c>
      <c r="F1254" s="72">
        <f>IF($D$3=JU!F1247,JU!H1247,0)</f>
        <v>0</v>
      </c>
      <c r="G1254" s="72">
        <f>IF($D$3=JU!I1247,JU!K1247,0)</f>
        <v>0</v>
      </c>
      <c r="H1254" s="72">
        <f t="shared" si="20"/>
        <v>131933000</v>
      </c>
    </row>
    <row r="1255" spans="2:8" hidden="1">
      <c r="B1255" s="68" t="str">
        <f>IF(OR($D$3=JU!$F1248,$D$3=JU!$I1248),JU!B1248,"")</f>
        <v/>
      </c>
      <c r="C1255" s="6" t="str">
        <f>IF(OR($D$3=JU!$F1248,$D$3=JU!$I1248),JU!C1248,"")</f>
        <v/>
      </c>
      <c r="D1255" s="73" t="str">
        <f>IF(OR($D$3=JU!$F1248,$D$3=JU!$I1248),JU!D1248,"")</f>
        <v/>
      </c>
      <c r="E1255" s="74" t="str">
        <f>IF(OR($D$3=JU!$F1248,$D$3=JU!$I1248),JU!E1248,"")</f>
        <v/>
      </c>
      <c r="F1255" s="72">
        <f>IF($D$3=JU!F1248,JU!H1248,0)</f>
        <v>0</v>
      </c>
      <c r="G1255" s="72">
        <f>IF($D$3=JU!I1248,JU!K1248,0)</f>
        <v>0</v>
      </c>
      <c r="H1255" s="72">
        <f t="shared" si="20"/>
        <v>131933000</v>
      </c>
    </row>
    <row r="1256" spans="2:8" hidden="1">
      <c r="B1256" s="68" t="str">
        <f>IF(OR($D$3=JU!$F1249,$D$3=JU!$I1249),JU!B1249,"")</f>
        <v/>
      </c>
      <c r="C1256" s="6" t="str">
        <f>IF(OR($D$3=JU!$F1249,$D$3=JU!$I1249),JU!C1249,"")</f>
        <v/>
      </c>
      <c r="D1256" s="73" t="str">
        <f>IF(OR($D$3=JU!$F1249,$D$3=JU!$I1249),JU!D1249,"")</f>
        <v/>
      </c>
      <c r="E1256" s="74" t="str">
        <f>IF(OR($D$3=JU!$F1249,$D$3=JU!$I1249),JU!E1249,"")</f>
        <v/>
      </c>
      <c r="F1256" s="72">
        <f>IF($D$3=JU!F1249,JU!H1249,0)</f>
        <v>0</v>
      </c>
      <c r="G1256" s="72">
        <f>IF($D$3=JU!I1249,JU!K1249,0)</f>
        <v>0</v>
      </c>
      <c r="H1256" s="72">
        <f t="shared" si="20"/>
        <v>131933000</v>
      </c>
    </row>
    <row r="1257" spans="2:8" hidden="1">
      <c r="B1257" s="68" t="str">
        <f>IF(OR($D$3=JU!$F1250,$D$3=JU!$I1250),JU!B1250,"")</f>
        <v/>
      </c>
      <c r="C1257" s="6" t="str">
        <f>IF(OR($D$3=JU!$F1250,$D$3=JU!$I1250),JU!C1250,"")</f>
        <v/>
      </c>
      <c r="D1257" s="73" t="str">
        <f>IF(OR($D$3=JU!$F1250,$D$3=JU!$I1250),JU!D1250,"")</f>
        <v/>
      </c>
      <c r="E1257" s="74" t="str">
        <f>IF(OR($D$3=JU!$F1250,$D$3=JU!$I1250),JU!E1250,"")</f>
        <v/>
      </c>
      <c r="F1257" s="72">
        <f>IF($D$3=JU!F1250,JU!H1250,0)</f>
        <v>0</v>
      </c>
      <c r="G1257" s="72">
        <f>IF($D$3=JU!I1250,JU!K1250,0)</f>
        <v>0</v>
      </c>
      <c r="H1257" s="72">
        <f t="shared" si="20"/>
        <v>131933000</v>
      </c>
    </row>
    <row r="1258" spans="2:8" hidden="1">
      <c r="B1258" s="68" t="str">
        <f>IF(OR($D$3=JU!$F1251,$D$3=JU!$I1251),JU!B1251,"")</f>
        <v/>
      </c>
      <c r="C1258" s="6" t="str">
        <f>IF(OR($D$3=JU!$F1251,$D$3=JU!$I1251),JU!C1251,"")</f>
        <v/>
      </c>
      <c r="D1258" s="73" t="str">
        <f>IF(OR($D$3=JU!$F1251,$D$3=JU!$I1251),JU!D1251,"")</f>
        <v/>
      </c>
      <c r="E1258" s="74" t="str">
        <f>IF(OR($D$3=JU!$F1251,$D$3=JU!$I1251),JU!E1251,"")</f>
        <v/>
      </c>
      <c r="F1258" s="72">
        <f>IF($D$3=JU!F1251,JU!H1251,0)</f>
        <v>0</v>
      </c>
      <c r="G1258" s="72">
        <f>IF($D$3=JU!I1251,JU!K1251,0)</f>
        <v>0</v>
      </c>
      <c r="H1258" s="72">
        <f t="shared" si="20"/>
        <v>131933000</v>
      </c>
    </row>
    <row r="1259" spans="2:8" hidden="1">
      <c r="B1259" s="68" t="str">
        <f>IF(OR($D$3=JU!$F1252,$D$3=JU!$I1252),JU!B1252,"")</f>
        <v/>
      </c>
      <c r="C1259" s="6" t="str">
        <f>IF(OR($D$3=JU!$F1252,$D$3=JU!$I1252),JU!C1252,"")</f>
        <v/>
      </c>
      <c r="D1259" s="73" t="str">
        <f>IF(OR($D$3=JU!$F1252,$D$3=JU!$I1252),JU!D1252,"")</f>
        <v/>
      </c>
      <c r="E1259" s="74" t="str">
        <f>IF(OR($D$3=JU!$F1252,$D$3=JU!$I1252),JU!E1252,"")</f>
        <v/>
      </c>
      <c r="F1259" s="72">
        <f>IF($D$3=JU!F1252,JU!H1252,0)</f>
        <v>0</v>
      </c>
      <c r="G1259" s="72">
        <f>IF($D$3=JU!I1252,JU!K1252,0)</f>
        <v>0</v>
      </c>
      <c r="H1259" s="72">
        <f t="shared" si="20"/>
        <v>131933000</v>
      </c>
    </row>
    <row r="1260" spans="2:8" hidden="1">
      <c r="B1260" s="68" t="str">
        <f>IF(OR($D$3=JU!$F1253,$D$3=JU!$I1253),JU!B1253,"")</f>
        <v/>
      </c>
      <c r="C1260" s="6" t="str">
        <f>IF(OR($D$3=JU!$F1253,$D$3=JU!$I1253),JU!C1253,"")</f>
        <v/>
      </c>
      <c r="D1260" s="73" t="str">
        <f>IF(OR($D$3=JU!$F1253,$D$3=JU!$I1253),JU!D1253,"")</f>
        <v/>
      </c>
      <c r="E1260" s="74" t="str">
        <f>IF(OR($D$3=JU!$F1253,$D$3=JU!$I1253),JU!E1253,"")</f>
        <v/>
      </c>
      <c r="F1260" s="72">
        <f>IF($D$3=JU!F1253,JU!H1253,0)</f>
        <v>0</v>
      </c>
      <c r="G1260" s="72">
        <f>IF($D$3=JU!I1253,JU!K1253,0)</f>
        <v>0</v>
      </c>
      <c r="H1260" s="72">
        <f t="shared" si="20"/>
        <v>131933000</v>
      </c>
    </row>
    <row r="1261" spans="2:8" hidden="1">
      <c r="B1261" s="68" t="str">
        <f>IF(OR($D$3=JU!$F1254,$D$3=JU!$I1254),JU!B1254,"")</f>
        <v/>
      </c>
      <c r="C1261" s="6" t="str">
        <f>IF(OR($D$3=JU!$F1254,$D$3=JU!$I1254),JU!C1254,"")</f>
        <v/>
      </c>
      <c r="D1261" s="73" t="str">
        <f>IF(OR($D$3=JU!$F1254,$D$3=JU!$I1254),JU!D1254,"")</f>
        <v/>
      </c>
      <c r="E1261" s="74" t="str">
        <f>IF(OR($D$3=JU!$F1254,$D$3=JU!$I1254),JU!E1254,"")</f>
        <v/>
      </c>
      <c r="F1261" s="72">
        <f>IF($D$3=JU!F1254,JU!H1254,0)</f>
        <v>0</v>
      </c>
      <c r="G1261" s="72">
        <f>IF($D$3=JU!I1254,JU!K1254,0)</f>
        <v>0</v>
      </c>
      <c r="H1261" s="72">
        <f t="shared" si="20"/>
        <v>131933000</v>
      </c>
    </row>
    <row r="1262" spans="2:8" hidden="1">
      <c r="B1262" s="68" t="str">
        <f>IF(OR($D$3=JU!$F1255,$D$3=JU!$I1255),JU!B1255,"")</f>
        <v/>
      </c>
      <c r="C1262" s="6" t="str">
        <f>IF(OR($D$3=JU!$F1255,$D$3=JU!$I1255),JU!C1255,"")</f>
        <v/>
      </c>
      <c r="D1262" s="73" t="str">
        <f>IF(OR($D$3=JU!$F1255,$D$3=JU!$I1255),JU!D1255,"")</f>
        <v/>
      </c>
      <c r="E1262" s="74" t="str">
        <f>IF(OR($D$3=JU!$F1255,$D$3=JU!$I1255),JU!E1255,"")</f>
        <v/>
      </c>
      <c r="F1262" s="72">
        <f>IF($D$3=JU!F1255,JU!H1255,0)</f>
        <v>0</v>
      </c>
      <c r="G1262" s="72">
        <f>IF($D$3=JU!I1255,JU!K1255,0)</f>
        <v>0</v>
      </c>
      <c r="H1262" s="72">
        <f t="shared" si="20"/>
        <v>131933000</v>
      </c>
    </row>
    <row r="1263" spans="2:8" hidden="1">
      <c r="B1263" s="68" t="str">
        <f>IF(OR($D$3=JU!$F1256,$D$3=JU!$I1256),JU!B1256,"")</f>
        <v/>
      </c>
      <c r="C1263" s="6" t="str">
        <f>IF(OR($D$3=JU!$F1256,$D$3=JU!$I1256),JU!C1256,"")</f>
        <v/>
      </c>
      <c r="D1263" s="73" t="str">
        <f>IF(OR($D$3=JU!$F1256,$D$3=JU!$I1256),JU!D1256,"")</f>
        <v/>
      </c>
      <c r="E1263" s="74" t="str">
        <f>IF(OR($D$3=JU!$F1256,$D$3=JU!$I1256),JU!E1256,"")</f>
        <v/>
      </c>
      <c r="F1263" s="72">
        <f>IF($D$3=JU!F1256,JU!H1256,0)</f>
        <v>0</v>
      </c>
      <c r="G1263" s="72">
        <f>IF($D$3=JU!I1256,JU!K1256,0)</f>
        <v>0</v>
      </c>
      <c r="H1263" s="72">
        <f t="shared" si="20"/>
        <v>131933000</v>
      </c>
    </row>
    <row r="1264" spans="2:8" hidden="1">
      <c r="B1264" s="68" t="str">
        <f>IF(OR($D$3=JU!$F1257,$D$3=JU!$I1257),JU!B1257,"")</f>
        <v/>
      </c>
      <c r="C1264" s="6" t="str">
        <f>IF(OR($D$3=JU!$F1257,$D$3=JU!$I1257),JU!C1257,"")</f>
        <v/>
      </c>
      <c r="D1264" s="73" t="str">
        <f>IF(OR($D$3=JU!$F1257,$D$3=JU!$I1257),JU!D1257,"")</f>
        <v/>
      </c>
      <c r="E1264" s="74" t="str">
        <f>IF(OR($D$3=JU!$F1257,$D$3=JU!$I1257),JU!E1257,"")</f>
        <v/>
      </c>
      <c r="F1264" s="72">
        <f>IF($D$3=JU!F1257,JU!H1257,0)</f>
        <v>0</v>
      </c>
      <c r="G1264" s="72">
        <f>IF($D$3=JU!I1257,JU!K1257,0)</f>
        <v>0</v>
      </c>
      <c r="H1264" s="72">
        <f t="shared" si="20"/>
        <v>131933000</v>
      </c>
    </row>
    <row r="1265" spans="2:8" hidden="1">
      <c r="B1265" s="68" t="str">
        <f>IF(OR($D$3=JU!$F1258,$D$3=JU!$I1258),JU!B1258,"")</f>
        <v/>
      </c>
      <c r="C1265" s="6" t="str">
        <f>IF(OR($D$3=JU!$F1258,$D$3=JU!$I1258),JU!C1258,"")</f>
        <v/>
      </c>
      <c r="D1265" s="73" t="str">
        <f>IF(OR($D$3=JU!$F1258,$D$3=JU!$I1258),JU!D1258,"")</f>
        <v/>
      </c>
      <c r="E1265" s="74" t="str">
        <f>IF(OR($D$3=JU!$F1258,$D$3=JU!$I1258),JU!E1258,"")</f>
        <v/>
      </c>
      <c r="F1265" s="72">
        <f>IF($D$3=JU!F1258,JU!H1258,0)</f>
        <v>0</v>
      </c>
      <c r="G1265" s="72">
        <f>IF($D$3=JU!I1258,JU!K1258,0)</f>
        <v>0</v>
      </c>
      <c r="H1265" s="72">
        <f t="shared" si="20"/>
        <v>131933000</v>
      </c>
    </row>
    <row r="1266" spans="2:8" hidden="1">
      <c r="B1266" s="68" t="str">
        <f>IF(OR($D$3=JU!$F1259,$D$3=JU!$I1259),JU!B1259,"")</f>
        <v/>
      </c>
      <c r="C1266" s="6" t="str">
        <f>IF(OR($D$3=JU!$F1259,$D$3=JU!$I1259),JU!C1259,"")</f>
        <v/>
      </c>
      <c r="D1266" s="73" t="str">
        <f>IF(OR($D$3=JU!$F1259,$D$3=JU!$I1259),JU!D1259,"")</f>
        <v/>
      </c>
      <c r="E1266" s="74" t="str">
        <f>IF(OR($D$3=JU!$F1259,$D$3=JU!$I1259),JU!E1259,"")</f>
        <v/>
      </c>
      <c r="F1266" s="72">
        <f>IF($D$3=JU!F1259,JU!H1259,0)</f>
        <v>0</v>
      </c>
      <c r="G1266" s="72">
        <f>IF($D$3=JU!I1259,JU!K1259,0)</f>
        <v>0</v>
      </c>
      <c r="H1266" s="72">
        <f t="shared" si="20"/>
        <v>131933000</v>
      </c>
    </row>
    <row r="1267" spans="2:8" hidden="1">
      <c r="B1267" s="68" t="str">
        <f>IF(OR($D$3=JU!$F1260,$D$3=JU!$I1260),JU!B1260,"")</f>
        <v/>
      </c>
      <c r="C1267" s="6" t="str">
        <f>IF(OR($D$3=JU!$F1260,$D$3=JU!$I1260),JU!C1260,"")</f>
        <v/>
      </c>
      <c r="D1267" s="73" t="str">
        <f>IF(OR($D$3=JU!$F1260,$D$3=JU!$I1260),JU!D1260,"")</f>
        <v/>
      </c>
      <c r="E1267" s="74" t="str">
        <f>IF(OR($D$3=JU!$F1260,$D$3=JU!$I1260),JU!E1260,"")</f>
        <v/>
      </c>
      <c r="F1267" s="72">
        <f>IF($D$3=JU!F1260,JU!H1260,0)</f>
        <v>0</v>
      </c>
      <c r="G1267" s="72">
        <f>IF($D$3=JU!I1260,JU!K1260,0)</f>
        <v>0</v>
      </c>
      <c r="H1267" s="72">
        <f t="shared" si="20"/>
        <v>131933000</v>
      </c>
    </row>
    <row r="1268" spans="2:8" hidden="1">
      <c r="B1268" s="68" t="str">
        <f>IF(OR($D$3=JU!$F1261,$D$3=JU!$I1261),JU!B1261,"")</f>
        <v/>
      </c>
      <c r="C1268" s="6" t="str">
        <f>IF(OR($D$3=JU!$F1261,$D$3=JU!$I1261),JU!C1261,"")</f>
        <v/>
      </c>
      <c r="D1268" s="73" t="str">
        <f>IF(OR($D$3=JU!$F1261,$D$3=JU!$I1261),JU!D1261,"")</f>
        <v/>
      </c>
      <c r="E1268" s="74" t="str">
        <f>IF(OR($D$3=JU!$F1261,$D$3=JU!$I1261),JU!E1261,"")</f>
        <v/>
      </c>
      <c r="F1268" s="72">
        <f>IF($D$3=JU!F1261,JU!H1261,0)</f>
        <v>0</v>
      </c>
      <c r="G1268" s="72">
        <f>IF($D$3=JU!I1261,JU!K1261,0)</f>
        <v>0</v>
      </c>
      <c r="H1268" s="72">
        <f t="shared" si="20"/>
        <v>131933000</v>
      </c>
    </row>
    <row r="1269" spans="2:8" hidden="1">
      <c r="B1269" s="68" t="str">
        <f>IF(OR($D$3=JU!$F1262,$D$3=JU!$I1262),JU!B1262,"")</f>
        <v/>
      </c>
      <c r="C1269" s="6" t="str">
        <f>IF(OR($D$3=JU!$F1262,$D$3=JU!$I1262),JU!C1262,"")</f>
        <v/>
      </c>
      <c r="D1269" s="73" t="str">
        <f>IF(OR($D$3=JU!$F1262,$D$3=JU!$I1262),JU!D1262,"")</f>
        <v/>
      </c>
      <c r="E1269" s="74" t="str">
        <f>IF(OR($D$3=JU!$F1262,$D$3=JU!$I1262),JU!E1262,"")</f>
        <v/>
      </c>
      <c r="F1269" s="72">
        <f>IF($D$3=JU!F1262,JU!H1262,0)</f>
        <v>0</v>
      </c>
      <c r="G1269" s="72">
        <f>IF($D$3=JU!I1262,JU!K1262,0)</f>
        <v>0</v>
      </c>
      <c r="H1269" s="72">
        <f t="shared" si="20"/>
        <v>131933000</v>
      </c>
    </row>
    <row r="1270" spans="2:8" hidden="1">
      <c r="B1270" s="68" t="str">
        <f>IF(OR($D$3=JU!$F1263,$D$3=JU!$I1263),JU!B1263,"")</f>
        <v/>
      </c>
      <c r="C1270" s="6" t="str">
        <f>IF(OR($D$3=JU!$F1263,$D$3=JU!$I1263),JU!C1263,"")</f>
        <v/>
      </c>
      <c r="D1270" s="73" t="str">
        <f>IF(OR($D$3=JU!$F1263,$D$3=JU!$I1263),JU!D1263,"")</f>
        <v/>
      </c>
      <c r="E1270" s="74" t="str">
        <f>IF(OR($D$3=JU!$F1263,$D$3=JU!$I1263),JU!E1263,"")</f>
        <v/>
      </c>
      <c r="F1270" s="72">
        <f>IF($D$3=JU!F1263,JU!H1263,0)</f>
        <v>0</v>
      </c>
      <c r="G1270" s="72">
        <f>IF($D$3=JU!I1263,JU!K1263,0)</f>
        <v>0</v>
      </c>
      <c r="H1270" s="72">
        <f t="shared" si="20"/>
        <v>131933000</v>
      </c>
    </row>
    <row r="1271" spans="2:8">
      <c r="B1271" s="68">
        <f>IF(OR($D$3=JU!$F1264,$D$3=JU!$I1264),JU!B1264,"")</f>
        <v>46160</v>
      </c>
      <c r="C1271" s="6" t="str">
        <f>IF(OR($D$3=JU!$F1264,$D$3=JU!$I1264),JU!C1264,"")</f>
        <v>BIAYA  AKAD BLOK E29 TAHAP 3 LINGGA (DP AKAD 13,500,000, ADM BANK 1,277,500, SKMHT 500.000)</v>
      </c>
      <c r="D1271" s="73" t="str">
        <f>IF(OR($D$3=JU!$F1264,$D$3=JU!$I1264),JU!D1264,"")</f>
        <v>By. Biaya BIAYA  AKAD BLOK E29 TAHAP 3 LINGGA (SKMHT 500.000)</v>
      </c>
      <c r="E1271" s="74">
        <f>IF(OR($D$3=JU!$F1264,$D$3=JU!$I1264),JU!E1264,"")</f>
        <v>0</v>
      </c>
      <c r="F1271" s="72">
        <f>IF($D$3=JU!F1264,JU!H1264,0)</f>
        <v>500000</v>
      </c>
      <c r="G1271" s="72">
        <f>IF($D$3=JU!I1264,JU!K1264,0)</f>
        <v>0</v>
      </c>
      <c r="H1271" s="72">
        <f t="shared" si="20"/>
        <v>132433000</v>
      </c>
    </row>
    <row r="1272" spans="2:8" hidden="1">
      <c r="B1272" s="68" t="str">
        <f>IF(OR($D$3=JU!$F1265,$D$3=JU!$I1265),JU!B1265,"")</f>
        <v/>
      </c>
      <c r="C1272" s="6" t="str">
        <f>IF(OR($D$3=JU!$F1265,$D$3=JU!$I1265),JU!C1265,"")</f>
        <v/>
      </c>
      <c r="D1272" s="73" t="str">
        <f>IF(OR($D$3=JU!$F1265,$D$3=JU!$I1265),JU!D1265,"")</f>
        <v/>
      </c>
      <c r="E1272" s="74" t="str">
        <f>IF(OR($D$3=JU!$F1265,$D$3=JU!$I1265),JU!E1265,"")</f>
        <v/>
      </c>
      <c r="F1272" s="72">
        <f>IF($D$3=JU!F1265,JU!H1265,0)</f>
        <v>0</v>
      </c>
      <c r="G1272" s="72">
        <f>IF($D$3=JU!I1265,JU!K1265,0)</f>
        <v>0</v>
      </c>
      <c r="H1272" s="72">
        <f t="shared" si="20"/>
        <v>132433000</v>
      </c>
    </row>
    <row r="1273" spans="2:8" hidden="1">
      <c r="B1273" s="68" t="str">
        <f>IF(OR($D$3=JU!$F1266,$D$3=JU!$I1266),JU!B1266,"")</f>
        <v/>
      </c>
      <c r="C1273" s="6" t="str">
        <f>IF(OR($D$3=JU!$F1266,$D$3=JU!$I1266),JU!C1266,"")</f>
        <v/>
      </c>
      <c r="D1273" s="73" t="str">
        <f>IF(OR($D$3=JU!$F1266,$D$3=JU!$I1266),JU!D1266,"")</f>
        <v/>
      </c>
      <c r="E1273" s="74" t="str">
        <f>IF(OR($D$3=JU!$F1266,$D$3=JU!$I1266),JU!E1266,"")</f>
        <v/>
      </c>
      <c r="F1273" s="72">
        <f>IF($D$3=JU!F1266,JU!H1266,0)</f>
        <v>0</v>
      </c>
      <c r="G1273" s="72">
        <f>IF($D$3=JU!I1266,JU!K1266,0)</f>
        <v>0</v>
      </c>
      <c r="H1273" s="72">
        <f t="shared" si="20"/>
        <v>132433000</v>
      </c>
    </row>
    <row r="1274" spans="2:8" hidden="1">
      <c r="B1274" s="68" t="str">
        <f>IF(OR($D$3=JU!$F1267,$D$3=JU!$I1267),JU!B1267,"")</f>
        <v/>
      </c>
      <c r="C1274" s="6" t="str">
        <f>IF(OR($D$3=JU!$F1267,$D$3=JU!$I1267),JU!C1267,"")</f>
        <v/>
      </c>
      <c r="D1274" s="73" t="str">
        <f>IF(OR($D$3=JU!$F1267,$D$3=JU!$I1267),JU!D1267,"")</f>
        <v/>
      </c>
      <c r="E1274" s="74" t="str">
        <f>IF(OR($D$3=JU!$F1267,$D$3=JU!$I1267),JU!E1267,"")</f>
        <v/>
      </c>
      <c r="F1274" s="72">
        <f>IF($D$3=JU!F1267,JU!H1267,0)</f>
        <v>0</v>
      </c>
      <c r="G1274" s="72">
        <f>IF($D$3=JU!I1267,JU!K1267,0)</f>
        <v>0</v>
      </c>
      <c r="H1274" s="72">
        <f t="shared" si="20"/>
        <v>132433000</v>
      </c>
    </row>
    <row r="1275" spans="2:8" hidden="1">
      <c r="B1275" s="68" t="str">
        <f>IF(OR($D$3=JU!$F1268,$D$3=JU!$I1268),JU!B1268,"")</f>
        <v/>
      </c>
      <c r="C1275" s="6" t="str">
        <f>IF(OR($D$3=JU!$F1268,$D$3=JU!$I1268),JU!C1268,"")</f>
        <v/>
      </c>
      <c r="D1275" s="73" t="str">
        <f>IF(OR($D$3=JU!$F1268,$D$3=JU!$I1268),JU!D1268,"")</f>
        <v/>
      </c>
      <c r="E1275" s="74" t="str">
        <f>IF(OR($D$3=JU!$F1268,$D$3=JU!$I1268),JU!E1268,"")</f>
        <v/>
      </c>
      <c r="F1275" s="72">
        <f>IF($D$3=JU!F1268,JU!H1268,0)</f>
        <v>0</v>
      </c>
      <c r="G1275" s="72">
        <f>IF($D$3=JU!I1268,JU!K1268,0)</f>
        <v>0</v>
      </c>
      <c r="H1275" s="72">
        <f t="shared" si="20"/>
        <v>132433000</v>
      </c>
    </row>
    <row r="1276" spans="2:8" hidden="1">
      <c r="B1276" s="68" t="str">
        <f>IF(OR($D$3=JU!$F1269,$D$3=JU!$I1269),JU!B1269,"")</f>
        <v/>
      </c>
      <c r="C1276" s="6" t="str">
        <f>IF(OR($D$3=JU!$F1269,$D$3=JU!$I1269),JU!C1269,"")</f>
        <v/>
      </c>
      <c r="D1276" s="73" t="str">
        <f>IF(OR($D$3=JU!$F1269,$D$3=JU!$I1269),JU!D1269,"")</f>
        <v/>
      </c>
      <c r="E1276" s="74" t="str">
        <f>IF(OR($D$3=JU!$F1269,$D$3=JU!$I1269),JU!E1269,"")</f>
        <v/>
      </c>
      <c r="F1276" s="72">
        <f>IF($D$3=JU!F1269,JU!H1269,0)</f>
        <v>0</v>
      </c>
      <c r="G1276" s="72">
        <f>IF($D$3=JU!I1269,JU!K1269,0)</f>
        <v>0</v>
      </c>
      <c r="H1276" s="72">
        <f t="shared" si="20"/>
        <v>132433000</v>
      </c>
    </row>
    <row r="1277" spans="2:8" hidden="1">
      <c r="B1277" s="68" t="str">
        <f>IF(OR($D$3=JU!$F1270,$D$3=JU!$I1270),JU!B1270,"")</f>
        <v/>
      </c>
      <c r="C1277" s="6" t="str">
        <f>IF(OR($D$3=JU!$F1270,$D$3=JU!$I1270),JU!C1270,"")</f>
        <v/>
      </c>
      <c r="D1277" s="73" t="str">
        <f>IF(OR($D$3=JU!$F1270,$D$3=JU!$I1270),JU!D1270,"")</f>
        <v/>
      </c>
      <c r="E1277" s="74" t="str">
        <f>IF(OR($D$3=JU!$F1270,$D$3=JU!$I1270),JU!E1270,"")</f>
        <v/>
      </c>
      <c r="F1277" s="72">
        <f>IF($D$3=JU!F1270,JU!H1270,0)</f>
        <v>0</v>
      </c>
      <c r="G1277" s="72">
        <f>IF($D$3=JU!I1270,JU!K1270,0)</f>
        <v>0</v>
      </c>
      <c r="H1277" s="72">
        <f t="shared" si="20"/>
        <v>132433000</v>
      </c>
    </row>
    <row r="1278" spans="2:8" hidden="1">
      <c r="B1278" s="68" t="str">
        <f>IF(OR($D$3=JU!$F1271,$D$3=JU!$I1271),JU!B1271,"")</f>
        <v/>
      </c>
      <c r="C1278" s="6" t="str">
        <f>IF(OR($D$3=JU!$F1271,$D$3=JU!$I1271),JU!C1271,"")</f>
        <v/>
      </c>
      <c r="D1278" s="73" t="str">
        <f>IF(OR($D$3=JU!$F1271,$D$3=JU!$I1271),JU!D1271,"")</f>
        <v/>
      </c>
      <c r="E1278" s="74" t="str">
        <f>IF(OR($D$3=JU!$F1271,$D$3=JU!$I1271),JU!E1271,"")</f>
        <v/>
      </c>
      <c r="F1278" s="72">
        <f>IF($D$3=JU!F1271,JU!H1271,0)</f>
        <v>0</v>
      </c>
      <c r="G1278" s="72">
        <f>IF($D$3=JU!I1271,JU!K1271,0)</f>
        <v>0</v>
      </c>
      <c r="H1278" s="72">
        <f t="shared" si="20"/>
        <v>132433000</v>
      </c>
    </row>
    <row r="1279" spans="2:8" hidden="1">
      <c r="B1279" s="68" t="str">
        <f>IF(OR($D$3=JU!$F1272,$D$3=JU!$I1272),JU!B1272,"")</f>
        <v/>
      </c>
      <c r="C1279" s="6" t="str">
        <f>IF(OR($D$3=JU!$F1272,$D$3=JU!$I1272),JU!C1272,"")</f>
        <v/>
      </c>
      <c r="D1279" s="73" t="str">
        <f>IF(OR($D$3=JU!$F1272,$D$3=JU!$I1272),JU!D1272,"")</f>
        <v/>
      </c>
      <c r="E1279" s="74" t="str">
        <f>IF(OR($D$3=JU!$F1272,$D$3=JU!$I1272),JU!E1272,"")</f>
        <v/>
      </c>
      <c r="F1279" s="72">
        <f>IF($D$3=JU!F1272,JU!H1272,0)</f>
        <v>0</v>
      </c>
      <c r="G1279" s="72">
        <f>IF($D$3=JU!I1272,JU!K1272,0)</f>
        <v>0</v>
      </c>
      <c r="H1279" s="72">
        <f t="shared" si="20"/>
        <v>132433000</v>
      </c>
    </row>
    <row r="1280" spans="2:8">
      <c r="B1280" s="68">
        <f>IF(OR($D$3=JU!$F1273,$D$3=JU!$I1273),JU!B1273,"")</f>
        <v>46161</v>
      </c>
      <c r="C1280" s="6" t="str">
        <f>IF(OR($D$3=JU!$F1273,$D$3=JU!$I1273),JU!C1273,"")</f>
        <v>PEMBELIAN MATERAI AKAD D23 ROSI DAN E32 IDIL TAHAP 3</v>
      </c>
      <c r="D1280" s="73" t="str">
        <f>IF(OR($D$3=JU!$F1273,$D$3=JU!$I1273),JU!D1273,"")</f>
        <v>By. Biaya PEMBELIAN MATERAI AKAD D23 ROSI DAN E32 IDIL TAHAP 3</v>
      </c>
      <c r="E1280" s="74">
        <f>IF(OR($D$3=JU!$F1273,$D$3=JU!$I1273),JU!E1273,"")</f>
        <v>0</v>
      </c>
      <c r="F1280" s="72">
        <f>IF($D$3=JU!F1273,JU!H1273,0)</f>
        <v>1000000</v>
      </c>
      <c r="G1280" s="72">
        <f>IF($D$3=JU!I1273,JU!K1273,0)</f>
        <v>0</v>
      </c>
      <c r="H1280" s="72">
        <f t="shared" si="20"/>
        <v>133433000</v>
      </c>
    </row>
    <row r="1281" spans="2:8" hidden="1">
      <c r="B1281" s="68" t="str">
        <f>IF(OR($D$3=JU!$F1274,$D$3=JU!$I1274),JU!B1274,"")</f>
        <v/>
      </c>
      <c r="C1281" s="6" t="str">
        <f>IF(OR($D$3=JU!$F1274,$D$3=JU!$I1274),JU!C1274,"")</f>
        <v/>
      </c>
      <c r="D1281" s="73" t="str">
        <f>IF(OR($D$3=JU!$F1274,$D$3=JU!$I1274),JU!D1274,"")</f>
        <v/>
      </c>
      <c r="E1281" s="74" t="str">
        <f>IF(OR($D$3=JU!$F1274,$D$3=JU!$I1274),JU!E1274,"")</f>
        <v/>
      </c>
      <c r="F1281" s="72">
        <f>IF($D$3=JU!F1274,JU!H1274,0)</f>
        <v>0</v>
      </c>
      <c r="G1281" s="72">
        <f>IF($D$3=JU!I1274,JU!K1274,0)</f>
        <v>0</v>
      </c>
      <c r="H1281" s="72">
        <f t="shared" si="20"/>
        <v>133433000</v>
      </c>
    </row>
    <row r="1282" spans="2:8" hidden="1">
      <c r="B1282" s="68" t="str">
        <f>IF(OR($D$3=JU!$F1275,$D$3=JU!$I1275),JU!B1275,"")</f>
        <v/>
      </c>
      <c r="C1282" s="6" t="str">
        <f>IF(OR($D$3=JU!$F1275,$D$3=JU!$I1275),JU!C1275,"")</f>
        <v/>
      </c>
      <c r="D1282" s="73" t="str">
        <f>IF(OR($D$3=JU!$F1275,$D$3=JU!$I1275),JU!D1275,"")</f>
        <v/>
      </c>
      <c r="E1282" s="74" t="str">
        <f>IF(OR($D$3=JU!$F1275,$D$3=JU!$I1275),JU!E1275,"")</f>
        <v/>
      </c>
      <c r="F1282" s="72">
        <f>IF($D$3=JU!F1275,JU!H1275,0)</f>
        <v>0</v>
      </c>
      <c r="G1282" s="72">
        <f>IF($D$3=JU!I1275,JU!K1275,0)</f>
        <v>0</v>
      </c>
      <c r="H1282" s="72">
        <f t="shared" si="20"/>
        <v>133433000</v>
      </c>
    </row>
    <row r="1283" spans="2:8" hidden="1">
      <c r="B1283" s="68" t="str">
        <f>IF(OR($D$3=JU!$F1276,$D$3=JU!$I1276),JU!B1276,"")</f>
        <v/>
      </c>
      <c r="C1283" s="6" t="str">
        <f>IF(OR($D$3=JU!$F1276,$D$3=JU!$I1276),JU!C1276,"")</f>
        <v/>
      </c>
      <c r="D1283" s="73" t="str">
        <f>IF(OR($D$3=JU!$F1276,$D$3=JU!$I1276),JU!D1276,"")</f>
        <v/>
      </c>
      <c r="E1283" s="74" t="str">
        <f>IF(OR($D$3=JU!$F1276,$D$3=JU!$I1276),JU!E1276,"")</f>
        <v/>
      </c>
      <c r="F1283" s="72">
        <f>IF($D$3=JU!F1276,JU!H1276,0)</f>
        <v>0</v>
      </c>
      <c r="G1283" s="72">
        <f>IF($D$3=JU!I1276,JU!K1276,0)</f>
        <v>0</v>
      </c>
      <c r="H1283" s="72">
        <f t="shared" si="20"/>
        <v>133433000</v>
      </c>
    </row>
    <row r="1284" spans="2:8" hidden="1">
      <c r="B1284" s="68" t="str">
        <f>IF(OR($D$3=JU!$F1277,$D$3=JU!$I1277),JU!B1277,"")</f>
        <v/>
      </c>
      <c r="C1284" s="6" t="str">
        <f>IF(OR($D$3=JU!$F1277,$D$3=JU!$I1277),JU!C1277,"")</f>
        <v/>
      </c>
      <c r="D1284" s="73" t="str">
        <f>IF(OR($D$3=JU!$F1277,$D$3=JU!$I1277),JU!D1277,"")</f>
        <v/>
      </c>
      <c r="E1284" s="74" t="str">
        <f>IF(OR($D$3=JU!$F1277,$D$3=JU!$I1277),JU!E1277,"")</f>
        <v/>
      </c>
      <c r="F1284" s="72">
        <f>IF($D$3=JU!F1277,JU!H1277,0)</f>
        <v>0</v>
      </c>
      <c r="G1284" s="72">
        <f>IF($D$3=JU!I1277,JU!K1277,0)</f>
        <v>0</v>
      </c>
      <c r="H1284" s="72">
        <f t="shared" si="20"/>
        <v>133433000</v>
      </c>
    </row>
    <row r="1285" spans="2:8" hidden="1">
      <c r="B1285" s="68" t="str">
        <f>IF(OR($D$3=JU!$F1278,$D$3=JU!$I1278),JU!B1278,"")</f>
        <v/>
      </c>
      <c r="C1285" s="6" t="str">
        <f>IF(OR($D$3=JU!$F1278,$D$3=JU!$I1278),JU!C1278,"")</f>
        <v/>
      </c>
      <c r="D1285" s="73" t="str">
        <f>IF(OR($D$3=JU!$F1278,$D$3=JU!$I1278),JU!D1278,"")</f>
        <v/>
      </c>
      <c r="E1285" s="74" t="str">
        <f>IF(OR($D$3=JU!$F1278,$D$3=JU!$I1278),JU!E1278,"")</f>
        <v/>
      </c>
      <c r="F1285" s="72">
        <f>IF($D$3=JU!F1278,JU!H1278,0)</f>
        <v>0</v>
      </c>
      <c r="G1285" s="72">
        <f>IF($D$3=JU!I1278,JU!K1278,0)</f>
        <v>0</v>
      </c>
      <c r="H1285" s="72">
        <f t="shared" si="20"/>
        <v>133433000</v>
      </c>
    </row>
    <row r="1286" spans="2:8" hidden="1">
      <c r="B1286" s="68" t="str">
        <f>IF(OR($D$3=JU!$F1279,$D$3=JU!$I1279),JU!B1279,"")</f>
        <v/>
      </c>
      <c r="C1286" s="6" t="str">
        <f>IF(OR($D$3=JU!$F1279,$D$3=JU!$I1279),JU!C1279,"")</f>
        <v/>
      </c>
      <c r="D1286" s="73" t="str">
        <f>IF(OR($D$3=JU!$F1279,$D$3=JU!$I1279),JU!D1279,"")</f>
        <v/>
      </c>
      <c r="E1286" s="74" t="str">
        <f>IF(OR($D$3=JU!$F1279,$D$3=JU!$I1279),JU!E1279,"")</f>
        <v/>
      </c>
      <c r="F1286" s="72">
        <f>IF($D$3=JU!F1279,JU!H1279,0)</f>
        <v>0</v>
      </c>
      <c r="G1286" s="72">
        <f>IF($D$3=JU!I1279,JU!K1279,0)</f>
        <v>0</v>
      </c>
      <c r="H1286" s="72">
        <f t="shared" si="20"/>
        <v>133433000</v>
      </c>
    </row>
    <row r="1287" spans="2:8" hidden="1">
      <c r="B1287" s="68" t="str">
        <f>IF(OR($D$3=JU!$F1280,$D$3=JU!$I1280),JU!B1280,"")</f>
        <v/>
      </c>
      <c r="C1287" s="6" t="str">
        <f>IF(OR($D$3=JU!$F1280,$D$3=JU!$I1280),JU!C1280,"")</f>
        <v/>
      </c>
      <c r="D1287" s="73" t="str">
        <f>IF(OR($D$3=JU!$F1280,$D$3=JU!$I1280),JU!D1280,"")</f>
        <v/>
      </c>
      <c r="E1287" s="74" t="str">
        <f>IF(OR($D$3=JU!$F1280,$D$3=JU!$I1280),JU!E1280,"")</f>
        <v/>
      </c>
      <c r="F1287" s="72">
        <f>IF($D$3=JU!F1280,JU!H1280,0)</f>
        <v>0</v>
      </c>
      <c r="G1287" s="72">
        <f>IF($D$3=JU!I1280,JU!K1280,0)</f>
        <v>0</v>
      </c>
      <c r="H1287" s="72">
        <f t="shared" si="20"/>
        <v>133433000</v>
      </c>
    </row>
    <row r="1288" spans="2:8" hidden="1">
      <c r="B1288" s="68" t="str">
        <f>IF(OR($D$3=JU!$F1281,$D$3=JU!$I1281),JU!B1281,"")</f>
        <v/>
      </c>
      <c r="C1288" s="6" t="str">
        <f>IF(OR($D$3=JU!$F1281,$D$3=JU!$I1281),JU!C1281,"")</f>
        <v/>
      </c>
      <c r="D1288" s="73" t="str">
        <f>IF(OR($D$3=JU!$F1281,$D$3=JU!$I1281),JU!D1281,"")</f>
        <v/>
      </c>
      <c r="E1288" s="74" t="str">
        <f>IF(OR($D$3=JU!$F1281,$D$3=JU!$I1281),JU!E1281,"")</f>
        <v/>
      </c>
      <c r="F1288" s="72">
        <f>IF($D$3=JU!F1281,JU!H1281,0)</f>
        <v>0</v>
      </c>
      <c r="G1288" s="72">
        <f>IF($D$3=JU!I1281,JU!K1281,0)</f>
        <v>0</v>
      </c>
      <c r="H1288" s="72">
        <f t="shared" si="20"/>
        <v>133433000</v>
      </c>
    </row>
    <row r="1289" spans="2:8" hidden="1">
      <c r="B1289" s="68" t="str">
        <f>IF(OR($D$3=JU!$F1282,$D$3=JU!$I1282),JU!B1282,"")</f>
        <v/>
      </c>
      <c r="C1289" s="6" t="str">
        <f>IF(OR($D$3=JU!$F1282,$D$3=JU!$I1282),JU!C1282,"")</f>
        <v/>
      </c>
      <c r="D1289" s="73" t="str">
        <f>IF(OR($D$3=JU!$F1282,$D$3=JU!$I1282),JU!D1282,"")</f>
        <v/>
      </c>
      <c r="E1289" s="74" t="str">
        <f>IF(OR($D$3=JU!$F1282,$D$3=JU!$I1282),JU!E1282,"")</f>
        <v/>
      </c>
      <c r="F1289" s="72">
        <f>IF($D$3=JU!F1282,JU!H1282,0)</f>
        <v>0</v>
      </c>
      <c r="G1289" s="72">
        <f>IF($D$3=JU!I1282,JU!K1282,0)</f>
        <v>0</v>
      </c>
      <c r="H1289" s="72">
        <f t="shared" si="20"/>
        <v>133433000</v>
      </c>
    </row>
    <row r="1290" spans="2:8" hidden="1">
      <c r="B1290" s="68" t="str">
        <f>IF(OR($D$3=JU!$F1283,$D$3=JU!$I1283),JU!B1283,"")</f>
        <v/>
      </c>
      <c r="C1290" s="6" t="str">
        <f>IF(OR($D$3=JU!$F1283,$D$3=JU!$I1283),JU!C1283,"")</f>
        <v/>
      </c>
      <c r="D1290" s="73" t="str">
        <f>IF(OR($D$3=JU!$F1283,$D$3=JU!$I1283),JU!D1283,"")</f>
        <v/>
      </c>
      <c r="E1290" s="74" t="str">
        <f>IF(OR($D$3=JU!$F1283,$D$3=JU!$I1283),JU!E1283,"")</f>
        <v/>
      </c>
      <c r="F1290" s="72">
        <f>IF($D$3=JU!F1283,JU!H1283,0)</f>
        <v>0</v>
      </c>
      <c r="G1290" s="72">
        <f>IF($D$3=JU!I1283,JU!K1283,0)</f>
        <v>0</v>
      </c>
      <c r="H1290" s="72">
        <f t="shared" si="20"/>
        <v>133433000</v>
      </c>
    </row>
    <row r="1291" spans="2:8" hidden="1">
      <c r="B1291" s="68" t="str">
        <f>IF(OR($D$3=JU!$F1284,$D$3=JU!$I1284),JU!B1284,"")</f>
        <v/>
      </c>
      <c r="C1291" s="6" t="str">
        <f>IF(OR($D$3=JU!$F1284,$D$3=JU!$I1284),JU!C1284,"")</f>
        <v/>
      </c>
      <c r="D1291" s="73" t="str">
        <f>IF(OR($D$3=JU!$F1284,$D$3=JU!$I1284),JU!D1284,"")</f>
        <v/>
      </c>
      <c r="E1291" s="74" t="str">
        <f>IF(OR($D$3=JU!$F1284,$D$3=JU!$I1284),JU!E1284,"")</f>
        <v/>
      </c>
      <c r="F1291" s="72">
        <f>IF($D$3=JU!F1284,JU!H1284,0)</f>
        <v>0</v>
      </c>
      <c r="G1291" s="72">
        <f>IF($D$3=JU!I1284,JU!K1284,0)</f>
        <v>0</v>
      </c>
      <c r="H1291" s="72">
        <f t="shared" si="20"/>
        <v>133433000</v>
      </c>
    </row>
    <row r="1292" spans="2:8" hidden="1">
      <c r="B1292" s="68" t="str">
        <f>IF(OR($D$3=JU!$F1285,$D$3=JU!$I1285),JU!B1285,"")</f>
        <v/>
      </c>
      <c r="C1292" s="6" t="str">
        <f>IF(OR($D$3=JU!$F1285,$D$3=JU!$I1285),JU!C1285,"")</f>
        <v/>
      </c>
      <c r="D1292" s="73" t="str">
        <f>IF(OR($D$3=JU!$F1285,$D$3=JU!$I1285),JU!D1285,"")</f>
        <v/>
      </c>
      <c r="E1292" s="74" t="str">
        <f>IF(OR($D$3=JU!$F1285,$D$3=JU!$I1285),JU!E1285,"")</f>
        <v/>
      </c>
      <c r="F1292" s="72">
        <f>IF($D$3=JU!F1285,JU!H1285,0)</f>
        <v>0</v>
      </c>
      <c r="G1292" s="72">
        <f>IF($D$3=JU!I1285,JU!K1285,0)</f>
        <v>0</v>
      </c>
      <c r="H1292" s="72">
        <f t="shared" si="20"/>
        <v>133433000</v>
      </c>
    </row>
    <row r="1293" spans="2:8" hidden="1">
      <c r="B1293" s="68" t="str">
        <f>IF(OR($D$3=JU!$F1286,$D$3=JU!$I1286),JU!B1286,"")</f>
        <v/>
      </c>
      <c r="C1293" s="6" t="str">
        <f>IF(OR($D$3=JU!$F1286,$D$3=JU!$I1286),JU!C1286,"")</f>
        <v/>
      </c>
      <c r="D1293" s="73" t="str">
        <f>IF(OR($D$3=JU!$F1286,$D$3=JU!$I1286),JU!D1286,"")</f>
        <v/>
      </c>
      <c r="E1293" s="74" t="str">
        <f>IF(OR($D$3=JU!$F1286,$D$3=JU!$I1286),JU!E1286,"")</f>
        <v/>
      </c>
      <c r="F1293" s="72">
        <f>IF($D$3=JU!F1286,JU!H1286,0)</f>
        <v>0</v>
      </c>
      <c r="G1293" s="72">
        <f>IF($D$3=JU!I1286,JU!K1286,0)</f>
        <v>0</v>
      </c>
      <c r="H1293" s="72">
        <f t="shared" si="20"/>
        <v>133433000</v>
      </c>
    </row>
    <row r="1294" spans="2:8" hidden="1">
      <c r="B1294" s="68" t="str">
        <f>IF(OR($D$3=JU!$F1287,$D$3=JU!$I1287),JU!B1287,"")</f>
        <v/>
      </c>
      <c r="C1294" s="6" t="str">
        <f>IF(OR($D$3=JU!$F1287,$D$3=JU!$I1287),JU!C1287,"")</f>
        <v/>
      </c>
      <c r="D1294" s="73" t="str">
        <f>IF(OR($D$3=JU!$F1287,$D$3=JU!$I1287),JU!D1287,"")</f>
        <v/>
      </c>
      <c r="E1294" s="74" t="str">
        <f>IF(OR($D$3=JU!$F1287,$D$3=JU!$I1287),JU!E1287,"")</f>
        <v/>
      </c>
      <c r="F1294" s="72">
        <f>IF($D$3=JU!F1287,JU!H1287,0)</f>
        <v>0</v>
      </c>
      <c r="G1294" s="72">
        <f>IF($D$3=JU!I1287,JU!K1287,0)</f>
        <v>0</v>
      </c>
      <c r="H1294" s="72">
        <f t="shared" ref="H1294:H1357" si="21">IF($H$7="DEBET",H1293+F1294-G1294,H1293+G1294-F1294)</f>
        <v>133433000</v>
      </c>
    </row>
    <row r="1295" spans="2:8" hidden="1">
      <c r="B1295" s="68" t="str">
        <f>IF(OR($D$3=JU!$F1288,$D$3=JU!$I1288),JU!B1288,"")</f>
        <v/>
      </c>
      <c r="C1295" s="6" t="str">
        <f>IF(OR($D$3=JU!$F1288,$D$3=JU!$I1288),JU!C1288,"")</f>
        <v/>
      </c>
      <c r="D1295" s="73" t="str">
        <f>IF(OR($D$3=JU!$F1288,$D$3=JU!$I1288),JU!D1288,"")</f>
        <v/>
      </c>
      <c r="E1295" s="74" t="str">
        <f>IF(OR($D$3=JU!$F1288,$D$3=JU!$I1288),JU!E1288,"")</f>
        <v/>
      </c>
      <c r="F1295" s="72">
        <f>IF($D$3=JU!F1288,JU!H1288,0)</f>
        <v>0</v>
      </c>
      <c r="G1295" s="72">
        <f>IF($D$3=JU!I1288,JU!K1288,0)</f>
        <v>0</v>
      </c>
      <c r="H1295" s="72">
        <f t="shared" si="21"/>
        <v>133433000</v>
      </c>
    </row>
    <row r="1296" spans="2:8" hidden="1">
      <c r="B1296" s="68" t="str">
        <f>IF(OR($D$3=JU!$F1289,$D$3=JU!$I1289),JU!B1289,"")</f>
        <v/>
      </c>
      <c r="C1296" s="6" t="str">
        <f>IF(OR($D$3=JU!$F1289,$D$3=JU!$I1289),JU!C1289,"")</f>
        <v/>
      </c>
      <c r="D1296" s="73" t="str">
        <f>IF(OR($D$3=JU!$F1289,$D$3=JU!$I1289),JU!D1289,"")</f>
        <v/>
      </c>
      <c r="E1296" s="74" t="str">
        <f>IF(OR($D$3=JU!$F1289,$D$3=JU!$I1289),JU!E1289,"")</f>
        <v/>
      </c>
      <c r="F1296" s="72">
        <f>IF($D$3=JU!F1289,JU!H1289,0)</f>
        <v>0</v>
      </c>
      <c r="G1296" s="72">
        <f>IF($D$3=JU!I1289,JU!K1289,0)</f>
        <v>0</v>
      </c>
      <c r="H1296" s="72">
        <f t="shared" si="21"/>
        <v>133433000</v>
      </c>
    </row>
    <row r="1297" spans="2:8">
      <c r="B1297" s="68">
        <f>IF(OR($D$3=JU!$F1290,$D$3=JU!$I1290),JU!B1290,"")</f>
        <v>46161</v>
      </c>
      <c r="C1297" s="6" t="str">
        <f>IF(OR($D$3=JU!$F1290,$D$3=JU!$I1290),JU!C1290,"")</f>
        <v>BIAYA KELENGKAPAN  F5 TAHAP 4 JUSMA (PPH 1,730,000. PDAM 1.545.000 DAN MATERAI 500.000)</v>
      </c>
      <c r="D1297" s="73" t="str">
        <f>IF(OR($D$3=JU!$F1290,$D$3=JU!$I1290),JU!D1290,"")</f>
        <v>By. Biaya BIAYA KELENGKAPAN  F5 TAHAP 4 JUSMA (PPH 1,730,000. PDAM 1.545.000 DAN MATERAI 500.000)</v>
      </c>
      <c r="E1297" s="74">
        <f>IF(OR($D$3=JU!$F1290,$D$3=JU!$I1290),JU!E1290,"")</f>
        <v>0</v>
      </c>
      <c r="F1297" s="72">
        <f>IF($D$3=JU!F1290,JU!H1290,0)</f>
        <v>500000</v>
      </c>
      <c r="G1297" s="72">
        <f>IF($D$3=JU!I1290,JU!K1290,0)</f>
        <v>0</v>
      </c>
      <c r="H1297" s="72">
        <f t="shared" si="21"/>
        <v>133933000</v>
      </c>
    </row>
    <row r="1298" spans="2:8" hidden="1">
      <c r="B1298" s="68" t="str">
        <f>IF(OR($D$3=JU!$F1291,$D$3=JU!$I1291),JU!B1291,"")</f>
        <v/>
      </c>
      <c r="C1298" s="6" t="str">
        <f>IF(OR($D$3=JU!$F1291,$D$3=JU!$I1291),JU!C1291,"")</f>
        <v/>
      </c>
      <c r="D1298" s="73" t="str">
        <f>IF(OR($D$3=JU!$F1291,$D$3=JU!$I1291),JU!D1291,"")</f>
        <v/>
      </c>
      <c r="E1298" s="74" t="str">
        <f>IF(OR($D$3=JU!$F1291,$D$3=JU!$I1291),JU!E1291,"")</f>
        <v/>
      </c>
      <c r="F1298" s="72">
        <f>IF($D$3=JU!F1291,JU!H1291,0)</f>
        <v>0</v>
      </c>
      <c r="G1298" s="72">
        <f>IF($D$3=JU!I1291,JU!K1291,0)</f>
        <v>0</v>
      </c>
      <c r="H1298" s="72">
        <f t="shared" si="21"/>
        <v>133933000</v>
      </c>
    </row>
    <row r="1299" spans="2:8" hidden="1">
      <c r="B1299" s="68" t="str">
        <f>IF(OR($D$3=JU!$F1292,$D$3=JU!$I1292),JU!B1292,"")</f>
        <v/>
      </c>
      <c r="C1299" s="6" t="str">
        <f>IF(OR($D$3=JU!$F1292,$D$3=JU!$I1292),JU!C1292,"")</f>
        <v/>
      </c>
      <c r="D1299" s="73" t="str">
        <f>IF(OR($D$3=JU!$F1292,$D$3=JU!$I1292),JU!D1292,"")</f>
        <v/>
      </c>
      <c r="E1299" s="74" t="str">
        <f>IF(OR($D$3=JU!$F1292,$D$3=JU!$I1292),JU!E1292,"")</f>
        <v/>
      </c>
      <c r="F1299" s="72">
        <f>IF($D$3=JU!F1292,JU!H1292,0)</f>
        <v>0</v>
      </c>
      <c r="G1299" s="72">
        <f>IF($D$3=JU!I1292,JU!K1292,0)</f>
        <v>0</v>
      </c>
      <c r="H1299" s="72">
        <f t="shared" si="21"/>
        <v>133933000</v>
      </c>
    </row>
    <row r="1300" spans="2:8">
      <c r="B1300" s="68">
        <f>IF(OR($D$3=JU!$F1293,$D$3=JU!$I1293),JU!B1293,"")</f>
        <v>46161</v>
      </c>
      <c r="C1300" s="6" t="str">
        <f>IF(OR($D$3=JU!$F1293,$D$3=JU!$I1293),JU!C1293,"")</f>
        <v>BIAYA KELENGKAPAN  E4 TAHAP 3 ULFA (PPH 1,730,000. PDAM 1.545.000 DAN MATERAI 500.000)</v>
      </c>
      <c r="D1300" s="73" t="str">
        <f>IF(OR($D$3=JU!$F1293,$D$3=JU!$I1293),JU!D1293,"")</f>
        <v>By. Biaya BIAYA KELENGKAPAN  E4 TAHAP 3 ULFA (PPH 1,730,000. PDAM 1.545.000 DAN MATERAI 500.000)</v>
      </c>
      <c r="E1300" s="74">
        <f>IF(OR($D$3=JU!$F1293,$D$3=JU!$I1293),JU!E1293,"")</f>
        <v>0</v>
      </c>
      <c r="F1300" s="72">
        <f>IF($D$3=JU!F1293,JU!H1293,0)</f>
        <v>500000</v>
      </c>
      <c r="G1300" s="72">
        <f>IF($D$3=JU!I1293,JU!K1293,0)</f>
        <v>0</v>
      </c>
      <c r="H1300" s="72">
        <f t="shared" si="21"/>
        <v>134433000</v>
      </c>
    </row>
    <row r="1301" spans="2:8" hidden="1">
      <c r="B1301" s="68" t="str">
        <f>IF(OR($D$3=JU!$F1294,$D$3=JU!$I1294),JU!B1294,"")</f>
        <v/>
      </c>
      <c r="C1301" s="6" t="str">
        <f>IF(OR($D$3=JU!$F1294,$D$3=JU!$I1294),JU!C1294,"")</f>
        <v/>
      </c>
      <c r="D1301" s="73" t="str">
        <f>IF(OR($D$3=JU!$F1294,$D$3=JU!$I1294),JU!D1294,"")</f>
        <v/>
      </c>
      <c r="E1301" s="74" t="str">
        <f>IF(OR($D$3=JU!$F1294,$D$3=JU!$I1294),JU!E1294,"")</f>
        <v/>
      </c>
      <c r="F1301" s="72">
        <f>IF($D$3=JU!F1294,JU!H1294,0)</f>
        <v>0</v>
      </c>
      <c r="G1301" s="72">
        <f>IF($D$3=JU!I1294,JU!K1294,0)</f>
        <v>0</v>
      </c>
      <c r="H1301" s="72">
        <f t="shared" si="21"/>
        <v>134433000</v>
      </c>
    </row>
    <row r="1302" spans="2:8" hidden="1">
      <c r="B1302" s="68" t="str">
        <f>IF(OR($D$3=JU!$F1295,$D$3=JU!$I1295),JU!B1295,"")</f>
        <v/>
      </c>
      <c r="C1302" s="6" t="str">
        <f>IF(OR($D$3=JU!$F1295,$D$3=JU!$I1295),JU!C1295,"")</f>
        <v/>
      </c>
      <c r="D1302" s="73" t="str">
        <f>IF(OR($D$3=JU!$F1295,$D$3=JU!$I1295),JU!D1295,"")</f>
        <v/>
      </c>
      <c r="E1302" s="74" t="str">
        <f>IF(OR($D$3=JU!$F1295,$D$3=JU!$I1295),JU!E1295,"")</f>
        <v/>
      </c>
      <c r="F1302" s="72">
        <f>IF($D$3=JU!F1295,JU!H1295,0)</f>
        <v>0</v>
      </c>
      <c r="G1302" s="72">
        <f>IF($D$3=JU!I1295,JU!K1295,0)</f>
        <v>0</v>
      </c>
      <c r="H1302" s="72">
        <f t="shared" si="21"/>
        <v>134433000</v>
      </c>
    </row>
    <row r="1303" spans="2:8" hidden="1">
      <c r="B1303" s="68" t="str">
        <f>IF(OR($D$3=JU!$F1296,$D$3=JU!$I1296),JU!B1296,"")</f>
        <v/>
      </c>
      <c r="C1303" s="6" t="str">
        <f>IF(OR($D$3=JU!$F1296,$D$3=JU!$I1296),JU!C1296,"")</f>
        <v/>
      </c>
      <c r="D1303" s="73" t="str">
        <f>IF(OR($D$3=JU!$F1296,$D$3=JU!$I1296),JU!D1296,"")</f>
        <v/>
      </c>
      <c r="E1303" s="74" t="str">
        <f>IF(OR($D$3=JU!$F1296,$D$3=JU!$I1296),JU!E1296,"")</f>
        <v/>
      </c>
      <c r="F1303" s="72">
        <f>IF($D$3=JU!F1296,JU!H1296,0)</f>
        <v>0</v>
      </c>
      <c r="G1303" s="72">
        <f>IF($D$3=JU!I1296,JU!K1296,0)</f>
        <v>0</v>
      </c>
      <c r="H1303" s="72">
        <f t="shared" si="21"/>
        <v>134433000</v>
      </c>
    </row>
    <row r="1304" spans="2:8" hidden="1">
      <c r="B1304" s="68" t="str">
        <f>IF(OR($D$3=JU!$F1297,$D$3=JU!$I1297),JU!B1297,"")</f>
        <v/>
      </c>
      <c r="C1304" s="6" t="str">
        <f>IF(OR($D$3=JU!$F1297,$D$3=JU!$I1297),JU!C1297,"")</f>
        <v/>
      </c>
      <c r="D1304" s="73" t="str">
        <f>IF(OR($D$3=JU!$F1297,$D$3=JU!$I1297),JU!D1297,"")</f>
        <v/>
      </c>
      <c r="E1304" s="74" t="str">
        <f>IF(OR($D$3=JU!$F1297,$D$3=JU!$I1297),JU!E1297,"")</f>
        <v/>
      </c>
      <c r="F1304" s="72">
        <f>IF($D$3=JU!F1297,JU!H1297,0)</f>
        <v>0</v>
      </c>
      <c r="G1304" s="72">
        <f>IF($D$3=JU!I1297,JU!K1297,0)</f>
        <v>0</v>
      </c>
      <c r="H1304" s="72">
        <f t="shared" si="21"/>
        <v>134433000</v>
      </c>
    </row>
    <row r="1305" spans="2:8" hidden="1">
      <c r="B1305" s="68" t="str">
        <f>IF(OR($D$3=JU!$F1298,$D$3=JU!$I1298),JU!B1298,"")</f>
        <v/>
      </c>
      <c r="C1305" s="6" t="str">
        <f>IF(OR($D$3=JU!$F1298,$D$3=JU!$I1298),JU!C1298,"")</f>
        <v/>
      </c>
      <c r="D1305" s="73" t="str">
        <f>IF(OR($D$3=JU!$F1298,$D$3=JU!$I1298),JU!D1298,"")</f>
        <v/>
      </c>
      <c r="E1305" s="74" t="str">
        <f>IF(OR($D$3=JU!$F1298,$D$3=JU!$I1298),JU!E1298,"")</f>
        <v/>
      </c>
      <c r="F1305" s="72">
        <f>IF($D$3=JU!F1298,JU!H1298,0)</f>
        <v>0</v>
      </c>
      <c r="G1305" s="72">
        <f>IF($D$3=JU!I1298,JU!K1298,0)</f>
        <v>0</v>
      </c>
      <c r="H1305" s="72">
        <f t="shared" si="21"/>
        <v>134433000</v>
      </c>
    </row>
    <row r="1306" spans="2:8" hidden="1">
      <c r="B1306" s="68" t="str">
        <f>IF(OR($D$3=JU!$F1299,$D$3=JU!$I1299),JU!B1299,"")</f>
        <v/>
      </c>
      <c r="C1306" s="6" t="str">
        <f>IF(OR($D$3=JU!$F1299,$D$3=JU!$I1299),JU!C1299,"")</f>
        <v/>
      </c>
      <c r="D1306" s="73" t="str">
        <f>IF(OR($D$3=JU!$F1299,$D$3=JU!$I1299),JU!D1299,"")</f>
        <v/>
      </c>
      <c r="E1306" s="74" t="str">
        <f>IF(OR($D$3=JU!$F1299,$D$3=JU!$I1299),JU!E1299,"")</f>
        <v/>
      </c>
      <c r="F1306" s="72">
        <f>IF($D$3=JU!F1299,JU!H1299,0)</f>
        <v>0</v>
      </c>
      <c r="G1306" s="72">
        <f>IF($D$3=JU!I1299,JU!K1299,0)</f>
        <v>0</v>
      </c>
      <c r="H1306" s="72">
        <f t="shared" si="21"/>
        <v>134433000</v>
      </c>
    </row>
    <row r="1307" spans="2:8" hidden="1">
      <c r="B1307" s="68" t="str">
        <f>IF(OR($D$3=JU!$F1300,$D$3=JU!$I1300),JU!B1300,"")</f>
        <v/>
      </c>
      <c r="C1307" s="6" t="str">
        <f>IF(OR($D$3=JU!$F1300,$D$3=JU!$I1300),JU!C1300,"")</f>
        <v/>
      </c>
      <c r="D1307" s="73" t="str">
        <f>IF(OR($D$3=JU!$F1300,$D$3=JU!$I1300),JU!D1300,"")</f>
        <v/>
      </c>
      <c r="E1307" s="74" t="str">
        <f>IF(OR($D$3=JU!$F1300,$D$3=JU!$I1300),JU!E1300,"")</f>
        <v/>
      </c>
      <c r="F1307" s="72">
        <f>IF($D$3=JU!F1300,JU!H1300,0)</f>
        <v>0</v>
      </c>
      <c r="G1307" s="72">
        <f>IF($D$3=JU!I1300,JU!K1300,0)</f>
        <v>0</v>
      </c>
      <c r="H1307" s="72">
        <f t="shared" si="21"/>
        <v>134433000</v>
      </c>
    </row>
    <row r="1308" spans="2:8" hidden="1">
      <c r="B1308" s="68" t="str">
        <f>IF(OR($D$3=JU!$F1301,$D$3=JU!$I1301),JU!B1301,"")</f>
        <v/>
      </c>
      <c r="C1308" s="6" t="str">
        <f>IF(OR($D$3=JU!$F1301,$D$3=JU!$I1301),JU!C1301,"")</f>
        <v/>
      </c>
      <c r="D1308" s="73" t="str">
        <f>IF(OR($D$3=JU!$F1301,$D$3=JU!$I1301),JU!D1301,"")</f>
        <v/>
      </c>
      <c r="E1308" s="74" t="str">
        <f>IF(OR($D$3=JU!$F1301,$D$3=JU!$I1301),JU!E1301,"")</f>
        <v/>
      </c>
      <c r="F1308" s="72">
        <f>IF($D$3=JU!F1301,JU!H1301,0)</f>
        <v>0</v>
      </c>
      <c r="G1308" s="72">
        <f>IF($D$3=JU!I1301,JU!K1301,0)</f>
        <v>0</v>
      </c>
      <c r="H1308" s="72">
        <f t="shared" si="21"/>
        <v>134433000</v>
      </c>
    </row>
    <row r="1309" spans="2:8" hidden="1">
      <c r="B1309" s="68" t="str">
        <f>IF(OR($D$3=JU!$F1302,$D$3=JU!$I1302),JU!B1302,"")</f>
        <v/>
      </c>
      <c r="C1309" s="6" t="str">
        <f>IF(OR($D$3=JU!$F1302,$D$3=JU!$I1302),JU!C1302,"")</f>
        <v/>
      </c>
      <c r="D1309" s="73" t="str">
        <f>IF(OR($D$3=JU!$F1302,$D$3=JU!$I1302),JU!D1302,"")</f>
        <v/>
      </c>
      <c r="E1309" s="74" t="str">
        <f>IF(OR($D$3=JU!$F1302,$D$3=JU!$I1302),JU!E1302,"")</f>
        <v/>
      </c>
      <c r="F1309" s="72">
        <f>IF($D$3=JU!F1302,JU!H1302,0)</f>
        <v>0</v>
      </c>
      <c r="G1309" s="72">
        <f>IF($D$3=JU!I1302,JU!K1302,0)</f>
        <v>0</v>
      </c>
      <c r="H1309" s="72">
        <f t="shared" si="21"/>
        <v>134433000</v>
      </c>
    </row>
    <row r="1310" spans="2:8" hidden="1">
      <c r="B1310" s="68" t="str">
        <f>IF(OR($D$3=JU!$F1303,$D$3=JU!$I1303),JU!B1303,"")</f>
        <v/>
      </c>
      <c r="C1310" s="6" t="str">
        <f>IF(OR($D$3=JU!$F1303,$D$3=JU!$I1303),JU!C1303,"")</f>
        <v/>
      </c>
      <c r="D1310" s="73" t="str">
        <f>IF(OR($D$3=JU!$F1303,$D$3=JU!$I1303),JU!D1303,"")</f>
        <v/>
      </c>
      <c r="E1310" s="74" t="str">
        <f>IF(OR($D$3=JU!$F1303,$D$3=JU!$I1303),JU!E1303,"")</f>
        <v/>
      </c>
      <c r="F1310" s="72">
        <f>IF($D$3=JU!F1303,JU!H1303,0)</f>
        <v>0</v>
      </c>
      <c r="G1310" s="72">
        <f>IF($D$3=JU!I1303,JU!K1303,0)</f>
        <v>0</v>
      </c>
      <c r="H1310" s="72">
        <f t="shared" si="21"/>
        <v>134433000</v>
      </c>
    </row>
    <row r="1311" spans="2:8" hidden="1">
      <c r="B1311" s="68" t="str">
        <f>IF(OR($D$3=JU!$F1304,$D$3=JU!$I1304),JU!B1304,"")</f>
        <v/>
      </c>
      <c r="C1311" s="6" t="str">
        <f>IF(OR($D$3=JU!$F1304,$D$3=JU!$I1304),JU!C1304,"")</f>
        <v/>
      </c>
      <c r="D1311" s="73" t="str">
        <f>IF(OR($D$3=JU!$F1304,$D$3=JU!$I1304),JU!D1304,"")</f>
        <v/>
      </c>
      <c r="E1311" s="74" t="str">
        <f>IF(OR($D$3=JU!$F1304,$D$3=JU!$I1304),JU!E1304,"")</f>
        <v/>
      </c>
      <c r="F1311" s="72">
        <f>IF($D$3=JU!F1304,JU!H1304,0)</f>
        <v>0</v>
      </c>
      <c r="G1311" s="72">
        <f>IF($D$3=JU!I1304,JU!K1304,0)</f>
        <v>0</v>
      </c>
      <c r="H1311" s="72">
        <f t="shared" si="21"/>
        <v>134433000</v>
      </c>
    </row>
    <row r="1312" spans="2:8" hidden="1">
      <c r="B1312" s="68" t="str">
        <f>IF(OR($D$3=JU!$F1305,$D$3=JU!$I1305),JU!B1305,"")</f>
        <v/>
      </c>
      <c r="C1312" s="6" t="str">
        <f>IF(OR($D$3=JU!$F1305,$D$3=JU!$I1305),JU!C1305,"")</f>
        <v/>
      </c>
      <c r="D1312" s="73" t="str">
        <f>IF(OR($D$3=JU!$F1305,$D$3=JU!$I1305),JU!D1305,"")</f>
        <v/>
      </c>
      <c r="E1312" s="74" t="str">
        <f>IF(OR($D$3=JU!$F1305,$D$3=JU!$I1305),JU!E1305,"")</f>
        <v/>
      </c>
      <c r="F1312" s="72">
        <f>IF($D$3=JU!F1305,JU!H1305,0)</f>
        <v>0</v>
      </c>
      <c r="G1312" s="72">
        <f>IF($D$3=JU!I1305,JU!K1305,0)</f>
        <v>0</v>
      </c>
      <c r="H1312" s="72">
        <f t="shared" si="21"/>
        <v>134433000</v>
      </c>
    </row>
    <row r="1313" spans="2:8" hidden="1">
      <c r="B1313" s="68" t="str">
        <f>IF(OR($D$3=JU!$F1306,$D$3=JU!$I1306),JU!B1306,"")</f>
        <v/>
      </c>
      <c r="C1313" s="6" t="str">
        <f>IF(OR($D$3=JU!$F1306,$D$3=JU!$I1306),JU!C1306,"")</f>
        <v/>
      </c>
      <c r="D1313" s="73" t="str">
        <f>IF(OR($D$3=JU!$F1306,$D$3=JU!$I1306),JU!D1306,"")</f>
        <v/>
      </c>
      <c r="E1313" s="74" t="str">
        <f>IF(OR($D$3=JU!$F1306,$D$3=JU!$I1306),JU!E1306,"")</f>
        <v/>
      </c>
      <c r="F1313" s="72">
        <f>IF($D$3=JU!F1306,JU!H1306,0)</f>
        <v>0</v>
      </c>
      <c r="G1313" s="72">
        <f>IF($D$3=JU!I1306,JU!K1306,0)</f>
        <v>0</v>
      </c>
      <c r="H1313" s="72">
        <f t="shared" si="21"/>
        <v>134433000</v>
      </c>
    </row>
    <row r="1314" spans="2:8" hidden="1">
      <c r="B1314" s="68" t="str">
        <f>IF(OR($D$3=JU!$F1307,$D$3=JU!$I1307),JU!B1307,"")</f>
        <v/>
      </c>
      <c r="C1314" s="6" t="str">
        <f>IF(OR($D$3=JU!$F1307,$D$3=JU!$I1307),JU!C1307,"")</f>
        <v/>
      </c>
      <c r="D1314" s="73" t="str">
        <f>IF(OR($D$3=JU!$F1307,$D$3=JU!$I1307),JU!D1307,"")</f>
        <v/>
      </c>
      <c r="E1314" s="74" t="str">
        <f>IF(OR($D$3=JU!$F1307,$D$3=JU!$I1307),JU!E1307,"")</f>
        <v/>
      </c>
      <c r="F1314" s="72">
        <f>IF($D$3=JU!F1307,JU!H1307,0)</f>
        <v>0</v>
      </c>
      <c r="G1314" s="72">
        <f>IF($D$3=JU!I1307,JU!K1307,0)</f>
        <v>0</v>
      </c>
      <c r="H1314" s="72">
        <f t="shared" si="21"/>
        <v>134433000</v>
      </c>
    </row>
    <row r="1315" spans="2:8" hidden="1">
      <c r="B1315" s="68" t="str">
        <f>IF(OR($D$3=JU!$F1308,$D$3=JU!$I1308),JU!B1308,"")</f>
        <v/>
      </c>
      <c r="C1315" s="6" t="str">
        <f>IF(OR($D$3=JU!$F1308,$D$3=JU!$I1308),JU!C1308,"")</f>
        <v/>
      </c>
      <c r="D1315" s="73" t="str">
        <f>IF(OR($D$3=JU!$F1308,$D$3=JU!$I1308),JU!D1308,"")</f>
        <v/>
      </c>
      <c r="E1315" s="74" t="str">
        <f>IF(OR($D$3=JU!$F1308,$D$3=JU!$I1308),JU!E1308,"")</f>
        <v/>
      </c>
      <c r="F1315" s="72">
        <f>IF($D$3=JU!F1308,JU!H1308,0)</f>
        <v>0</v>
      </c>
      <c r="G1315" s="72">
        <f>IF($D$3=JU!I1308,JU!K1308,0)</f>
        <v>0</v>
      </c>
      <c r="H1315" s="72">
        <f t="shared" si="21"/>
        <v>134433000</v>
      </c>
    </row>
    <row r="1316" spans="2:8" hidden="1">
      <c r="B1316" s="68" t="str">
        <f>IF(OR($D$3=JU!$F1309,$D$3=JU!$I1309),JU!B1309,"")</f>
        <v/>
      </c>
      <c r="C1316" s="6" t="str">
        <f>IF(OR($D$3=JU!$F1309,$D$3=JU!$I1309),JU!C1309,"")</f>
        <v/>
      </c>
      <c r="D1316" s="73" t="str">
        <f>IF(OR($D$3=JU!$F1309,$D$3=JU!$I1309),JU!D1309,"")</f>
        <v/>
      </c>
      <c r="E1316" s="74" t="str">
        <f>IF(OR($D$3=JU!$F1309,$D$3=JU!$I1309),JU!E1309,"")</f>
        <v/>
      </c>
      <c r="F1316" s="72">
        <f>IF($D$3=JU!F1309,JU!H1309,0)</f>
        <v>0</v>
      </c>
      <c r="G1316" s="72">
        <f>IF($D$3=JU!I1309,JU!K1309,0)</f>
        <v>0</v>
      </c>
      <c r="H1316" s="72">
        <f t="shared" si="21"/>
        <v>134433000</v>
      </c>
    </row>
    <row r="1317" spans="2:8" hidden="1">
      <c r="B1317" s="68" t="str">
        <f>IF(OR($D$3=JU!$F1310,$D$3=JU!$I1310),JU!B1310,"")</f>
        <v/>
      </c>
      <c r="C1317" s="6" t="str">
        <f>IF(OR($D$3=JU!$F1310,$D$3=JU!$I1310),JU!C1310,"")</f>
        <v/>
      </c>
      <c r="D1317" s="73" t="str">
        <f>IF(OR($D$3=JU!$F1310,$D$3=JU!$I1310),JU!D1310,"")</f>
        <v/>
      </c>
      <c r="E1317" s="74" t="str">
        <f>IF(OR($D$3=JU!$F1310,$D$3=JU!$I1310),JU!E1310,"")</f>
        <v/>
      </c>
      <c r="F1317" s="72">
        <f>IF($D$3=JU!F1310,JU!H1310,0)</f>
        <v>0</v>
      </c>
      <c r="G1317" s="72">
        <f>IF($D$3=JU!I1310,JU!K1310,0)</f>
        <v>0</v>
      </c>
      <c r="H1317" s="72">
        <f t="shared" si="21"/>
        <v>134433000</v>
      </c>
    </row>
    <row r="1318" spans="2:8" hidden="1">
      <c r="B1318" s="68" t="str">
        <f>IF(OR($D$3=JU!$F1311,$D$3=JU!$I1311),JU!B1311,"")</f>
        <v/>
      </c>
      <c r="C1318" s="6" t="str">
        <f>IF(OR($D$3=JU!$F1311,$D$3=JU!$I1311),JU!C1311,"")</f>
        <v/>
      </c>
      <c r="D1318" s="73" t="str">
        <f>IF(OR($D$3=JU!$F1311,$D$3=JU!$I1311),JU!D1311,"")</f>
        <v/>
      </c>
      <c r="E1318" s="74" t="str">
        <f>IF(OR($D$3=JU!$F1311,$D$3=JU!$I1311),JU!E1311,"")</f>
        <v/>
      </c>
      <c r="F1318" s="72">
        <f>IF($D$3=JU!F1311,JU!H1311,0)</f>
        <v>0</v>
      </c>
      <c r="G1318" s="72">
        <f>IF($D$3=JU!I1311,JU!K1311,0)</f>
        <v>0</v>
      </c>
      <c r="H1318" s="72">
        <f t="shared" si="21"/>
        <v>134433000</v>
      </c>
    </row>
    <row r="1319" spans="2:8" hidden="1">
      <c r="B1319" s="68" t="str">
        <f>IF(OR($D$3=JU!$F1312,$D$3=JU!$I1312),JU!B1312,"")</f>
        <v/>
      </c>
      <c r="C1319" s="6" t="str">
        <f>IF(OR($D$3=JU!$F1312,$D$3=JU!$I1312),JU!C1312,"")</f>
        <v/>
      </c>
      <c r="D1319" s="73" t="str">
        <f>IF(OR($D$3=JU!$F1312,$D$3=JU!$I1312),JU!D1312,"")</f>
        <v/>
      </c>
      <c r="E1319" s="74" t="str">
        <f>IF(OR($D$3=JU!$F1312,$D$3=JU!$I1312),JU!E1312,"")</f>
        <v/>
      </c>
      <c r="F1319" s="72">
        <f>IF($D$3=JU!F1312,JU!H1312,0)</f>
        <v>0</v>
      </c>
      <c r="G1319" s="72">
        <f>IF($D$3=JU!I1312,JU!K1312,0)</f>
        <v>0</v>
      </c>
      <c r="H1319" s="72">
        <f t="shared" si="21"/>
        <v>134433000</v>
      </c>
    </row>
    <row r="1320" spans="2:8" hidden="1">
      <c r="B1320" s="68" t="str">
        <f>IF(OR($D$3=JU!$F1313,$D$3=JU!$I1313),JU!B1313,"")</f>
        <v/>
      </c>
      <c r="C1320" s="6" t="str">
        <f>IF(OR($D$3=JU!$F1313,$D$3=JU!$I1313),JU!C1313,"")</f>
        <v/>
      </c>
      <c r="D1320" s="73" t="str">
        <f>IF(OR($D$3=JU!$F1313,$D$3=JU!$I1313),JU!D1313,"")</f>
        <v/>
      </c>
      <c r="E1320" s="74" t="str">
        <f>IF(OR($D$3=JU!$F1313,$D$3=JU!$I1313),JU!E1313,"")</f>
        <v/>
      </c>
      <c r="F1320" s="72">
        <f>IF($D$3=JU!F1313,JU!H1313,0)</f>
        <v>0</v>
      </c>
      <c r="G1320" s="72">
        <f>IF($D$3=JU!I1313,JU!K1313,0)</f>
        <v>0</v>
      </c>
      <c r="H1320" s="72">
        <f t="shared" si="21"/>
        <v>134433000</v>
      </c>
    </row>
    <row r="1321" spans="2:8" hidden="1">
      <c r="B1321" s="68" t="str">
        <f>IF(OR($D$3=JU!$F1314,$D$3=JU!$I1314),JU!B1314,"")</f>
        <v/>
      </c>
      <c r="C1321" s="6" t="str">
        <f>IF(OR($D$3=JU!$F1314,$D$3=JU!$I1314),JU!C1314,"")</f>
        <v/>
      </c>
      <c r="D1321" s="73" t="str">
        <f>IF(OR($D$3=JU!$F1314,$D$3=JU!$I1314),JU!D1314,"")</f>
        <v/>
      </c>
      <c r="E1321" s="74" t="str">
        <f>IF(OR($D$3=JU!$F1314,$D$3=JU!$I1314),JU!E1314,"")</f>
        <v/>
      </c>
      <c r="F1321" s="72">
        <f>IF($D$3=JU!F1314,JU!H1314,0)</f>
        <v>0</v>
      </c>
      <c r="G1321" s="72">
        <f>IF($D$3=JU!I1314,JU!K1314,0)</f>
        <v>0</v>
      </c>
      <c r="H1321" s="72">
        <f t="shared" si="21"/>
        <v>134433000</v>
      </c>
    </row>
    <row r="1322" spans="2:8" hidden="1">
      <c r="B1322" s="68" t="str">
        <f>IF(OR($D$3=JU!$F1315,$D$3=JU!$I1315),JU!B1315,"")</f>
        <v/>
      </c>
      <c r="C1322" s="6" t="str">
        <f>IF(OR($D$3=JU!$F1315,$D$3=JU!$I1315),JU!C1315,"")</f>
        <v/>
      </c>
      <c r="D1322" s="73" t="str">
        <f>IF(OR($D$3=JU!$F1315,$D$3=JU!$I1315),JU!D1315,"")</f>
        <v/>
      </c>
      <c r="E1322" s="74" t="str">
        <f>IF(OR($D$3=JU!$F1315,$D$3=JU!$I1315),JU!E1315,"")</f>
        <v/>
      </c>
      <c r="F1322" s="72">
        <f>IF($D$3=JU!F1315,JU!H1315,0)</f>
        <v>0</v>
      </c>
      <c r="G1322" s="72">
        <f>IF($D$3=JU!I1315,JU!K1315,0)</f>
        <v>0</v>
      </c>
      <c r="H1322" s="72">
        <f t="shared" si="21"/>
        <v>134433000</v>
      </c>
    </row>
    <row r="1323" spans="2:8" hidden="1">
      <c r="B1323" s="68" t="str">
        <f>IF(OR($D$3=JU!$F1316,$D$3=JU!$I1316),JU!B1316,"")</f>
        <v/>
      </c>
      <c r="C1323" s="6" t="str">
        <f>IF(OR($D$3=JU!$F1316,$D$3=JU!$I1316),JU!C1316,"")</f>
        <v/>
      </c>
      <c r="D1323" s="73" t="str">
        <f>IF(OR($D$3=JU!$F1316,$D$3=JU!$I1316),JU!D1316,"")</f>
        <v/>
      </c>
      <c r="E1323" s="74" t="str">
        <f>IF(OR($D$3=JU!$F1316,$D$3=JU!$I1316),JU!E1316,"")</f>
        <v/>
      </c>
      <c r="F1323" s="72">
        <f>IF($D$3=JU!F1316,JU!H1316,0)</f>
        <v>0</v>
      </c>
      <c r="G1323" s="72">
        <f>IF($D$3=JU!I1316,JU!K1316,0)</f>
        <v>0</v>
      </c>
      <c r="H1323" s="72">
        <f t="shared" si="21"/>
        <v>134433000</v>
      </c>
    </row>
    <row r="1324" spans="2:8" hidden="1">
      <c r="B1324" s="68" t="str">
        <f>IF(OR($D$3=JU!$F1317,$D$3=JU!$I1317),JU!B1317,"")</f>
        <v/>
      </c>
      <c r="C1324" s="6" t="str">
        <f>IF(OR($D$3=JU!$F1317,$D$3=JU!$I1317),JU!C1317,"")</f>
        <v/>
      </c>
      <c r="D1324" s="73" t="str">
        <f>IF(OR($D$3=JU!$F1317,$D$3=JU!$I1317),JU!D1317,"")</f>
        <v/>
      </c>
      <c r="E1324" s="74" t="str">
        <f>IF(OR($D$3=JU!$F1317,$D$3=JU!$I1317),JU!E1317,"")</f>
        <v/>
      </c>
      <c r="F1324" s="72">
        <f>IF($D$3=JU!F1317,JU!H1317,0)</f>
        <v>0</v>
      </c>
      <c r="G1324" s="72">
        <f>IF($D$3=JU!I1317,JU!K1317,0)</f>
        <v>0</v>
      </c>
      <c r="H1324" s="72">
        <f t="shared" si="21"/>
        <v>134433000</v>
      </c>
    </row>
    <row r="1325" spans="2:8" hidden="1">
      <c r="B1325" s="68" t="str">
        <f>IF(OR($D$3=JU!$F1318,$D$3=JU!$I1318),JU!B1318,"")</f>
        <v/>
      </c>
      <c r="C1325" s="6" t="str">
        <f>IF(OR($D$3=JU!$F1318,$D$3=JU!$I1318),JU!C1318,"")</f>
        <v/>
      </c>
      <c r="D1325" s="73" t="str">
        <f>IF(OR($D$3=JU!$F1318,$D$3=JU!$I1318),JU!D1318,"")</f>
        <v/>
      </c>
      <c r="E1325" s="74" t="str">
        <f>IF(OR($D$3=JU!$F1318,$D$3=JU!$I1318),JU!E1318,"")</f>
        <v/>
      </c>
      <c r="F1325" s="72">
        <f>IF($D$3=JU!F1318,JU!H1318,0)</f>
        <v>0</v>
      </c>
      <c r="G1325" s="72">
        <f>IF($D$3=JU!I1318,JU!K1318,0)</f>
        <v>0</v>
      </c>
      <c r="H1325" s="72">
        <f t="shared" si="21"/>
        <v>134433000</v>
      </c>
    </row>
    <row r="1326" spans="2:8">
      <c r="B1326" s="68">
        <f>IF(OR($D$3=JU!$F1319,$D$3=JU!$I1319),JU!B1319,"")</f>
        <v>46162</v>
      </c>
      <c r="C1326" s="6" t="str">
        <f>IF(OR($D$3=JU!$F1319,$D$3=JU!$I1319),JU!C1319,"")</f>
        <v xml:space="preserve">BIAYA NOTARIS AKAD BLOK E29 TAHAP 3 LINGGA RAMADHAN </v>
      </c>
      <c r="D1326" s="73" t="str">
        <f>IF(OR($D$3=JU!$F1319,$D$3=JU!$I1319),JU!D1319,"")</f>
        <v xml:space="preserve">By. Biaya BIAYA NOTARIS AKAD BLOK E29 TAHAP 3 LINGGA RAMADHAN </v>
      </c>
      <c r="E1326" s="74">
        <f>IF(OR($D$3=JU!$F1319,$D$3=JU!$I1319),JU!E1319,"")</f>
        <v>0</v>
      </c>
      <c r="F1326" s="72">
        <f>IF($D$3=JU!F1319,JU!H1319,0)</f>
        <v>3500000</v>
      </c>
      <c r="G1326" s="72">
        <f>IF($D$3=JU!I1319,JU!K1319,0)</f>
        <v>0</v>
      </c>
      <c r="H1326" s="72">
        <f t="shared" si="21"/>
        <v>137933000</v>
      </c>
    </row>
    <row r="1327" spans="2:8" hidden="1">
      <c r="B1327" s="68" t="str">
        <f>IF(OR($D$3=JU!$F1320,$D$3=JU!$I1320),JU!B1320,"")</f>
        <v/>
      </c>
      <c r="C1327" s="6" t="str">
        <f>IF(OR($D$3=JU!$F1320,$D$3=JU!$I1320),JU!C1320,"")</f>
        <v/>
      </c>
      <c r="D1327" s="73" t="str">
        <f>IF(OR($D$3=JU!$F1320,$D$3=JU!$I1320),JU!D1320,"")</f>
        <v/>
      </c>
      <c r="E1327" s="74" t="str">
        <f>IF(OR($D$3=JU!$F1320,$D$3=JU!$I1320),JU!E1320,"")</f>
        <v/>
      </c>
      <c r="F1327" s="72">
        <f>IF($D$3=JU!F1320,JU!H1320,0)</f>
        <v>0</v>
      </c>
      <c r="G1327" s="72">
        <f>IF($D$3=JU!I1320,JU!K1320,0)</f>
        <v>0</v>
      </c>
      <c r="H1327" s="72">
        <f t="shared" si="21"/>
        <v>137933000</v>
      </c>
    </row>
    <row r="1328" spans="2:8" hidden="1">
      <c r="B1328" s="68" t="str">
        <f>IF(OR($D$3=JU!$F1321,$D$3=JU!$I1321),JU!B1321,"")</f>
        <v/>
      </c>
      <c r="C1328" s="6" t="str">
        <f>IF(OR($D$3=JU!$F1321,$D$3=JU!$I1321),JU!C1321,"")</f>
        <v/>
      </c>
      <c r="D1328" s="73" t="str">
        <f>IF(OR($D$3=JU!$F1321,$D$3=JU!$I1321),JU!D1321,"")</f>
        <v/>
      </c>
      <c r="E1328" s="74" t="str">
        <f>IF(OR($D$3=JU!$F1321,$D$3=JU!$I1321),JU!E1321,"")</f>
        <v/>
      </c>
      <c r="F1328" s="72">
        <f>IF($D$3=JU!F1321,JU!H1321,0)</f>
        <v>0</v>
      </c>
      <c r="G1328" s="72">
        <f>IF($D$3=JU!I1321,JU!K1321,0)</f>
        <v>0</v>
      </c>
      <c r="H1328" s="72">
        <f t="shared" si="21"/>
        <v>137933000</v>
      </c>
    </row>
    <row r="1329" spans="2:8" hidden="1">
      <c r="B1329" s="68" t="str">
        <f>IF(OR($D$3=JU!$F1322,$D$3=JU!$I1322),JU!B1322,"")</f>
        <v/>
      </c>
      <c r="C1329" s="6" t="str">
        <f>IF(OR($D$3=JU!$F1322,$D$3=JU!$I1322),JU!C1322,"")</f>
        <v/>
      </c>
      <c r="D1329" s="73" t="str">
        <f>IF(OR($D$3=JU!$F1322,$D$3=JU!$I1322),JU!D1322,"")</f>
        <v/>
      </c>
      <c r="E1329" s="74" t="str">
        <f>IF(OR($D$3=JU!$F1322,$D$3=JU!$I1322),JU!E1322,"")</f>
        <v/>
      </c>
      <c r="F1329" s="72">
        <f>IF($D$3=JU!F1322,JU!H1322,0)</f>
        <v>0</v>
      </c>
      <c r="G1329" s="72">
        <f>IF($D$3=JU!I1322,JU!K1322,0)</f>
        <v>0</v>
      </c>
      <c r="H1329" s="72">
        <f t="shared" si="21"/>
        <v>137933000</v>
      </c>
    </row>
    <row r="1330" spans="2:8" hidden="1">
      <c r="B1330" s="68" t="str">
        <f>IF(OR($D$3=JU!$F1323,$D$3=JU!$I1323),JU!B1323,"")</f>
        <v/>
      </c>
      <c r="C1330" s="6" t="str">
        <f>IF(OR($D$3=JU!$F1323,$D$3=JU!$I1323),JU!C1323,"")</f>
        <v/>
      </c>
      <c r="D1330" s="73" t="str">
        <f>IF(OR($D$3=JU!$F1323,$D$3=JU!$I1323),JU!D1323,"")</f>
        <v/>
      </c>
      <c r="E1330" s="74" t="str">
        <f>IF(OR($D$3=JU!$F1323,$D$3=JU!$I1323),JU!E1323,"")</f>
        <v/>
      </c>
      <c r="F1330" s="72">
        <f>IF($D$3=JU!F1323,JU!H1323,0)</f>
        <v>0</v>
      </c>
      <c r="G1330" s="72">
        <f>IF($D$3=JU!I1323,JU!K1323,0)</f>
        <v>0</v>
      </c>
      <c r="H1330" s="72">
        <f t="shared" si="21"/>
        <v>137933000</v>
      </c>
    </row>
    <row r="1331" spans="2:8" hidden="1">
      <c r="B1331" s="68" t="str">
        <f>IF(OR($D$3=JU!$F1324,$D$3=JU!$I1324),JU!B1324,"")</f>
        <v/>
      </c>
      <c r="C1331" s="6" t="str">
        <f>IF(OR($D$3=JU!$F1324,$D$3=JU!$I1324),JU!C1324,"")</f>
        <v/>
      </c>
      <c r="D1331" s="73" t="str">
        <f>IF(OR($D$3=JU!$F1324,$D$3=JU!$I1324),JU!D1324,"")</f>
        <v/>
      </c>
      <c r="E1331" s="74" t="str">
        <f>IF(OR($D$3=JU!$F1324,$D$3=JU!$I1324),JU!E1324,"")</f>
        <v/>
      </c>
      <c r="F1331" s="72">
        <f>IF($D$3=JU!F1324,JU!H1324,0)</f>
        <v>0</v>
      </c>
      <c r="G1331" s="72">
        <f>IF($D$3=JU!I1324,JU!K1324,0)</f>
        <v>0</v>
      </c>
      <c r="H1331" s="72">
        <f t="shared" si="21"/>
        <v>137933000</v>
      </c>
    </row>
    <row r="1332" spans="2:8" hidden="1">
      <c r="B1332" s="68" t="str">
        <f>IF(OR($D$3=JU!$F1325,$D$3=JU!$I1325),JU!B1325,"")</f>
        <v/>
      </c>
      <c r="C1332" s="6" t="str">
        <f>IF(OR($D$3=JU!$F1325,$D$3=JU!$I1325),JU!C1325,"")</f>
        <v/>
      </c>
      <c r="D1332" s="73" t="str">
        <f>IF(OR($D$3=JU!$F1325,$D$3=JU!$I1325),JU!D1325,"")</f>
        <v/>
      </c>
      <c r="E1332" s="74" t="str">
        <f>IF(OR($D$3=JU!$F1325,$D$3=JU!$I1325),JU!E1325,"")</f>
        <v/>
      </c>
      <c r="F1332" s="72">
        <f>IF($D$3=JU!F1325,JU!H1325,0)</f>
        <v>0</v>
      </c>
      <c r="G1332" s="72">
        <f>IF($D$3=JU!I1325,JU!K1325,0)</f>
        <v>0</v>
      </c>
      <c r="H1332" s="72">
        <f t="shared" si="21"/>
        <v>137933000</v>
      </c>
    </row>
    <row r="1333" spans="2:8" hidden="1">
      <c r="B1333" s="68" t="str">
        <f>IF(OR($D$3=JU!$F1326,$D$3=JU!$I1326),JU!B1326,"")</f>
        <v/>
      </c>
      <c r="C1333" s="6" t="str">
        <f>IF(OR($D$3=JU!$F1326,$D$3=JU!$I1326),JU!C1326,"")</f>
        <v/>
      </c>
      <c r="D1333" s="73" t="str">
        <f>IF(OR($D$3=JU!$F1326,$D$3=JU!$I1326),JU!D1326,"")</f>
        <v/>
      </c>
      <c r="E1333" s="74" t="str">
        <f>IF(OR($D$3=JU!$F1326,$D$3=JU!$I1326),JU!E1326,"")</f>
        <v/>
      </c>
      <c r="F1333" s="72">
        <f>IF($D$3=JU!F1326,JU!H1326,0)</f>
        <v>0</v>
      </c>
      <c r="G1333" s="72">
        <f>IF($D$3=JU!I1326,JU!K1326,0)</f>
        <v>0</v>
      </c>
      <c r="H1333" s="72">
        <f t="shared" si="21"/>
        <v>137933000</v>
      </c>
    </row>
    <row r="1334" spans="2:8" hidden="1">
      <c r="B1334" s="68" t="str">
        <f>IF(OR($D$3=JU!$F1327,$D$3=JU!$I1327),JU!B1327,"")</f>
        <v/>
      </c>
      <c r="C1334" s="6" t="str">
        <f>IF(OR($D$3=JU!$F1327,$D$3=JU!$I1327),JU!C1327,"")</f>
        <v/>
      </c>
      <c r="D1334" s="73" t="str">
        <f>IF(OR($D$3=JU!$F1327,$D$3=JU!$I1327),JU!D1327,"")</f>
        <v/>
      </c>
      <c r="E1334" s="74" t="str">
        <f>IF(OR($D$3=JU!$F1327,$D$3=JU!$I1327),JU!E1327,"")</f>
        <v/>
      </c>
      <c r="F1334" s="72">
        <f>IF($D$3=JU!F1327,JU!H1327,0)</f>
        <v>0</v>
      </c>
      <c r="G1334" s="72">
        <f>IF($D$3=JU!I1327,JU!K1327,0)</f>
        <v>0</v>
      </c>
      <c r="H1334" s="72">
        <f t="shared" si="21"/>
        <v>137933000</v>
      </c>
    </row>
    <row r="1335" spans="2:8" hidden="1">
      <c r="B1335" s="68" t="str">
        <f>IF(OR($D$3=JU!$F1328,$D$3=JU!$I1328),JU!B1328,"")</f>
        <v/>
      </c>
      <c r="C1335" s="6" t="str">
        <f>IF(OR($D$3=JU!$F1328,$D$3=JU!$I1328),JU!C1328,"")</f>
        <v/>
      </c>
      <c r="D1335" s="73" t="str">
        <f>IF(OR($D$3=JU!$F1328,$D$3=JU!$I1328),JU!D1328,"")</f>
        <v/>
      </c>
      <c r="E1335" s="74" t="str">
        <f>IF(OR($D$3=JU!$F1328,$D$3=JU!$I1328),JU!E1328,"")</f>
        <v/>
      </c>
      <c r="F1335" s="72">
        <f>IF($D$3=JU!F1328,JU!H1328,0)</f>
        <v>0</v>
      </c>
      <c r="G1335" s="72">
        <f>IF($D$3=JU!I1328,JU!K1328,0)</f>
        <v>0</v>
      </c>
      <c r="H1335" s="72">
        <f t="shared" si="21"/>
        <v>137933000</v>
      </c>
    </row>
    <row r="1336" spans="2:8" hidden="1">
      <c r="B1336" s="68" t="str">
        <f>IF(OR($D$3=JU!$F1329,$D$3=JU!$I1329),JU!B1329,"")</f>
        <v/>
      </c>
      <c r="C1336" s="6" t="str">
        <f>IF(OR($D$3=JU!$F1329,$D$3=JU!$I1329),JU!C1329,"")</f>
        <v/>
      </c>
      <c r="D1336" s="73" t="str">
        <f>IF(OR($D$3=JU!$F1329,$D$3=JU!$I1329),JU!D1329,"")</f>
        <v/>
      </c>
      <c r="E1336" s="74" t="str">
        <f>IF(OR($D$3=JU!$F1329,$D$3=JU!$I1329),JU!E1329,"")</f>
        <v/>
      </c>
      <c r="F1336" s="72">
        <f>IF($D$3=JU!F1329,JU!H1329,0)</f>
        <v>0</v>
      </c>
      <c r="G1336" s="72">
        <f>IF($D$3=JU!I1329,JU!K1329,0)</f>
        <v>0</v>
      </c>
      <c r="H1336" s="72">
        <f t="shared" si="21"/>
        <v>137933000</v>
      </c>
    </row>
    <row r="1337" spans="2:8" hidden="1">
      <c r="B1337" s="68" t="str">
        <f>IF(OR($D$3=JU!$F1330,$D$3=JU!$I1330),JU!B1330,"")</f>
        <v/>
      </c>
      <c r="C1337" s="6" t="str">
        <f>IF(OR($D$3=JU!$F1330,$D$3=JU!$I1330),JU!C1330,"")</f>
        <v/>
      </c>
      <c r="D1337" s="73" t="str">
        <f>IF(OR($D$3=JU!$F1330,$D$3=JU!$I1330),JU!D1330,"")</f>
        <v/>
      </c>
      <c r="E1337" s="74" t="str">
        <f>IF(OR($D$3=JU!$F1330,$D$3=JU!$I1330),JU!E1330,"")</f>
        <v/>
      </c>
      <c r="F1337" s="72">
        <f>IF($D$3=JU!F1330,JU!H1330,0)</f>
        <v>0</v>
      </c>
      <c r="G1337" s="72">
        <f>IF($D$3=JU!I1330,JU!K1330,0)</f>
        <v>0</v>
      </c>
      <c r="H1337" s="72">
        <f t="shared" si="21"/>
        <v>137933000</v>
      </c>
    </row>
    <row r="1338" spans="2:8" hidden="1">
      <c r="B1338" s="68" t="str">
        <f>IF(OR($D$3=JU!$F1331,$D$3=JU!$I1331),JU!B1331,"")</f>
        <v/>
      </c>
      <c r="C1338" s="6" t="str">
        <f>IF(OR($D$3=JU!$F1331,$D$3=JU!$I1331),JU!C1331,"")</f>
        <v/>
      </c>
      <c r="D1338" s="73" t="str">
        <f>IF(OR($D$3=JU!$F1331,$D$3=JU!$I1331),JU!D1331,"")</f>
        <v/>
      </c>
      <c r="E1338" s="74" t="str">
        <f>IF(OR($D$3=JU!$F1331,$D$3=JU!$I1331),JU!E1331,"")</f>
        <v/>
      </c>
      <c r="F1338" s="72">
        <f>IF($D$3=JU!F1331,JU!H1331,0)</f>
        <v>0</v>
      </c>
      <c r="G1338" s="72">
        <f>IF($D$3=JU!I1331,JU!K1331,0)</f>
        <v>0</v>
      </c>
      <c r="H1338" s="72">
        <f t="shared" si="21"/>
        <v>137933000</v>
      </c>
    </row>
    <row r="1339" spans="2:8" hidden="1">
      <c r="B1339" s="68" t="str">
        <f>IF(OR($D$3=JU!$F1332,$D$3=JU!$I1332),JU!B1332,"")</f>
        <v/>
      </c>
      <c r="C1339" s="6" t="str">
        <f>IF(OR($D$3=JU!$F1332,$D$3=JU!$I1332),JU!C1332,"")</f>
        <v/>
      </c>
      <c r="D1339" s="73" t="str">
        <f>IF(OR($D$3=JU!$F1332,$D$3=JU!$I1332),JU!D1332,"")</f>
        <v/>
      </c>
      <c r="E1339" s="74" t="str">
        <f>IF(OR($D$3=JU!$F1332,$D$3=JU!$I1332),JU!E1332,"")</f>
        <v/>
      </c>
      <c r="F1339" s="72">
        <f>IF($D$3=JU!F1332,JU!H1332,0)</f>
        <v>0</v>
      </c>
      <c r="G1339" s="72">
        <f>IF($D$3=JU!I1332,JU!K1332,0)</f>
        <v>0</v>
      </c>
      <c r="H1339" s="72">
        <f t="shared" si="21"/>
        <v>137933000</v>
      </c>
    </row>
    <row r="1340" spans="2:8" hidden="1">
      <c r="B1340" s="68" t="str">
        <f>IF(OR($D$3=JU!$F1333,$D$3=JU!$I1333),JU!B1333,"")</f>
        <v/>
      </c>
      <c r="C1340" s="6" t="str">
        <f>IF(OR($D$3=JU!$F1333,$D$3=JU!$I1333),JU!C1333,"")</f>
        <v/>
      </c>
      <c r="D1340" s="73" t="str">
        <f>IF(OR($D$3=JU!$F1333,$D$3=JU!$I1333),JU!D1333,"")</f>
        <v/>
      </c>
      <c r="E1340" s="74" t="str">
        <f>IF(OR($D$3=JU!$F1333,$D$3=JU!$I1333),JU!E1333,"")</f>
        <v/>
      </c>
      <c r="F1340" s="72">
        <f>IF($D$3=JU!F1333,JU!H1333,0)</f>
        <v>0</v>
      </c>
      <c r="G1340" s="72">
        <f>IF($D$3=JU!I1333,JU!K1333,0)</f>
        <v>0</v>
      </c>
      <c r="H1340" s="72">
        <f t="shared" si="21"/>
        <v>137933000</v>
      </c>
    </row>
    <row r="1341" spans="2:8" hidden="1">
      <c r="B1341" s="68" t="str">
        <f>IF(OR($D$3=JU!$F1334,$D$3=JU!$I1334),JU!B1334,"")</f>
        <v/>
      </c>
      <c r="C1341" s="6" t="str">
        <f>IF(OR($D$3=JU!$F1334,$D$3=JU!$I1334),JU!C1334,"")</f>
        <v/>
      </c>
      <c r="D1341" s="73" t="str">
        <f>IF(OR($D$3=JU!$F1334,$D$3=JU!$I1334),JU!D1334,"")</f>
        <v/>
      </c>
      <c r="E1341" s="74" t="str">
        <f>IF(OR($D$3=JU!$F1334,$D$3=JU!$I1334),JU!E1334,"")</f>
        <v/>
      </c>
      <c r="F1341" s="72">
        <f>IF($D$3=JU!F1334,JU!H1334,0)</f>
        <v>0</v>
      </c>
      <c r="G1341" s="72">
        <f>IF($D$3=JU!I1334,JU!K1334,0)</f>
        <v>0</v>
      </c>
      <c r="H1341" s="72">
        <f t="shared" si="21"/>
        <v>137933000</v>
      </c>
    </row>
    <row r="1342" spans="2:8" hidden="1">
      <c r="B1342" s="68" t="str">
        <f>IF(OR($D$3=JU!$F1335,$D$3=JU!$I1335),JU!B1335,"")</f>
        <v/>
      </c>
      <c r="C1342" s="6" t="str">
        <f>IF(OR($D$3=JU!$F1335,$D$3=JU!$I1335),JU!C1335,"")</f>
        <v/>
      </c>
      <c r="D1342" s="73" t="str">
        <f>IF(OR($D$3=JU!$F1335,$D$3=JU!$I1335),JU!D1335,"")</f>
        <v/>
      </c>
      <c r="E1342" s="74" t="str">
        <f>IF(OR($D$3=JU!$F1335,$D$3=JU!$I1335),JU!E1335,"")</f>
        <v/>
      </c>
      <c r="F1342" s="72">
        <f>IF($D$3=JU!F1335,JU!H1335,0)</f>
        <v>0</v>
      </c>
      <c r="G1342" s="72">
        <f>IF($D$3=JU!I1335,JU!K1335,0)</f>
        <v>0</v>
      </c>
      <c r="H1342" s="72">
        <f t="shared" si="21"/>
        <v>137933000</v>
      </c>
    </row>
    <row r="1343" spans="2:8" hidden="1">
      <c r="B1343" s="68" t="str">
        <f>IF(OR($D$3=JU!$F1336,$D$3=JU!$I1336),JU!B1336,"")</f>
        <v/>
      </c>
      <c r="C1343" s="6" t="str">
        <f>IF(OR($D$3=JU!$F1336,$D$3=JU!$I1336),JU!C1336,"")</f>
        <v/>
      </c>
      <c r="D1343" s="73" t="str">
        <f>IF(OR($D$3=JU!$F1336,$D$3=JU!$I1336),JU!D1336,"")</f>
        <v/>
      </c>
      <c r="E1343" s="74" t="str">
        <f>IF(OR($D$3=JU!$F1336,$D$3=JU!$I1336),JU!E1336,"")</f>
        <v/>
      </c>
      <c r="F1343" s="72">
        <f>IF($D$3=JU!F1336,JU!H1336,0)</f>
        <v>0</v>
      </c>
      <c r="G1343" s="72">
        <f>IF($D$3=JU!I1336,JU!K1336,0)</f>
        <v>0</v>
      </c>
      <c r="H1343" s="72">
        <f t="shared" si="21"/>
        <v>137933000</v>
      </c>
    </row>
    <row r="1344" spans="2:8" hidden="1">
      <c r="B1344" s="68" t="str">
        <f>IF(OR($D$3=JU!$F1337,$D$3=JU!$I1337),JU!B1337,"")</f>
        <v/>
      </c>
      <c r="C1344" s="6" t="str">
        <f>IF(OR($D$3=JU!$F1337,$D$3=JU!$I1337),JU!C1337,"")</f>
        <v/>
      </c>
      <c r="D1344" s="73" t="str">
        <f>IF(OR($D$3=JU!$F1337,$D$3=JU!$I1337),JU!D1337,"")</f>
        <v/>
      </c>
      <c r="E1344" s="74" t="str">
        <f>IF(OR($D$3=JU!$F1337,$D$3=JU!$I1337),JU!E1337,"")</f>
        <v/>
      </c>
      <c r="F1344" s="72">
        <f>IF($D$3=JU!F1337,JU!H1337,0)</f>
        <v>0</v>
      </c>
      <c r="G1344" s="72">
        <f>IF($D$3=JU!I1337,JU!K1337,0)</f>
        <v>0</v>
      </c>
      <c r="H1344" s="72">
        <f t="shared" si="21"/>
        <v>137933000</v>
      </c>
    </row>
    <row r="1345" spans="2:8" hidden="1">
      <c r="B1345" s="68" t="str">
        <f>IF(OR($D$3=JU!$F1338,$D$3=JU!$I1338),JU!B1338,"")</f>
        <v/>
      </c>
      <c r="C1345" s="6" t="str">
        <f>IF(OR($D$3=JU!$F1338,$D$3=JU!$I1338),JU!C1338,"")</f>
        <v/>
      </c>
      <c r="D1345" s="73" t="str">
        <f>IF(OR($D$3=JU!$F1338,$D$3=JU!$I1338),JU!D1338,"")</f>
        <v/>
      </c>
      <c r="E1345" s="74" t="str">
        <f>IF(OR($D$3=JU!$F1338,$D$3=JU!$I1338),JU!E1338,"")</f>
        <v/>
      </c>
      <c r="F1345" s="72">
        <f>IF($D$3=JU!F1338,JU!H1338,0)</f>
        <v>0</v>
      </c>
      <c r="G1345" s="72">
        <f>IF($D$3=JU!I1338,JU!K1338,0)</f>
        <v>0</v>
      </c>
      <c r="H1345" s="72">
        <f t="shared" si="21"/>
        <v>137933000</v>
      </c>
    </row>
    <row r="1346" spans="2:8" hidden="1">
      <c r="B1346" s="68" t="str">
        <f>IF(OR($D$3=JU!$F1339,$D$3=JU!$I1339),JU!B1339,"")</f>
        <v/>
      </c>
      <c r="C1346" s="6" t="str">
        <f>IF(OR($D$3=JU!$F1339,$D$3=JU!$I1339),JU!C1339,"")</f>
        <v/>
      </c>
      <c r="D1346" s="73" t="str">
        <f>IF(OR($D$3=JU!$F1339,$D$3=JU!$I1339),JU!D1339,"")</f>
        <v/>
      </c>
      <c r="E1346" s="74" t="str">
        <f>IF(OR($D$3=JU!$F1339,$D$3=JU!$I1339),JU!E1339,"")</f>
        <v/>
      </c>
      <c r="F1346" s="72">
        <f>IF($D$3=JU!F1339,JU!H1339,0)</f>
        <v>0</v>
      </c>
      <c r="G1346" s="72">
        <f>IF($D$3=JU!I1339,JU!K1339,0)</f>
        <v>0</v>
      </c>
      <c r="H1346" s="72">
        <f t="shared" si="21"/>
        <v>137933000</v>
      </c>
    </row>
    <row r="1347" spans="2:8" hidden="1">
      <c r="B1347" s="68" t="str">
        <f>IF(OR($D$3=JU!$F1340,$D$3=JU!$I1340),JU!B1340,"")</f>
        <v/>
      </c>
      <c r="C1347" s="6" t="str">
        <f>IF(OR($D$3=JU!$F1340,$D$3=JU!$I1340),JU!C1340,"")</f>
        <v/>
      </c>
      <c r="D1347" s="73" t="str">
        <f>IF(OR($D$3=JU!$F1340,$D$3=JU!$I1340),JU!D1340,"")</f>
        <v/>
      </c>
      <c r="E1347" s="74" t="str">
        <f>IF(OR($D$3=JU!$F1340,$D$3=JU!$I1340),JU!E1340,"")</f>
        <v/>
      </c>
      <c r="F1347" s="72">
        <f>IF($D$3=JU!F1340,JU!H1340,0)</f>
        <v>0</v>
      </c>
      <c r="G1347" s="72">
        <f>IF($D$3=JU!I1340,JU!K1340,0)</f>
        <v>0</v>
      </c>
      <c r="H1347" s="72">
        <f t="shared" si="21"/>
        <v>137933000</v>
      </c>
    </row>
    <row r="1348" spans="2:8" hidden="1">
      <c r="B1348" s="68" t="str">
        <f>IF(OR($D$3=JU!$F1341,$D$3=JU!$I1341),JU!B1341,"")</f>
        <v/>
      </c>
      <c r="C1348" s="6" t="str">
        <f>IF(OR($D$3=JU!$F1341,$D$3=JU!$I1341),JU!C1341,"")</f>
        <v/>
      </c>
      <c r="D1348" s="73" t="str">
        <f>IF(OR($D$3=JU!$F1341,$D$3=JU!$I1341),JU!D1341,"")</f>
        <v/>
      </c>
      <c r="E1348" s="74" t="str">
        <f>IF(OR($D$3=JU!$F1341,$D$3=JU!$I1341),JU!E1341,"")</f>
        <v/>
      </c>
      <c r="F1348" s="72">
        <f>IF($D$3=JU!F1341,JU!H1341,0)</f>
        <v>0</v>
      </c>
      <c r="G1348" s="72">
        <f>IF($D$3=JU!I1341,JU!K1341,0)</f>
        <v>0</v>
      </c>
      <c r="H1348" s="72">
        <f t="shared" si="21"/>
        <v>137933000</v>
      </c>
    </row>
    <row r="1349" spans="2:8" hidden="1">
      <c r="B1349" s="68" t="str">
        <f>IF(OR($D$3=JU!$F1342,$D$3=JU!$I1342),JU!B1342,"")</f>
        <v/>
      </c>
      <c r="C1349" s="6" t="str">
        <f>IF(OR($D$3=JU!$F1342,$D$3=JU!$I1342),JU!C1342,"")</f>
        <v/>
      </c>
      <c r="D1349" s="73" t="str">
        <f>IF(OR($D$3=JU!$F1342,$D$3=JU!$I1342),JU!D1342,"")</f>
        <v/>
      </c>
      <c r="E1349" s="74" t="str">
        <f>IF(OR($D$3=JU!$F1342,$D$3=JU!$I1342),JU!E1342,"")</f>
        <v/>
      </c>
      <c r="F1349" s="72">
        <f>IF($D$3=JU!F1342,JU!H1342,0)</f>
        <v>0</v>
      </c>
      <c r="G1349" s="72">
        <f>IF($D$3=JU!I1342,JU!K1342,0)</f>
        <v>0</v>
      </c>
      <c r="H1349" s="72">
        <f t="shared" si="21"/>
        <v>137933000</v>
      </c>
    </row>
    <row r="1350" spans="2:8" hidden="1">
      <c r="B1350" s="68" t="str">
        <f>IF(OR($D$3=JU!$F1343,$D$3=JU!$I1343),JU!B1343,"")</f>
        <v/>
      </c>
      <c r="C1350" s="6" t="str">
        <f>IF(OR($D$3=JU!$F1343,$D$3=JU!$I1343),JU!C1343,"")</f>
        <v/>
      </c>
      <c r="D1350" s="73" t="str">
        <f>IF(OR($D$3=JU!$F1343,$D$3=JU!$I1343),JU!D1343,"")</f>
        <v/>
      </c>
      <c r="E1350" s="74" t="str">
        <f>IF(OR($D$3=JU!$F1343,$D$3=JU!$I1343),JU!E1343,"")</f>
        <v/>
      </c>
      <c r="F1350" s="72">
        <f>IF($D$3=JU!F1343,JU!H1343,0)</f>
        <v>0</v>
      </c>
      <c r="G1350" s="72">
        <f>IF($D$3=JU!I1343,JU!K1343,0)</f>
        <v>0</v>
      </c>
      <c r="H1350" s="72">
        <f t="shared" si="21"/>
        <v>137933000</v>
      </c>
    </row>
    <row r="1351" spans="2:8" hidden="1">
      <c r="B1351" s="68" t="str">
        <f>IF(OR($D$3=JU!$F1344,$D$3=JU!$I1344),JU!B1344,"")</f>
        <v/>
      </c>
      <c r="C1351" s="6" t="str">
        <f>IF(OR($D$3=JU!$F1344,$D$3=JU!$I1344),JU!C1344,"")</f>
        <v/>
      </c>
      <c r="D1351" s="73" t="str">
        <f>IF(OR($D$3=JU!$F1344,$D$3=JU!$I1344),JU!D1344,"")</f>
        <v/>
      </c>
      <c r="E1351" s="74" t="str">
        <f>IF(OR($D$3=JU!$F1344,$D$3=JU!$I1344),JU!E1344,"")</f>
        <v/>
      </c>
      <c r="F1351" s="72">
        <f>IF($D$3=JU!F1344,JU!H1344,0)</f>
        <v>0</v>
      </c>
      <c r="G1351" s="72">
        <f>IF($D$3=JU!I1344,JU!K1344,0)</f>
        <v>0</v>
      </c>
      <c r="H1351" s="72">
        <f t="shared" si="21"/>
        <v>137933000</v>
      </c>
    </row>
    <row r="1352" spans="2:8" hidden="1">
      <c r="B1352" s="68" t="str">
        <f>IF(OR($D$3=JU!$F1345,$D$3=JU!$I1345),JU!B1345,"")</f>
        <v/>
      </c>
      <c r="C1352" s="6" t="str">
        <f>IF(OR($D$3=JU!$F1345,$D$3=JU!$I1345),JU!C1345,"")</f>
        <v/>
      </c>
      <c r="D1352" s="73" t="str">
        <f>IF(OR($D$3=JU!$F1345,$D$3=JU!$I1345),JU!D1345,"")</f>
        <v/>
      </c>
      <c r="E1352" s="74" t="str">
        <f>IF(OR($D$3=JU!$F1345,$D$3=JU!$I1345),JU!E1345,"")</f>
        <v/>
      </c>
      <c r="F1352" s="72">
        <f>IF($D$3=JU!F1345,JU!H1345,0)</f>
        <v>0</v>
      </c>
      <c r="G1352" s="72">
        <f>IF($D$3=JU!I1345,JU!K1345,0)</f>
        <v>0</v>
      </c>
      <c r="H1352" s="72">
        <f t="shared" si="21"/>
        <v>137933000</v>
      </c>
    </row>
    <row r="1353" spans="2:8" hidden="1">
      <c r="B1353" s="68" t="str">
        <f>IF(OR($D$3=JU!$F1346,$D$3=JU!$I1346),JU!B1346,"")</f>
        <v/>
      </c>
      <c r="C1353" s="6" t="str">
        <f>IF(OR($D$3=JU!$F1346,$D$3=JU!$I1346),JU!C1346,"")</f>
        <v/>
      </c>
      <c r="D1353" s="73" t="str">
        <f>IF(OR($D$3=JU!$F1346,$D$3=JU!$I1346),JU!D1346,"")</f>
        <v/>
      </c>
      <c r="E1353" s="74" t="str">
        <f>IF(OR($D$3=JU!$F1346,$D$3=JU!$I1346),JU!E1346,"")</f>
        <v/>
      </c>
      <c r="F1353" s="72">
        <f>IF($D$3=JU!F1346,JU!H1346,0)</f>
        <v>0</v>
      </c>
      <c r="G1353" s="72">
        <f>IF($D$3=JU!I1346,JU!K1346,0)</f>
        <v>0</v>
      </c>
      <c r="H1353" s="72">
        <f t="shared" si="21"/>
        <v>137933000</v>
      </c>
    </row>
    <row r="1354" spans="2:8" hidden="1">
      <c r="B1354" s="68" t="str">
        <f>IF(OR($D$3=JU!$F1347,$D$3=JU!$I1347),JU!B1347,"")</f>
        <v/>
      </c>
      <c r="C1354" s="6" t="str">
        <f>IF(OR($D$3=JU!$F1347,$D$3=JU!$I1347),JU!C1347,"")</f>
        <v/>
      </c>
      <c r="D1354" s="73" t="str">
        <f>IF(OR($D$3=JU!$F1347,$D$3=JU!$I1347),JU!D1347,"")</f>
        <v/>
      </c>
      <c r="E1354" s="74" t="str">
        <f>IF(OR($D$3=JU!$F1347,$D$3=JU!$I1347),JU!E1347,"")</f>
        <v/>
      </c>
      <c r="F1354" s="72">
        <f>IF($D$3=JU!F1347,JU!H1347,0)</f>
        <v>0</v>
      </c>
      <c r="G1354" s="72">
        <f>IF($D$3=JU!I1347,JU!K1347,0)</f>
        <v>0</v>
      </c>
      <c r="H1354" s="72">
        <f t="shared" si="21"/>
        <v>137933000</v>
      </c>
    </row>
    <row r="1355" spans="2:8" hidden="1">
      <c r="B1355" s="68" t="str">
        <f>IF(OR($D$3=JU!$F1348,$D$3=JU!$I1348),JU!B1348,"")</f>
        <v/>
      </c>
      <c r="C1355" s="6" t="str">
        <f>IF(OR($D$3=JU!$F1348,$D$3=JU!$I1348),JU!C1348,"")</f>
        <v/>
      </c>
      <c r="D1355" s="73" t="str">
        <f>IF(OR($D$3=JU!$F1348,$D$3=JU!$I1348),JU!D1348,"")</f>
        <v/>
      </c>
      <c r="E1355" s="74" t="str">
        <f>IF(OR($D$3=JU!$F1348,$D$3=JU!$I1348),JU!E1348,"")</f>
        <v/>
      </c>
      <c r="F1355" s="72">
        <f>IF($D$3=JU!F1348,JU!H1348,0)</f>
        <v>0</v>
      </c>
      <c r="G1355" s="72">
        <f>IF($D$3=JU!I1348,JU!K1348,0)</f>
        <v>0</v>
      </c>
      <c r="H1355" s="72">
        <f t="shared" si="21"/>
        <v>137933000</v>
      </c>
    </row>
    <row r="1356" spans="2:8" hidden="1">
      <c r="B1356" s="68" t="str">
        <f>IF(OR($D$3=JU!$F1349,$D$3=JU!$I1349),JU!B1349,"")</f>
        <v/>
      </c>
      <c r="C1356" s="6" t="str">
        <f>IF(OR($D$3=JU!$F1349,$D$3=JU!$I1349),JU!C1349,"")</f>
        <v/>
      </c>
      <c r="D1356" s="73" t="str">
        <f>IF(OR($D$3=JU!$F1349,$D$3=JU!$I1349),JU!D1349,"")</f>
        <v/>
      </c>
      <c r="E1356" s="74" t="str">
        <f>IF(OR($D$3=JU!$F1349,$D$3=JU!$I1349),JU!E1349,"")</f>
        <v/>
      </c>
      <c r="F1356" s="72">
        <f>IF($D$3=JU!F1349,JU!H1349,0)</f>
        <v>0</v>
      </c>
      <c r="G1356" s="72">
        <f>IF($D$3=JU!I1349,JU!K1349,0)</f>
        <v>0</v>
      </c>
      <c r="H1356" s="72">
        <f t="shared" si="21"/>
        <v>137933000</v>
      </c>
    </row>
    <row r="1357" spans="2:8" hidden="1">
      <c r="B1357" s="68" t="str">
        <f>IF(OR($D$3=JU!$F1350,$D$3=JU!$I1350),JU!B1350,"")</f>
        <v/>
      </c>
      <c r="C1357" s="6" t="str">
        <f>IF(OR($D$3=JU!$F1350,$D$3=JU!$I1350),JU!C1350,"")</f>
        <v/>
      </c>
      <c r="D1357" s="73" t="str">
        <f>IF(OR($D$3=JU!$F1350,$D$3=JU!$I1350),JU!D1350,"")</f>
        <v/>
      </c>
      <c r="E1357" s="74" t="str">
        <f>IF(OR($D$3=JU!$F1350,$D$3=JU!$I1350),JU!E1350,"")</f>
        <v/>
      </c>
      <c r="F1357" s="72">
        <f>IF($D$3=JU!F1350,JU!H1350,0)</f>
        <v>0</v>
      </c>
      <c r="G1357" s="72">
        <f>IF($D$3=JU!I1350,JU!K1350,0)</f>
        <v>0</v>
      </c>
      <c r="H1357" s="72">
        <f t="shared" si="21"/>
        <v>137933000</v>
      </c>
    </row>
    <row r="1358" spans="2:8" hidden="1">
      <c r="B1358" s="68" t="str">
        <f>IF(OR($D$3=JU!$F1351,$D$3=JU!$I1351),JU!B1351,"")</f>
        <v/>
      </c>
      <c r="C1358" s="6" t="str">
        <f>IF(OR($D$3=JU!$F1351,$D$3=JU!$I1351),JU!C1351,"")</f>
        <v/>
      </c>
      <c r="D1358" s="73" t="str">
        <f>IF(OR($D$3=JU!$F1351,$D$3=JU!$I1351),JU!D1351,"")</f>
        <v/>
      </c>
      <c r="E1358" s="74" t="str">
        <f>IF(OR($D$3=JU!$F1351,$D$3=JU!$I1351),JU!E1351,"")</f>
        <v/>
      </c>
      <c r="F1358" s="72">
        <f>IF($D$3=JU!F1351,JU!H1351,0)</f>
        <v>0</v>
      </c>
      <c r="G1358" s="72">
        <f>IF($D$3=JU!I1351,JU!K1351,0)</f>
        <v>0</v>
      </c>
      <c r="H1358" s="72">
        <f t="shared" ref="H1358:H1421" si="22">IF($H$7="DEBET",H1357+F1358-G1358,H1357+G1358-F1358)</f>
        <v>137933000</v>
      </c>
    </row>
    <row r="1359" spans="2:8" hidden="1">
      <c r="B1359" s="68" t="str">
        <f>IF(OR($D$3=JU!$F1352,$D$3=JU!$I1352),JU!B1352,"")</f>
        <v/>
      </c>
      <c r="C1359" s="6" t="str">
        <f>IF(OR($D$3=JU!$F1352,$D$3=JU!$I1352),JU!C1352,"")</f>
        <v/>
      </c>
      <c r="D1359" s="73" t="str">
        <f>IF(OR($D$3=JU!$F1352,$D$3=JU!$I1352),JU!D1352,"")</f>
        <v/>
      </c>
      <c r="E1359" s="74" t="str">
        <f>IF(OR($D$3=JU!$F1352,$D$3=JU!$I1352),JU!E1352,"")</f>
        <v/>
      </c>
      <c r="F1359" s="72">
        <f>IF($D$3=JU!F1352,JU!H1352,0)</f>
        <v>0</v>
      </c>
      <c r="G1359" s="72">
        <f>IF($D$3=JU!I1352,JU!K1352,0)</f>
        <v>0</v>
      </c>
      <c r="H1359" s="72">
        <f t="shared" si="22"/>
        <v>137933000</v>
      </c>
    </row>
    <row r="1360" spans="2:8" hidden="1">
      <c r="B1360" s="68" t="str">
        <f>IF(OR($D$3=JU!$F1353,$D$3=JU!$I1353),JU!B1353,"")</f>
        <v/>
      </c>
      <c r="C1360" s="6" t="str">
        <f>IF(OR($D$3=JU!$F1353,$D$3=JU!$I1353),JU!C1353,"")</f>
        <v/>
      </c>
      <c r="D1360" s="73" t="str">
        <f>IF(OR($D$3=JU!$F1353,$D$3=JU!$I1353),JU!D1353,"")</f>
        <v/>
      </c>
      <c r="E1360" s="74" t="str">
        <f>IF(OR($D$3=JU!$F1353,$D$3=JU!$I1353),JU!E1353,"")</f>
        <v/>
      </c>
      <c r="F1360" s="72">
        <f>IF($D$3=JU!F1353,JU!H1353,0)</f>
        <v>0</v>
      </c>
      <c r="G1360" s="72">
        <f>IF($D$3=JU!I1353,JU!K1353,0)</f>
        <v>0</v>
      </c>
      <c r="H1360" s="72">
        <f t="shared" si="22"/>
        <v>137933000</v>
      </c>
    </row>
    <row r="1361" spans="2:8" hidden="1">
      <c r="B1361" s="68" t="str">
        <f>IF(OR($D$3=JU!$F1354,$D$3=JU!$I1354),JU!B1354,"")</f>
        <v/>
      </c>
      <c r="C1361" s="6" t="str">
        <f>IF(OR($D$3=JU!$F1354,$D$3=JU!$I1354),JU!C1354,"")</f>
        <v/>
      </c>
      <c r="D1361" s="73" t="str">
        <f>IF(OR($D$3=JU!$F1354,$D$3=JU!$I1354),JU!D1354,"")</f>
        <v/>
      </c>
      <c r="E1361" s="74" t="str">
        <f>IF(OR($D$3=JU!$F1354,$D$3=JU!$I1354),JU!E1354,"")</f>
        <v/>
      </c>
      <c r="F1361" s="72">
        <f>IF($D$3=JU!F1354,JU!H1354,0)</f>
        <v>0</v>
      </c>
      <c r="G1361" s="72">
        <f>IF($D$3=JU!I1354,JU!K1354,0)</f>
        <v>0</v>
      </c>
      <c r="H1361" s="72">
        <f t="shared" si="22"/>
        <v>137933000</v>
      </c>
    </row>
    <row r="1362" spans="2:8" hidden="1">
      <c r="B1362" s="68" t="str">
        <f>IF(OR($D$3=JU!$F1355,$D$3=JU!$I1355),JU!B1355,"")</f>
        <v/>
      </c>
      <c r="C1362" s="6" t="str">
        <f>IF(OR($D$3=JU!$F1355,$D$3=JU!$I1355),JU!C1355,"")</f>
        <v/>
      </c>
      <c r="D1362" s="73" t="str">
        <f>IF(OR($D$3=JU!$F1355,$D$3=JU!$I1355),JU!D1355,"")</f>
        <v/>
      </c>
      <c r="E1362" s="74" t="str">
        <f>IF(OR($D$3=JU!$F1355,$D$3=JU!$I1355),JU!E1355,"")</f>
        <v/>
      </c>
      <c r="F1362" s="72">
        <f>IF($D$3=JU!F1355,JU!H1355,0)</f>
        <v>0</v>
      </c>
      <c r="G1362" s="72">
        <f>IF($D$3=JU!I1355,JU!K1355,0)</f>
        <v>0</v>
      </c>
      <c r="H1362" s="72">
        <f t="shared" si="22"/>
        <v>137933000</v>
      </c>
    </row>
    <row r="1363" spans="2:8" hidden="1">
      <c r="B1363" s="68" t="str">
        <f>IF(OR($D$3=JU!$F1356,$D$3=JU!$I1356),JU!B1356,"")</f>
        <v/>
      </c>
      <c r="C1363" s="6" t="str">
        <f>IF(OR($D$3=JU!$F1356,$D$3=JU!$I1356),JU!C1356,"")</f>
        <v/>
      </c>
      <c r="D1363" s="73" t="str">
        <f>IF(OR($D$3=JU!$F1356,$D$3=JU!$I1356),JU!D1356,"")</f>
        <v/>
      </c>
      <c r="E1363" s="74" t="str">
        <f>IF(OR($D$3=JU!$F1356,$D$3=JU!$I1356),JU!E1356,"")</f>
        <v/>
      </c>
      <c r="F1363" s="72">
        <f>IF($D$3=JU!F1356,JU!H1356,0)</f>
        <v>0</v>
      </c>
      <c r="G1363" s="72">
        <f>IF($D$3=JU!I1356,JU!K1356,0)</f>
        <v>0</v>
      </c>
      <c r="H1363" s="72">
        <f t="shared" si="22"/>
        <v>137933000</v>
      </c>
    </row>
    <row r="1364" spans="2:8" hidden="1">
      <c r="B1364" s="68" t="str">
        <f>IF(OR($D$3=JU!$F1357,$D$3=JU!$I1357),JU!B1357,"")</f>
        <v/>
      </c>
      <c r="C1364" s="6" t="str">
        <f>IF(OR($D$3=JU!$F1357,$D$3=JU!$I1357),JU!C1357,"")</f>
        <v/>
      </c>
      <c r="D1364" s="73" t="str">
        <f>IF(OR($D$3=JU!$F1357,$D$3=JU!$I1357),JU!D1357,"")</f>
        <v/>
      </c>
      <c r="E1364" s="74" t="str">
        <f>IF(OR($D$3=JU!$F1357,$D$3=JU!$I1357),JU!E1357,"")</f>
        <v/>
      </c>
      <c r="F1364" s="72">
        <f>IF($D$3=JU!F1357,JU!H1357,0)</f>
        <v>0</v>
      </c>
      <c r="G1364" s="72">
        <f>IF($D$3=JU!I1357,JU!K1357,0)</f>
        <v>0</v>
      </c>
      <c r="H1364" s="72">
        <f t="shared" si="22"/>
        <v>137933000</v>
      </c>
    </row>
    <row r="1365" spans="2:8" hidden="1">
      <c r="B1365" s="68" t="str">
        <f>IF(OR($D$3=JU!$F1358,$D$3=JU!$I1358),JU!B1358,"")</f>
        <v/>
      </c>
      <c r="C1365" s="6" t="str">
        <f>IF(OR($D$3=JU!$F1358,$D$3=JU!$I1358),JU!C1358,"")</f>
        <v/>
      </c>
      <c r="D1365" s="73" t="str">
        <f>IF(OR($D$3=JU!$F1358,$D$3=JU!$I1358),JU!D1358,"")</f>
        <v/>
      </c>
      <c r="E1365" s="74" t="str">
        <f>IF(OR($D$3=JU!$F1358,$D$3=JU!$I1358),JU!E1358,"")</f>
        <v/>
      </c>
      <c r="F1365" s="72">
        <f>IF($D$3=JU!F1358,JU!H1358,0)</f>
        <v>0</v>
      </c>
      <c r="G1365" s="72">
        <f>IF($D$3=JU!I1358,JU!K1358,0)</f>
        <v>0</v>
      </c>
      <c r="H1365" s="72">
        <f t="shared" si="22"/>
        <v>137933000</v>
      </c>
    </row>
    <row r="1366" spans="2:8" hidden="1">
      <c r="B1366" s="68" t="str">
        <f>IF(OR($D$3=JU!$F1359,$D$3=JU!$I1359),JU!B1359,"")</f>
        <v/>
      </c>
      <c r="C1366" s="6" t="str">
        <f>IF(OR($D$3=JU!$F1359,$D$3=JU!$I1359),JU!C1359,"")</f>
        <v/>
      </c>
      <c r="D1366" s="73" t="str">
        <f>IF(OR($D$3=JU!$F1359,$D$3=JU!$I1359),JU!D1359,"")</f>
        <v/>
      </c>
      <c r="E1366" s="74" t="str">
        <f>IF(OR($D$3=JU!$F1359,$D$3=JU!$I1359),JU!E1359,"")</f>
        <v/>
      </c>
      <c r="F1366" s="72">
        <f>IF($D$3=JU!F1359,JU!H1359,0)</f>
        <v>0</v>
      </c>
      <c r="G1366" s="72">
        <f>IF($D$3=JU!I1359,JU!K1359,0)</f>
        <v>0</v>
      </c>
      <c r="H1366" s="72">
        <f t="shared" si="22"/>
        <v>137933000</v>
      </c>
    </row>
    <row r="1367" spans="2:8" hidden="1">
      <c r="B1367" s="68" t="str">
        <f>IF(OR($D$3=JU!$F1360,$D$3=JU!$I1360),JU!B1360,"")</f>
        <v/>
      </c>
      <c r="C1367" s="6" t="str">
        <f>IF(OR($D$3=JU!$F1360,$D$3=JU!$I1360),JU!C1360,"")</f>
        <v/>
      </c>
      <c r="D1367" s="73" t="str">
        <f>IF(OR($D$3=JU!$F1360,$D$3=JU!$I1360),JU!D1360,"")</f>
        <v/>
      </c>
      <c r="E1367" s="74" t="str">
        <f>IF(OR($D$3=JU!$F1360,$D$3=JU!$I1360),JU!E1360,"")</f>
        <v/>
      </c>
      <c r="F1367" s="72">
        <f>IF($D$3=JU!F1360,JU!H1360,0)</f>
        <v>0</v>
      </c>
      <c r="G1367" s="72">
        <f>IF($D$3=JU!I1360,JU!K1360,0)</f>
        <v>0</v>
      </c>
      <c r="H1367" s="72">
        <f t="shared" si="22"/>
        <v>137933000</v>
      </c>
    </row>
    <row r="1368" spans="2:8" hidden="1">
      <c r="B1368" s="68" t="str">
        <f>IF(OR($D$3=JU!$F1361,$D$3=JU!$I1361),JU!B1361,"")</f>
        <v/>
      </c>
      <c r="C1368" s="6" t="str">
        <f>IF(OR($D$3=JU!$F1361,$D$3=JU!$I1361),JU!C1361,"")</f>
        <v/>
      </c>
      <c r="D1368" s="73" t="str">
        <f>IF(OR($D$3=JU!$F1361,$D$3=JU!$I1361),JU!D1361,"")</f>
        <v/>
      </c>
      <c r="E1368" s="74" t="str">
        <f>IF(OR($D$3=JU!$F1361,$D$3=JU!$I1361),JU!E1361,"")</f>
        <v/>
      </c>
      <c r="F1368" s="72">
        <f>IF($D$3=JU!F1361,JU!H1361,0)</f>
        <v>0</v>
      </c>
      <c r="G1368" s="72">
        <f>IF($D$3=JU!I1361,JU!K1361,0)</f>
        <v>0</v>
      </c>
      <c r="H1368" s="72">
        <f t="shared" si="22"/>
        <v>137933000</v>
      </c>
    </row>
    <row r="1369" spans="2:8" hidden="1">
      <c r="B1369" s="68" t="str">
        <f>IF(OR($D$3=JU!$F1362,$D$3=JU!$I1362),JU!B1362,"")</f>
        <v/>
      </c>
      <c r="C1369" s="6" t="str">
        <f>IF(OR($D$3=JU!$F1362,$D$3=JU!$I1362),JU!C1362,"")</f>
        <v/>
      </c>
      <c r="D1369" s="73" t="str">
        <f>IF(OR($D$3=JU!$F1362,$D$3=JU!$I1362),JU!D1362,"")</f>
        <v/>
      </c>
      <c r="E1369" s="74" t="str">
        <f>IF(OR($D$3=JU!$F1362,$D$3=JU!$I1362),JU!E1362,"")</f>
        <v/>
      </c>
      <c r="F1369" s="72">
        <f>IF($D$3=JU!F1362,JU!H1362,0)</f>
        <v>0</v>
      </c>
      <c r="G1369" s="72">
        <f>IF($D$3=JU!I1362,JU!K1362,0)</f>
        <v>0</v>
      </c>
      <c r="H1369" s="72">
        <f t="shared" si="22"/>
        <v>137933000</v>
      </c>
    </row>
    <row r="1370" spans="2:8" hidden="1">
      <c r="B1370" s="68" t="str">
        <f>IF(OR($D$3=JU!$F1363,$D$3=JU!$I1363),JU!B1363,"")</f>
        <v/>
      </c>
      <c r="C1370" s="6" t="str">
        <f>IF(OR($D$3=JU!$F1363,$D$3=JU!$I1363),JU!C1363,"")</f>
        <v/>
      </c>
      <c r="D1370" s="73" t="str">
        <f>IF(OR($D$3=JU!$F1363,$D$3=JU!$I1363),JU!D1363,"")</f>
        <v/>
      </c>
      <c r="E1370" s="74" t="str">
        <f>IF(OR($D$3=JU!$F1363,$D$3=JU!$I1363),JU!E1363,"")</f>
        <v/>
      </c>
      <c r="F1370" s="72">
        <f>IF($D$3=JU!F1363,JU!H1363,0)</f>
        <v>0</v>
      </c>
      <c r="G1370" s="72">
        <f>IF($D$3=JU!I1363,JU!K1363,0)</f>
        <v>0</v>
      </c>
      <c r="H1370" s="72">
        <f t="shared" si="22"/>
        <v>137933000</v>
      </c>
    </row>
    <row r="1371" spans="2:8" hidden="1">
      <c r="B1371" s="68" t="str">
        <f>IF(OR($D$3=JU!$F1364,$D$3=JU!$I1364),JU!B1364,"")</f>
        <v/>
      </c>
      <c r="C1371" s="6" t="str">
        <f>IF(OR($D$3=JU!$F1364,$D$3=JU!$I1364),JU!C1364,"")</f>
        <v/>
      </c>
      <c r="D1371" s="73" t="str">
        <f>IF(OR($D$3=JU!$F1364,$D$3=JU!$I1364),JU!D1364,"")</f>
        <v/>
      </c>
      <c r="E1371" s="74" t="str">
        <f>IF(OR($D$3=JU!$F1364,$D$3=JU!$I1364),JU!E1364,"")</f>
        <v/>
      </c>
      <c r="F1371" s="72">
        <f>IF($D$3=JU!F1364,JU!H1364,0)</f>
        <v>0</v>
      </c>
      <c r="G1371" s="72">
        <f>IF($D$3=JU!I1364,JU!K1364,0)</f>
        <v>0</v>
      </c>
      <c r="H1371" s="72">
        <f t="shared" si="22"/>
        <v>137933000</v>
      </c>
    </row>
    <row r="1372" spans="2:8" hidden="1">
      <c r="B1372" s="68" t="str">
        <f>IF(OR($D$3=JU!$F1365,$D$3=JU!$I1365),JU!B1365,"")</f>
        <v/>
      </c>
      <c r="C1372" s="6" t="str">
        <f>IF(OR($D$3=JU!$F1365,$D$3=JU!$I1365),JU!C1365,"")</f>
        <v/>
      </c>
      <c r="D1372" s="73" t="str">
        <f>IF(OR($D$3=JU!$F1365,$D$3=JU!$I1365),JU!D1365,"")</f>
        <v/>
      </c>
      <c r="E1372" s="74" t="str">
        <f>IF(OR($D$3=JU!$F1365,$D$3=JU!$I1365),JU!E1365,"")</f>
        <v/>
      </c>
      <c r="F1372" s="72">
        <f>IF($D$3=JU!F1365,JU!H1365,0)</f>
        <v>0</v>
      </c>
      <c r="G1372" s="72">
        <f>IF($D$3=JU!I1365,JU!K1365,0)</f>
        <v>0</v>
      </c>
      <c r="H1372" s="72">
        <f t="shared" si="22"/>
        <v>137933000</v>
      </c>
    </row>
    <row r="1373" spans="2:8" hidden="1">
      <c r="B1373" s="68" t="str">
        <f>IF(OR($D$3=JU!$F1366,$D$3=JU!$I1366),JU!B1366,"")</f>
        <v/>
      </c>
      <c r="C1373" s="6" t="str">
        <f>IF(OR($D$3=JU!$F1366,$D$3=JU!$I1366),JU!C1366,"")</f>
        <v/>
      </c>
      <c r="D1373" s="73" t="str">
        <f>IF(OR($D$3=JU!$F1366,$D$3=JU!$I1366),JU!D1366,"")</f>
        <v/>
      </c>
      <c r="E1373" s="74" t="str">
        <f>IF(OR($D$3=JU!$F1366,$D$3=JU!$I1366),JU!E1366,"")</f>
        <v/>
      </c>
      <c r="F1373" s="72">
        <f>IF($D$3=JU!F1366,JU!H1366,0)</f>
        <v>0</v>
      </c>
      <c r="G1373" s="72">
        <f>IF($D$3=JU!I1366,JU!K1366,0)</f>
        <v>0</v>
      </c>
      <c r="H1373" s="72">
        <f t="shared" si="22"/>
        <v>137933000</v>
      </c>
    </row>
    <row r="1374" spans="2:8" hidden="1">
      <c r="B1374" s="68" t="str">
        <f>IF(OR($D$3=JU!$F1367,$D$3=JU!$I1367),JU!B1367,"")</f>
        <v/>
      </c>
      <c r="C1374" s="6" t="str">
        <f>IF(OR($D$3=JU!$F1367,$D$3=JU!$I1367),JU!C1367,"")</f>
        <v/>
      </c>
      <c r="D1374" s="73" t="str">
        <f>IF(OR($D$3=JU!$F1367,$D$3=JU!$I1367),JU!D1367,"")</f>
        <v/>
      </c>
      <c r="E1374" s="74" t="str">
        <f>IF(OR($D$3=JU!$F1367,$D$3=JU!$I1367),JU!E1367,"")</f>
        <v/>
      </c>
      <c r="F1374" s="72">
        <f>IF($D$3=JU!F1367,JU!H1367,0)</f>
        <v>0</v>
      </c>
      <c r="G1374" s="72">
        <f>IF($D$3=JU!I1367,JU!K1367,0)</f>
        <v>0</v>
      </c>
      <c r="H1374" s="72">
        <f t="shared" si="22"/>
        <v>137933000</v>
      </c>
    </row>
    <row r="1375" spans="2:8" hidden="1">
      <c r="B1375" s="68" t="str">
        <f>IF(OR($D$3=JU!$F1368,$D$3=JU!$I1368),JU!B1368,"")</f>
        <v/>
      </c>
      <c r="C1375" s="6" t="str">
        <f>IF(OR($D$3=JU!$F1368,$D$3=JU!$I1368),JU!C1368,"")</f>
        <v/>
      </c>
      <c r="D1375" s="73" t="str">
        <f>IF(OR($D$3=JU!$F1368,$D$3=JU!$I1368),JU!D1368,"")</f>
        <v/>
      </c>
      <c r="E1375" s="74" t="str">
        <f>IF(OR($D$3=JU!$F1368,$D$3=JU!$I1368),JU!E1368,"")</f>
        <v/>
      </c>
      <c r="F1375" s="72">
        <f>IF($D$3=JU!F1368,JU!H1368,0)</f>
        <v>0</v>
      </c>
      <c r="G1375" s="72">
        <f>IF($D$3=JU!I1368,JU!K1368,0)</f>
        <v>0</v>
      </c>
      <c r="H1375" s="72">
        <f t="shared" si="22"/>
        <v>137933000</v>
      </c>
    </row>
    <row r="1376" spans="2:8" hidden="1">
      <c r="B1376" s="68" t="str">
        <f>IF(OR($D$3=JU!$F1369,$D$3=JU!$I1369),JU!B1369,"")</f>
        <v/>
      </c>
      <c r="C1376" s="6" t="str">
        <f>IF(OR($D$3=JU!$F1369,$D$3=JU!$I1369),JU!C1369,"")</f>
        <v/>
      </c>
      <c r="D1376" s="73" t="str">
        <f>IF(OR($D$3=JU!$F1369,$D$3=JU!$I1369),JU!D1369,"")</f>
        <v/>
      </c>
      <c r="E1376" s="74" t="str">
        <f>IF(OR($D$3=JU!$F1369,$D$3=JU!$I1369),JU!E1369,"")</f>
        <v/>
      </c>
      <c r="F1376" s="72">
        <f>IF($D$3=JU!F1369,JU!H1369,0)</f>
        <v>0</v>
      </c>
      <c r="G1376" s="72">
        <f>IF($D$3=JU!I1369,JU!K1369,0)</f>
        <v>0</v>
      </c>
      <c r="H1376" s="72">
        <f t="shared" si="22"/>
        <v>137933000</v>
      </c>
    </row>
    <row r="1377" spans="2:8" hidden="1">
      <c r="B1377" s="68" t="str">
        <f>IF(OR($D$3=JU!$F1370,$D$3=JU!$I1370),JU!B1370,"")</f>
        <v/>
      </c>
      <c r="C1377" s="6" t="str">
        <f>IF(OR($D$3=JU!$F1370,$D$3=JU!$I1370),JU!C1370,"")</f>
        <v/>
      </c>
      <c r="D1377" s="73" t="str">
        <f>IF(OR($D$3=JU!$F1370,$D$3=JU!$I1370),JU!D1370,"")</f>
        <v/>
      </c>
      <c r="E1377" s="74" t="str">
        <f>IF(OR($D$3=JU!$F1370,$D$3=JU!$I1370),JU!E1370,"")</f>
        <v/>
      </c>
      <c r="F1377" s="72">
        <f>IF($D$3=JU!F1370,JU!H1370,0)</f>
        <v>0</v>
      </c>
      <c r="G1377" s="72">
        <f>IF($D$3=JU!I1370,JU!K1370,0)</f>
        <v>0</v>
      </c>
      <c r="H1377" s="72">
        <f t="shared" si="22"/>
        <v>137933000</v>
      </c>
    </row>
    <row r="1378" spans="2:8" hidden="1">
      <c r="B1378" s="68" t="str">
        <f>IF(OR($D$3=JU!$F1371,$D$3=JU!$I1371),JU!B1371,"")</f>
        <v/>
      </c>
      <c r="C1378" s="6" t="str">
        <f>IF(OR($D$3=JU!$F1371,$D$3=JU!$I1371),JU!C1371,"")</f>
        <v/>
      </c>
      <c r="D1378" s="73" t="str">
        <f>IF(OR($D$3=JU!$F1371,$D$3=JU!$I1371),JU!D1371,"")</f>
        <v/>
      </c>
      <c r="E1378" s="74" t="str">
        <f>IF(OR($D$3=JU!$F1371,$D$3=JU!$I1371),JU!E1371,"")</f>
        <v/>
      </c>
      <c r="F1378" s="72">
        <f>IF($D$3=JU!F1371,JU!H1371,0)</f>
        <v>0</v>
      </c>
      <c r="G1378" s="72">
        <f>IF($D$3=JU!I1371,JU!K1371,0)</f>
        <v>0</v>
      </c>
      <c r="H1378" s="72">
        <f t="shared" si="22"/>
        <v>137933000</v>
      </c>
    </row>
    <row r="1379" spans="2:8" hidden="1">
      <c r="B1379" s="68" t="str">
        <f>IF(OR($D$3=JU!$F1372,$D$3=JU!$I1372),JU!B1372,"")</f>
        <v/>
      </c>
      <c r="C1379" s="6" t="str">
        <f>IF(OR($D$3=JU!$F1372,$D$3=JU!$I1372),JU!C1372,"")</f>
        <v/>
      </c>
      <c r="D1379" s="73" t="str">
        <f>IF(OR($D$3=JU!$F1372,$D$3=JU!$I1372),JU!D1372,"")</f>
        <v/>
      </c>
      <c r="E1379" s="74" t="str">
        <f>IF(OR($D$3=JU!$F1372,$D$3=JU!$I1372),JU!E1372,"")</f>
        <v/>
      </c>
      <c r="F1379" s="72">
        <f>IF($D$3=JU!F1372,JU!H1372,0)</f>
        <v>0</v>
      </c>
      <c r="G1379" s="72">
        <f>IF($D$3=JU!I1372,JU!K1372,0)</f>
        <v>0</v>
      </c>
      <c r="H1379" s="72">
        <f t="shared" si="22"/>
        <v>137933000</v>
      </c>
    </row>
    <row r="1380" spans="2:8" hidden="1">
      <c r="B1380" s="68" t="str">
        <f>IF(OR($D$3=JU!$F1373,$D$3=JU!$I1373),JU!B1373,"")</f>
        <v/>
      </c>
      <c r="C1380" s="6" t="str">
        <f>IF(OR($D$3=JU!$F1373,$D$3=JU!$I1373),JU!C1373,"")</f>
        <v/>
      </c>
      <c r="D1380" s="73" t="str">
        <f>IF(OR($D$3=JU!$F1373,$D$3=JU!$I1373),JU!D1373,"")</f>
        <v/>
      </c>
      <c r="E1380" s="74" t="str">
        <f>IF(OR($D$3=JU!$F1373,$D$3=JU!$I1373),JU!E1373,"")</f>
        <v/>
      </c>
      <c r="F1380" s="72">
        <f>IF($D$3=JU!F1373,JU!H1373,0)</f>
        <v>0</v>
      </c>
      <c r="G1380" s="72">
        <f>IF($D$3=JU!I1373,JU!K1373,0)</f>
        <v>0</v>
      </c>
      <c r="H1380" s="72">
        <f t="shared" si="22"/>
        <v>137933000</v>
      </c>
    </row>
    <row r="1381" spans="2:8" hidden="1">
      <c r="B1381" s="68" t="str">
        <f>IF(OR($D$3=JU!$F1374,$D$3=JU!$I1374),JU!B1374,"")</f>
        <v/>
      </c>
      <c r="C1381" s="6" t="str">
        <f>IF(OR($D$3=JU!$F1374,$D$3=JU!$I1374),JU!C1374,"")</f>
        <v/>
      </c>
      <c r="D1381" s="73" t="str">
        <f>IF(OR($D$3=JU!$F1374,$D$3=JU!$I1374),JU!D1374,"")</f>
        <v/>
      </c>
      <c r="E1381" s="74" t="str">
        <f>IF(OR($D$3=JU!$F1374,$D$3=JU!$I1374),JU!E1374,"")</f>
        <v/>
      </c>
      <c r="F1381" s="72">
        <f>IF($D$3=JU!F1374,JU!H1374,0)</f>
        <v>0</v>
      </c>
      <c r="G1381" s="72">
        <f>IF($D$3=JU!I1374,JU!K1374,0)</f>
        <v>0</v>
      </c>
      <c r="H1381" s="72">
        <f t="shared" si="22"/>
        <v>137933000</v>
      </c>
    </row>
    <row r="1382" spans="2:8" hidden="1">
      <c r="B1382" s="68" t="str">
        <f>IF(OR($D$3=JU!$F1375,$D$3=JU!$I1375),JU!B1375,"")</f>
        <v/>
      </c>
      <c r="C1382" s="6" t="str">
        <f>IF(OR($D$3=JU!$F1375,$D$3=JU!$I1375),JU!C1375,"")</f>
        <v/>
      </c>
      <c r="D1382" s="73" t="str">
        <f>IF(OR($D$3=JU!$F1375,$D$3=JU!$I1375),JU!D1375,"")</f>
        <v/>
      </c>
      <c r="E1382" s="74" t="str">
        <f>IF(OR($D$3=JU!$F1375,$D$3=JU!$I1375),JU!E1375,"")</f>
        <v/>
      </c>
      <c r="F1382" s="72">
        <f>IF($D$3=JU!F1375,JU!H1375,0)</f>
        <v>0</v>
      </c>
      <c r="G1382" s="72">
        <f>IF($D$3=JU!I1375,JU!K1375,0)</f>
        <v>0</v>
      </c>
      <c r="H1382" s="72">
        <f t="shared" si="22"/>
        <v>137933000</v>
      </c>
    </row>
    <row r="1383" spans="2:8" hidden="1">
      <c r="B1383" s="68" t="str">
        <f>IF(OR($D$3=JU!$F1376,$D$3=JU!$I1376),JU!B1376,"")</f>
        <v/>
      </c>
      <c r="C1383" s="6" t="str">
        <f>IF(OR($D$3=JU!$F1376,$D$3=JU!$I1376),JU!C1376,"")</f>
        <v/>
      </c>
      <c r="D1383" s="73" t="str">
        <f>IF(OR($D$3=JU!$F1376,$D$3=JU!$I1376),JU!D1376,"")</f>
        <v/>
      </c>
      <c r="E1383" s="74" t="str">
        <f>IF(OR($D$3=JU!$F1376,$D$3=JU!$I1376),JU!E1376,"")</f>
        <v/>
      </c>
      <c r="F1383" s="72">
        <f>IF($D$3=JU!F1376,JU!H1376,0)</f>
        <v>0</v>
      </c>
      <c r="G1383" s="72">
        <f>IF($D$3=JU!I1376,JU!K1376,0)</f>
        <v>0</v>
      </c>
      <c r="H1383" s="72">
        <f t="shared" si="22"/>
        <v>137933000</v>
      </c>
    </row>
    <row r="1384" spans="2:8" hidden="1">
      <c r="B1384" s="68" t="str">
        <f>IF(OR($D$3=JU!$F1377,$D$3=JU!$I1377),JU!B1377,"")</f>
        <v/>
      </c>
      <c r="C1384" s="6" t="str">
        <f>IF(OR($D$3=JU!$F1377,$D$3=JU!$I1377),JU!C1377,"")</f>
        <v/>
      </c>
      <c r="D1384" s="73" t="str">
        <f>IF(OR($D$3=JU!$F1377,$D$3=JU!$I1377),JU!D1377,"")</f>
        <v/>
      </c>
      <c r="E1384" s="74" t="str">
        <f>IF(OR($D$3=JU!$F1377,$D$3=JU!$I1377),JU!E1377,"")</f>
        <v/>
      </c>
      <c r="F1384" s="72">
        <f>IF($D$3=JU!F1377,JU!H1377,0)</f>
        <v>0</v>
      </c>
      <c r="G1384" s="72">
        <f>IF($D$3=JU!I1377,JU!K1377,0)</f>
        <v>0</v>
      </c>
      <c r="H1384" s="72">
        <f t="shared" si="22"/>
        <v>137933000</v>
      </c>
    </row>
    <row r="1385" spans="2:8" hidden="1">
      <c r="B1385" s="68" t="str">
        <f>IF(OR($D$3=JU!$F1378,$D$3=JU!$I1378),JU!B1378,"")</f>
        <v/>
      </c>
      <c r="C1385" s="6" t="str">
        <f>IF(OR($D$3=JU!$F1378,$D$3=JU!$I1378),JU!C1378,"")</f>
        <v/>
      </c>
      <c r="D1385" s="73" t="str">
        <f>IF(OR($D$3=JU!$F1378,$D$3=JU!$I1378),JU!D1378,"")</f>
        <v/>
      </c>
      <c r="E1385" s="74" t="str">
        <f>IF(OR($D$3=JU!$F1378,$D$3=JU!$I1378),JU!E1378,"")</f>
        <v/>
      </c>
      <c r="F1385" s="72">
        <f>IF($D$3=JU!F1378,JU!H1378,0)</f>
        <v>0</v>
      </c>
      <c r="G1385" s="72">
        <f>IF($D$3=JU!I1378,JU!K1378,0)</f>
        <v>0</v>
      </c>
      <c r="H1385" s="72">
        <f t="shared" si="22"/>
        <v>137933000</v>
      </c>
    </row>
    <row r="1386" spans="2:8" hidden="1">
      <c r="B1386" s="68" t="str">
        <f>IF(OR($D$3=JU!$F1379,$D$3=JU!$I1379),JU!B1379,"")</f>
        <v/>
      </c>
      <c r="C1386" s="6" t="str">
        <f>IF(OR($D$3=JU!$F1379,$D$3=JU!$I1379),JU!C1379,"")</f>
        <v/>
      </c>
      <c r="D1386" s="73" t="str">
        <f>IF(OR($D$3=JU!$F1379,$D$3=JU!$I1379),JU!D1379,"")</f>
        <v/>
      </c>
      <c r="E1386" s="74" t="str">
        <f>IF(OR($D$3=JU!$F1379,$D$3=JU!$I1379),JU!E1379,"")</f>
        <v/>
      </c>
      <c r="F1386" s="72">
        <f>IF($D$3=JU!F1379,JU!H1379,0)</f>
        <v>0</v>
      </c>
      <c r="G1386" s="72">
        <f>IF($D$3=JU!I1379,JU!K1379,0)</f>
        <v>0</v>
      </c>
      <c r="H1386" s="72">
        <f t="shared" si="22"/>
        <v>137933000</v>
      </c>
    </row>
    <row r="1387" spans="2:8" hidden="1">
      <c r="B1387" s="68" t="str">
        <f>IF(OR($D$3=JU!$F1380,$D$3=JU!$I1380),JU!B1380,"")</f>
        <v/>
      </c>
      <c r="C1387" s="6" t="str">
        <f>IF(OR($D$3=JU!$F1380,$D$3=JU!$I1380),JU!C1380,"")</f>
        <v/>
      </c>
      <c r="D1387" s="73" t="str">
        <f>IF(OR($D$3=JU!$F1380,$D$3=JU!$I1380),JU!D1380,"")</f>
        <v/>
      </c>
      <c r="E1387" s="74" t="str">
        <f>IF(OR($D$3=JU!$F1380,$D$3=JU!$I1380),JU!E1380,"")</f>
        <v/>
      </c>
      <c r="F1387" s="72">
        <f>IF($D$3=JU!F1380,JU!H1380,0)</f>
        <v>0</v>
      </c>
      <c r="G1387" s="72">
        <f>IF($D$3=JU!I1380,JU!K1380,0)</f>
        <v>0</v>
      </c>
      <c r="H1387" s="72">
        <f t="shared" si="22"/>
        <v>137933000</v>
      </c>
    </row>
    <row r="1388" spans="2:8" hidden="1">
      <c r="B1388" s="68" t="str">
        <f>IF(OR($D$3=JU!$F1381,$D$3=JU!$I1381),JU!B1381,"")</f>
        <v/>
      </c>
      <c r="C1388" s="6" t="str">
        <f>IF(OR($D$3=JU!$F1381,$D$3=JU!$I1381),JU!C1381,"")</f>
        <v/>
      </c>
      <c r="D1388" s="73" t="str">
        <f>IF(OR($D$3=JU!$F1381,$D$3=JU!$I1381),JU!D1381,"")</f>
        <v/>
      </c>
      <c r="E1388" s="74" t="str">
        <f>IF(OR($D$3=JU!$F1381,$D$3=JU!$I1381),JU!E1381,"")</f>
        <v/>
      </c>
      <c r="F1388" s="72">
        <f>IF($D$3=JU!F1381,JU!H1381,0)</f>
        <v>0</v>
      </c>
      <c r="G1388" s="72">
        <f>IF($D$3=JU!I1381,JU!K1381,0)</f>
        <v>0</v>
      </c>
      <c r="H1388" s="72">
        <f t="shared" si="22"/>
        <v>137933000</v>
      </c>
    </row>
    <row r="1389" spans="2:8" hidden="1">
      <c r="B1389" s="68" t="str">
        <f>IF(OR($D$3=JU!$F1382,$D$3=JU!$I1382),JU!B1382,"")</f>
        <v/>
      </c>
      <c r="C1389" s="6" t="str">
        <f>IF(OR($D$3=JU!$F1382,$D$3=JU!$I1382),JU!C1382,"")</f>
        <v/>
      </c>
      <c r="D1389" s="73" t="str">
        <f>IF(OR($D$3=JU!$F1382,$D$3=JU!$I1382),JU!D1382,"")</f>
        <v/>
      </c>
      <c r="E1389" s="74" t="str">
        <f>IF(OR($D$3=JU!$F1382,$D$3=JU!$I1382),JU!E1382,"")</f>
        <v/>
      </c>
      <c r="F1389" s="72">
        <f>IF($D$3=JU!F1382,JU!H1382,0)</f>
        <v>0</v>
      </c>
      <c r="G1389" s="72">
        <f>IF($D$3=JU!I1382,JU!K1382,0)</f>
        <v>0</v>
      </c>
      <c r="H1389" s="72">
        <f t="shared" si="22"/>
        <v>137933000</v>
      </c>
    </row>
    <row r="1390" spans="2:8" hidden="1">
      <c r="B1390" s="68" t="str">
        <f>IF(OR($D$3=JU!$F1383,$D$3=JU!$I1383),JU!B1383,"")</f>
        <v/>
      </c>
      <c r="C1390" s="6" t="str">
        <f>IF(OR($D$3=JU!$F1383,$D$3=JU!$I1383),JU!C1383,"")</f>
        <v/>
      </c>
      <c r="D1390" s="73" t="str">
        <f>IF(OR($D$3=JU!$F1383,$D$3=JU!$I1383),JU!D1383,"")</f>
        <v/>
      </c>
      <c r="E1390" s="74" t="str">
        <f>IF(OR($D$3=JU!$F1383,$D$3=JU!$I1383),JU!E1383,"")</f>
        <v/>
      </c>
      <c r="F1390" s="72">
        <f>IF($D$3=JU!F1383,JU!H1383,0)</f>
        <v>0</v>
      </c>
      <c r="G1390" s="72">
        <f>IF($D$3=JU!I1383,JU!K1383,0)</f>
        <v>0</v>
      </c>
      <c r="H1390" s="72">
        <f t="shared" si="22"/>
        <v>137933000</v>
      </c>
    </row>
    <row r="1391" spans="2:8" hidden="1">
      <c r="B1391" s="68" t="str">
        <f>IF(OR($D$3=JU!$F1384,$D$3=JU!$I1384),JU!B1384,"")</f>
        <v/>
      </c>
      <c r="C1391" s="6" t="str">
        <f>IF(OR($D$3=JU!$F1384,$D$3=JU!$I1384),JU!C1384,"")</f>
        <v/>
      </c>
      <c r="D1391" s="73" t="str">
        <f>IF(OR($D$3=JU!$F1384,$D$3=JU!$I1384),JU!D1384,"")</f>
        <v/>
      </c>
      <c r="E1391" s="74" t="str">
        <f>IF(OR($D$3=JU!$F1384,$D$3=JU!$I1384),JU!E1384,"")</f>
        <v/>
      </c>
      <c r="F1391" s="72">
        <f>IF($D$3=JU!F1384,JU!H1384,0)</f>
        <v>0</v>
      </c>
      <c r="G1391" s="72">
        <f>IF($D$3=JU!I1384,JU!K1384,0)</f>
        <v>0</v>
      </c>
      <c r="H1391" s="72">
        <f t="shared" si="22"/>
        <v>137933000</v>
      </c>
    </row>
    <row r="1392" spans="2:8" hidden="1">
      <c r="B1392" s="68" t="str">
        <f>IF(OR($D$3=JU!$F1385,$D$3=JU!$I1385),JU!B1385,"")</f>
        <v/>
      </c>
      <c r="C1392" s="6" t="str">
        <f>IF(OR($D$3=JU!$F1385,$D$3=JU!$I1385),JU!C1385,"")</f>
        <v/>
      </c>
      <c r="D1392" s="73" t="str">
        <f>IF(OR($D$3=JU!$F1385,$D$3=JU!$I1385),JU!D1385,"")</f>
        <v/>
      </c>
      <c r="E1392" s="74" t="str">
        <f>IF(OR($D$3=JU!$F1385,$D$3=JU!$I1385),JU!E1385,"")</f>
        <v/>
      </c>
      <c r="F1392" s="72">
        <f>IF($D$3=JU!F1385,JU!H1385,0)</f>
        <v>0</v>
      </c>
      <c r="G1392" s="72">
        <f>IF($D$3=JU!I1385,JU!K1385,0)</f>
        <v>0</v>
      </c>
      <c r="H1392" s="72">
        <f t="shared" si="22"/>
        <v>137933000</v>
      </c>
    </row>
    <row r="1393" spans="2:8" hidden="1">
      <c r="B1393" s="68" t="str">
        <f>IF(OR($D$3=JU!$F1472,$D$3=JU!$I1472),JU!B1472,"")</f>
        <v/>
      </c>
      <c r="C1393" s="6" t="str">
        <f>IF(OR($D$3=JU!$F1472,$D$3=JU!$I1472),JU!C1472,"")</f>
        <v/>
      </c>
      <c r="D1393" s="73" t="str">
        <f>IF(OR($D$3=JU!$F1472,$D$3=JU!$I1472),JU!D1472,"")</f>
        <v/>
      </c>
      <c r="E1393" s="74" t="str">
        <f>IF(OR($D$3=JU!$F1472,$D$3=JU!$I1472),JU!E1472,"")</f>
        <v/>
      </c>
      <c r="F1393" s="72">
        <f>IF($D$3=JU!F1472,JU!H1472,0)</f>
        <v>0</v>
      </c>
      <c r="G1393" s="72">
        <f>IF($D$3=JU!I1472,JU!K1472,0)</f>
        <v>0</v>
      </c>
      <c r="H1393" s="72">
        <f t="shared" si="22"/>
        <v>137933000</v>
      </c>
    </row>
    <row r="1394" spans="2:8" hidden="1">
      <c r="B1394" s="68" t="str">
        <f>IF(OR($D$3=JU!$F1386,$D$3=JU!$I1386),JU!B1386,"")</f>
        <v/>
      </c>
      <c r="C1394" s="6" t="str">
        <f>IF(OR($D$3=JU!$F1386,$D$3=JU!$I1386),JU!C1386,"")</f>
        <v/>
      </c>
      <c r="D1394" s="73" t="str">
        <f>IF(OR($D$3=JU!$F1386,$D$3=JU!$I1386),JU!D1386,"")</f>
        <v/>
      </c>
      <c r="E1394" s="74" t="str">
        <f>IF(OR($D$3=JU!$F1386,$D$3=JU!$I1386),JU!E1386,"")</f>
        <v/>
      </c>
      <c r="F1394" s="72">
        <f>IF($D$3=JU!F1386,JU!H1386,0)</f>
        <v>0</v>
      </c>
      <c r="G1394" s="72">
        <f>IF($D$3=JU!I1386,JU!K1386,0)</f>
        <v>0</v>
      </c>
      <c r="H1394" s="72">
        <f t="shared" si="22"/>
        <v>137933000</v>
      </c>
    </row>
    <row r="1395" spans="2:8" hidden="1">
      <c r="B1395" s="68" t="str">
        <f>IF(OR($D$3=JU!$F1387,$D$3=JU!$I1387),JU!B1387,"")</f>
        <v/>
      </c>
      <c r="C1395" s="6" t="str">
        <f>IF(OR($D$3=JU!$F1387,$D$3=JU!$I1387),JU!C1387,"")</f>
        <v/>
      </c>
      <c r="D1395" s="73" t="str">
        <f>IF(OR($D$3=JU!$F1387,$D$3=JU!$I1387),JU!D1387,"")</f>
        <v/>
      </c>
      <c r="E1395" s="74" t="str">
        <f>IF(OR($D$3=JU!$F1387,$D$3=JU!$I1387),JU!E1387,"")</f>
        <v/>
      </c>
      <c r="F1395" s="72">
        <f>IF($D$3=JU!F1387,JU!H1387,0)</f>
        <v>0</v>
      </c>
      <c r="G1395" s="72">
        <f>IF($D$3=JU!I1387,JU!K1387,0)</f>
        <v>0</v>
      </c>
      <c r="H1395" s="72">
        <f t="shared" si="22"/>
        <v>137933000</v>
      </c>
    </row>
    <row r="1396" spans="2:8" hidden="1">
      <c r="B1396" s="68" t="str">
        <f>IF(OR($D$3=JU!$F1388,$D$3=JU!$I1388),JU!B1388,"")</f>
        <v/>
      </c>
      <c r="C1396" s="6" t="str">
        <f>IF(OR($D$3=JU!$F1388,$D$3=JU!$I1388),JU!C1388,"")</f>
        <v/>
      </c>
      <c r="D1396" s="73" t="str">
        <f>IF(OR($D$3=JU!$F1388,$D$3=JU!$I1388),JU!D1388,"")</f>
        <v/>
      </c>
      <c r="E1396" s="74" t="str">
        <f>IF(OR($D$3=JU!$F1388,$D$3=JU!$I1388),JU!E1388,"")</f>
        <v/>
      </c>
      <c r="F1396" s="72">
        <f>IF($D$3=JU!F1388,JU!H1388,0)</f>
        <v>0</v>
      </c>
      <c r="G1396" s="72">
        <f>IF($D$3=JU!I1388,JU!K1388,0)</f>
        <v>0</v>
      </c>
      <c r="H1396" s="72">
        <f t="shared" si="22"/>
        <v>137933000</v>
      </c>
    </row>
    <row r="1397" spans="2:8" hidden="1">
      <c r="B1397" s="68" t="str">
        <f>IF(OR($D$3=JU!$F1389,$D$3=JU!$I1389),JU!B1389,"")</f>
        <v/>
      </c>
      <c r="C1397" s="6" t="str">
        <f>IF(OR($D$3=JU!$F1389,$D$3=JU!$I1389),JU!C1389,"")</f>
        <v/>
      </c>
      <c r="D1397" s="73" t="str">
        <f>IF(OR($D$3=JU!$F1389,$D$3=JU!$I1389),JU!D1389,"")</f>
        <v/>
      </c>
      <c r="E1397" s="74" t="str">
        <f>IF(OR($D$3=JU!$F1389,$D$3=JU!$I1389),JU!E1389,"")</f>
        <v/>
      </c>
      <c r="F1397" s="72">
        <f>IF($D$3=JU!F1389,JU!H1389,0)</f>
        <v>0</v>
      </c>
      <c r="G1397" s="72">
        <f>IF($D$3=JU!I1389,JU!K1389,0)</f>
        <v>0</v>
      </c>
      <c r="H1397" s="72">
        <f t="shared" si="22"/>
        <v>137933000</v>
      </c>
    </row>
    <row r="1398" spans="2:8" hidden="1">
      <c r="B1398" s="68" t="str">
        <f>IF(OR($D$3=JU!$F1390,$D$3=JU!$I1390),JU!B1390,"")</f>
        <v/>
      </c>
      <c r="C1398" s="6" t="str">
        <f>IF(OR($D$3=JU!$F1390,$D$3=JU!$I1390),JU!C1390,"")</f>
        <v/>
      </c>
      <c r="D1398" s="73" t="str">
        <f>IF(OR($D$3=JU!$F1390,$D$3=JU!$I1390),JU!D1390,"")</f>
        <v/>
      </c>
      <c r="E1398" s="74" t="str">
        <f>IF(OR($D$3=JU!$F1390,$D$3=JU!$I1390),JU!E1390,"")</f>
        <v/>
      </c>
      <c r="F1398" s="72">
        <f>IF($D$3=JU!F1390,JU!H1390,0)</f>
        <v>0</v>
      </c>
      <c r="G1398" s="72">
        <f>IF($D$3=JU!I1390,JU!K1390,0)</f>
        <v>0</v>
      </c>
      <c r="H1398" s="72">
        <f t="shared" si="22"/>
        <v>137933000</v>
      </c>
    </row>
    <row r="1399" spans="2:8" hidden="1">
      <c r="B1399" s="68" t="str">
        <f>IF(OR($D$3=JU!$F1391,$D$3=JU!$I1391),JU!B1391,"")</f>
        <v/>
      </c>
      <c r="C1399" s="6" t="str">
        <f>IF(OR($D$3=JU!$F1391,$D$3=JU!$I1391),JU!C1391,"")</f>
        <v/>
      </c>
      <c r="D1399" s="73" t="str">
        <f>IF(OR($D$3=JU!$F1391,$D$3=JU!$I1391),JU!D1391,"")</f>
        <v/>
      </c>
      <c r="E1399" s="74" t="str">
        <f>IF(OR($D$3=JU!$F1391,$D$3=JU!$I1391),JU!E1391,"")</f>
        <v/>
      </c>
      <c r="F1399" s="72">
        <f>IF($D$3=JU!F1391,JU!H1391,0)</f>
        <v>0</v>
      </c>
      <c r="G1399" s="72">
        <f>IF($D$3=JU!I1391,JU!K1391,0)</f>
        <v>0</v>
      </c>
      <c r="H1399" s="72">
        <f t="shared" si="22"/>
        <v>137933000</v>
      </c>
    </row>
    <row r="1400" spans="2:8" hidden="1">
      <c r="B1400" s="68" t="str">
        <f>IF(OR($D$3=JU!$F1392,$D$3=JU!$I1392),JU!B1392,"")</f>
        <v/>
      </c>
      <c r="C1400" s="6" t="str">
        <f>IF(OR($D$3=JU!$F1392,$D$3=JU!$I1392),JU!C1392,"")</f>
        <v/>
      </c>
      <c r="D1400" s="73" t="str">
        <f>IF(OR($D$3=JU!$F1392,$D$3=JU!$I1392),JU!D1392,"")</f>
        <v/>
      </c>
      <c r="E1400" s="74" t="str">
        <f>IF(OR($D$3=JU!$F1392,$D$3=JU!$I1392),JU!E1392,"")</f>
        <v/>
      </c>
      <c r="F1400" s="72">
        <f>IF($D$3=JU!F1392,JU!H1392,0)</f>
        <v>0</v>
      </c>
      <c r="G1400" s="72">
        <f>IF($D$3=JU!I1392,JU!K1392,0)</f>
        <v>0</v>
      </c>
      <c r="H1400" s="72">
        <f t="shared" si="22"/>
        <v>137933000</v>
      </c>
    </row>
    <row r="1401" spans="2:8" hidden="1">
      <c r="B1401" s="68" t="str">
        <f>IF(OR($D$3=JU!$F1393,$D$3=JU!$I1393),JU!B1393,"")</f>
        <v/>
      </c>
      <c r="C1401" s="6" t="str">
        <f>IF(OR($D$3=JU!$F1393,$D$3=JU!$I1393),JU!C1393,"")</f>
        <v/>
      </c>
      <c r="D1401" s="73" t="str">
        <f>IF(OR($D$3=JU!$F1393,$D$3=JU!$I1393),JU!D1393,"")</f>
        <v/>
      </c>
      <c r="E1401" s="74" t="str">
        <f>IF(OR($D$3=JU!$F1393,$D$3=JU!$I1393),JU!E1393,"")</f>
        <v/>
      </c>
      <c r="F1401" s="72">
        <f>IF($D$3=JU!F1393,JU!H1393,0)</f>
        <v>0</v>
      </c>
      <c r="G1401" s="72">
        <f>IF($D$3=JU!I1393,JU!K1393,0)</f>
        <v>0</v>
      </c>
      <c r="H1401" s="72">
        <f t="shared" si="22"/>
        <v>137933000</v>
      </c>
    </row>
    <row r="1402" spans="2:8" hidden="1">
      <c r="B1402" s="68" t="str">
        <f>IF(OR($D$3=JU!$F1394,$D$3=JU!$I1394),JU!B1394,"")</f>
        <v/>
      </c>
      <c r="C1402" s="6" t="str">
        <f>IF(OR($D$3=JU!$F1394,$D$3=JU!$I1394),JU!C1394,"")</f>
        <v/>
      </c>
      <c r="D1402" s="73" t="str">
        <f>IF(OR($D$3=JU!$F1394,$D$3=JU!$I1394),JU!D1394,"")</f>
        <v/>
      </c>
      <c r="E1402" s="74" t="str">
        <f>IF(OR($D$3=JU!$F1394,$D$3=JU!$I1394),JU!E1394,"")</f>
        <v/>
      </c>
      <c r="F1402" s="72">
        <f>IF($D$3=JU!F1394,JU!H1394,0)</f>
        <v>0</v>
      </c>
      <c r="G1402" s="72">
        <f>IF($D$3=JU!I1394,JU!K1394,0)</f>
        <v>0</v>
      </c>
      <c r="H1402" s="72">
        <f t="shared" si="22"/>
        <v>137933000</v>
      </c>
    </row>
    <row r="1403" spans="2:8" hidden="1">
      <c r="B1403" s="68" t="str">
        <f>IF(OR($D$3=JU!$F1395,$D$3=JU!$I1395),JU!B1395,"")</f>
        <v/>
      </c>
      <c r="C1403" s="6" t="str">
        <f>IF(OR($D$3=JU!$F1395,$D$3=JU!$I1395),JU!C1395,"")</f>
        <v/>
      </c>
      <c r="D1403" s="73" t="str">
        <f>IF(OR($D$3=JU!$F1395,$D$3=JU!$I1395),JU!D1395,"")</f>
        <v/>
      </c>
      <c r="E1403" s="74" t="str">
        <f>IF(OR($D$3=JU!$F1395,$D$3=JU!$I1395),JU!E1395,"")</f>
        <v/>
      </c>
      <c r="F1403" s="72">
        <f>IF($D$3=JU!F1395,JU!H1395,0)</f>
        <v>0</v>
      </c>
      <c r="G1403" s="72">
        <f>IF($D$3=JU!I1395,JU!K1395,0)</f>
        <v>0</v>
      </c>
      <c r="H1403" s="72">
        <f t="shared" si="22"/>
        <v>137933000</v>
      </c>
    </row>
    <row r="1404" spans="2:8" hidden="1">
      <c r="B1404" s="68" t="str">
        <f>IF(OR($D$3=JU!$F1396,$D$3=JU!$I1396),JU!B1396,"")</f>
        <v/>
      </c>
      <c r="C1404" s="6" t="str">
        <f>IF(OR($D$3=JU!$F1396,$D$3=JU!$I1396),JU!C1396,"")</f>
        <v/>
      </c>
      <c r="D1404" s="73" t="str">
        <f>IF(OR($D$3=JU!$F1396,$D$3=JU!$I1396),JU!D1396,"")</f>
        <v/>
      </c>
      <c r="E1404" s="74" t="str">
        <f>IF(OR($D$3=JU!$F1396,$D$3=JU!$I1396),JU!E1396,"")</f>
        <v/>
      </c>
      <c r="F1404" s="72">
        <f>IF($D$3=JU!F1396,JU!H1396,0)</f>
        <v>0</v>
      </c>
      <c r="G1404" s="72">
        <f>IF($D$3=JU!I1396,JU!K1396,0)</f>
        <v>0</v>
      </c>
      <c r="H1404" s="72">
        <f t="shared" si="22"/>
        <v>137933000</v>
      </c>
    </row>
    <row r="1405" spans="2:8" hidden="1">
      <c r="B1405" s="68" t="str">
        <f>IF(OR($D$3=JU!$F1397,$D$3=JU!$I1397),JU!B1397,"")</f>
        <v/>
      </c>
      <c r="C1405" s="6" t="str">
        <f>IF(OR($D$3=JU!$F1397,$D$3=JU!$I1397),JU!C1397,"")</f>
        <v/>
      </c>
      <c r="D1405" s="73" t="str">
        <f>IF(OR($D$3=JU!$F1397,$D$3=JU!$I1397),JU!D1397,"")</f>
        <v/>
      </c>
      <c r="E1405" s="74" t="str">
        <f>IF(OR($D$3=JU!$F1397,$D$3=JU!$I1397),JU!E1397,"")</f>
        <v/>
      </c>
      <c r="F1405" s="72">
        <f>IF($D$3=JU!F1397,JU!H1397,0)</f>
        <v>0</v>
      </c>
      <c r="G1405" s="72">
        <f>IF($D$3=JU!I1397,JU!K1397,0)</f>
        <v>0</v>
      </c>
      <c r="H1405" s="72">
        <f t="shared" si="22"/>
        <v>137933000</v>
      </c>
    </row>
    <row r="1406" spans="2:8" hidden="1">
      <c r="B1406" s="68" t="str">
        <f>IF(OR($D$3=JU!$F1398,$D$3=JU!$I1398),JU!B1398,"")</f>
        <v/>
      </c>
      <c r="C1406" s="6" t="str">
        <f>IF(OR($D$3=JU!$F1398,$D$3=JU!$I1398),JU!C1398,"")</f>
        <v/>
      </c>
      <c r="D1406" s="73" t="str">
        <f>IF(OR($D$3=JU!$F1398,$D$3=JU!$I1398),JU!D1398,"")</f>
        <v/>
      </c>
      <c r="E1406" s="74" t="str">
        <f>IF(OR($D$3=JU!$F1398,$D$3=JU!$I1398),JU!E1398,"")</f>
        <v/>
      </c>
      <c r="F1406" s="72">
        <f>IF($D$3=JU!F1398,JU!H1398,0)</f>
        <v>0</v>
      </c>
      <c r="G1406" s="72">
        <f>IF($D$3=JU!I1398,JU!K1398,0)</f>
        <v>0</v>
      </c>
      <c r="H1406" s="72">
        <f t="shared" si="22"/>
        <v>137933000</v>
      </c>
    </row>
    <row r="1407" spans="2:8" hidden="1">
      <c r="B1407" s="68" t="str">
        <f>IF(OR($D$3=JU!$F1399,$D$3=JU!$I1399),JU!B1399,"")</f>
        <v/>
      </c>
      <c r="C1407" s="6" t="str">
        <f>IF(OR($D$3=JU!$F1399,$D$3=JU!$I1399),JU!C1399,"")</f>
        <v/>
      </c>
      <c r="D1407" s="73" t="str">
        <f>IF(OR($D$3=JU!$F1399,$D$3=JU!$I1399),JU!D1399,"")</f>
        <v/>
      </c>
      <c r="E1407" s="74" t="str">
        <f>IF(OR($D$3=JU!$F1399,$D$3=JU!$I1399),JU!E1399,"")</f>
        <v/>
      </c>
      <c r="F1407" s="72">
        <f>IF($D$3=JU!F1399,JU!H1399,0)</f>
        <v>0</v>
      </c>
      <c r="G1407" s="72">
        <f>IF($D$3=JU!I1399,JU!K1399,0)</f>
        <v>0</v>
      </c>
      <c r="H1407" s="72">
        <f t="shared" si="22"/>
        <v>137933000</v>
      </c>
    </row>
    <row r="1408" spans="2:8" hidden="1">
      <c r="B1408" s="68" t="str">
        <f>IF(OR($D$3=JU!$F1400,$D$3=JU!$I1400),JU!B1400,"")</f>
        <v/>
      </c>
      <c r="C1408" s="6" t="str">
        <f>IF(OR($D$3=JU!$F1400,$D$3=JU!$I1400),JU!C1400,"")</f>
        <v/>
      </c>
      <c r="D1408" s="73" t="str">
        <f>IF(OR($D$3=JU!$F1400,$D$3=JU!$I1400),JU!D1400,"")</f>
        <v/>
      </c>
      <c r="E1408" s="74" t="str">
        <f>IF(OR($D$3=JU!$F1400,$D$3=JU!$I1400),JU!E1400,"")</f>
        <v/>
      </c>
      <c r="F1408" s="72">
        <f>IF($D$3=JU!F1400,JU!H1400,0)</f>
        <v>0</v>
      </c>
      <c r="G1408" s="72">
        <f>IF($D$3=JU!I1400,JU!K1400,0)</f>
        <v>0</v>
      </c>
      <c r="H1408" s="72">
        <f t="shared" si="22"/>
        <v>137933000</v>
      </c>
    </row>
    <row r="1409" spans="2:8" hidden="1">
      <c r="B1409" s="68" t="str">
        <f>IF(OR($D$3=JU!$F1402,$D$3=JU!$I1402),JU!B1402,"")</f>
        <v/>
      </c>
      <c r="C1409" s="6" t="str">
        <f>IF(OR($D$3=JU!$F1402,$D$3=JU!$I1402),JU!C1402,"")</f>
        <v/>
      </c>
      <c r="D1409" s="73" t="str">
        <f>IF(OR($D$3=JU!$F1402,$D$3=JU!$I1402),JU!D1402,"")</f>
        <v/>
      </c>
      <c r="E1409" s="74" t="str">
        <f>IF(OR($D$3=JU!$F1402,$D$3=JU!$I1402),JU!E1402,"")</f>
        <v/>
      </c>
      <c r="F1409" s="72">
        <f>IF($D$3=JU!F1402,JU!H1402,0)</f>
        <v>0</v>
      </c>
      <c r="G1409" s="72">
        <f>IF($D$3=JU!I1402,JU!K1402,0)</f>
        <v>0</v>
      </c>
      <c r="H1409" s="72">
        <f t="shared" si="22"/>
        <v>137933000</v>
      </c>
    </row>
    <row r="1410" spans="2:8" hidden="1">
      <c r="B1410" s="68" t="str">
        <f>IF(OR($D$3=JU!$F1404,$D$3=JU!$I1404),JU!B1404,"")</f>
        <v/>
      </c>
      <c r="C1410" s="6" t="str">
        <f>IF(OR($D$3=JU!$F1404,$D$3=JU!$I1404),JU!C1404,"")</f>
        <v/>
      </c>
      <c r="D1410" s="73" t="str">
        <f>IF(OR($D$3=JU!$F1404,$D$3=JU!$I1404),JU!D1404,"")</f>
        <v/>
      </c>
      <c r="E1410" s="74" t="str">
        <f>IF(OR($D$3=JU!$F1404,$D$3=JU!$I1404),JU!E1404,"")</f>
        <v/>
      </c>
      <c r="F1410" s="72">
        <f>IF($D$3=JU!F1404,JU!H1404,0)</f>
        <v>0</v>
      </c>
      <c r="G1410" s="72">
        <f>IF($D$3=JU!I1404,JU!K1404,0)</f>
        <v>0</v>
      </c>
      <c r="H1410" s="72">
        <f t="shared" si="22"/>
        <v>137933000</v>
      </c>
    </row>
    <row r="1411" spans="2:8" hidden="1">
      <c r="B1411" s="68" t="str">
        <f>IF(OR($D$3=JU!$F1405,$D$3=JU!$I1405),JU!B1405,"")</f>
        <v/>
      </c>
      <c r="C1411" s="6" t="str">
        <f>IF(OR($D$3=JU!$F1405,$D$3=JU!$I1405),JU!C1405,"")</f>
        <v/>
      </c>
      <c r="D1411" s="73" t="str">
        <f>IF(OR($D$3=JU!$F1405,$D$3=JU!$I1405),JU!D1405,"")</f>
        <v/>
      </c>
      <c r="E1411" s="74" t="str">
        <f>IF(OR($D$3=JU!$F1405,$D$3=JU!$I1405),JU!E1405,"")</f>
        <v/>
      </c>
      <c r="F1411" s="72">
        <f>IF($D$3=JU!F1405,JU!H1405,0)</f>
        <v>0</v>
      </c>
      <c r="G1411" s="72">
        <f>IF($D$3=JU!I1405,JU!K1405,0)</f>
        <v>0</v>
      </c>
      <c r="H1411" s="72">
        <f t="shared" si="22"/>
        <v>137933000</v>
      </c>
    </row>
    <row r="1412" spans="2:8" hidden="1">
      <c r="B1412" s="68" t="str">
        <f>IF(OR($D$3=JU!$F1406,$D$3=JU!$I1406),JU!B1406,"")</f>
        <v/>
      </c>
      <c r="C1412" s="6" t="str">
        <f>IF(OR($D$3=JU!$F1406,$D$3=JU!$I1406),JU!C1406,"")</f>
        <v/>
      </c>
      <c r="D1412" s="73" t="str">
        <f>IF(OR($D$3=JU!$F1406,$D$3=JU!$I1406),JU!D1406,"")</f>
        <v/>
      </c>
      <c r="E1412" s="74" t="str">
        <f>IF(OR($D$3=JU!$F1406,$D$3=JU!$I1406),JU!E1406,"")</f>
        <v/>
      </c>
      <c r="F1412" s="72">
        <f>IF($D$3=JU!F1406,JU!H1406,0)</f>
        <v>0</v>
      </c>
      <c r="G1412" s="72">
        <f>IF($D$3=JU!I1406,JU!K1406,0)</f>
        <v>0</v>
      </c>
      <c r="H1412" s="72">
        <f t="shared" si="22"/>
        <v>137933000</v>
      </c>
    </row>
    <row r="1413" spans="2:8" hidden="1">
      <c r="B1413" s="68" t="str">
        <f>IF(OR($D$3=JU!$F1407,$D$3=JU!$I1407),JU!B1407,"")</f>
        <v/>
      </c>
      <c r="C1413" s="6" t="str">
        <f>IF(OR($D$3=JU!$F1407,$D$3=JU!$I1407),JU!C1407,"")</f>
        <v/>
      </c>
      <c r="D1413" s="73" t="str">
        <f>IF(OR($D$3=JU!$F1407,$D$3=JU!$I1407),JU!D1407,"")</f>
        <v/>
      </c>
      <c r="E1413" s="74" t="str">
        <f>IF(OR($D$3=JU!$F1407,$D$3=JU!$I1407),JU!E1407,"")</f>
        <v/>
      </c>
      <c r="F1413" s="72">
        <f>IF($D$3=JU!F1407,JU!H1407,0)</f>
        <v>0</v>
      </c>
      <c r="G1413" s="72">
        <f>IF($D$3=JU!I1407,JU!K1407,0)</f>
        <v>0</v>
      </c>
      <c r="H1413" s="72">
        <f t="shared" si="22"/>
        <v>137933000</v>
      </c>
    </row>
    <row r="1414" spans="2:8" hidden="1">
      <c r="B1414" s="68" t="str">
        <f>IF(OR($D$3=JU!$F1408,$D$3=JU!$I1408),JU!B1408,"")</f>
        <v/>
      </c>
      <c r="C1414" s="6" t="str">
        <f>IF(OR($D$3=JU!$F1408,$D$3=JU!$I1408),JU!C1408,"")</f>
        <v/>
      </c>
      <c r="D1414" s="73" t="str">
        <f>IF(OR($D$3=JU!$F1408,$D$3=JU!$I1408),JU!D1408,"")</f>
        <v/>
      </c>
      <c r="E1414" s="74" t="str">
        <f>IF(OR($D$3=JU!$F1408,$D$3=JU!$I1408),JU!E1408,"")</f>
        <v/>
      </c>
      <c r="F1414" s="72">
        <f>IF($D$3=JU!F1408,JU!H1408,0)</f>
        <v>0</v>
      </c>
      <c r="G1414" s="72">
        <f>IF($D$3=JU!I1408,JU!K1408,0)</f>
        <v>0</v>
      </c>
      <c r="H1414" s="72">
        <f t="shared" si="22"/>
        <v>137933000</v>
      </c>
    </row>
    <row r="1415" spans="2:8" hidden="1">
      <c r="B1415" s="68" t="str">
        <f>IF(OR($D$3=JU!$F1409,$D$3=JU!$I1409),JU!B1409,"")</f>
        <v/>
      </c>
      <c r="C1415" s="6" t="str">
        <f>IF(OR($D$3=JU!$F1409,$D$3=JU!$I1409),JU!C1409,"")</f>
        <v/>
      </c>
      <c r="D1415" s="73" t="str">
        <f>IF(OR($D$3=JU!$F1409,$D$3=JU!$I1409),JU!D1409,"")</f>
        <v/>
      </c>
      <c r="E1415" s="74" t="str">
        <f>IF(OR($D$3=JU!$F1409,$D$3=JU!$I1409),JU!E1409,"")</f>
        <v/>
      </c>
      <c r="F1415" s="72">
        <f>IF($D$3=JU!F1409,JU!H1409,0)</f>
        <v>0</v>
      </c>
      <c r="G1415" s="72">
        <f>IF($D$3=JU!I1409,JU!K1409,0)</f>
        <v>0</v>
      </c>
      <c r="H1415" s="72">
        <f t="shared" si="22"/>
        <v>137933000</v>
      </c>
    </row>
    <row r="1416" spans="2:8" hidden="1">
      <c r="B1416" s="68" t="str">
        <f>IF(OR($D$3=JU!$F1410,$D$3=JU!$I1410),JU!B1410,"")</f>
        <v/>
      </c>
      <c r="C1416" s="6" t="str">
        <f>IF(OR($D$3=JU!$F1410,$D$3=JU!$I1410),JU!C1410,"")</f>
        <v/>
      </c>
      <c r="D1416" s="73" t="str">
        <f>IF(OR($D$3=JU!$F1410,$D$3=JU!$I1410),JU!D1410,"")</f>
        <v/>
      </c>
      <c r="E1416" s="74" t="str">
        <f>IF(OR($D$3=JU!$F1410,$D$3=JU!$I1410),JU!E1410,"")</f>
        <v/>
      </c>
      <c r="F1416" s="72">
        <f>IF($D$3=JU!F1410,JU!H1410,0)</f>
        <v>0</v>
      </c>
      <c r="G1416" s="72">
        <f>IF($D$3=JU!I1410,JU!K1410,0)</f>
        <v>0</v>
      </c>
      <c r="H1416" s="72">
        <f t="shared" si="22"/>
        <v>137933000</v>
      </c>
    </row>
    <row r="1417" spans="2:8" hidden="1">
      <c r="B1417" s="68" t="str">
        <f>IF(OR($D$3=JU!$F1411,$D$3=JU!$I1411),JU!B1411,"")</f>
        <v/>
      </c>
      <c r="C1417" s="6" t="str">
        <f>IF(OR($D$3=JU!$F1411,$D$3=JU!$I1411),JU!C1411,"")</f>
        <v/>
      </c>
      <c r="D1417" s="73" t="str">
        <f>IF(OR($D$3=JU!$F1411,$D$3=JU!$I1411),JU!D1411,"")</f>
        <v/>
      </c>
      <c r="E1417" s="74" t="str">
        <f>IF(OR($D$3=JU!$F1411,$D$3=JU!$I1411),JU!E1411,"")</f>
        <v/>
      </c>
      <c r="F1417" s="72">
        <f>IF($D$3=JU!F1411,JU!H1411,0)</f>
        <v>0</v>
      </c>
      <c r="G1417" s="72">
        <f>IF($D$3=JU!I1411,JU!K1411,0)</f>
        <v>0</v>
      </c>
      <c r="H1417" s="72">
        <f t="shared" si="22"/>
        <v>137933000</v>
      </c>
    </row>
    <row r="1418" spans="2:8" hidden="1">
      <c r="B1418" s="68" t="str">
        <f>IF(OR($D$3=JU!$F1413,$D$3=JU!$I1413),JU!B1413,"")</f>
        <v/>
      </c>
      <c r="C1418" s="6" t="str">
        <f>IF(OR($D$3=JU!$F1413,$D$3=JU!$I1413),JU!C1413,"")</f>
        <v/>
      </c>
      <c r="D1418" s="73" t="str">
        <f>IF(OR($D$3=JU!$F1413,$D$3=JU!$I1413),JU!D1413,"")</f>
        <v/>
      </c>
      <c r="E1418" s="74" t="str">
        <f>IF(OR($D$3=JU!$F1413,$D$3=JU!$I1413),JU!E1413,"")</f>
        <v/>
      </c>
      <c r="F1418" s="72">
        <f>IF($D$3=JU!F1413,JU!H1413,0)</f>
        <v>0</v>
      </c>
      <c r="G1418" s="72">
        <f>IF($D$3=JU!I1413,JU!K1413,0)</f>
        <v>0</v>
      </c>
      <c r="H1418" s="72">
        <f t="shared" si="22"/>
        <v>137933000</v>
      </c>
    </row>
    <row r="1419" spans="2:8" hidden="1">
      <c r="B1419" s="68" t="str">
        <f>IF(OR($D$3=JU!$F1415,$D$3=JU!$I1415),JU!B1415,"")</f>
        <v/>
      </c>
      <c r="C1419" s="6" t="str">
        <f>IF(OR($D$3=JU!$F1415,$D$3=JU!$I1415),JU!C1415,"")</f>
        <v/>
      </c>
      <c r="D1419" s="73" t="str">
        <f>IF(OR($D$3=JU!$F1415,$D$3=JU!$I1415),JU!D1415,"")</f>
        <v/>
      </c>
      <c r="E1419" s="74" t="str">
        <f>IF(OR($D$3=JU!$F1415,$D$3=JU!$I1415),JU!E1415,"")</f>
        <v/>
      </c>
      <c r="F1419" s="72">
        <f>IF($D$3=JU!F1415,JU!H1415,0)</f>
        <v>0</v>
      </c>
      <c r="G1419" s="72">
        <f>IF($D$3=JU!I1415,JU!K1415,0)</f>
        <v>0</v>
      </c>
      <c r="H1419" s="72">
        <f t="shared" si="22"/>
        <v>137933000</v>
      </c>
    </row>
    <row r="1420" spans="2:8" hidden="1">
      <c r="B1420" s="68" t="str">
        <f>IF(OR($D$3=JU!$F1417,$D$3=JU!$I1417),JU!B1417,"")</f>
        <v/>
      </c>
      <c r="C1420" s="6" t="str">
        <f>IF(OR($D$3=JU!$F1417,$D$3=JU!$I1417),JU!C1417,"")</f>
        <v/>
      </c>
      <c r="D1420" s="73" t="str">
        <f>IF(OR($D$3=JU!$F1417,$D$3=JU!$I1417),JU!D1417,"")</f>
        <v/>
      </c>
      <c r="E1420" s="74" t="str">
        <f>IF(OR($D$3=JU!$F1417,$D$3=JU!$I1417),JU!E1417,"")</f>
        <v/>
      </c>
      <c r="F1420" s="72">
        <f>IF($D$3=JU!F1417,JU!H1417,0)</f>
        <v>0</v>
      </c>
      <c r="G1420" s="72">
        <f>IF($D$3=JU!I1417,JU!K1417,0)</f>
        <v>0</v>
      </c>
      <c r="H1420" s="72">
        <f t="shared" si="22"/>
        <v>137933000</v>
      </c>
    </row>
    <row r="1421" spans="2:8" hidden="1">
      <c r="B1421" s="68" t="str">
        <f>IF(OR($D$3=JU!$F1418,$D$3=JU!$I1418),JU!B1418,"")</f>
        <v/>
      </c>
      <c r="C1421" s="6" t="str">
        <f>IF(OR($D$3=JU!$F1418,$D$3=JU!$I1418),JU!C1418,"")</f>
        <v/>
      </c>
      <c r="D1421" s="73" t="str">
        <f>IF(OR($D$3=JU!$F1418,$D$3=JU!$I1418),JU!D1418,"")</f>
        <v/>
      </c>
      <c r="E1421" s="74" t="str">
        <f>IF(OR($D$3=JU!$F1418,$D$3=JU!$I1418),JU!E1418,"")</f>
        <v/>
      </c>
      <c r="F1421" s="72">
        <f>IF($D$3=JU!F1418,JU!H1418,0)</f>
        <v>0</v>
      </c>
      <c r="G1421" s="72">
        <f>IF($D$3=JU!I1418,JU!K1418,0)</f>
        <v>0</v>
      </c>
      <c r="H1421" s="72">
        <f t="shared" si="22"/>
        <v>137933000</v>
      </c>
    </row>
    <row r="1422" spans="2:8" hidden="1">
      <c r="B1422" s="68" t="str">
        <f>IF(OR($D$3=JU!$F1419,$D$3=JU!$I1419),JU!B1419,"")</f>
        <v/>
      </c>
      <c r="C1422" s="6" t="str">
        <f>IF(OR($D$3=JU!$F1419,$D$3=JU!$I1419),JU!C1419,"")</f>
        <v/>
      </c>
      <c r="D1422" s="73" t="str">
        <f>IF(OR($D$3=JU!$F1419,$D$3=JU!$I1419),JU!D1419,"")</f>
        <v/>
      </c>
      <c r="E1422" s="74" t="str">
        <f>IF(OR($D$3=JU!$F1419,$D$3=JU!$I1419),JU!E1419,"")</f>
        <v/>
      </c>
      <c r="F1422" s="72">
        <f>IF($D$3=JU!F1419,JU!H1419,0)</f>
        <v>0</v>
      </c>
      <c r="G1422" s="72">
        <f>IF($D$3=JU!I1419,JU!K1419,0)</f>
        <v>0</v>
      </c>
      <c r="H1422" s="72">
        <f t="shared" ref="H1422:H1485" si="23">IF($H$7="DEBET",H1421+F1422-G1422,H1421+G1422-F1422)</f>
        <v>137933000</v>
      </c>
    </row>
    <row r="1423" spans="2:8" hidden="1">
      <c r="B1423" s="68" t="str">
        <f>IF(OR($D$3=JU!$F1420,$D$3=JU!$I1420),JU!B1420,"")</f>
        <v/>
      </c>
      <c r="C1423" s="6" t="str">
        <f>IF(OR($D$3=JU!$F1420,$D$3=JU!$I1420),JU!C1420,"")</f>
        <v/>
      </c>
      <c r="D1423" s="73" t="str">
        <f>IF(OR($D$3=JU!$F1420,$D$3=JU!$I1420),JU!D1420,"")</f>
        <v/>
      </c>
      <c r="E1423" s="74" t="str">
        <f>IF(OR($D$3=JU!$F1420,$D$3=JU!$I1420),JU!E1420,"")</f>
        <v/>
      </c>
      <c r="F1423" s="72">
        <f>IF($D$3=JU!F1420,JU!H1420,0)</f>
        <v>0</v>
      </c>
      <c r="G1423" s="72">
        <f>IF($D$3=JU!I1420,JU!K1420,0)</f>
        <v>0</v>
      </c>
      <c r="H1423" s="72">
        <f t="shared" si="23"/>
        <v>137933000</v>
      </c>
    </row>
    <row r="1424" spans="2:8" hidden="1">
      <c r="B1424" s="68" t="str">
        <f>IF(OR($D$3=JU!$F1421,$D$3=JU!$I1421),JU!B1421,"")</f>
        <v/>
      </c>
      <c r="C1424" s="6" t="str">
        <f>IF(OR($D$3=JU!$F1421,$D$3=JU!$I1421),JU!C1421,"")</f>
        <v/>
      </c>
      <c r="D1424" s="73" t="str">
        <f>IF(OR($D$3=JU!$F1421,$D$3=JU!$I1421),JU!D1421,"")</f>
        <v/>
      </c>
      <c r="E1424" s="74" t="str">
        <f>IF(OR($D$3=JU!$F1421,$D$3=JU!$I1421),JU!E1421,"")</f>
        <v/>
      </c>
      <c r="F1424" s="72">
        <f>IF($D$3=JU!F1421,JU!H1421,0)</f>
        <v>0</v>
      </c>
      <c r="G1424" s="72">
        <f>IF($D$3=JU!I1421,JU!K1421,0)</f>
        <v>0</v>
      </c>
      <c r="H1424" s="72">
        <f t="shared" si="23"/>
        <v>137933000</v>
      </c>
    </row>
    <row r="1425" spans="2:8" hidden="1">
      <c r="B1425" s="68" t="str">
        <f>IF(OR($D$3=JU!$F1422,$D$3=JU!$I1422),JU!B1422,"")</f>
        <v/>
      </c>
      <c r="C1425" s="6" t="str">
        <f>IF(OR($D$3=JU!$F1422,$D$3=JU!$I1422),JU!C1422,"")</f>
        <v/>
      </c>
      <c r="D1425" s="73" t="str">
        <f>IF(OR($D$3=JU!$F1422,$D$3=JU!$I1422),JU!D1422,"")</f>
        <v/>
      </c>
      <c r="E1425" s="74" t="str">
        <f>IF(OR($D$3=JU!$F1422,$D$3=JU!$I1422),JU!E1422,"")</f>
        <v/>
      </c>
      <c r="F1425" s="72">
        <f>IF($D$3=JU!F1422,JU!H1422,0)</f>
        <v>0</v>
      </c>
      <c r="G1425" s="72">
        <f>IF($D$3=JU!I1422,JU!K1422,0)</f>
        <v>0</v>
      </c>
      <c r="H1425" s="72">
        <f t="shared" si="23"/>
        <v>137933000</v>
      </c>
    </row>
    <row r="1426" spans="2:8" hidden="1">
      <c r="B1426" s="68" t="str">
        <f>IF(OR($D$3=JU!$F1423,$D$3=JU!$I1423),JU!B1423,"")</f>
        <v/>
      </c>
      <c r="C1426" s="6" t="str">
        <f>IF(OR($D$3=JU!$F1423,$D$3=JU!$I1423),JU!C1423,"")</f>
        <v/>
      </c>
      <c r="D1426" s="73" t="str">
        <f>IF(OR($D$3=JU!$F1423,$D$3=JU!$I1423),JU!D1423,"")</f>
        <v/>
      </c>
      <c r="E1426" s="74" t="str">
        <f>IF(OR($D$3=JU!$F1423,$D$3=JU!$I1423),JU!E1423,"")</f>
        <v/>
      </c>
      <c r="F1426" s="72">
        <f>IF($D$3=JU!F1423,JU!H1423,0)</f>
        <v>0</v>
      </c>
      <c r="G1426" s="72">
        <f>IF($D$3=JU!I1423,JU!K1423,0)</f>
        <v>0</v>
      </c>
      <c r="H1426" s="72">
        <f t="shared" si="23"/>
        <v>137933000</v>
      </c>
    </row>
    <row r="1427" spans="2:8" hidden="1">
      <c r="B1427" s="68" t="str">
        <f>IF(OR($D$3=JU!$F1424,$D$3=JU!$I1424),JU!B1424,"")</f>
        <v/>
      </c>
      <c r="C1427" s="6" t="str">
        <f>IF(OR($D$3=JU!$F1424,$D$3=JU!$I1424),JU!C1424,"")</f>
        <v/>
      </c>
      <c r="D1427" s="73" t="str">
        <f>IF(OR($D$3=JU!$F1424,$D$3=JU!$I1424),JU!D1424,"")</f>
        <v/>
      </c>
      <c r="E1427" s="74" t="str">
        <f>IF(OR($D$3=JU!$F1424,$D$3=JU!$I1424),JU!E1424,"")</f>
        <v/>
      </c>
      <c r="F1427" s="72">
        <f>IF($D$3=JU!F1424,JU!H1424,0)</f>
        <v>0</v>
      </c>
      <c r="G1427" s="72">
        <f>IF($D$3=JU!I1424,JU!K1424,0)</f>
        <v>0</v>
      </c>
      <c r="H1427" s="72">
        <f t="shared" si="23"/>
        <v>137933000</v>
      </c>
    </row>
    <row r="1428" spans="2:8" hidden="1">
      <c r="B1428" s="68" t="str">
        <f>IF(OR($D$3=JU!$F1425,$D$3=JU!$I1425),JU!B1425,"")</f>
        <v/>
      </c>
      <c r="C1428" s="6" t="str">
        <f>IF(OR($D$3=JU!$F1425,$D$3=JU!$I1425),JU!C1425,"")</f>
        <v/>
      </c>
      <c r="D1428" s="73" t="str">
        <f>IF(OR($D$3=JU!$F1425,$D$3=JU!$I1425),JU!D1425,"")</f>
        <v/>
      </c>
      <c r="E1428" s="74" t="str">
        <f>IF(OR($D$3=JU!$F1425,$D$3=JU!$I1425),JU!E1425,"")</f>
        <v/>
      </c>
      <c r="F1428" s="72">
        <f>IF($D$3=JU!F1425,JU!H1425,0)</f>
        <v>0</v>
      </c>
      <c r="G1428" s="72">
        <f>IF($D$3=JU!I1425,JU!K1425,0)</f>
        <v>0</v>
      </c>
      <c r="H1428" s="72">
        <f t="shared" si="23"/>
        <v>137933000</v>
      </c>
    </row>
    <row r="1429" spans="2:8" hidden="1">
      <c r="B1429" s="68" t="str">
        <f>IF(OR($D$3=JU!$F1426,$D$3=JU!$I1426),JU!B1426,"")</f>
        <v/>
      </c>
      <c r="C1429" s="6" t="str">
        <f>IF(OR($D$3=JU!$F1426,$D$3=JU!$I1426),JU!C1426,"")</f>
        <v/>
      </c>
      <c r="D1429" s="73" t="str">
        <f>IF(OR($D$3=JU!$F1426,$D$3=JU!$I1426),JU!D1426,"")</f>
        <v/>
      </c>
      <c r="E1429" s="74" t="str">
        <f>IF(OR($D$3=JU!$F1426,$D$3=JU!$I1426),JU!E1426,"")</f>
        <v/>
      </c>
      <c r="F1429" s="72">
        <f>IF($D$3=JU!F1426,JU!H1426,0)</f>
        <v>0</v>
      </c>
      <c r="G1429" s="72">
        <f>IF($D$3=JU!I1426,JU!K1426,0)</f>
        <v>0</v>
      </c>
      <c r="H1429" s="72">
        <f t="shared" si="23"/>
        <v>137933000</v>
      </c>
    </row>
    <row r="1430" spans="2:8" hidden="1">
      <c r="B1430" s="68" t="str">
        <f>IF(OR($D$3=JU!$F1427,$D$3=JU!$I1427),JU!B1427,"")</f>
        <v/>
      </c>
      <c r="C1430" s="6" t="str">
        <f>IF(OR($D$3=JU!$F1427,$D$3=JU!$I1427),JU!C1427,"")</f>
        <v/>
      </c>
      <c r="D1430" s="73" t="str">
        <f>IF(OR($D$3=JU!$F1427,$D$3=JU!$I1427),JU!D1427,"")</f>
        <v/>
      </c>
      <c r="E1430" s="74" t="str">
        <f>IF(OR($D$3=JU!$F1427,$D$3=JU!$I1427),JU!E1427,"")</f>
        <v/>
      </c>
      <c r="F1430" s="72">
        <f>IF($D$3=JU!F1427,JU!H1427,0)</f>
        <v>0</v>
      </c>
      <c r="G1430" s="72">
        <f>IF($D$3=JU!I1427,JU!K1427,0)</f>
        <v>0</v>
      </c>
      <c r="H1430" s="72">
        <f t="shared" si="23"/>
        <v>137933000</v>
      </c>
    </row>
    <row r="1431" spans="2:8" hidden="1">
      <c r="B1431" s="68" t="str">
        <f>IF(OR($D$3=JU!$F1428,$D$3=JU!$I1428),JU!B1428,"")</f>
        <v/>
      </c>
      <c r="C1431" s="6" t="str">
        <f>IF(OR($D$3=JU!$F1428,$D$3=JU!$I1428),JU!C1428,"")</f>
        <v/>
      </c>
      <c r="D1431" s="73" t="str">
        <f>IF(OR($D$3=JU!$F1428,$D$3=JU!$I1428),JU!D1428,"")</f>
        <v/>
      </c>
      <c r="E1431" s="74" t="str">
        <f>IF(OR($D$3=JU!$F1428,$D$3=JU!$I1428),JU!E1428,"")</f>
        <v/>
      </c>
      <c r="F1431" s="72">
        <f>IF($D$3=JU!F1428,JU!H1428,0)</f>
        <v>0</v>
      </c>
      <c r="G1431" s="72">
        <f>IF($D$3=JU!I1428,JU!K1428,0)</f>
        <v>0</v>
      </c>
      <c r="H1431" s="72">
        <f t="shared" si="23"/>
        <v>137933000</v>
      </c>
    </row>
    <row r="1432" spans="2:8" hidden="1">
      <c r="B1432" s="68" t="str">
        <f>IF(OR($D$3=JU!$F1429,$D$3=JU!$I1429),JU!B1429,"")</f>
        <v/>
      </c>
      <c r="C1432" s="6" t="str">
        <f>IF(OR($D$3=JU!$F1429,$D$3=JU!$I1429),JU!C1429,"")</f>
        <v/>
      </c>
      <c r="D1432" s="73" t="str">
        <f>IF(OR($D$3=JU!$F1429,$D$3=JU!$I1429),JU!D1429,"")</f>
        <v/>
      </c>
      <c r="E1432" s="74" t="str">
        <f>IF(OR($D$3=JU!$F1429,$D$3=JU!$I1429),JU!E1429,"")</f>
        <v/>
      </c>
      <c r="F1432" s="72">
        <f>IF($D$3=JU!F1429,JU!H1429,0)</f>
        <v>0</v>
      </c>
      <c r="G1432" s="72">
        <f>IF($D$3=JU!I1429,JU!K1429,0)</f>
        <v>0</v>
      </c>
      <c r="H1432" s="72">
        <f t="shared" si="23"/>
        <v>137933000</v>
      </c>
    </row>
    <row r="1433" spans="2:8" hidden="1">
      <c r="B1433" s="68" t="str">
        <f>IF(OR($D$3=JU!$F1430,$D$3=JU!$I1430),JU!B1430,"")</f>
        <v/>
      </c>
      <c r="C1433" s="6" t="str">
        <f>IF(OR($D$3=JU!$F1430,$D$3=JU!$I1430),JU!C1430,"")</f>
        <v/>
      </c>
      <c r="D1433" s="73" t="str">
        <f>IF(OR($D$3=JU!$F1430,$D$3=JU!$I1430),JU!D1430,"")</f>
        <v/>
      </c>
      <c r="E1433" s="74" t="str">
        <f>IF(OR($D$3=JU!$F1430,$D$3=JU!$I1430),JU!E1430,"")</f>
        <v/>
      </c>
      <c r="F1433" s="72">
        <f>IF($D$3=JU!F1430,JU!H1430,0)</f>
        <v>0</v>
      </c>
      <c r="G1433" s="72">
        <f>IF($D$3=JU!I1430,JU!K1430,0)</f>
        <v>0</v>
      </c>
      <c r="H1433" s="72">
        <f t="shared" si="23"/>
        <v>137933000</v>
      </c>
    </row>
    <row r="1434" spans="2:8" hidden="1">
      <c r="B1434" s="68" t="str">
        <f>IF(OR($D$3=JU!$F1431,$D$3=JU!$I1431),JU!B1431,"")</f>
        <v/>
      </c>
      <c r="C1434" s="6" t="str">
        <f>IF(OR($D$3=JU!$F1431,$D$3=JU!$I1431),JU!C1431,"")</f>
        <v/>
      </c>
      <c r="D1434" s="73" t="str">
        <f>IF(OR($D$3=JU!$F1431,$D$3=JU!$I1431),JU!D1431,"")</f>
        <v/>
      </c>
      <c r="E1434" s="74" t="str">
        <f>IF(OR($D$3=JU!$F1431,$D$3=JU!$I1431),JU!E1431,"")</f>
        <v/>
      </c>
      <c r="F1434" s="72">
        <f>IF($D$3=JU!F1431,JU!H1431,0)</f>
        <v>0</v>
      </c>
      <c r="G1434" s="72">
        <f>IF($D$3=JU!I1431,JU!K1431,0)</f>
        <v>0</v>
      </c>
      <c r="H1434" s="72">
        <f t="shared" si="23"/>
        <v>137933000</v>
      </c>
    </row>
    <row r="1435" spans="2:8" hidden="1">
      <c r="B1435" s="68" t="str">
        <f>IF(OR($D$3=JU!$F1432,$D$3=JU!$I1432),JU!B1432,"")</f>
        <v/>
      </c>
      <c r="C1435" s="6" t="str">
        <f>IF(OR($D$3=JU!$F1432,$D$3=JU!$I1432),JU!C1432,"")</f>
        <v/>
      </c>
      <c r="D1435" s="73" t="str">
        <f>IF(OR($D$3=JU!$F1432,$D$3=JU!$I1432),JU!D1432,"")</f>
        <v/>
      </c>
      <c r="E1435" s="74" t="str">
        <f>IF(OR($D$3=JU!$F1432,$D$3=JU!$I1432),JU!E1432,"")</f>
        <v/>
      </c>
      <c r="F1435" s="72">
        <f>IF($D$3=JU!F1432,JU!H1432,0)</f>
        <v>0</v>
      </c>
      <c r="G1435" s="72">
        <f>IF($D$3=JU!I1432,JU!K1432,0)</f>
        <v>0</v>
      </c>
      <c r="H1435" s="72">
        <f t="shared" si="23"/>
        <v>137933000</v>
      </c>
    </row>
    <row r="1436" spans="2:8" hidden="1">
      <c r="B1436" s="68" t="str">
        <f>IF(OR($D$3=JU!$F1433,$D$3=JU!$I1433),JU!B1433,"")</f>
        <v/>
      </c>
      <c r="C1436" s="6" t="str">
        <f>IF(OR($D$3=JU!$F1433,$D$3=JU!$I1433),JU!C1433,"")</f>
        <v/>
      </c>
      <c r="D1436" s="73" t="str">
        <f>IF(OR($D$3=JU!$F1433,$D$3=JU!$I1433),JU!D1433,"")</f>
        <v/>
      </c>
      <c r="E1436" s="74" t="str">
        <f>IF(OR($D$3=JU!$F1433,$D$3=JU!$I1433),JU!E1433,"")</f>
        <v/>
      </c>
      <c r="F1436" s="72">
        <f>IF($D$3=JU!F1433,JU!H1433,0)</f>
        <v>0</v>
      </c>
      <c r="G1436" s="72">
        <f>IF($D$3=JU!I1433,JU!K1433,0)</f>
        <v>0</v>
      </c>
      <c r="H1436" s="72">
        <f t="shared" si="23"/>
        <v>137933000</v>
      </c>
    </row>
    <row r="1437" spans="2:8" hidden="1">
      <c r="B1437" s="68" t="str">
        <f>IF(OR($D$3=JU!$F1434,$D$3=JU!$I1434),JU!B1434,"")</f>
        <v/>
      </c>
      <c r="C1437" s="6" t="str">
        <f>IF(OR($D$3=JU!$F1434,$D$3=JU!$I1434),JU!C1434,"")</f>
        <v/>
      </c>
      <c r="D1437" s="73" t="str">
        <f>IF(OR($D$3=JU!$F1434,$D$3=JU!$I1434),JU!D1434,"")</f>
        <v/>
      </c>
      <c r="E1437" s="74" t="str">
        <f>IF(OR($D$3=JU!$F1434,$D$3=JU!$I1434),JU!E1434,"")</f>
        <v/>
      </c>
      <c r="F1437" s="72">
        <f>IF($D$3=JU!F1434,JU!H1434,0)</f>
        <v>0</v>
      </c>
      <c r="G1437" s="72">
        <f>IF($D$3=JU!I1434,JU!K1434,0)</f>
        <v>0</v>
      </c>
      <c r="H1437" s="72">
        <f t="shared" si="23"/>
        <v>137933000</v>
      </c>
    </row>
    <row r="1438" spans="2:8" hidden="1">
      <c r="B1438" s="68" t="str">
        <f>IF(OR($D$3=JU!$F1435,$D$3=JU!$I1435),JU!B1435,"")</f>
        <v/>
      </c>
      <c r="C1438" s="6" t="str">
        <f>IF(OR($D$3=JU!$F1435,$D$3=JU!$I1435),JU!C1435,"")</f>
        <v/>
      </c>
      <c r="D1438" s="73" t="str">
        <f>IF(OR($D$3=JU!$F1435,$D$3=JU!$I1435),JU!D1435,"")</f>
        <v/>
      </c>
      <c r="E1438" s="74" t="str">
        <f>IF(OR($D$3=JU!$F1435,$D$3=JU!$I1435),JU!E1435,"")</f>
        <v/>
      </c>
      <c r="F1438" s="72">
        <f>IF($D$3=JU!F1435,JU!H1435,0)</f>
        <v>0</v>
      </c>
      <c r="G1438" s="72">
        <f>IF($D$3=JU!I1435,JU!K1435,0)</f>
        <v>0</v>
      </c>
      <c r="H1438" s="72">
        <f t="shared" si="23"/>
        <v>137933000</v>
      </c>
    </row>
    <row r="1439" spans="2:8" hidden="1">
      <c r="B1439" s="68" t="str">
        <f>IF(OR($D$3=JU!$F1436,$D$3=JU!$I1436),JU!B1436,"")</f>
        <v/>
      </c>
      <c r="C1439" s="6" t="str">
        <f>IF(OR($D$3=JU!$F1436,$D$3=JU!$I1436),JU!C1436,"")</f>
        <v/>
      </c>
      <c r="D1439" s="73" t="str">
        <f>IF(OR($D$3=JU!$F1436,$D$3=JU!$I1436),JU!D1436,"")</f>
        <v/>
      </c>
      <c r="E1439" s="74" t="str">
        <f>IF(OR($D$3=JU!$F1436,$D$3=JU!$I1436),JU!E1436,"")</f>
        <v/>
      </c>
      <c r="F1439" s="72">
        <f>IF($D$3=JU!F1436,JU!H1436,0)</f>
        <v>0</v>
      </c>
      <c r="G1439" s="72">
        <f>IF($D$3=JU!I1436,JU!K1436,0)</f>
        <v>0</v>
      </c>
      <c r="H1439" s="72">
        <f t="shared" si="23"/>
        <v>137933000</v>
      </c>
    </row>
    <row r="1440" spans="2:8" hidden="1">
      <c r="B1440" s="68" t="str">
        <f>IF(OR($D$3=JU!$F1437,$D$3=JU!$I1437),JU!B1437,"")</f>
        <v/>
      </c>
      <c r="C1440" s="6" t="str">
        <f>IF(OR($D$3=JU!$F1437,$D$3=JU!$I1437),JU!C1437,"")</f>
        <v/>
      </c>
      <c r="D1440" s="73" t="str">
        <f>IF(OR($D$3=JU!$F1437,$D$3=JU!$I1437),JU!D1437,"")</f>
        <v/>
      </c>
      <c r="E1440" s="74" t="str">
        <f>IF(OR($D$3=JU!$F1437,$D$3=JU!$I1437),JU!E1437,"")</f>
        <v/>
      </c>
      <c r="F1440" s="72">
        <f>IF($D$3=JU!F1437,JU!H1437,0)</f>
        <v>0</v>
      </c>
      <c r="G1440" s="72">
        <f>IF($D$3=JU!I1437,JU!K1437,0)</f>
        <v>0</v>
      </c>
      <c r="H1440" s="72">
        <f t="shared" si="23"/>
        <v>137933000</v>
      </c>
    </row>
    <row r="1441" spans="2:8" hidden="1">
      <c r="B1441" s="68" t="str">
        <f>IF(OR($D$3=JU!$F1438,$D$3=JU!$I1438),JU!B1438,"")</f>
        <v/>
      </c>
      <c r="C1441" s="6" t="str">
        <f>IF(OR($D$3=JU!$F1438,$D$3=JU!$I1438),JU!C1438,"")</f>
        <v/>
      </c>
      <c r="D1441" s="73" t="str">
        <f>IF(OR($D$3=JU!$F1438,$D$3=JU!$I1438),JU!D1438,"")</f>
        <v/>
      </c>
      <c r="E1441" s="74" t="str">
        <f>IF(OR($D$3=JU!$F1438,$D$3=JU!$I1438),JU!E1438,"")</f>
        <v/>
      </c>
      <c r="F1441" s="72">
        <f>IF($D$3=JU!F1438,JU!H1438,0)</f>
        <v>0</v>
      </c>
      <c r="G1441" s="72">
        <f>IF($D$3=JU!I1438,JU!K1438,0)</f>
        <v>0</v>
      </c>
      <c r="H1441" s="72">
        <f t="shared" si="23"/>
        <v>137933000</v>
      </c>
    </row>
    <row r="1442" spans="2:8" hidden="1">
      <c r="B1442" s="68" t="str">
        <f>IF(OR($D$3=JU!$F1439,$D$3=JU!$I1439),JU!B1439,"")</f>
        <v/>
      </c>
      <c r="C1442" s="6" t="str">
        <f>IF(OR($D$3=JU!$F1439,$D$3=JU!$I1439),JU!C1439,"")</f>
        <v/>
      </c>
      <c r="D1442" s="73" t="str">
        <f>IF(OR($D$3=JU!$F1439,$D$3=JU!$I1439),JU!D1439,"")</f>
        <v/>
      </c>
      <c r="E1442" s="74" t="str">
        <f>IF(OR($D$3=JU!$F1439,$D$3=JU!$I1439),JU!E1439,"")</f>
        <v/>
      </c>
      <c r="F1442" s="72">
        <f>IF($D$3=JU!F1439,JU!H1439,0)</f>
        <v>0</v>
      </c>
      <c r="G1442" s="72">
        <f>IF($D$3=JU!I1439,JU!K1439,0)</f>
        <v>0</v>
      </c>
      <c r="H1442" s="72">
        <f t="shared" si="23"/>
        <v>137933000</v>
      </c>
    </row>
    <row r="1443" spans="2:8" hidden="1">
      <c r="B1443" s="68" t="str">
        <f>IF(OR($D$3=JU!$F1440,$D$3=JU!$I1440),JU!B1440,"")</f>
        <v/>
      </c>
      <c r="C1443" s="6" t="str">
        <f>IF(OR($D$3=JU!$F1440,$D$3=JU!$I1440),JU!C1440,"")</f>
        <v/>
      </c>
      <c r="D1443" s="73" t="str">
        <f>IF(OR($D$3=JU!$F1440,$D$3=JU!$I1440),JU!D1440,"")</f>
        <v/>
      </c>
      <c r="E1443" s="74" t="str">
        <f>IF(OR($D$3=JU!$F1440,$D$3=JU!$I1440),JU!E1440,"")</f>
        <v/>
      </c>
      <c r="F1443" s="72">
        <f>IF($D$3=JU!F1440,JU!H1440,0)</f>
        <v>0</v>
      </c>
      <c r="G1443" s="72">
        <f>IF($D$3=JU!I1440,JU!K1440,0)</f>
        <v>0</v>
      </c>
      <c r="H1443" s="72">
        <f t="shared" si="23"/>
        <v>137933000</v>
      </c>
    </row>
    <row r="1444" spans="2:8" hidden="1">
      <c r="B1444" s="68" t="str">
        <f>IF(OR($D$3=JU!$F1441,$D$3=JU!$I1441),JU!B1441,"")</f>
        <v/>
      </c>
      <c r="C1444" s="6" t="str">
        <f>IF(OR($D$3=JU!$F1441,$D$3=JU!$I1441),JU!C1441,"")</f>
        <v/>
      </c>
      <c r="D1444" s="73" t="str">
        <f>IF(OR($D$3=JU!$F1441,$D$3=JU!$I1441),JU!D1441,"")</f>
        <v/>
      </c>
      <c r="E1444" s="74" t="str">
        <f>IF(OR($D$3=JU!$F1441,$D$3=JU!$I1441),JU!E1441,"")</f>
        <v/>
      </c>
      <c r="F1444" s="72">
        <f>IF($D$3=JU!F1441,JU!H1441,0)</f>
        <v>0</v>
      </c>
      <c r="G1444" s="72">
        <f>IF($D$3=JU!I1441,JU!K1441,0)</f>
        <v>0</v>
      </c>
      <c r="H1444" s="72">
        <f t="shared" si="23"/>
        <v>137933000</v>
      </c>
    </row>
    <row r="1445" spans="2:8" hidden="1">
      <c r="B1445" s="68" t="str">
        <f>IF(OR($D$3=JU!$F1442,$D$3=JU!$I1442),JU!B1442,"")</f>
        <v/>
      </c>
      <c r="C1445" s="6" t="str">
        <f>IF(OR($D$3=JU!$F1442,$D$3=JU!$I1442),JU!C1442,"")</f>
        <v/>
      </c>
      <c r="D1445" s="73" t="str">
        <f>IF(OR($D$3=JU!$F1442,$D$3=JU!$I1442),JU!D1442,"")</f>
        <v/>
      </c>
      <c r="E1445" s="74" t="str">
        <f>IF(OR($D$3=JU!$F1442,$D$3=JU!$I1442),JU!E1442,"")</f>
        <v/>
      </c>
      <c r="F1445" s="72">
        <f>IF($D$3=JU!F1442,JU!H1442,0)</f>
        <v>0</v>
      </c>
      <c r="G1445" s="72">
        <f>IF($D$3=JU!I1442,JU!K1442,0)</f>
        <v>0</v>
      </c>
      <c r="H1445" s="72">
        <f t="shared" si="23"/>
        <v>137933000</v>
      </c>
    </row>
    <row r="1446" spans="2:8" hidden="1">
      <c r="B1446" s="68" t="str">
        <f>IF(OR($D$3=JU!$F1443,$D$3=JU!$I1443),JU!B1443,"")</f>
        <v/>
      </c>
      <c r="C1446" s="6" t="str">
        <f>IF(OR($D$3=JU!$F1443,$D$3=JU!$I1443),JU!C1443,"")</f>
        <v/>
      </c>
      <c r="D1446" s="73" t="str">
        <f>IF(OR($D$3=JU!$F1443,$D$3=JU!$I1443),JU!D1443,"")</f>
        <v/>
      </c>
      <c r="E1446" s="74" t="str">
        <f>IF(OR($D$3=JU!$F1443,$D$3=JU!$I1443),JU!E1443,"")</f>
        <v/>
      </c>
      <c r="F1446" s="72">
        <f>IF($D$3=JU!F1443,JU!H1443,0)</f>
        <v>0</v>
      </c>
      <c r="G1446" s="72">
        <f>IF($D$3=JU!I1443,JU!K1443,0)</f>
        <v>0</v>
      </c>
      <c r="H1446" s="72">
        <f t="shared" si="23"/>
        <v>137933000</v>
      </c>
    </row>
    <row r="1447" spans="2:8" hidden="1">
      <c r="B1447" s="68" t="str">
        <f>IF(OR($D$3=JU!$F1444,$D$3=JU!$I1444),JU!B1444,"")</f>
        <v/>
      </c>
      <c r="C1447" s="6" t="str">
        <f>IF(OR($D$3=JU!$F1444,$D$3=JU!$I1444),JU!C1444,"")</f>
        <v/>
      </c>
      <c r="D1447" s="73" t="str">
        <f>IF(OR($D$3=JU!$F1444,$D$3=JU!$I1444),JU!D1444,"")</f>
        <v/>
      </c>
      <c r="E1447" s="74" t="str">
        <f>IF(OR($D$3=JU!$F1444,$D$3=JU!$I1444),JU!E1444,"")</f>
        <v/>
      </c>
      <c r="F1447" s="72">
        <f>IF($D$3=JU!F1444,JU!H1444,0)</f>
        <v>0</v>
      </c>
      <c r="G1447" s="72">
        <f>IF($D$3=JU!I1444,JU!K1444,0)</f>
        <v>0</v>
      </c>
      <c r="H1447" s="72">
        <f t="shared" si="23"/>
        <v>137933000</v>
      </c>
    </row>
    <row r="1448" spans="2:8" hidden="1">
      <c r="B1448" s="68" t="str">
        <f>IF(OR($D$3=JU!$F1445,$D$3=JU!$I1445),JU!B1445,"")</f>
        <v/>
      </c>
      <c r="C1448" s="6" t="str">
        <f>IF(OR($D$3=JU!$F1445,$D$3=JU!$I1445),JU!C1445,"")</f>
        <v/>
      </c>
      <c r="D1448" s="73" t="str">
        <f>IF(OR($D$3=JU!$F1445,$D$3=JU!$I1445),JU!D1445,"")</f>
        <v/>
      </c>
      <c r="E1448" s="74" t="str">
        <f>IF(OR($D$3=JU!$F1445,$D$3=JU!$I1445),JU!E1445,"")</f>
        <v/>
      </c>
      <c r="F1448" s="72">
        <f>IF($D$3=JU!F1445,JU!H1445,0)</f>
        <v>0</v>
      </c>
      <c r="G1448" s="72">
        <f>IF($D$3=JU!I1445,JU!K1445,0)</f>
        <v>0</v>
      </c>
      <c r="H1448" s="72">
        <f t="shared" si="23"/>
        <v>137933000</v>
      </c>
    </row>
    <row r="1449" spans="2:8" hidden="1">
      <c r="B1449" s="68" t="str">
        <f>IF(OR($D$3=JU!$F1446,$D$3=JU!$I1446),JU!B1446,"")</f>
        <v/>
      </c>
      <c r="C1449" s="6" t="str">
        <f>IF(OR($D$3=JU!$F1446,$D$3=JU!$I1446),JU!C1446,"")</f>
        <v/>
      </c>
      <c r="D1449" s="73" t="str">
        <f>IF(OR($D$3=JU!$F1446,$D$3=JU!$I1446),JU!D1446,"")</f>
        <v/>
      </c>
      <c r="E1449" s="74" t="str">
        <f>IF(OR($D$3=JU!$F1446,$D$3=JU!$I1446),JU!E1446,"")</f>
        <v/>
      </c>
      <c r="F1449" s="72">
        <f>IF($D$3=JU!F1446,JU!H1446,0)</f>
        <v>0</v>
      </c>
      <c r="G1449" s="72">
        <f>IF($D$3=JU!I1446,JU!K1446,0)</f>
        <v>0</v>
      </c>
      <c r="H1449" s="72">
        <f t="shared" si="23"/>
        <v>137933000</v>
      </c>
    </row>
    <row r="1450" spans="2:8" hidden="1">
      <c r="B1450" s="68" t="str">
        <f>IF(OR($D$3=JU!$F1447,$D$3=JU!$I1447),JU!B1447,"")</f>
        <v/>
      </c>
      <c r="C1450" s="6" t="str">
        <f>IF(OR($D$3=JU!$F1447,$D$3=JU!$I1447),JU!C1447,"")</f>
        <v/>
      </c>
      <c r="D1450" s="73" t="str">
        <f>IF(OR($D$3=JU!$F1447,$D$3=JU!$I1447),JU!D1447,"")</f>
        <v/>
      </c>
      <c r="E1450" s="74" t="str">
        <f>IF(OR($D$3=JU!$F1447,$D$3=JU!$I1447),JU!E1447,"")</f>
        <v/>
      </c>
      <c r="F1450" s="72">
        <f>IF($D$3=JU!F1447,JU!H1447,0)</f>
        <v>0</v>
      </c>
      <c r="G1450" s="72">
        <f>IF($D$3=JU!I1447,JU!K1447,0)</f>
        <v>0</v>
      </c>
      <c r="H1450" s="72">
        <f t="shared" si="23"/>
        <v>137933000</v>
      </c>
    </row>
    <row r="1451" spans="2:8" hidden="1">
      <c r="B1451" s="68" t="str">
        <f>IF(OR($D$3=JU!$F1448,$D$3=JU!$I1448),JU!B1448,"")</f>
        <v/>
      </c>
      <c r="C1451" s="6" t="str">
        <f>IF(OR($D$3=JU!$F1448,$D$3=JU!$I1448),JU!C1448,"")</f>
        <v/>
      </c>
      <c r="D1451" s="73" t="str">
        <f>IF(OR($D$3=JU!$F1448,$D$3=JU!$I1448),JU!D1448,"")</f>
        <v/>
      </c>
      <c r="E1451" s="74" t="str">
        <f>IF(OR($D$3=JU!$F1448,$D$3=JU!$I1448),JU!E1448,"")</f>
        <v/>
      </c>
      <c r="F1451" s="72">
        <f>IF($D$3=JU!F1448,JU!H1448,0)</f>
        <v>0</v>
      </c>
      <c r="G1451" s="72">
        <f>IF($D$3=JU!I1448,JU!K1448,0)</f>
        <v>0</v>
      </c>
      <c r="H1451" s="72">
        <f t="shared" si="23"/>
        <v>137933000</v>
      </c>
    </row>
    <row r="1452" spans="2:8" hidden="1">
      <c r="B1452" s="68" t="str">
        <f>IF(OR($D$3=JU!$F1450,$D$3=JU!$I1450),JU!B1450,"")</f>
        <v/>
      </c>
      <c r="C1452" s="6" t="str">
        <f>IF(OR($D$3=JU!$F1450,$D$3=JU!$I1450),JU!C1450,"")</f>
        <v/>
      </c>
      <c r="D1452" s="73" t="str">
        <f>IF(OR($D$3=JU!$F1450,$D$3=JU!$I1450),JU!D1450,"")</f>
        <v/>
      </c>
      <c r="E1452" s="74" t="str">
        <f>IF(OR($D$3=JU!$F1450,$D$3=JU!$I1450),JU!E1450,"")</f>
        <v/>
      </c>
      <c r="F1452" s="72">
        <f>IF($D$3=JU!F1450,JU!H1450,0)</f>
        <v>0</v>
      </c>
      <c r="G1452" s="72">
        <f>IF($D$3=JU!I1450,JU!K1450,0)</f>
        <v>0</v>
      </c>
      <c r="H1452" s="72">
        <f t="shared" si="23"/>
        <v>137933000</v>
      </c>
    </row>
    <row r="1453" spans="2:8" hidden="1">
      <c r="B1453" s="68" t="str">
        <f>IF(OR($D$3=JU!$F1451,$D$3=JU!$I1451),JU!B1451,"")</f>
        <v/>
      </c>
      <c r="C1453" s="6" t="str">
        <f>IF(OR($D$3=JU!$F1451,$D$3=JU!$I1451),JU!C1451,"")</f>
        <v/>
      </c>
      <c r="D1453" s="73" t="str">
        <f>IF(OR($D$3=JU!$F1451,$D$3=JU!$I1451),JU!D1451,"")</f>
        <v/>
      </c>
      <c r="E1453" s="74" t="str">
        <f>IF(OR($D$3=JU!$F1451,$D$3=JU!$I1451),JU!E1451,"")</f>
        <v/>
      </c>
      <c r="F1453" s="72">
        <f>IF($D$3=JU!F1451,JU!H1451,0)</f>
        <v>0</v>
      </c>
      <c r="G1453" s="72">
        <f>IF($D$3=JU!I1451,JU!K1451,0)</f>
        <v>0</v>
      </c>
      <c r="H1453" s="72">
        <f t="shared" si="23"/>
        <v>137933000</v>
      </c>
    </row>
    <row r="1454" spans="2:8" hidden="1">
      <c r="B1454" s="68" t="str">
        <f>IF(OR($D$3=JU!$F1452,$D$3=JU!$I1452),JU!B1452,"")</f>
        <v/>
      </c>
      <c r="C1454" s="6" t="str">
        <f>IF(OR($D$3=JU!$F1452,$D$3=JU!$I1452),JU!C1452,"")</f>
        <v/>
      </c>
      <c r="D1454" s="73" t="str">
        <f>IF(OR($D$3=JU!$F1452,$D$3=JU!$I1452),JU!D1452,"")</f>
        <v/>
      </c>
      <c r="E1454" s="74" t="str">
        <f>IF(OR($D$3=JU!$F1452,$D$3=JU!$I1452),JU!E1452,"")</f>
        <v/>
      </c>
      <c r="F1454" s="72">
        <f>IF($D$3=JU!F1452,JU!H1452,0)</f>
        <v>0</v>
      </c>
      <c r="G1454" s="72">
        <f>IF($D$3=JU!I1452,JU!K1452,0)</f>
        <v>0</v>
      </c>
      <c r="H1454" s="72">
        <f t="shared" si="23"/>
        <v>137933000</v>
      </c>
    </row>
    <row r="1455" spans="2:8" hidden="1">
      <c r="B1455" s="68" t="str">
        <f>IF(OR($D$3=JU!$F1453,$D$3=JU!$I1453),JU!B1453,"")</f>
        <v/>
      </c>
      <c r="C1455" s="6" t="str">
        <f>IF(OR($D$3=JU!$F1453,$D$3=JU!$I1453),JU!C1453,"")</f>
        <v/>
      </c>
      <c r="D1455" s="73" t="str">
        <f>IF(OR($D$3=JU!$F1453,$D$3=JU!$I1453),JU!D1453,"")</f>
        <v/>
      </c>
      <c r="E1455" s="74" t="str">
        <f>IF(OR($D$3=JU!$F1453,$D$3=JU!$I1453),JU!E1453,"")</f>
        <v/>
      </c>
      <c r="F1455" s="72">
        <f>IF($D$3=JU!F1453,JU!H1453,0)</f>
        <v>0</v>
      </c>
      <c r="G1455" s="72">
        <f>IF($D$3=JU!I1453,JU!K1453,0)</f>
        <v>0</v>
      </c>
      <c r="H1455" s="72">
        <f t="shared" si="23"/>
        <v>137933000</v>
      </c>
    </row>
    <row r="1456" spans="2:8" hidden="1">
      <c r="B1456" s="68" t="str">
        <f>IF(OR($D$3=JU!$F1454,$D$3=JU!$I1454),JU!B1454,"")</f>
        <v/>
      </c>
      <c r="C1456" s="6" t="str">
        <f>IF(OR($D$3=JU!$F1454,$D$3=JU!$I1454),JU!C1454,"")</f>
        <v/>
      </c>
      <c r="D1456" s="73" t="str">
        <f>IF(OR($D$3=JU!$F1454,$D$3=JU!$I1454),JU!D1454,"")</f>
        <v/>
      </c>
      <c r="E1456" s="74" t="str">
        <f>IF(OR($D$3=JU!$F1454,$D$3=JU!$I1454),JU!E1454,"")</f>
        <v/>
      </c>
      <c r="F1456" s="72">
        <f>IF($D$3=JU!F1454,JU!H1454,0)</f>
        <v>0</v>
      </c>
      <c r="G1456" s="72">
        <f>IF($D$3=JU!I1454,JU!K1454,0)</f>
        <v>0</v>
      </c>
      <c r="H1456" s="72">
        <f t="shared" si="23"/>
        <v>137933000</v>
      </c>
    </row>
    <row r="1457" spans="2:8" hidden="1">
      <c r="B1457" s="68" t="str">
        <f>IF(OR($D$3=JU!$F1455,$D$3=JU!$I1455),JU!B1455,"")</f>
        <v/>
      </c>
      <c r="C1457" s="6" t="str">
        <f>IF(OR($D$3=JU!$F1455,$D$3=JU!$I1455),JU!C1455,"")</f>
        <v/>
      </c>
      <c r="D1457" s="73" t="str">
        <f>IF(OR($D$3=JU!$F1455,$D$3=JU!$I1455),JU!D1455,"")</f>
        <v/>
      </c>
      <c r="E1457" s="74" t="str">
        <f>IF(OR($D$3=JU!$F1455,$D$3=JU!$I1455),JU!E1455,"")</f>
        <v/>
      </c>
      <c r="F1457" s="72">
        <f>IF($D$3=JU!F1455,JU!H1455,0)</f>
        <v>0</v>
      </c>
      <c r="G1457" s="72">
        <f>IF($D$3=JU!I1455,JU!K1455,0)</f>
        <v>0</v>
      </c>
      <c r="H1457" s="72">
        <f t="shared" si="23"/>
        <v>137933000</v>
      </c>
    </row>
    <row r="1458" spans="2:8" hidden="1">
      <c r="B1458" s="68" t="str">
        <f>IF(OR($D$3=JU!$F1457,$D$3=JU!$I1457),JU!B1457,"")</f>
        <v/>
      </c>
      <c r="C1458" s="6" t="str">
        <f>IF(OR($D$3=JU!$F1457,$D$3=JU!$I1457),JU!C1457,"")</f>
        <v/>
      </c>
      <c r="D1458" s="73" t="str">
        <f>IF(OR($D$3=JU!$F1457,$D$3=JU!$I1457),JU!D1457,"")</f>
        <v/>
      </c>
      <c r="E1458" s="74" t="str">
        <f>IF(OR($D$3=JU!$F1457,$D$3=JU!$I1457),JU!E1457,"")</f>
        <v/>
      </c>
      <c r="F1458" s="72">
        <f>IF($D$3=JU!F1457,JU!H1457,0)</f>
        <v>0</v>
      </c>
      <c r="G1458" s="72">
        <f>IF($D$3=JU!I1457,JU!K1457,0)</f>
        <v>0</v>
      </c>
      <c r="H1458" s="72">
        <f t="shared" si="23"/>
        <v>137933000</v>
      </c>
    </row>
    <row r="1459" spans="2:8" hidden="1">
      <c r="B1459" s="68" t="str">
        <f>IF(OR($D$3=JU!$F1459,$D$3=JU!$I1459),JU!B1459,"")</f>
        <v/>
      </c>
      <c r="C1459" s="6" t="str">
        <f>IF(OR($D$3=JU!$F1459,$D$3=JU!$I1459),JU!C1459,"")</f>
        <v/>
      </c>
      <c r="D1459" s="73" t="str">
        <f>IF(OR($D$3=JU!$F1459,$D$3=JU!$I1459),JU!D1459,"")</f>
        <v/>
      </c>
      <c r="E1459" s="74" t="str">
        <f>IF(OR($D$3=JU!$F1459,$D$3=JU!$I1459),JU!E1459,"")</f>
        <v/>
      </c>
      <c r="F1459" s="72">
        <f>IF($D$3=JU!F1459,JU!H1459,0)</f>
        <v>0</v>
      </c>
      <c r="G1459" s="72">
        <f>IF($D$3=JU!I1459,JU!K1459,0)</f>
        <v>0</v>
      </c>
      <c r="H1459" s="72">
        <f t="shared" si="23"/>
        <v>137933000</v>
      </c>
    </row>
    <row r="1460" spans="2:8" hidden="1">
      <c r="B1460" s="68" t="str">
        <f>IF(OR($D$3=JU!$F1460,$D$3=JU!$I1460),JU!B1460,"")</f>
        <v/>
      </c>
      <c r="C1460" s="6" t="str">
        <f>IF(OR($D$3=JU!$F1460,$D$3=JU!$I1460),JU!C1460,"")</f>
        <v/>
      </c>
      <c r="D1460" s="73" t="str">
        <f>IF(OR($D$3=JU!$F1460,$D$3=JU!$I1460),JU!D1460,"")</f>
        <v/>
      </c>
      <c r="E1460" s="74" t="str">
        <f>IF(OR($D$3=JU!$F1460,$D$3=JU!$I1460),JU!E1460,"")</f>
        <v/>
      </c>
      <c r="F1460" s="72">
        <f>IF($D$3=JU!F1460,JU!H1460,0)</f>
        <v>0</v>
      </c>
      <c r="G1460" s="72">
        <f>IF($D$3=JU!I1460,JU!K1460,0)</f>
        <v>0</v>
      </c>
      <c r="H1460" s="72">
        <f t="shared" si="23"/>
        <v>137933000</v>
      </c>
    </row>
    <row r="1461" spans="2:8" hidden="1">
      <c r="B1461" s="68" t="str">
        <f>IF(OR($D$3=JU!$F1461,$D$3=JU!$I1461),JU!B1461,"")</f>
        <v/>
      </c>
      <c r="C1461" s="6" t="str">
        <f>IF(OR($D$3=JU!$F1461,$D$3=JU!$I1461),JU!C1461,"")</f>
        <v/>
      </c>
      <c r="D1461" s="73" t="str">
        <f>IF(OR($D$3=JU!$F1461,$D$3=JU!$I1461),JU!D1461,"")</f>
        <v/>
      </c>
      <c r="E1461" s="74" t="str">
        <f>IF(OR($D$3=JU!$F1461,$D$3=JU!$I1461),JU!E1461,"")</f>
        <v/>
      </c>
      <c r="F1461" s="72">
        <f>IF($D$3=JU!F1461,JU!H1461,0)</f>
        <v>0</v>
      </c>
      <c r="G1461" s="72">
        <f>IF($D$3=JU!I1461,JU!K1461,0)</f>
        <v>0</v>
      </c>
      <c r="H1461" s="72">
        <f t="shared" si="23"/>
        <v>137933000</v>
      </c>
    </row>
    <row r="1462" spans="2:8" hidden="1">
      <c r="B1462" s="68" t="str">
        <f>IF(OR($D$3=JU!$F1462,$D$3=JU!$I1462),JU!B1462,"")</f>
        <v/>
      </c>
      <c r="C1462" s="6" t="str">
        <f>IF(OR($D$3=JU!$F1462,$D$3=JU!$I1462),JU!C1462,"")</f>
        <v/>
      </c>
      <c r="D1462" s="73" t="str">
        <f>IF(OR($D$3=JU!$F1462,$D$3=JU!$I1462),JU!D1462,"")</f>
        <v/>
      </c>
      <c r="E1462" s="74" t="str">
        <f>IF(OR($D$3=JU!$F1462,$D$3=JU!$I1462),JU!E1462,"")</f>
        <v/>
      </c>
      <c r="F1462" s="72">
        <f>IF($D$3=JU!F1462,JU!H1462,0)</f>
        <v>0</v>
      </c>
      <c r="G1462" s="72">
        <f>IF($D$3=JU!I1462,JU!K1462,0)</f>
        <v>0</v>
      </c>
      <c r="H1462" s="72">
        <f t="shared" si="23"/>
        <v>137933000</v>
      </c>
    </row>
    <row r="1463" spans="2:8" hidden="1">
      <c r="B1463" s="68" t="str">
        <f>IF(OR($D$3=JU!$F1463,$D$3=JU!$I1463),JU!B1463,"")</f>
        <v/>
      </c>
      <c r="C1463" s="6" t="str">
        <f>IF(OR($D$3=JU!$F1463,$D$3=JU!$I1463),JU!C1463,"")</f>
        <v/>
      </c>
      <c r="D1463" s="73" t="str">
        <f>IF(OR($D$3=JU!$F1463,$D$3=JU!$I1463),JU!D1463,"")</f>
        <v/>
      </c>
      <c r="E1463" s="74" t="str">
        <f>IF(OR($D$3=JU!$F1463,$D$3=JU!$I1463),JU!E1463,"")</f>
        <v/>
      </c>
      <c r="F1463" s="72">
        <f>IF($D$3=JU!F1463,JU!H1463,0)</f>
        <v>0</v>
      </c>
      <c r="G1463" s="72">
        <f>IF($D$3=JU!I1463,JU!K1463,0)</f>
        <v>0</v>
      </c>
      <c r="H1463" s="72">
        <f t="shared" si="23"/>
        <v>137933000</v>
      </c>
    </row>
    <row r="1464" spans="2:8" hidden="1">
      <c r="B1464" s="68" t="str">
        <f>IF(OR($D$3=JU!$F1464,$D$3=JU!$I1464),JU!B1464,"")</f>
        <v/>
      </c>
      <c r="C1464" s="6" t="str">
        <f>IF(OR($D$3=JU!$F1464,$D$3=JU!$I1464),JU!C1464,"")</f>
        <v/>
      </c>
      <c r="D1464" s="73" t="str">
        <f>IF(OR($D$3=JU!$F1464,$D$3=JU!$I1464),JU!D1464,"")</f>
        <v/>
      </c>
      <c r="E1464" s="74" t="str">
        <f>IF(OR($D$3=JU!$F1464,$D$3=JU!$I1464),JU!E1464,"")</f>
        <v/>
      </c>
      <c r="F1464" s="72">
        <f>IF($D$3=JU!F1464,JU!H1464,0)</f>
        <v>0</v>
      </c>
      <c r="G1464" s="72">
        <f>IF($D$3=JU!I1464,JU!K1464,0)</f>
        <v>0</v>
      </c>
      <c r="H1464" s="72">
        <f t="shared" si="23"/>
        <v>137933000</v>
      </c>
    </row>
    <row r="1465" spans="2:8" hidden="1">
      <c r="B1465" s="68" t="str">
        <f>IF(OR($D$3=JU!$F1465,$D$3=JU!$I1465),JU!B1465,"")</f>
        <v/>
      </c>
      <c r="C1465" s="6" t="str">
        <f>IF(OR($D$3=JU!$F1465,$D$3=JU!$I1465),JU!C1465,"")</f>
        <v/>
      </c>
      <c r="D1465" s="73" t="str">
        <f>IF(OR($D$3=JU!$F1465,$D$3=JU!$I1465),JU!D1465,"")</f>
        <v/>
      </c>
      <c r="E1465" s="74" t="str">
        <f>IF(OR($D$3=JU!$F1465,$D$3=JU!$I1465),JU!E1465,"")</f>
        <v/>
      </c>
      <c r="F1465" s="72">
        <f>IF($D$3=JU!F1465,JU!H1465,0)</f>
        <v>0</v>
      </c>
      <c r="G1465" s="72">
        <f>IF($D$3=JU!I1465,JU!K1465,0)</f>
        <v>0</v>
      </c>
      <c r="H1465" s="72">
        <f t="shared" si="23"/>
        <v>137933000</v>
      </c>
    </row>
    <row r="1466" spans="2:8" hidden="1">
      <c r="B1466" s="68" t="str">
        <f>IF(OR($D$3=JU!$F1466,$D$3=JU!$I1466),JU!B1466,"")</f>
        <v/>
      </c>
      <c r="C1466" s="6" t="str">
        <f>IF(OR($D$3=JU!$F1466,$D$3=JU!$I1466),JU!C1466,"")</f>
        <v/>
      </c>
      <c r="D1466" s="73" t="str">
        <f>IF(OR($D$3=JU!$F1466,$D$3=JU!$I1466),JU!D1466,"")</f>
        <v/>
      </c>
      <c r="E1466" s="74" t="str">
        <f>IF(OR($D$3=JU!$F1466,$D$3=JU!$I1466),JU!E1466,"")</f>
        <v/>
      </c>
      <c r="F1466" s="72">
        <f>IF($D$3=JU!F1466,JU!H1466,0)</f>
        <v>0</v>
      </c>
      <c r="G1466" s="72">
        <f>IF($D$3=JU!I1466,JU!K1466,0)</f>
        <v>0</v>
      </c>
      <c r="H1466" s="72">
        <f t="shared" si="23"/>
        <v>137933000</v>
      </c>
    </row>
    <row r="1467" spans="2:8" hidden="1">
      <c r="B1467" s="68" t="str">
        <f>IF(OR($D$3=JU!$F1467,$D$3=JU!$I1467),JU!B1467,"")</f>
        <v/>
      </c>
      <c r="C1467" s="6" t="str">
        <f>IF(OR($D$3=JU!$F1467,$D$3=JU!$I1467),JU!C1467,"")</f>
        <v/>
      </c>
      <c r="D1467" s="73" t="str">
        <f>IF(OR($D$3=JU!$F1467,$D$3=JU!$I1467),JU!D1467,"")</f>
        <v/>
      </c>
      <c r="E1467" s="74" t="str">
        <f>IF(OR($D$3=JU!$F1467,$D$3=JU!$I1467),JU!E1467,"")</f>
        <v/>
      </c>
      <c r="F1467" s="72">
        <f>IF($D$3=JU!F1467,JU!H1467,0)</f>
        <v>0</v>
      </c>
      <c r="G1467" s="72">
        <f>IF($D$3=JU!I1467,JU!K1467,0)</f>
        <v>0</v>
      </c>
      <c r="H1467" s="72">
        <f t="shared" si="23"/>
        <v>137933000</v>
      </c>
    </row>
    <row r="1468" spans="2:8" hidden="1">
      <c r="B1468" s="68" t="str">
        <f>IF(OR($D$3=JU!$F1468,$D$3=JU!$I1468),JU!B1468,"")</f>
        <v/>
      </c>
      <c r="C1468" s="6" t="str">
        <f>IF(OR($D$3=JU!$F1468,$D$3=JU!$I1468),JU!C1468,"")</f>
        <v/>
      </c>
      <c r="D1468" s="73" t="str">
        <f>IF(OR($D$3=JU!$F1468,$D$3=JU!$I1468),JU!D1468,"")</f>
        <v/>
      </c>
      <c r="E1468" s="74" t="str">
        <f>IF(OR($D$3=JU!$F1468,$D$3=JU!$I1468),JU!E1468,"")</f>
        <v/>
      </c>
      <c r="F1468" s="72">
        <f>IF($D$3=JU!F1468,JU!H1468,0)</f>
        <v>0</v>
      </c>
      <c r="G1468" s="72">
        <f>IF($D$3=JU!I1468,JU!K1468,0)</f>
        <v>0</v>
      </c>
      <c r="H1468" s="72">
        <f t="shared" si="23"/>
        <v>137933000</v>
      </c>
    </row>
    <row r="1469" spans="2:8" hidden="1">
      <c r="B1469" s="68" t="str">
        <f>IF(OR($D$3=JU!$F1469,$D$3=JU!$I1469),JU!B1469,"")</f>
        <v/>
      </c>
      <c r="C1469" s="6" t="str">
        <f>IF(OR($D$3=JU!$F1469,$D$3=JU!$I1469),JU!C1469,"")</f>
        <v/>
      </c>
      <c r="D1469" s="73" t="str">
        <f>IF(OR($D$3=JU!$F1469,$D$3=JU!$I1469),JU!D1469,"")</f>
        <v/>
      </c>
      <c r="E1469" s="74" t="str">
        <f>IF(OR($D$3=JU!$F1469,$D$3=JU!$I1469),JU!E1469,"")</f>
        <v/>
      </c>
      <c r="F1469" s="72">
        <f>IF($D$3=JU!F1469,JU!H1469,0)</f>
        <v>0</v>
      </c>
      <c r="G1469" s="72">
        <f>IF($D$3=JU!I1469,JU!K1469,0)</f>
        <v>0</v>
      </c>
      <c r="H1469" s="72">
        <f t="shared" si="23"/>
        <v>137933000</v>
      </c>
    </row>
    <row r="1470" spans="2:8" hidden="1">
      <c r="B1470" s="68" t="str">
        <f>IF(OR($D$3=JU!$F1470,$D$3=JU!$I1470),JU!B1470,"")</f>
        <v/>
      </c>
      <c r="C1470" s="6" t="str">
        <f>IF(OR($D$3=JU!$F1470,$D$3=JU!$I1470),JU!C1470,"")</f>
        <v/>
      </c>
      <c r="D1470" s="73" t="str">
        <f>IF(OR($D$3=JU!$F1470,$D$3=JU!$I1470),JU!D1470,"")</f>
        <v/>
      </c>
      <c r="E1470" s="74" t="str">
        <f>IF(OR($D$3=JU!$F1470,$D$3=JU!$I1470),JU!E1470,"")</f>
        <v/>
      </c>
      <c r="F1470" s="72">
        <f>IF($D$3=JU!F1470,JU!H1470,0)</f>
        <v>0</v>
      </c>
      <c r="G1470" s="72">
        <f>IF($D$3=JU!I1470,JU!K1470,0)</f>
        <v>0</v>
      </c>
      <c r="H1470" s="72">
        <f t="shared" si="23"/>
        <v>137933000</v>
      </c>
    </row>
    <row r="1471" spans="2:8" hidden="1">
      <c r="B1471" s="68" t="str">
        <f>IF(OR($D$3=JU!$F1471,$D$3=JU!$I1471),JU!B1471,"")</f>
        <v/>
      </c>
      <c r="C1471" s="6" t="str">
        <f>IF(OR($D$3=JU!$F1471,$D$3=JU!$I1471),JU!C1471,"")</f>
        <v/>
      </c>
      <c r="D1471" s="73" t="str">
        <f>IF(OR($D$3=JU!$F1471,$D$3=JU!$I1471),JU!D1471,"")</f>
        <v/>
      </c>
      <c r="E1471" s="74" t="str">
        <f>IF(OR($D$3=JU!$F1471,$D$3=JU!$I1471),JU!E1471,"")</f>
        <v/>
      </c>
      <c r="F1471" s="72">
        <f>IF($D$3=JU!F1471,JU!H1471,0)</f>
        <v>0</v>
      </c>
      <c r="G1471" s="72">
        <f>IF($D$3=JU!I1471,JU!K1471,0)</f>
        <v>0</v>
      </c>
      <c r="H1471" s="72">
        <f t="shared" si="23"/>
        <v>137933000</v>
      </c>
    </row>
    <row r="1472" spans="2:8" hidden="1">
      <c r="B1472" s="68" t="e">
        <f>IF(OR($D$3=JU!#REF!,$D$3=JU!#REF!),JU!#REF!,"")</f>
        <v>#REF!</v>
      </c>
      <c r="C1472" s="6" t="e">
        <f>IF(OR($D$3=JU!#REF!,$D$3=JU!#REF!),JU!#REF!,"")</f>
        <v>#REF!</v>
      </c>
      <c r="D1472" s="73" t="e">
        <f>IF(OR($D$3=JU!#REF!,$D$3=JU!#REF!),JU!#REF!,"")</f>
        <v>#REF!</v>
      </c>
      <c r="E1472" s="74" t="e">
        <f>IF(OR($D$3=JU!#REF!,$D$3=JU!#REF!),JU!#REF!,"")</f>
        <v>#REF!</v>
      </c>
      <c r="F1472" s="72" t="e">
        <f>IF($D$3=JU!#REF!,JU!#REF!,0)</f>
        <v>#REF!</v>
      </c>
      <c r="G1472" s="72" t="e">
        <f>IF($D$3=JU!#REF!,JU!#REF!,0)</f>
        <v>#REF!</v>
      </c>
      <c r="H1472" s="72" t="e">
        <f t="shared" si="23"/>
        <v>#REF!</v>
      </c>
    </row>
    <row r="1473" spans="2:8" hidden="1">
      <c r="B1473" s="68" t="str">
        <f>IF(OR($D$3=JU!$F1473,$D$3=JU!$I1473),JU!B1473,"")</f>
        <v/>
      </c>
      <c r="C1473" s="6" t="str">
        <f>IF(OR($D$3=JU!$F1473,$D$3=JU!$I1473),JU!C1473,"")</f>
        <v/>
      </c>
      <c r="D1473" s="73" t="str">
        <f>IF(OR($D$3=JU!$F1473,$D$3=JU!$I1473),JU!D1473,"")</f>
        <v/>
      </c>
      <c r="E1473" s="74" t="str">
        <f>IF(OR($D$3=JU!$F1473,$D$3=JU!$I1473),JU!E1473,"")</f>
        <v/>
      </c>
      <c r="F1473" s="72">
        <f>IF($D$3=JU!F1473,JU!H1473,0)</f>
        <v>0</v>
      </c>
      <c r="G1473" s="72">
        <f>IF($D$3=JU!I1473,JU!K1473,0)</f>
        <v>0</v>
      </c>
      <c r="H1473" s="72" t="e">
        <f t="shared" si="23"/>
        <v>#REF!</v>
      </c>
    </row>
    <row r="1474" spans="2:8" hidden="1">
      <c r="B1474" s="68" t="str">
        <f>IF(OR($D$3=JU!$F1474,$D$3=JU!$I1474),JU!B1474,"")</f>
        <v/>
      </c>
      <c r="C1474" s="6" t="str">
        <f>IF(OR($D$3=JU!$F1474,$D$3=JU!$I1474),JU!C1474,"")</f>
        <v/>
      </c>
      <c r="D1474" s="73" t="str">
        <f>IF(OR($D$3=JU!$F1474,$D$3=JU!$I1474),JU!D1474,"")</f>
        <v/>
      </c>
      <c r="E1474" s="74" t="str">
        <f>IF(OR($D$3=JU!$F1474,$D$3=JU!$I1474),JU!E1474,"")</f>
        <v/>
      </c>
      <c r="F1474" s="72">
        <f>IF($D$3=JU!F1474,JU!H1474,0)</f>
        <v>0</v>
      </c>
      <c r="G1474" s="72">
        <f>IF($D$3=JU!I1474,JU!K1474,0)</f>
        <v>0</v>
      </c>
      <c r="H1474" s="72" t="e">
        <f t="shared" si="23"/>
        <v>#REF!</v>
      </c>
    </row>
    <row r="1475" spans="2:8" hidden="1">
      <c r="B1475" s="68" t="str">
        <f>IF(OR($D$3=JU!$F1475,$D$3=JU!$I1475),JU!B1475,"")</f>
        <v/>
      </c>
      <c r="C1475" s="6" t="str">
        <f>IF(OR($D$3=JU!$F1475,$D$3=JU!$I1475),JU!C1475,"")</f>
        <v/>
      </c>
      <c r="D1475" s="73" t="str">
        <f>IF(OR($D$3=JU!$F1475,$D$3=JU!$I1475),JU!D1475,"")</f>
        <v/>
      </c>
      <c r="E1475" s="74" t="str">
        <f>IF(OR($D$3=JU!$F1475,$D$3=JU!$I1475),JU!E1475,"")</f>
        <v/>
      </c>
      <c r="F1475" s="72">
        <f>IF($D$3=JU!F1475,JU!H1475,0)</f>
        <v>0</v>
      </c>
      <c r="G1475" s="72">
        <f>IF($D$3=JU!I1475,JU!K1475,0)</f>
        <v>0</v>
      </c>
      <c r="H1475" s="72" t="e">
        <f t="shared" si="23"/>
        <v>#REF!</v>
      </c>
    </row>
    <row r="1476" spans="2:8" hidden="1">
      <c r="B1476" s="68" t="str">
        <f>IF(OR($D$3=JU!$F1476,$D$3=JU!$I1476),JU!B1476,"")</f>
        <v/>
      </c>
      <c r="C1476" s="6" t="str">
        <f>IF(OR($D$3=JU!$F1476,$D$3=JU!$I1476),JU!C1476,"")</f>
        <v/>
      </c>
      <c r="D1476" s="73" t="str">
        <f>IF(OR($D$3=JU!$F1476,$D$3=JU!$I1476),JU!D1476,"")</f>
        <v/>
      </c>
      <c r="E1476" s="74" t="str">
        <f>IF(OR($D$3=JU!$F1476,$D$3=JU!$I1476),JU!E1476,"")</f>
        <v/>
      </c>
      <c r="F1476" s="72">
        <f>IF($D$3=JU!F1476,JU!H1476,0)</f>
        <v>0</v>
      </c>
      <c r="G1476" s="72">
        <f>IF($D$3=JU!I1476,JU!K1476,0)</f>
        <v>0</v>
      </c>
      <c r="H1476" s="72" t="e">
        <f t="shared" si="23"/>
        <v>#REF!</v>
      </c>
    </row>
    <row r="1477" spans="2:8" hidden="1">
      <c r="B1477" s="68" t="str">
        <f>IF(OR($D$3=JU!$F1477,$D$3=JU!$I1477),JU!B1477,"")</f>
        <v/>
      </c>
      <c r="C1477" s="6" t="str">
        <f>IF(OR($D$3=JU!$F1477,$D$3=JU!$I1477),JU!C1477,"")</f>
        <v/>
      </c>
      <c r="D1477" s="73" t="str">
        <f>IF(OR($D$3=JU!$F1477,$D$3=JU!$I1477),JU!D1477,"")</f>
        <v/>
      </c>
      <c r="E1477" s="74" t="str">
        <f>IF(OR($D$3=JU!$F1477,$D$3=JU!$I1477),JU!E1477,"")</f>
        <v/>
      </c>
      <c r="F1477" s="72">
        <f>IF($D$3=JU!F1477,JU!H1477,0)</f>
        <v>0</v>
      </c>
      <c r="G1477" s="72">
        <f>IF($D$3=JU!I1477,JU!K1477,0)</f>
        <v>0</v>
      </c>
      <c r="H1477" s="72" t="e">
        <f t="shared" si="23"/>
        <v>#REF!</v>
      </c>
    </row>
    <row r="1478" spans="2:8" hidden="1">
      <c r="B1478" s="68" t="str">
        <f>IF(OR($D$3=JU!$F1478,$D$3=JU!$I1478),JU!B1478,"")</f>
        <v/>
      </c>
      <c r="C1478" s="6" t="str">
        <f>IF(OR($D$3=JU!$F1478,$D$3=JU!$I1478),JU!C1478,"")</f>
        <v/>
      </c>
      <c r="D1478" s="73" t="str">
        <f>IF(OR($D$3=JU!$F1478,$D$3=JU!$I1478),JU!D1478,"")</f>
        <v/>
      </c>
      <c r="E1478" s="74" t="str">
        <f>IF(OR($D$3=JU!$F1478,$D$3=JU!$I1478),JU!E1478,"")</f>
        <v/>
      </c>
      <c r="F1478" s="72">
        <f>IF($D$3=JU!F1478,JU!H1478,0)</f>
        <v>0</v>
      </c>
      <c r="G1478" s="72">
        <f>IF($D$3=JU!I1478,JU!K1478,0)</f>
        <v>0</v>
      </c>
      <c r="H1478" s="72" t="e">
        <f t="shared" si="23"/>
        <v>#REF!</v>
      </c>
    </row>
    <row r="1479" spans="2:8" hidden="1">
      <c r="B1479" s="68" t="str">
        <f>IF(OR($D$3=JU!$F1479,$D$3=JU!$I1479),JU!B1479,"")</f>
        <v/>
      </c>
      <c r="C1479" s="6" t="str">
        <f>IF(OR($D$3=JU!$F1479,$D$3=JU!$I1479),JU!C1479,"")</f>
        <v/>
      </c>
      <c r="D1479" s="73" t="str">
        <f>IF(OR($D$3=JU!$F1479,$D$3=JU!$I1479),JU!D1479,"")</f>
        <v/>
      </c>
      <c r="E1479" s="74" t="str">
        <f>IF(OR($D$3=JU!$F1479,$D$3=JU!$I1479),JU!E1479,"")</f>
        <v/>
      </c>
      <c r="F1479" s="72">
        <f>IF($D$3=JU!F1479,JU!H1479,0)</f>
        <v>0</v>
      </c>
      <c r="G1479" s="72">
        <f>IF($D$3=JU!I1479,JU!K1479,0)</f>
        <v>0</v>
      </c>
      <c r="H1479" s="72" t="e">
        <f t="shared" si="23"/>
        <v>#REF!</v>
      </c>
    </row>
    <row r="1480" spans="2:8" hidden="1">
      <c r="B1480" s="68" t="str">
        <f>IF(OR($D$3=JU!$F1480,$D$3=JU!$I1480),JU!B1480,"")</f>
        <v/>
      </c>
      <c r="C1480" s="6" t="str">
        <f>IF(OR($D$3=JU!$F1480,$D$3=JU!$I1480),JU!C1480,"")</f>
        <v/>
      </c>
      <c r="D1480" s="73" t="str">
        <f>IF(OR($D$3=JU!$F1480,$D$3=JU!$I1480),JU!D1480,"")</f>
        <v/>
      </c>
      <c r="E1480" s="74" t="str">
        <f>IF(OR($D$3=JU!$F1480,$D$3=JU!$I1480),JU!E1480,"")</f>
        <v/>
      </c>
      <c r="F1480" s="72">
        <f>IF($D$3=JU!F1480,JU!H1480,0)</f>
        <v>0</v>
      </c>
      <c r="G1480" s="72">
        <f>IF($D$3=JU!I1480,JU!K1480,0)</f>
        <v>0</v>
      </c>
      <c r="H1480" s="72" t="e">
        <f t="shared" si="23"/>
        <v>#REF!</v>
      </c>
    </row>
    <row r="1481" spans="2:8" hidden="1">
      <c r="B1481" s="68" t="str">
        <f>IF(OR($D$3=JU!$F1481,$D$3=JU!$I1481),JU!B1481,"")</f>
        <v/>
      </c>
      <c r="C1481" s="6" t="str">
        <f>IF(OR($D$3=JU!$F1481,$D$3=JU!$I1481),JU!C1481,"")</f>
        <v/>
      </c>
      <c r="D1481" s="73" t="str">
        <f>IF(OR($D$3=JU!$F1481,$D$3=JU!$I1481),JU!D1481,"")</f>
        <v/>
      </c>
      <c r="E1481" s="74" t="str">
        <f>IF(OR($D$3=JU!$F1481,$D$3=JU!$I1481),JU!E1481,"")</f>
        <v/>
      </c>
      <c r="F1481" s="72">
        <f>IF($D$3=JU!F1481,JU!H1481,0)</f>
        <v>0</v>
      </c>
      <c r="G1481" s="72">
        <f>IF($D$3=JU!I1481,JU!K1481,0)</f>
        <v>0</v>
      </c>
      <c r="H1481" s="72" t="e">
        <f t="shared" si="23"/>
        <v>#REF!</v>
      </c>
    </row>
    <row r="1482" spans="2:8" hidden="1">
      <c r="B1482" s="68" t="str">
        <f>IF(OR($D$3=JU!$F1482,$D$3=JU!$I1482),JU!B1482,"")</f>
        <v/>
      </c>
      <c r="C1482" s="6" t="str">
        <f>IF(OR($D$3=JU!$F1482,$D$3=JU!$I1482),JU!C1482,"")</f>
        <v/>
      </c>
      <c r="D1482" s="73" t="str">
        <f>IF(OR($D$3=JU!$F1482,$D$3=JU!$I1482),JU!D1482,"")</f>
        <v/>
      </c>
      <c r="E1482" s="74" t="str">
        <f>IF(OR($D$3=JU!$F1482,$D$3=JU!$I1482),JU!E1482,"")</f>
        <v/>
      </c>
      <c r="F1482" s="72">
        <f>IF($D$3=JU!F1482,JU!H1482,0)</f>
        <v>0</v>
      </c>
      <c r="G1482" s="72">
        <f>IF($D$3=JU!I1482,JU!K1482,0)</f>
        <v>0</v>
      </c>
      <c r="H1482" s="72" t="e">
        <f t="shared" si="23"/>
        <v>#REF!</v>
      </c>
    </row>
    <row r="1483" spans="2:8" hidden="1">
      <c r="B1483" s="68" t="str">
        <f>IF(OR($D$3=JU!$F1483,$D$3=JU!$I1483),JU!B1483,"")</f>
        <v/>
      </c>
      <c r="C1483" s="6" t="str">
        <f>IF(OR($D$3=JU!$F1483,$D$3=JU!$I1483),JU!C1483,"")</f>
        <v/>
      </c>
      <c r="D1483" s="73" t="str">
        <f>IF(OR($D$3=JU!$F1483,$D$3=JU!$I1483),JU!D1483,"")</f>
        <v/>
      </c>
      <c r="E1483" s="74" t="str">
        <f>IF(OR($D$3=JU!$F1483,$D$3=JU!$I1483),JU!E1483,"")</f>
        <v/>
      </c>
      <c r="F1483" s="72">
        <f>IF($D$3=JU!F1483,JU!H1483,0)</f>
        <v>0</v>
      </c>
      <c r="G1483" s="72">
        <f>IF($D$3=JU!I1483,JU!K1483,0)</f>
        <v>0</v>
      </c>
      <c r="H1483" s="72" t="e">
        <f t="shared" si="23"/>
        <v>#REF!</v>
      </c>
    </row>
    <row r="1484" spans="2:8" hidden="1">
      <c r="B1484" s="68" t="str">
        <f>IF(OR($D$3=JU!$F1484,$D$3=JU!$I1484),JU!B1484,"")</f>
        <v/>
      </c>
      <c r="C1484" s="6" t="str">
        <f>IF(OR($D$3=JU!$F1484,$D$3=JU!$I1484),JU!C1484,"")</f>
        <v/>
      </c>
      <c r="D1484" s="73" t="str">
        <f>IF(OR($D$3=JU!$F1484,$D$3=JU!$I1484),JU!D1484,"")</f>
        <v/>
      </c>
      <c r="E1484" s="74" t="str">
        <f>IF(OR($D$3=JU!$F1484,$D$3=JU!$I1484),JU!E1484,"")</f>
        <v/>
      </c>
      <c r="F1484" s="72">
        <f>IF($D$3=JU!F1484,JU!H1484,0)</f>
        <v>0</v>
      </c>
      <c r="G1484" s="72">
        <f>IF($D$3=JU!I1484,JU!K1484,0)</f>
        <v>0</v>
      </c>
      <c r="H1484" s="72" t="e">
        <f t="shared" si="23"/>
        <v>#REF!</v>
      </c>
    </row>
    <row r="1485" spans="2:8" hidden="1">
      <c r="B1485" s="68" t="str">
        <f>IF(OR($D$3=JU!$F1485,$D$3=JU!$I1485),JU!B1485,"")</f>
        <v/>
      </c>
      <c r="C1485" s="6" t="str">
        <f>IF(OR($D$3=JU!$F1485,$D$3=JU!$I1485),JU!C1485,"")</f>
        <v/>
      </c>
      <c r="D1485" s="73" t="str">
        <f>IF(OR($D$3=JU!$F1485,$D$3=JU!$I1485),JU!D1485,"")</f>
        <v/>
      </c>
      <c r="E1485" s="74" t="str">
        <f>IF(OR($D$3=JU!$F1485,$D$3=JU!$I1485),JU!E1485,"")</f>
        <v/>
      </c>
      <c r="F1485" s="72">
        <f>IF($D$3=JU!F1485,JU!H1485,0)</f>
        <v>0</v>
      </c>
      <c r="G1485" s="72">
        <f>IF($D$3=JU!I1485,JU!K1485,0)</f>
        <v>0</v>
      </c>
      <c r="H1485" s="72" t="e">
        <f t="shared" si="23"/>
        <v>#REF!</v>
      </c>
    </row>
    <row r="1486" spans="2:8" hidden="1">
      <c r="B1486" s="68" t="str">
        <f>IF(OR($D$3=JU!$F1486,$D$3=JU!$I1486),JU!B1486,"")</f>
        <v/>
      </c>
      <c r="C1486" s="6" t="str">
        <f>IF(OR($D$3=JU!$F1486,$D$3=JU!$I1486),JU!C1486,"")</f>
        <v/>
      </c>
      <c r="D1486" s="73" t="str">
        <f>IF(OR($D$3=JU!$F1486,$D$3=JU!$I1486),JU!D1486,"")</f>
        <v/>
      </c>
      <c r="E1486" s="74" t="str">
        <f>IF(OR($D$3=JU!$F1486,$D$3=JU!$I1486),JU!E1486,"")</f>
        <v/>
      </c>
      <c r="F1486" s="72">
        <f>IF($D$3=JU!F1486,JU!H1486,0)</f>
        <v>0</v>
      </c>
      <c r="G1486" s="72">
        <f>IF($D$3=JU!I1486,JU!K1486,0)</f>
        <v>0</v>
      </c>
      <c r="H1486" s="72" t="e">
        <f t="shared" ref="H1486:H1549" si="24">IF($H$7="DEBET",H1485+F1486-G1486,H1485+G1486-F1486)</f>
        <v>#REF!</v>
      </c>
    </row>
    <row r="1487" spans="2:8" hidden="1">
      <c r="B1487" s="68" t="str">
        <f>IF(OR($D$3=JU!$F1487,$D$3=JU!$I1487),JU!B1487,"")</f>
        <v/>
      </c>
      <c r="C1487" s="6" t="str">
        <f>IF(OR($D$3=JU!$F1487,$D$3=JU!$I1487),JU!C1487,"")</f>
        <v/>
      </c>
      <c r="D1487" s="73" t="str">
        <f>IF(OR($D$3=JU!$F1487,$D$3=JU!$I1487),JU!D1487,"")</f>
        <v/>
      </c>
      <c r="E1487" s="74" t="str">
        <f>IF(OR($D$3=JU!$F1487,$D$3=JU!$I1487),JU!E1487,"")</f>
        <v/>
      </c>
      <c r="F1487" s="72">
        <f>IF($D$3=JU!F1487,JU!H1487,0)</f>
        <v>0</v>
      </c>
      <c r="G1487" s="72">
        <f>IF($D$3=JU!I1487,JU!K1487,0)</f>
        <v>0</v>
      </c>
      <c r="H1487" s="72" t="e">
        <f t="shared" si="24"/>
        <v>#REF!</v>
      </c>
    </row>
    <row r="1488" spans="2:8" hidden="1">
      <c r="B1488" s="68" t="str">
        <f>IF(OR($D$3=JU!$F1488,$D$3=JU!$I1488),JU!B1488,"")</f>
        <v/>
      </c>
      <c r="C1488" s="6" t="str">
        <f>IF(OR($D$3=JU!$F1488,$D$3=JU!$I1488),JU!C1488,"")</f>
        <v/>
      </c>
      <c r="D1488" s="73" t="str">
        <f>IF(OR($D$3=JU!$F1488,$D$3=JU!$I1488),JU!D1488,"")</f>
        <v/>
      </c>
      <c r="E1488" s="74" t="str">
        <f>IF(OR($D$3=JU!$F1488,$D$3=JU!$I1488),JU!E1488,"")</f>
        <v/>
      </c>
      <c r="F1488" s="72">
        <f>IF($D$3=JU!F1488,JU!H1488,0)</f>
        <v>0</v>
      </c>
      <c r="G1488" s="72">
        <f>IF($D$3=JU!I1488,JU!K1488,0)</f>
        <v>0</v>
      </c>
      <c r="H1488" s="72" t="e">
        <f t="shared" si="24"/>
        <v>#REF!</v>
      </c>
    </row>
    <row r="1489" spans="2:8" hidden="1">
      <c r="B1489" s="68" t="str">
        <f>IF(OR($D$3=JU!$F1489,$D$3=JU!$I1489),JU!B1489,"")</f>
        <v/>
      </c>
      <c r="C1489" s="6" t="str">
        <f>IF(OR($D$3=JU!$F1489,$D$3=JU!$I1489),JU!C1489,"")</f>
        <v/>
      </c>
      <c r="D1489" s="73" t="str">
        <f>IF(OR($D$3=JU!$F1489,$D$3=JU!$I1489),JU!D1489,"")</f>
        <v/>
      </c>
      <c r="E1489" s="74" t="str">
        <f>IF(OR($D$3=JU!$F1489,$D$3=JU!$I1489),JU!E1489,"")</f>
        <v/>
      </c>
      <c r="F1489" s="72">
        <f>IF($D$3=JU!F1489,JU!H1489,0)</f>
        <v>0</v>
      </c>
      <c r="G1489" s="72">
        <f>IF($D$3=JU!I1489,JU!K1489,0)</f>
        <v>0</v>
      </c>
      <c r="H1489" s="72" t="e">
        <f t="shared" si="24"/>
        <v>#REF!</v>
      </c>
    </row>
    <row r="1490" spans="2:8" hidden="1">
      <c r="B1490" s="68" t="str">
        <f>IF(OR($D$3=JU!$F1490,$D$3=JU!$I1490),JU!B1490,"")</f>
        <v/>
      </c>
      <c r="C1490" s="6" t="str">
        <f>IF(OR($D$3=JU!$F1490,$D$3=JU!$I1490),JU!C1490,"")</f>
        <v/>
      </c>
      <c r="D1490" s="73" t="str">
        <f>IF(OR($D$3=JU!$F1490,$D$3=JU!$I1490),JU!D1490,"")</f>
        <v/>
      </c>
      <c r="E1490" s="74" t="str">
        <f>IF(OR($D$3=JU!$F1490,$D$3=JU!$I1490),JU!E1490,"")</f>
        <v/>
      </c>
      <c r="F1490" s="72">
        <f>IF($D$3=JU!F1490,JU!H1490,0)</f>
        <v>0</v>
      </c>
      <c r="G1490" s="72">
        <f>IF($D$3=JU!I1490,JU!K1490,0)</f>
        <v>0</v>
      </c>
      <c r="H1490" s="72" t="e">
        <f t="shared" si="24"/>
        <v>#REF!</v>
      </c>
    </row>
    <row r="1491" spans="2:8" hidden="1">
      <c r="B1491" s="68" t="str">
        <f>IF(OR($D$3=JU!$F1491,$D$3=JU!$I1491),JU!B1491,"")</f>
        <v/>
      </c>
      <c r="C1491" s="6" t="str">
        <f>IF(OR($D$3=JU!$F1491,$D$3=JU!$I1491),JU!C1491,"")</f>
        <v/>
      </c>
      <c r="D1491" s="73" t="str">
        <f>IF(OR($D$3=JU!$F1491,$D$3=JU!$I1491),JU!D1491,"")</f>
        <v/>
      </c>
      <c r="E1491" s="74" t="str">
        <f>IF(OR($D$3=JU!$F1491,$D$3=JU!$I1491),JU!E1491,"")</f>
        <v/>
      </c>
      <c r="F1491" s="72">
        <f>IF($D$3=JU!F1491,JU!H1491,0)</f>
        <v>0</v>
      </c>
      <c r="G1491" s="72">
        <f>IF($D$3=JU!I1491,JU!K1491,0)</f>
        <v>0</v>
      </c>
      <c r="H1491" s="72" t="e">
        <f t="shared" si="24"/>
        <v>#REF!</v>
      </c>
    </row>
    <row r="1492" spans="2:8" hidden="1">
      <c r="B1492" s="68" t="str">
        <f>IF(OR($D$3=JU!$F1492,$D$3=JU!$I1492),JU!B1492,"")</f>
        <v/>
      </c>
      <c r="C1492" s="6" t="str">
        <f>IF(OR($D$3=JU!$F1492,$D$3=JU!$I1492),JU!C1492,"")</f>
        <v/>
      </c>
      <c r="D1492" s="73" t="str">
        <f>IF(OR($D$3=JU!$F1492,$D$3=JU!$I1492),JU!D1492,"")</f>
        <v/>
      </c>
      <c r="E1492" s="74" t="str">
        <f>IF(OR($D$3=JU!$F1492,$D$3=JU!$I1492),JU!E1492,"")</f>
        <v/>
      </c>
      <c r="F1492" s="72">
        <f>IF($D$3=JU!F1492,JU!H1492,0)</f>
        <v>0</v>
      </c>
      <c r="G1492" s="72">
        <f>IF($D$3=JU!I1492,JU!K1492,0)</f>
        <v>0</v>
      </c>
      <c r="H1492" s="72" t="e">
        <f t="shared" si="24"/>
        <v>#REF!</v>
      </c>
    </row>
    <row r="1493" spans="2:8" hidden="1">
      <c r="B1493" s="68" t="str">
        <f>IF(OR($D$3=JU!$F1493,$D$3=JU!$I1493),JU!B1493,"")</f>
        <v/>
      </c>
      <c r="C1493" s="6" t="str">
        <f>IF(OR($D$3=JU!$F1493,$D$3=JU!$I1493),JU!C1493,"")</f>
        <v/>
      </c>
      <c r="D1493" s="73" t="str">
        <f>IF(OR($D$3=JU!$F1493,$D$3=JU!$I1493),JU!D1493,"")</f>
        <v/>
      </c>
      <c r="E1493" s="74" t="str">
        <f>IF(OR($D$3=JU!$F1493,$D$3=JU!$I1493),JU!E1493,"")</f>
        <v/>
      </c>
      <c r="F1493" s="72">
        <f>IF($D$3=JU!F1493,JU!H1493,0)</f>
        <v>0</v>
      </c>
      <c r="G1493" s="72">
        <f>IF($D$3=JU!I1493,JU!K1493,0)</f>
        <v>0</v>
      </c>
      <c r="H1493" s="72" t="e">
        <f t="shared" si="24"/>
        <v>#REF!</v>
      </c>
    </row>
    <row r="1494" spans="2:8" hidden="1">
      <c r="B1494" s="68" t="str">
        <f>IF(OR($D$3=JU!$F1494,$D$3=JU!$I1494),JU!B1494,"")</f>
        <v/>
      </c>
      <c r="C1494" s="6" t="str">
        <f>IF(OR($D$3=JU!$F1494,$D$3=JU!$I1494),JU!C1494,"")</f>
        <v/>
      </c>
      <c r="D1494" s="73" t="str">
        <f>IF(OR($D$3=JU!$F1494,$D$3=JU!$I1494),JU!D1494,"")</f>
        <v/>
      </c>
      <c r="E1494" s="74" t="str">
        <f>IF(OR($D$3=JU!$F1494,$D$3=JU!$I1494),JU!E1494,"")</f>
        <v/>
      </c>
      <c r="F1494" s="72">
        <f>IF($D$3=JU!F1494,JU!H1494,0)</f>
        <v>0</v>
      </c>
      <c r="G1494" s="72">
        <f>IF($D$3=JU!I1494,JU!K1494,0)</f>
        <v>0</v>
      </c>
      <c r="H1494" s="72" t="e">
        <f t="shared" si="24"/>
        <v>#REF!</v>
      </c>
    </row>
    <row r="1495" spans="2:8" hidden="1">
      <c r="B1495" s="68" t="str">
        <f>IF(OR($D$3=JU!$F1495,$D$3=JU!$I1495),JU!B1495,"")</f>
        <v/>
      </c>
      <c r="C1495" s="6" t="str">
        <f>IF(OR($D$3=JU!$F1495,$D$3=JU!$I1495),JU!C1495,"")</f>
        <v/>
      </c>
      <c r="D1495" s="73" t="str">
        <f>IF(OR($D$3=JU!$F1495,$D$3=JU!$I1495),JU!D1495,"")</f>
        <v/>
      </c>
      <c r="E1495" s="74" t="str">
        <f>IF(OR($D$3=JU!$F1495,$D$3=JU!$I1495),JU!E1495,"")</f>
        <v/>
      </c>
      <c r="F1495" s="72">
        <f>IF($D$3=JU!F1495,JU!H1495,0)</f>
        <v>0</v>
      </c>
      <c r="G1495" s="72">
        <f>IF($D$3=JU!I1495,JU!K1495,0)</f>
        <v>0</v>
      </c>
      <c r="H1495" s="72" t="e">
        <f t="shared" si="24"/>
        <v>#REF!</v>
      </c>
    </row>
    <row r="1496" spans="2:8" hidden="1">
      <c r="B1496" s="68" t="str">
        <f>IF(OR($D$3=JU!$F1496,$D$3=JU!$I1496),JU!B1496,"")</f>
        <v/>
      </c>
      <c r="C1496" s="6" t="str">
        <f>IF(OR($D$3=JU!$F1496,$D$3=JU!$I1496),JU!C1496,"")</f>
        <v/>
      </c>
      <c r="D1496" s="73" t="str">
        <f>IF(OR($D$3=JU!$F1496,$D$3=JU!$I1496),JU!D1496,"")</f>
        <v/>
      </c>
      <c r="E1496" s="74" t="str">
        <f>IF(OR($D$3=JU!$F1496,$D$3=JU!$I1496),JU!E1496,"")</f>
        <v/>
      </c>
      <c r="F1496" s="72">
        <f>IF($D$3=JU!F1496,JU!H1496,0)</f>
        <v>0</v>
      </c>
      <c r="G1496" s="72">
        <f>IF($D$3=JU!I1496,JU!K1496,0)</f>
        <v>0</v>
      </c>
      <c r="H1496" s="72" t="e">
        <f t="shared" si="24"/>
        <v>#REF!</v>
      </c>
    </row>
    <row r="1497" spans="2:8" hidden="1">
      <c r="B1497" s="68" t="str">
        <f>IF(OR($D$3=JU!$F1497,$D$3=JU!$I1497),JU!B1497,"")</f>
        <v/>
      </c>
      <c r="C1497" s="6" t="str">
        <f>IF(OR($D$3=JU!$F1497,$D$3=JU!$I1497),JU!C1497,"")</f>
        <v/>
      </c>
      <c r="D1497" s="73" t="str">
        <f>IF(OR($D$3=JU!$F1497,$D$3=JU!$I1497),JU!D1497,"")</f>
        <v/>
      </c>
      <c r="E1497" s="74" t="str">
        <f>IF(OR($D$3=JU!$F1497,$D$3=JU!$I1497),JU!E1497,"")</f>
        <v/>
      </c>
      <c r="F1497" s="72">
        <f>IF($D$3=JU!F1497,JU!H1497,0)</f>
        <v>0</v>
      </c>
      <c r="G1497" s="72">
        <f>IF($D$3=JU!I1497,JU!K1497,0)</f>
        <v>0</v>
      </c>
      <c r="H1497" s="72" t="e">
        <f t="shared" si="24"/>
        <v>#REF!</v>
      </c>
    </row>
    <row r="1498" spans="2:8" hidden="1">
      <c r="B1498" s="68" t="str">
        <f>IF(OR($D$3=JU!$F1498,$D$3=JU!$I1498),JU!B1498,"")</f>
        <v/>
      </c>
      <c r="C1498" s="6" t="str">
        <f>IF(OR($D$3=JU!$F1498,$D$3=JU!$I1498),JU!C1498,"")</f>
        <v/>
      </c>
      <c r="D1498" s="73" t="str">
        <f>IF(OR($D$3=JU!$F1498,$D$3=JU!$I1498),JU!D1498,"")</f>
        <v/>
      </c>
      <c r="E1498" s="74" t="str">
        <f>IF(OR($D$3=JU!$F1498,$D$3=JU!$I1498),JU!E1498,"")</f>
        <v/>
      </c>
      <c r="F1498" s="72">
        <f>IF($D$3=JU!F1498,JU!H1498,0)</f>
        <v>0</v>
      </c>
      <c r="G1498" s="72">
        <f>IF($D$3=JU!I1498,JU!K1498,0)</f>
        <v>0</v>
      </c>
      <c r="H1498" s="72" t="e">
        <f t="shared" si="24"/>
        <v>#REF!</v>
      </c>
    </row>
    <row r="1499" spans="2:8" hidden="1">
      <c r="B1499" s="68" t="str">
        <f>IF(OR($D$3=JU!$F1499,$D$3=JU!$I1499),JU!B1499,"")</f>
        <v/>
      </c>
      <c r="C1499" s="6" t="str">
        <f>IF(OR($D$3=JU!$F1499,$D$3=JU!$I1499),JU!C1499,"")</f>
        <v/>
      </c>
      <c r="D1499" s="73" t="str">
        <f>IF(OR($D$3=JU!$F1499,$D$3=JU!$I1499),JU!D1499,"")</f>
        <v/>
      </c>
      <c r="E1499" s="74" t="str">
        <f>IF(OR($D$3=JU!$F1499,$D$3=JU!$I1499),JU!E1499,"")</f>
        <v/>
      </c>
      <c r="F1499" s="72">
        <f>IF($D$3=JU!F1499,JU!H1499,0)</f>
        <v>0</v>
      </c>
      <c r="G1499" s="72">
        <f>IF($D$3=JU!I1499,JU!K1499,0)</f>
        <v>0</v>
      </c>
      <c r="H1499" s="72" t="e">
        <f t="shared" si="24"/>
        <v>#REF!</v>
      </c>
    </row>
    <row r="1500" spans="2:8" hidden="1">
      <c r="B1500" s="68" t="str">
        <f>IF(OR($D$3=JU!$F1500,$D$3=JU!$I1500),JU!B1500,"")</f>
        <v/>
      </c>
      <c r="C1500" s="6" t="str">
        <f>IF(OR($D$3=JU!$F1500,$D$3=JU!$I1500),JU!C1500,"")</f>
        <v/>
      </c>
      <c r="D1500" s="73" t="str">
        <f>IF(OR($D$3=JU!$F1500,$D$3=JU!$I1500),JU!D1500,"")</f>
        <v/>
      </c>
      <c r="E1500" s="74" t="str">
        <f>IF(OR($D$3=JU!$F1500,$D$3=JU!$I1500),JU!E1500,"")</f>
        <v/>
      </c>
      <c r="F1500" s="72">
        <f>IF($D$3=JU!F1500,JU!H1500,0)</f>
        <v>0</v>
      </c>
      <c r="G1500" s="72">
        <f>IF($D$3=JU!I1500,JU!K1500,0)</f>
        <v>0</v>
      </c>
      <c r="H1500" s="72" t="e">
        <f t="shared" si="24"/>
        <v>#REF!</v>
      </c>
    </row>
    <row r="1501" spans="2:8" hidden="1">
      <c r="B1501" s="68" t="str">
        <f>IF(OR($D$3=JU!$F1501,$D$3=JU!$I1501),JU!B1501,"")</f>
        <v/>
      </c>
      <c r="C1501" s="6" t="str">
        <f>IF(OR($D$3=JU!$F1501,$D$3=JU!$I1501),JU!C1501,"")</f>
        <v/>
      </c>
      <c r="D1501" s="73" t="str">
        <f>IF(OR($D$3=JU!$F1501,$D$3=JU!$I1501),JU!D1501,"")</f>
        <v/>
      </c>
      <c r="E1501" s="74" t="str">
        <f>IF(OR($D$3=JU!$F1501,$D$3=JU!$I1501),JU!E1501,"")</f>
        <v/>
      </c>
      <c r="F1501" s="72">
        <f>IF($D$3=JU!F1501,JU!H1501,0)</f>
        <v>0</v>
      </c>
      <c r="G1501" s="72">
        <f>IF($D$3=JU!I1501,JU!K1501,0)</f>
        <v>0</v>
      </c>
      <c r="H1501" s="72" t="e">
        <f t="shared" si="24"/>
        <v>#REF!</v>
      </c>
    </row>
    <row r="1502" spans="2:8" hidden="1">
      <c r="B1502" s="68" t="str">
        <f>IF(OR($D$3=JU!$F1502,$D$3=JU!$I1502),JU!B1502,"")</f>
        <v/>
      </c>
      <c r="C1502" s="6" t="str">
        <f>IF(OR($D$3=JU!$F1502,$D$3=JU!$I1502),JU!C1502,"")</f>
        <v/>
      </c>
      <c r="D1502" s="73" t="str">
        <f>IF(OR($D$3=JU!$F1502,$D$3=JU!$I1502),JU!D1502,"")</f>
        <v/>
      </c>
      <c r="E1502" s="74" t="str">
        <f>IF(OR($D$3=JU!$F1502,$D$3=JU!$I1502),JU!E1502,"")</f>
        <v/>
      </c>
      <c r="F1502" s="72">
        <f>IF($D$3=JU!F1502,JU!H1502,0)</f>
        <v>0</v>
      </c>
      <c r="G1502" s="72">
        <f>IF($D$3=JU!I1502,JU!K1502,0)</f>
        <v>0</v>
      </c>
      <c r="H1502" s="72" t="e">
        <f t="shared" si="24"/>
        <v>#REF!</v>
      </c>
    </row>
    <row r="1503" spans="2:8" hidden="1">
      <c r="B1503" s="68" t="str">
        <f>IF(OR($D$3=JU!$F1503,$D$3=JU!$I1503),JU!B1503,"")</f>
        <v/>
      </c>
      <c r="C1503" s="6" t="str">
        <f>IF(OR($D$3=JU!$F1503,$D$3=JU!$I1503),JU!C1503,"")</f>
        <v/>
      </c>
      <c r="D1503" s="73" t="str">
        <f>IF(OR($D$3=JU!$F1503,$D$3=JU!$I1503),JU!D1503,"")</f>
        <v/>
      </c>
      <c r="E1503" s="74" t="str">
        <f>IF(OR($D$3=JU!$F1503,$D$3=JU!$I1503),JU!E1503,"")</f>
        <v/>
      </c>
      <c r="F1503" s="72">
        <f>IF($D$3=JU!F1503,JU!H1503,0)</f>
        <v>0</v>
      </c>
      <c r="G1503" s="72">
        <f>IF($D$3=JU!I1503,JU!K1503,0)</f>
        <v>0</v>
      </c>
      <c r="H1503" s="72" t="e">
        <f t="shared" si="24"/>
        <v>#REF!</v>
      </c>
    </row>
    <row r="1504" spans="2:8" hidden="1">
      <c r="B1504" s="68" t="str">
        <f>IF(OR($D$3=JU!$F1504,$D$3=JU!$I1504),JU!B1504,"")</f>
        <v/>
      </c>
      <c r="C1504" s="6" t="str">
        <f>IF(OR($D$3=JU!$F1504,$D$3=JU!$I1504),JU!C1504,"")</f>
        <v/>
      </c>
      <c r="D1504" s="73" t="str">
        <f>IF(OR($D$3=JU!$F1504,$D$3=JU!$I1504),JU!D1504,"")</f>
        <v/>
      </c>
      <c r="E1504" s="74" t="str">
        <f>IF(OR($D$3=JU!$F1504,$D$3=JU!$I1504),JU!E1504,"")</f>
        <v/>
      </c>
      <c r="F1504" s="72">
        <f>IF($D$3=JU!F1504,JU!H1504,0)</f>
        <v>0</v>
      </c>
      <c r="G1504" s="72">
        <f>IF($D$3=JU!I1504,JU!K1504,0)</f>
        <v>0</v>
      </c>
      <c r="H1504" s="72" t="e">
        <f t="shared" si="24"/>
        <v>#REF!</v>
      </c>
    </row>
    <row r="1505" spans="2:8" hidden="1">
      <c r="B1505" s="68" t="str">
        <f>IF(OR($D$3=JU!$F1505,$D$3=JU!$I1505),JU!B1505,"")</f>
        <v/>
      </c>
      <c r="C1505" s="6" t="str">
        <f>IF(OR($D$3=JU!$F1505,$D$3=JU!$I1505),JU!C1505,"")</f>
        <v/>
      </c>
      <c r="D1505" s="73" t="str">
        <f>IF(OR($D$3=JU!$F1505,$D$3=JU!$I1505),JU!D1505,"")</f>
        <v/>
      </c>
      <c r="E1505" s="74" t="str">
        <f>IF(OR($D$3=JU!$F1505,$D$3=JU!$I1505),JU!E1505,"")</f>
        <v/>
      </c>
      <c r="F1505" s="72">
        <f>IF($D$3=JU!F1505,JU!H1505,0)</f>
        <v>0</v>
      </c>
      <c r="G1505" s="72">
        <f>IF($D$3=JU!I1505,JU!K1505,0)</f>
        <v>0</v>
      </c>
      <c r="H1505" s="72" t="e">
        <f t="shared" si="24"/>
        <v>#REF!</v>
      </c>
    </row>
    <row r="1506" spans="2:8" hidden="1">
      <c r="B1506" s="68" t="str">
        <f>IF(OR($D$3=JU!$F1506,$D$3=JU!$I1506),JU!B1506,"")</f>
        <v/>
      </c>
      <c r="C1506" s="6" t="str">
        <f>IF(OR($D$3=JU!$F1506,$D$3=JU!$I1506),JU!C1506,"")</f>
        <v/>
      </c>
      <c r="D1506" s="73" t="str">
        <f>IF(OR($D$3=JU!$F1506,$D$3=JU!$I1506),JU!D1506,"")</f>
        <v/>
      </c>
      <c r="E1506" s="74" t="str">
        <f>IF(OR($D$3=JU!$F1506,$D$3=JU!$I1506),JU!E1506,"")</f>
        <v/>
      </c>
      <c r="F1506" s="72">
        <f>IF($D$3=JU!F1506,JU!H1506,0)</f>
        <v>0</v>
      </c>
      <c r="G1506" s="72">
        <f>IF($D$3=JU!I1506,JU!K1506,0)</f>
        <v>0</v>
      </c>
      <c r="H1506" s="72" t="e">
        <f t="shared" si="24"/>
        <v>#REF!</v>
      </c>
    </row>
    <row r="1507" spans="2:8" hidden="1">
      <c r="B1507" s="68" t="str">
        <f>IF(OR($D$3=JU!$F1507,$D$3=JU!$I1507),JU!B1507,"")</f>
        <v/>
      </c>
      <c r="C1507" s="6" t="str">
        <f>IF(OR($D$3=JU!$F1507,$D$3=JU!$I1507),JU!C1507,"")</f>
        <v/>
      </c>
      <c r="D1507" s="73" t="str">
        <f>IF(OR($D$3=JU!$F1507,$D$3=JU!$I1507),JU!D1507,"")</f>
        <v/>
      </c>
      <c r="E1507" s="74" t="str">
        <f>IF(OR($D$3=JU!$F1507,$D$3=JU!$I1507),JU!E1507,"")</f>
        <v/>
      </c>
      <c r="F1507" s="72">
        <f>IF($D$3=JU!F1507,JU!H1507,0)</f>
        <v>0</v>
      </c>
      <c r="G1507" s="72">
        <f>IF($D$3=JU!I1507,JU!K1507,0)</f>
        <v>0</v>
      </c>
      <c r="H1507" s="72" t="e">
        <f t="shared" si="24"/>
        <v>#REF!</v>
      </c>
    </row>
    <row r="1508" spans="2:8" hidden="1">
      <c r="B1508" s="68" t="str">
        <f>IF(OR($D$3=JU!$F1508,$D$3=JU!$I1508),JU!B1508,"")</f>
        <v/>
      </c>
      <c r="C1508" s="6" t="str">
        <f>IF(OR($D$3=JU!$F1508,$D$3=JU!$I1508),JU!C1508,"")</f>
        <v/>
      </c>
      <c r="D1508" s="73" t="str">
        <f>IF(OR($D$3=JU!$F1508,$D$3=JU!$I1508),JU!D1508,"")</f>
        <v/>
      </c>
      <c r="E1508" s="74" t="str">
        <f>IF(OR($D$3=JU!$F1508,$D$3=JU!$I1508),JU!E1508,"")</f>
        <v/>
      </c>
      <c r="F1508" s="72">
        <f>IF($D$3=JU!F1508,JU!H1508,0)</f>
        <v>0</v>
      </c>
      <c r="G1508" s="72">
        <f>IF($D$3=JU!I1508,JU!K1508,0)</f>
        <v>0</v>
      </c>
      <c r="H1508" s="72" t="e">
        <f t="shared" si="24"/>
        <v>#REF!</v>
      </c>
    </row>
    <row r="1509" spans="2:8" hidden="1">
      <c r="B1509" s="68" t="str">
        <f>IF(OR($D$3=JU!$F1509,$D$3=JU!$I1509),JU!B1509,"")</f>
        <v/>
      </c>
      <c r="C1509" s="6" t="str">
        <f>IF(OR($D$3=JU!$F1509,$D$3=JU!$I1509),JU!C1509,"")</f>
        <v/>
      </c>
      <c r="D1509" s="73" t="str">
        <f>IF(OR($D$3=JU!$F1509,$D$3=JU!$I1509),JU!D1509,"")</f>
        <v/>
      </c>
      <c r="E1509" s="74" t="str">
        <f>IF(OR($D$3=JU!$F1509,$D$3=JU!$I1509),JU!E1509,"")</f>
        <v/>
      </c>
      <c r="F1509" s="72">
        <f>IF($D$3=JU!F1509,JU!H1509,0)</f>
        <v>0</v>
      </c>
      <c r="G1509" s="72">
        <f>IF($D$3=JU!I1509,JU!K1509,0)</f>
        <v>0</v>
      </c>
      <c r="H1509" s="72" t="e">
        <f t="shared" si="24"/>
        <v>#REF!</v>
      </c>
    </row>
    <row r="1510" spans="2:8" hidden="1">
      <c r="B1510" s="68" t="str">
        <f>IF(OR($D$3=JU!$F1510,$D$3=JU!$I1510),JU!B1510,"")</f>
        <v/>
      </c>
      <c r="C1510" s="6" t="str">
        <f>IF(OR($D$3=JU!$F1510,$D$3=JU!$I1510),JU!C1510,"")</f>
        <v/>
      </c>
      <c r="D1510" s="73" t="str">
        <f>IF(OR($D$3=JU!$F1510,$D$3=JU!$I1510),JU!D1510,"")</f>
        <v/>
      </c>
      <c r="E1510" s="74" t="str">
        <f>IF(OR($D$3=JU!$F1510,$D$3=JU!$I1510),JU!E1510,"")</f>
        <v/>
      </c>
      <c r="F1510" s="72">
        <f>IF($D$3=JU!F1510,JU!H1510,0)</f>
        <v>0</v>
      </c>
      <c r="G1510" s="72">
        <f>IF($D$3=JU!I1510,JU!K1510,0)</f>
        <v>0</v>
      </c>
      <c r="H1510" s="72" t="e">
        <f t="shared" si="24"/>
        <v>#REF!</v>
      </c>
    </row>
    <row r="1511" spans="2:8" hidden="1">
      <c r="B1511" s="68" t="str">
        <f>IF(OR($D$3=JU!$F1511,$D$3=JU!$I1511),JU!B1511,"")</f>
        <v/>
      </c>
      <c r="C1511" s="6" t="str">
        <f>IF(OR($D$3=JU!$F1511,$D$3=JU!$I1511),JU!C1511,"")</f>
        <v/>
      </c>
      <c r="D1511" s="73" t="str">
        <f>IF(OR($D$3=JU!$F1511,$D$3=JU!$I1511),JU!D1511,"")</f>
        <v/>
      </c>
      <c r="E1511" s="74" t="str">
        <f>IF(OR($D$3=JU!$F1511,$D$3=JU!$I1511),JU!E1511,"")</f>
        <v/>
      </c>
      <c r="F1511" s="72">
        <f>IF($D$3=JU!F1511,JU!H1511,0)</f>
        <v>0</v>
      </c>
      <c r="G1511" s="72">
        <f>IF($D$3=JU!I1511,JU!K1511,0)</f>
        <v>0</v>
      </c>
      <c r="H1511" s="72" t="e">
        <f t="shared" si="24"/>
        <v>#REF!</v>
      </c>
    </row>
    <row r="1512" spans="2:8" hidden="1">
      <c r="B1512" s="68" t="str">
        <f>IF(OR($D$3=JU!$F1512,$D$3=JU!$I1512),JU!B1512,"")</f>
        <v/>
      </c>
      <c r="C1512" s="6" t="str">
        <f>IF(OR($D$3=JU!$F1512,$D$3=JU!$I1512),JU!C1512,"")</f>
        <v/>
      </c>
      <c r="D1512" s="73" t="str">
        <f>IF(OR($D$3=JU!$F1512,$D$3=JU!$I1512),JU!D1512,"")</f>
        <v/>
      </c>
      <c r="E1512" s="74" t="str">
        <f>IF(OR($D$3=JU!$F1512,$D$3=JU!$I1512),JU!E1512,"")</f>
        <v/>
      </c>
      <c r="F1512" s="72">
        <f>IF($D$3=JU!F1512,JU!H1512,0)</f>
        <v>0</v>
      </c>
      <c r="G1512" s="72">
        <f>IF($D$3=JU!I1512,JU!K1512,0)</f>
        <v>0</v>
      </c>
      <c r="H1512" s="72" t="e">
        <f t="shared" si="24"/>
        <v>#REF!</v>
      </c>
    </row>
    <row r="1513" spans="2:8" hidden="1">
      <c r="B1513" s="68" t="str">
        <f>IF(OR($D$3=JU!$F1513,$D$3=JU!$I1513),JU!B1513,"")</f>
        <v/>
      </c>
      <c r="C1513" s="6" t="str">
        <f>IF(OR($D$3=JU!$F1513,$D$3=JU!$I1513),JU!C1513,"")</f>
        <v/>
      </c>
      <c r="D1513" s="73" t="str">
        <f>IF(OR($D$3=JU!$F1513,$D$3=JU!$I1513),JU!D1513,"")</f>
        <v/>
      </c>
      <c r="E1513" s="74" t="str">
        <f>IF(OR($D$3=JU!$F1513,$D$3=JU!$I1513),JU!E1513,"")</f>
        <v/>
      </c>
      <c r="F1513" s="72">
        <f>IF($D$3=JU!F1513,JU!H1513,0)</f>
        <v>0</v>
      </c>
      <c r="G1513" s="72">
        <f>IF($D$3=JU!I1513,JU!K1513,0)</f>
        <v>0</v>
      </c>
      <c r="H1513" s="72" t="e">
        <f t="shared" si="24"/>
        <v>#REF!</v>
      </c>
    </row>
    <row r="1514" spans="2:8" hidden="1">
      <c r="B1514" s="68" t="str">
        <f>IF(OR($D$3=JU!$F1514,$D$3=JU!$I1514),JU!B1514,"")</f>
        <v/>
      </c>
      <c r="C1514" s="6" t="str">
        <f>IF(OR($D$3=JU!$F1514,$D$3=JU!$I1514),JU!C1514,"")</f>
        <v/>
      </c>
      <c r="D1514" s="73" t="str">
        <f>IF(OR($D$3=JU!$F1514,$D$3=JU!$I1514),JU!D1514,"")</f>
        <v/>
      </c>
      <c r="E1514" s="74" t="str">
        <f>IF(OR($D$3=JU!$F1514,$D$3=JU!$I1514),JU!E1514,"")</f>
        <v/>
      </c>
      <c r="F1514" s="72">
        <f>IF($D$3=JU!F1514,JU!H1514,0)</f>
        <v>0</v>
      </c>
      <c r="G1514" s="72">
        <f>IF($D$3=JU!I1514,JU!K1514,0)</f>
        <v>0</v>
      </c>
      <c r="H1514" s="72" t="e">
        <f t="shared" si="24"/>
        <v>#REF!</v>
      </c>
    </row>
    <row r="1515" spans="2:8" hidden="1">
      <c r="B1515" s="68" t="str">
        <f>IF(OR($D$3=JU!$F1515,$D$3=JU!$I1515),JU!B1515,"")</f>
        <v/>
      </c>
      <c r="C1515" s="6" t="str">
        <f>IF(OR($D$3=JU!$F1515,$D$3=JU!$I1515),JU!C1515,"")</f>
        <v/>
      </c>
      <c r="D1515" s="73" t="str">
        <f>IF(OR($D$3=JU!$F1515,$D$3=JU!$I1515),JU!D1515,"")</f>
        <v/>
      </c>
      <c r="E1515" s="74" t="str">
        <f>IF(OR($D$3=JU!$F1515,$D$3=JU!$I1515),JU!E1515,"")</f>
        <v/>
      </c>
      <c r="F1515" s="72">
        <f>IF($D$3=JU!F1515,JU!H1515,0)</f>
        <v>0</v>
      </c>
      <c r="G1515" s="72">
        <f>IF($D$3=JU!I1515,JU!K1515,0)</f>
        <v>0</v>
      </c>
      <c r="H1515" s="72" t="e">
        <f t="shared" si="24"/>
        <v>#REF!</v>
      </c>
    </row>
    <row r="1516" spans="2:8" hidden="1">
      <c r="B1516" s="68" t="str">
        <f>IF(OR($D$3=JU!$F1516,$D$3=JU!$I1516),JU!B1516,"")</f>
        <v/>
      </c>
      <c r="C1516" s="6" t="str">
        <f>IF(OR($D$3=JU!$F1516,$D$3=JU!$I1516),JU!C1516,"")</f>
        <v/>
      </c>
      <c r="D1516" s="73" t="str">
        <f>IF(OR($D$3=JU!$F1516,$D$3=JU!$I1516),JU!D1516,"")</f>
        <v/>
      </c>
      <c r="E1516" s="74" t="str">
        <f>IF(OR($D$3=JU!$F1516,$D$3=JU!$I1516),JU!E1516,"")</f>
        <v/>
      </c>
      <c r="F1516" s="72">
        <f>IF($D$3=JU!F1516,JU!H1516,0)</f>
        <v>0</v>
      </c>
      <c r="G1516" s="72">
        <f>IF($D$3=JU!I1516,JU!K1516,0)</f>
        <v>0</v>
      </c>
      <c r="H1516" s="72" t="e">
        <f t="shared" si="24"/>
        <v>#REF!</v>
      </c>
    </row>
    <row r="1517" spans="2:8" hidden="1">
      <c r="B1517" s="68" t="str">
        <f>IF(OR($D$3=JU!$F1517,$D$3=JU!$I1517),JU!B1517,"")</f>
        <v/>
      </c>
      <c r="C1517" s="6" t="str">
        <f>IF(OR($D$3=JU!$F1517,$D$3=JU!$I1517),JU!C1517,"")</f>
        <v/>
      </c>
      <c r="D1517" s="73" t="str">
        <f>IF(OR($D$3=JU!$F1517,$D$3=JU!$I1517),JU!D1517,"")</f>
        <v/>
      </c>
      <c r="E1517" s="74" t="str">
        <f>IF(OR($D$3=JU!$F1517,$D$3=JU!$I1517),JU!E1517,"")</f>
        <v/>
      </c>
      <c r="F1517" s="72">
        <f>IF($D$3=JU!F1517,JU!H1517,0)</f>
        <v>0</v>
      </c>
      <c r="G1517" s="72">
        <f>IF($D$3=JU!I1517,JU!K1517,0)</f>
        <v>0</v>
      </c>
      <c r="H1517" s="72" t="e">
        <f t="shared" si="24"/>
        <v>#REF!</v>
      </c>
    </row>
    <row r="1518" spans="2:8" hidden="1">
      <c r="B1518" s="68" t="str">
        <f>IF(OR($D$3=JU!$F1518,$D$3=JU!$I1518),JU!B1518,"")</f>
        <v/>
      </c>
      <c r="C1518" s="6" t="str">
        <f>IF(OR($D$3=JU!$F1518,$D$3=JU!$I1518),JU!C1518,"")</f>
        <v/>
      </c>
      <c r="D1518" s="73" t="str">
        <f>IF(OR($D$3=JU!$F1518,$D$3=JU!$I1518),JU!D1518,"")</f>
        <v/>
      </c>
      <c r="E1518" s="74" t="str">
        <f>IF(OR($D$3=JU!$F1518,$D$3=JU!$I1518),JU!E1518,"")</f>
        <v/>
      </c>
      <c r="F1518" s="72">
        <f>IF($D$3=JU!F1518,JU!H1518,0)</f>
        <v>0</v>
      </c>
      <c r="G1518" s="72">
        <f>IF($D$3=JU!I1518,JU!K1518,0)</f>
        <v>0</v>
      </c>
      <c r="H1518" s="72" t="e">
        <f t="shared" si="24"/>
        <v>#REF!</v>
      </c>
    </row>
    <row r="1519" spans="2:8" hidden="1">
      <c r="B1519" s="68" t="str">
        <f>IF(OR($D$3=JU!$F1519,$D$3=JU!$I1519),JU!B1519,"")</f>
        <v/>
      </c>
      <c r="C1519" s="6" t="str">
        <f>IF(OR($D$3=JU!$F1519,$D$3=JU!$I1519),JU!C1519,"")</f>
        <v/>
      </c>
      <c r="D1519" s="73" t="str">
        <f>IF(OR($D$3=JU!$F1519,$D$3=JU!$I1519),JU!D1519,"")</f>
        <v/>
      </c>
      <c r="E1519" s="74" t="str">
        <f>IF(OR($D$3=JU!$F1519,$D$3=JU!$I1519),JU!E1519,"")</f>
        <v/>
      </c>
      <c r="F1519" s="72">
        <f>IF($D$3=JU!F1519,JU!H1519,0)</f>
        <v>0</v>
      </c>
      <c r="G1519" s="72">
        <f>IF($D$3=JU!I1519,JU!K1519,0)</f>
        <v>0</v>
      </c>
      <c r="H1519" s="72" t="e">
        <f t="shared" si="24"/>
        <v>#REF!</v>
      </c>
    </row>
    <row r="1520" spans="2:8" hidden="1">
      <c r="B1520" s="68" t="str">
        <f>IF(OR($D$3=JU!$F1520,$D$3=JU!$I1520),JU!B1520,"")</f>
        <v/>
      </c>
      <c r="C1520" s="6" t="str">
        <f>IF(OR($D$3=JU!$F1520,$D$3=JU!$I1520),JU!C1520,"")</f>
        <v/>
      </c>
      <c r="D1520" s="73" t="str">
        <f>IF(OR($D$3=JU!$F1520,$D$3=JU!$I1520),JU!D1520,"")</f>
        <v/>
      </c>
      <c r="E1520" s="74" t="str">
        <f>IF(OR($D$3=JU!$F1520,$D$3=JU!$I1520),JU!E1520,"")</f>
        <v/>
      </c>
      <c r="F1520" s="72">
        <f>IF($D$3=JU!F1520,JU!H1520,0)</f>
        <v>0</v>
      </c>
      <c r="G1520" s="72">
        <f>IF($D$3=JU!I1520,JU!K1520,0)</f>
        <v>0</v>
      </c>
      <c r="H1520" s="72" t="e">
        <f t="shared" si="24"/>
        <v>#REF!</v>
      </c>
    </row>
    <row r="1521" spans="2:8" hidden="1">
      <c r="B1521" s="68" t="str">
        <f>IF(OR($D$3=JU!$F1521,$D$3=JU!$I1521),JU!B1521,"")</f>
        <v/>
      </c>
      <c r="C1521" s="6" t="str">
        <f>IF(OR($D$3=JU!$F1521,$D$3=JU!$I1521),JU!C1521,"")</f>
        <v/>
      </c>
      <c r="D1521" s="73" t="str">
        <f>IF(OR($D$3=JU!$F1521,$D$3=JU!$I1521),JU!D1521,"")</f>
        <v/>
      </c>
      <c r="E1521" s="74" t="str">
        <f>IF(OR($D$3=JU!$F1521,$D$3=JU!$I1521),JU!E1521,"")</f>
        <v/>
      </c>
      <c r="F1521" s="72">
        <f>IF($D$3=JU!F1521,JU!H1521,0)</f>
        <v>0</v>
      </c>
      <c r="G1521" s="72">
        <f>IF($D$3=JU!I1521,JU!K1521,0)</f>
        <v>0</v>
      </c>
      <c r="H1521" s="72" t="e">
        <f t="shared" si="24"/>
        <v>#REF!</v>
      </c>
    </row>
    <row r="1522" spans="2:8" hidden="1">
      <c r="B1522" s="68" t="str">
        <f>IF(OR($D$3=JU!$F1522,$D$3=JU!$I1522),JU!B1522,"")</f>
        <v/>
      </c>
      <c r="C1522" s="6" t="str">
        <f>IF(OR($D$3=JU!$F1522,$D$3=JU!$I1522),JU!C1522,"")</f>
        <v/>
      </c>
      <c r="D1522" s="73" t="str">
        <f>IF(OR($D$3=JU!$F1522,$D$3=JU!$I1522),JU!D1522,"")</f>
        <v/>
      </c>
      <c r="E1522" s="74" t="str">
        <f>IF(OR($D$3=JU!$F1522,$D$3=JU!$I1522),JU!E1522,"")</f>
        <v/>
      </c>
      <c r="F1522" s="72">
        <f>IF($D$3=JU!F1522,JU!H1522,0)</f>
        <v>0</v>
      </c>
      <c r="G1522" s="72">
        <f>IF($D$3=JU!I1522,JU!K1522,0)</f>
        <v>0</v>
      </c>
      <c r="H1522" s="72" t="e">
        <f t="shared" si="24"/>
        <v>#REF!</v>
      </c>
    </row>
    <row r="1523" spans="2:8" hidden="1">
      <c r="B1523" s="68" t="str">
        <f>IF(OR($D$3=JU!$F1523,$D$3=JU!$I1523),JU!B1523,"")</f>
        <v/>
      </c>
      <c r="C1523" s="6" t="str">
        <f>IF(OR($D$3=JU!$F1523,$D$3=JU!$I1523),JU!C1523,"")</f>
        <v/>
      </c>
      <c r="D1523" s="73" t="str">
        <f>IF(OR($D$3=JU!$F1523,$D$3=JU!$I1523),JU!D1523,"")</f>
        <v/>
      </c>
      <c r="E1523" s="74" t="str">
        <f>IF(OR($D$3=JU!$F1523,$D$3=JU!$I1523),JU!E1523,"")</f>
        <v/>
      </c>
      <c r="F1523" s="72">
        <f>IF($D$3=JU!F1523,JU!H1523,0)</f>
        <v>0</v>
      </c>
      <c r="G1523" s="72">
        <f>IF($D$3=JU!I1523,JU!K1523,0)</f>
        <v>0</v>
      </c>
      <c r="H1523" s="72" t="e">
        <f t="shared" si="24"/>
        <v>#REF!</v>
      </c>
    </row>
    <row r="1524" spans="2:8" hidden="1">
      <c r="B1524" s="68" t="str">
        <f>IF(OR($D$3=JU!$F1524,$D$3=JU!$I1524),JU!B1524,"")</f>
        <v/>
      </c>
      <c r="C1524" s="6" t="str">
        <f>IF(OR($D$3=JU!$F1524,$D$3=JU!$I1524),JU!C1524,"")</f>
        <v/>
      </c>
      <c r="D1524" s="73" t="str">
        <f>IF(OR($D$3=JU!$F1524,$D$3=JU!$I1524),JU!D1524,"")</f>
        <v/>
      </c>
      <c r="E1524" s="74" t="str">
        <f>IF(OR($D$3=JU!$F1524,$D$3=JU!$I1524),JU!E1524,"")</f>
        <v/>
      </c>
      <c r="F1524" s="72">
        <f>IF($D$3=JU!F1524,JU!H1524,0)</f>
        <v>0</v>
      </c>
      <c r="G1524" s="72">
        <f>IF($D$3=JU!I1524,JU!K1524,0)</f>
        <v>0</v>
      </c>
      <c r="H1524" s="72" t="e">
        <f t="shared" si="24"/>
        <v>#REF!</v>
      </c>
    </row>
    <row r="1525" spans="2:8" hidden="1">
      <c r="B1525" s="68" t="str">
        <f>IF(OR($D$3=JU!$F1525,$D$3=JU!$I1525),JU!B1525,"")</f>
        <v/>
      </c>
      <c r="C1525" s="6" t="str">
        <f>IF(OR($D$3=JU!$F1525,$D$3=JU!$I1525),JU!C1525,"")</f>
        <v/>
      </c>
      <c r="D1525" s="73" t="str">
        <f>IF(OR($D$3=JU!$F1525,$D$3=JU!$I1525),JU!D1525,"")</f>
        <v/>
      </c>
      <c r="E1525" s="74" t="str">
        <f>IF(OR($D$3=JU!$F1525,$D$3=JU!$I1525),JU!E1525,"")</f>
        <v/>
      </c>
      <c r="F1525" s="72">
        <f>IF($D$3=JU!F1525,JU!H1525,0)</f>
        <v>0</v>
      </c>
      <c r="G1525" s="72">
        <f>IF($D$3=JU!I1525,JU!K1525,0)</f>
        <v>0</v>
      </c>
      <c r="H1525" s="72" t="e">
        <f t="shared" si="24"/>
        <v>#REF!</v>
      </c>
    </row>
    <row r="1526" spans="2:8" hidden="1">
      <c r="B1526" s="68" t="str">
        <f>IF(OR($D$3=JU!$F1526,$D$3=JU!$I1526),JU!B1526,"")</f>
        <v/>
      </c>
      <c r="C1526" s="6" t="str">
        <f>IF(OR($D$3=JU!$F1526,$D$3=JU!$I1526),JU!C1526,"")</f>
        <v/>
      </c>
      <c r="D1526" s="73" t="str">
        <f>IF(OR($D$3=JU!$F1526,$D$3=JU!$I1526),JU!D1526,"")</f>
        <v/>
      </c>
      <c r="E1526" s="74" t="str">
        <f>IF(OR($D$3=JU!$F1526,$D$3=JU!$I1526),JU!E1526,"")</f>
        <v/>
      </c>
      <c r="F1526" s="72">
        <f>IF($D$3=JU!F1526,JU!H1526,0)</f>
        <v>0</v>
      </c>
      <c r="G1526" s="72">
        <f>IF($D$3=JU!I1526,JU!K1526,0)</f>
        <v>0</v>
      </c>
      <c r="H1526" s="72" t="e">
        <f t="shared" si="24"/>
        <v>#REF!</v>
      </c>
    </row>
    <row r="1527" spans="2:8" hidden="1">
      <c r="B1527" s="68" t="str">
        <f>IF(OR($D$3=JU!$F1527,$D$3=JU!$I1527),JU!B1527,"")</f>
        <v/>
      </c>
      <c r="C1527" s="6" t="str">
        <f>IF(OR($D$3=JU!$F1527,$D$3=JU!$I1527),JU!C1527,"")</f>
        <v/>
      </c>
      <c r="D1527" s="73" t="str">
        <f>IF(OR($D$3=JU!$F1527,$D$3=JU!$I1527),JU!D1527,"")</f>
        <v/>
      </c>
      <c r="E1527" s="74" t="str">
        <f>IF(OR($D$3=JU!$F1527,$D$3=JU!$I1527),JU!E1527,"")</f>
        <v/>
      </c>
      <c r="F1527" s="72">
        <f>IF($D$3=JU!F1527,JU!H1527,0)</f>
        <v>0</v>
      </c>
      <c r="G1527" s="72">
        <f>IF($D$3=JU!I1527,JU!K1527,0)</f>
        <v>0</v>
      </c>
      <c r="H1527" s="72" t="e">
        <f t="shared" si="24"/>
        <v>#REF!</v>
      </c>
    </row>
    <row r="1528" spans="2:8" hidden="1">
      <c r="B1528" s="68" t="str">
        <f>IF(OR($D$3=JU!$F1528,$D$3=JU!$I1528),JU!B1528,"")</f>
        <v/>
      </c>
      <c r="C1528" s="6" t="str">
        <f>IF(OR($D$3=JU!$F1528,$D$3=JU!$I1528),JU!C1528,"")</f>
        <v/>
      </c>
      <c r="D1528" s="73" t="str">
        <f>IF(OR($D$3=JU!$F1528,$D$3=JU!$I1528),JU!D1528,"")</f>
        <v/>
      </c>
      <c r="E1528" s="74" t="str">
        <f>IF(OR($D$3=JU!$F1528,$D$3=JU!$I1528),JU!E1528,"")</f>
        <v/>
      </c>
      <c r="F1528" s="72">
        <f>IF($D$3=JU!F1528,JU!H1528,0)</f>
        <v>0</v>
      </c>
      <c r="G1528" s="72">
        <f>IF($D$3=JU!I1528,JU!K1528,0)</f>
        <v>0</v>
      </c>
      <c r="H1528" s="72" t="e">
        <f t="shared" si="24"/>
        <v>#REF!</v>
      </c>
    </row>
    <row r="1529" spans="2:8" hidden="1">
      <c r="B1529" s="68" t="str">
        <f>IF(OR($D$3=JU!$F1529,$D$3=JU!$I1529),JU!B1529,"")</f>
        <v/>
      </c>
      <c r="C1529" s="6" t="str">
        <f>IF(OR($D$3=JU!$F1529,$D$3=JU!$I1529),JU!C1529,"")</f>
        <v/>
      </c>
      <c r="D1529" s="73" t="str">
        <f>IF(OR($D$3=JU!$F1529,$D$3=JU!$I1529),JU!D1529,"")</f>
        <v/>
      </c>
      <c r="E1529" s="74" t="str">
        <f>IF(OR($D$3=JU!$F1529,$D$3=JU!$I1529),JU!E1529,"")</f>
        <v/>
      </c>
      <c r="F1529" s="72">
        <f>IF($D$3=JU!F1529,JU!H1529,0)</f>
        <v>0</v>
      </c>
      <c r="G1529" s="72">
        <f>IF($D$3=JU!I1529,JU!K1529,0)</f>
        <v>0</v>
      </c>
      <c r="H1529" s="72" t="e">
        <f t="shared" si="24"/>
        <v>#REF!</v>
      </c>
    </row>
    <row r="1530" spans="2:8" hidden="1">
      <c r="B1530" s="68" t="str">
        <f>IF(OR($D$3=JU!$F1530,$D$3=JU!$I1530),JU!B1530,"")</f>
        <v/>
      </c>
      <c r="C1530" s="6" t="str">
        <f>IF(OR($D$3=JU!$F1530,$D$3=JU!$I1530),JU!C1530,"")</f>
        <v/>
      </c>
      <c r="D1530" s="73" t="str">
        <f>IF(OR($D$3=JU!$F1530,$D$3=JU!$I1530),JU!D1530,"")</f>
        <v/>
      </c>
      <c r="E1530" s="74" t="str">
        <f>IF(OR($D$3=JU!$F1530,$D$3=JU!$I1530),JU!E1530,"")</f>
        <v/>
      </c>
      <c r="F1530" s="72">
        <f>IF($D$3=JU!F1530,JU!H1530,0)</f>
        <v>0</v>
      </c>
      <c r="G1530" s="72">
        <f>IF($D$3=JU!I1530,JU!K1530,0)</f>
        <v>0</v>
      </c>
      <c r="H1530" s="72" t="e">
        <f t="shared" si="24"/>
        <v>#REF!</v>
      </c>
    </row>
    <row r="1531" spans="2:8" hidden="1">
      <c r="B1531" s="68" t="str">
        <f>IF(OR($D$3=JU!$F1531,$D$3=JU!$I1531),JU!B1531,"")</f>
        <v/>
      </c>
      <c r="C1531" s="6" t="str">
        <f>IF(OR($D$3=JU!$F1531,$D$3=JU!$I1531),JU!C1531,"")</f>
        <v/>
      </c>
      <c r="D1531" s="73" t="str">
        <f>IF(OR($D$3=JU!$F1531,$D$3=JU!$I1531),JU!D1531,"")</f>
        <v/>
      </c>
      <c r="E1531" s="74" t="str">
        <f>IF(OR($D$3=JU!$F1531,$D$3=JU!$I1531),JU!E1531,"")</f>
        <v/>
      </c>
      <c r="F1531" s="72">
        <f>IF($D$3=JU!F1531,JU!H1531,0)</f>
        <v>0</v>
      </c>
      <c r="G1531" s="72">
        <f>IF($D$3=JU!I1531,JU!K1531,0)</f>
        <v>0</v>
      </c>
      <c r="H1531" s="72" t="e">
        <f t="shared" si="24"/>
        <v>#REF!</v>
      </c>
    </row>
    <row r="1532" spans="2:8" hidden="1">
      <c r="B1532" s="68" t="str">
        <f>IF(OR($D$3=JU!$F1532,$D$3=JU!$I1532),JU!B1532,"")</f>
        <v/>
      </c>
      <c r="C1532" s="6" t="str">
        <f>IF(OR($D$3=JU!$F1532,$D$3=JU!$I1532),JU!C1532,"")</f>
        <v/>
      </c>
      <c r="D1532" s="73" t="str">
        <f>IF(OR($D$3=JU!$F1532,$D$3=JU!$I1532),JU!D1532,"")</f>
        <v/>
      </c>
      <c r="E1532" s="74" t="str">
        <f>IF(OR($D$3=JU!$F1532,$D$3=JU!$I1532),JU!E1532,"")</f>
        <v/>
      </c>
      <c r="F1532" s="72">
        <f>IF($D$3=JU!F1532,JU!H1532,0)</f>
        <v>0</v>
      </c>
      <c r="G1532" s="72">
        <f>IF($D$3=JU!I1532,JU!K1532,0)</f>
        <v>0</v>
      </c>
      <c r="H1532" s="72" t="e">
        <f t="shared" si="24"/>
        <v>#REF!</v>
      </c>
    </row>
    <row r="1533" spans="2:8" hidden="1">
      <c r="B1533" s="68" t="str">
        <f>IF(OR($D$3=JU!$F1533,$D$3=JU!$I1533),JU!B1533,"")</f>
        <v/>
      </c>
      <c r="C1533" s="6" t="str">
        <f>IF(OR($D$3=JU!$F1533,$D$3=JU!$I1533),JU!C1533,"")</f>
        <v/>
      </c>
      <c r="D1533" s="73" t="str">
        <f>IF(OR($D$3=JU!$F1533,$D$3=JU!$I1533),JU!D1533,"")</f>
        <v/>
      </c>
      <c r="E1533" s="74" t="str">
        <f>IF(OR($D$3=JU!$F1533,$D$3=JU!$I1533),JU!E1533,"")</f>
        <v/>
      </c>
      <c r="F1533" s="72">
        <f>IF($D$3=JU!F1533,JU!H1533,0)</f>
        <v>0</v>
      </c>
      <c r="G1533" s="72">
        <f>IF($D$3=JU!I1533,JU!K1533,0)</f>
        <v>0</v>
      </c>
      <c r="H1533" s="72" t="e">
        <f t="shared" si="24"/>
        <v>#REF!</v>
      </c>
    </row>
    <row r="1534" spans="2:8" hidden="1">
      <c r="B1534" s="68" t="str">
        <f>IF(OR($D$3=JU!$F1534,$D$3=JU!$I1534),JU!B1534,"")</f>
        <v/>
      </c>
      <c r="C1534" s="6" t="str">
        <f>IF(OR($D$3=JU!$F1534,$D$3=JU!$I1534),JU!C1534,"")</f>
        <v/>
      </c>
      <c r="D1534" s="73" t="str">
        <f>IF(OR($D$3=JU!$F1534,$D$3=JU!$I1534),JU!D1534,"")</f>
        <v/>
      </c>
      <c r="E1534" s="74" t="str">
        <f>IF(OR($D$3=JU!$F1534,$D$3=JU!$I1534),JU!E1534,"")</f>
        <v/>
      </c>
      <c r="F1534" s="72">
        <f>IF($D$3=JU!F1534,JU!H1534,0)</f>
        <v>0</v>
      </c>
      <c r="G1534" s="72">
        <f>IF($D$3=JU!I1534,JU!K1534,0)</f>
        <v>0</v>
      </c>
      <c r="H1534" s="72" t="e">
        <f t="shared" si="24"/>
        <v>#REF!</v>
      </c>
    </row>
    <row r="1535" spans="2:8" hidden="1">
      <c r="B1535" s="68" t="str">
        <f>IF(OR($D$3=JU!$F1535,$D$3=JU!$I1535),JU!B1535,"")</f>
        <v/>
      </c>
      <c r="C1535" s="6" t="str">
        <f>IF(OR($D$3=JU!$F1535,$D$3=JU!$I1535),JU!C1535,"")</f>
        <v/>
      </c>
      <c r="D1535" s="73" t="str">
        <f>IF(OR($D$3=JU!$F1535,$D$3=JU!$I1535),JU!D1535,"")</f>
        <v/>
      </c>
      <c r="E1535" s="74" t="str">
        <f>IF(OR($D$3=JU!$F1535,$D$3=JU!$I1535),JU!E1535,"")</f>
        <v/>
      </c>
      <c r="F1535" s="72">
        <f>IF($D$3=JU!F1535,JU!H1535,0)</f>
        <v>0</v>
      </c>
      <c r="G1535" s="72">
        <f>IF($D$3=JU!I1535,JU!K1535,0)</f>
        <v>0</v>
      </c>
      <c r="H1535" s="72" t="e">
        <f t="shared" si="24"/>
        <v>#REF!</v>
      </c>
    </row>
    <row r="1536" spans="2:8" hidden="1">
      <c r="B1536" s="68" t="str">
        <f>IF(OR($D$3=JU!$F1536,$D$3=JU!$I1536),JU!B1536,"")</f>
        <v/>
      </c>
      <c r="C1536" s="6" t="str">
        <f>IF(OR($D$3=JU!$F1536,$D$3=JU!$I1536),JU!C1536,"")</f>
        <v/>
      </c>
      <c r="D1536" s="73" t="str">
        <f>IF(OR($D$3=JU!$F1536,$D$3=JU!$I1536),JU!D1536,"")</f>
        <v/>
      </c>
      <c r="E1536" s="74" t="str">
        <f>IF(OR($D$3=JU!$F1536,$D$3=JU!$I1536),JU!E1536,"")</f>
        <v/>
      </c>
      <c r="F1536" s="72">
        <f>IF($D$3=JU!F1536,JU!H1536,0)</f>
        <v>0</v>
      </c>
      <c r="G1536" s="72">
        <f>IF($D$3=JU!I1536,JU!K1536,0)</f>
        <v>0</v>
      </c>
      <c r="H1536" s="72" t="e">
        <f t="shared" si="24"/>
        <v>#REF!</v>
      </c>
    </row>
    <row r="1537" spans="2:8" hidden="1">
      <c r="B1537" s="68" t="str">
        <f>IF(OR($D$3=JU!$F1537,$D$3=JU!$I1537),JU!B1537,"")</f>
        <v/>
      </c>
      <c r="C1537" s="6" t="str">
        <f>IF(OR($D$3=JU!$F1537,$D$3=JU!$I1537),JU!C1537,"")</f>
        <v/>
      </c>
      <c r="D1537" s="73" t="str">
        <f>IF(OR($D$3=JU!$F1537,$D$3=JU!$I1537),JU!D1537,"")</f>
        <v/>
      </c>
      <c r="E1537" s="74" t="str">
        <f>IF(OR($D$3=JU!$F1537,$D$3=JU!$I1537),JU!E1537,"")</f>
        <v/>
      </c>
      <c r="F1537" s="72">
        <f>IF($D$3=JU!F1537,JU!H1537,0)</f>
        <v>0</v>
      </c>
      <c r="G1537" s="72">
        <f>IF($D$3=JU!I1537,JU!K1537,0)</f>
        <v>0</v>
      </c>
      <c r="H1537" s="72" t="e">
        <f t="shared" si="24"/>
        <v>#REF!</v>
      </c>
    </row>
    <row r="1538" spans="2:8" hidden="1">
      <c r="B1538" s="68" t="str">
        <f>IF(OR($D$3=JU!$F1538,$D$3=JU!$I1538),JU!B1538,"")</f>
        <v/>
      </c>
      <c r="C1538" s="6" t="str">
        <f>IF(OR($D$3=JU!$F1538,$D$3=JU!$I1538),JU!C1538,"")</f>
        <v/>
      </c>
      <c r="D1538" s="73" t="str">
        <f>IF(OR($D$3=JU!$F1538,$D$3=JU!$I1538),JU!D1538,"")</f>
        <v/>
      </c>
      <c r="E1538" s="74" t="str">
        <f>IF(OR($D$3=JU!$F1538,$D$3=JU!$I1538),JU!E1538,"")</f>
        <v/>
      </c>
      <c r="F1538" s="72">
        <f>IF($D$3=JU!F1538,JU!H1538,0)</f>
        <v>0</v>
      </c>
      <c r="G1538" s="72">
        <f>IF($D$3=JU!I1538,JU!K1538,0)</f>
        <v>0</v>
      </c>
      <c r="H1538" s="72" t="e">
        <f t="shared" si="24"/>
        <v>#REF!</v>
      </c>
    </row>
    <row r="1539" spans="2:8" hidden="1">
      <c r="B1539" s="68" t="str">
        <f>IF(OR($D$3=JU!$F1539,$D$3=JU!$I1539),JU!B1539,"")</f>
        <v/>
      </c>
      <c r="C1539" s="6" t="str">
        <f>IF(OR($D$3=JU!$F1539,$D$3=JU!$I1539),JU!C1539,"")</f>
        <v/>
      </c>
      <c r="D1539" s="73" t="str">
        <f>IF(OR($D$3=JU!$F1539,$D$3=JU!$I1539),JU!D1539,"")</f>
        <v/>
      </c>
      <c r="E1539" s="74" t="str">
        <f>IF(OR($D$3=JU!$F1539,$D$3=JU!$I1539),JU!E1539,"")</f>
        <v/>
      </c>
      <c r="F1539" s="72">
        <f>IF($D$3=JU!F1539,JU!H1539,0)</f>
        <v>0</v>
      </c>
      <c r="G1539" s="72">
        <f>IF($D$3=JU!I1539,JU!K1539,0)</f>
        <v>0</v>
      </c>
      <c r="H1539" s="72" t="e">
        <f t="shared" si="24"/>
        <v>#REF!</v>
      </c>
    </row>
    <row r="1540" spans="2:8" hidden="1">
      <c r="B1540" s="68" t="str">
        <f>IF(OR($D$3=JU!$F1540,$D$3=JU!$I1540),JU!B1540,"")</f>
        <v/>
      </c>
      <c r="C1540" s="6" t="str">
        <f>IF(OR($D$3=JU!$F1540,$D$3=JU!$I1540),JU!C1540,"")</f>
        <v/>
      </c>
      <c r="D1540" s="73" t="str">
        <f>IF(OR($D$3=JU!$F1540,$D$3=JU!$I1540),JU!D1540,"")</f>
        <v/>
      </c>
      <c r="E1540" s="74" t="str">
        <f>IF(OR($D$3=JU!$F1540,$D$3=JU!$I1540),JU!E1540,"")</f>
        <v/>
      </c>
      <c r="F1540" s="72">
        <f>IF($D$3=JU!F1540,JU!H1540,0)</f>
        <v>0</v>
      </c>
      <c r="G1540" s="72">
        <f>IF($D$3=JU!I1540,JU!K1540,0)</f>
        <v>0</v>
      </c>
      <c r="H1540" s="72" t="e">
        <f t="shared" si="24"/>
        <v>#REF!</v>
      </c>
    </row>
    <row r="1541" spans="2:8" hidden="1">
      <c r="B1541" s="68" t="str">
        <f>IF(OR($D$3=JU!$F1541,$D$3=JU!$I1541),JU!B1541,"")</f>
        <v/>
      </c>
      <c r="C1541" s="6" t="str">
        <f>IF(OR($D$3=JU!$F1541,$D$3=JU!$I1541),JU!C1541,"")</f>
        <v/>
      </c>
      <c r="D1541" s="73" t="str">
        <f>IF(OR($D$3=JU!$F1541,$D$3=JU!$I1541),JU!D1541,"")</f>
        <v/>
      </c>
      <c r="E1541" s="74" t="str">
        <f>IF(OR($D$3=JU!$F1541,$D$3=JU!$I1541),JU!E1541,"")</f>
        <v/>
      </c>
      <c r="F1541" s="72">
        <f>IF($D$3=JU!F1541,JU!H1541,0)</f>
        <v>0</v>
      </c>
      <c r="G1541" s="72">
        <f>IF($D$3=JU!I1541,JU!K1541,0)</f>
        <v>0</v>
      </c>
      <c r="H1541" s="72" t="e">
        <f t="shared" si="24"/>
        <v>#REF!</v>
      </c>
    </row>
    <row r="1542" spans="2:8" hidden="1">
      <c r="B1542" s="68" t="str">
        <f>IF(OR($D$3=JU!$F1542,$D$3=JU!$I1542),JU!B1542,"")</f>
        <v/>
      </c>
      <c r="C1542" s="6" t="str">
        <f>IF(OR($D$3=JU!$F1542,$D$3=JU!$I1542),JU!C1542,"")</f>
        <v/>
      </c>
      <c r="D1542" s="73" t="str">
        <f>IF(OR($D$3=JU!$F1542,$D$3=JU!$I1542),JU!D1542,"")</f>
        <v/>
      </c>
      <c r="E1542" s="74" t="str">
        <f>IF(OR($D$3=JU!$F1542,$D$3=JU!$I1542),JU!E1542,"")</f>
        <v/>
      </c>
      <c r="F1542" s="72">
        <f>IF($D$3=JU!F1542,JU!H1542,0)</f>
        <v>0</v>
      </c>
      <c r="G1542" s="72">
        <f>IF($D$3=JU!I1542,JU!K1542,0)</f>
        <v>0</v>
      </c>
      <c r="H1542" s="72" t="e">
        <f t="shared" si="24"/>
        <v>#REF!</v>
      </c>
    </row>
    <row r="1543" spans="2:8" hidden="1">
      <c r="B1543" s="68" t="str">
        <f>IF(OR($D$3=JU!$F1543,$D$3=JU!$I1543),JU!B1543,"")</f>
        <v/>
      </c>
      <c r="C1543" s="6" t="str">
        <f>IF(OR($D$3=JU!$F1543,$D$3=JU!$I1543),JU!C1543,"")</f>
        <v/>
      </c>
      <c r="D1543" s="73" t="str">
        <f>IF(OR($D$3=JU!$F1543,$D$3=JU!$I1543),JU!D1543,"")</f>
        <v/>
      </c>
      <c r="E1543" s="74" t="str">
        <f>IF(OR($D$3=JU!$F1543,$D$3=JU!$I1543),JU!E1543,"")</f>
        <v/>
      </c>
      <c r="F1543" s="72">
        <f>IF($D$3=JU!F1543,JU!H1543,0)</f>
        <v>0</v>
      </c>
      <c r="G1543" s="72">
        <f>IF($D$3=JU!I1543,JU!K1543,0)</f>
        <v>0</v>
      </c>
      <c r="H1543" s="72" t="e">
        <f t="shared" si="24"/>
        <v>#REF!</v>
      </c>
    </row>
    <row r="1544" spans="2:8" hidden="1">
      <c r="B1544" s="68" t="str">
        <f>IF(OR($D$3=JU!$F1544,$D$3=JU!$I1544),JU!B1544,"")</f>
        <v/>
      </c>
      <c r="C1544" s="6" t="str">
        <f>IF(OR($D$3=JU!$F1544,$D$3=JU!$I1544),JU!C1544,"")</f>
        <v/>
      </c>
      <c r="D1544" s="73" t="str">
        <f>IF(OR($D$3=JU!$F1544,$D$3=JU!$I1544),JU!D1544,"")</f>
        <v/>
      </c>
      <c r="E1544" s="74" t="str">
        <f>IF(OR($D$3=JU!$F1544,$D$3=JU!$I1544),JU!E1544,"")</f>
        <v/>
      </c>
      <c r="F1544" s="72">
        <f>IF($D$3=JU!F1544,JU!H1544,0)</f>
        <v>0</v>
      </c>
      <c r="G1544" s="72">
        <f>IF($D$3=JU!I1544,JU!K1544,0)</f>
        <v>0</v>
      </c>
      <c r="H1544" s="72" t="e">
        <f t="shared" si="24"/>
        <v>#REF!</v>
      </c>
    </row>
    <row r="1545" spans="2:8" hidden="1">
      <c r="B1545" s="68" t="str">
        <f>IF(OR($D$3=JU!$F1545,$D$3=JU!$I1545),JU!B1545,"")</f>
        <v/>
      </c>
      <c r="C1545" s="6" t="str">
        <f>IF(OR($D$3=JU!$F1545,$D$3=JU!$I1545),JU!C1545,"")</f>
        <v/>
      </c>
      <c r="D1545" s="73" t="str">
        <f>IF(OR($D$3=JU!$F1545,$D$3=JU!$I1545),JU!D1545,"")</f>
        <v/>
      </c>
      <c r="E1545" s="74" t="str">
        <f>IF(OR($D$3=JU!$F1545,$D$3=JU!$I1545),JU!E1545,"")</f>
        <v/>
      </c>
      <c r="F1545" s="72">
        <f>IF($D$3=JU!F1545,JU!H1545,0)</f>
        <v>0</v>
      </c>
      <c r="G1545" s="72">
        <f>IF($D$3=JU!I1545,JU!K1545,0)</f>
        <v>0</v>
      </c>
      <c r="H1545" s="72" t="e">
        <f t="shared" si="24"/>
        <v>#REF!</v>
      </c>
    </row>
    <row r="1546" spans="2:8" hidden="1">
      <c r="B1546" s="68" t="str">
        <f>IF(OR($D$3=JU!$F1546,$D$3=JU!$I1546),JU!B1546,"")</f>
        <v/>
      </c>
      <c r="C1546" s="6" t="str">
        <f>IF(OR($D$3=JU!$F1546,$D$3=JU!$I1546),JU!C1546,"")</f>
        <v/>
      </c>
      <c r="D1546" s="73" t="str">
        <f>IF(OR($D$3=JU!$F1546,$D$3=JU!$I1546),JU!D1546,"")</f>
        <v/>
      </c>
      <c r="E1546" s="74" t="str">
        <f>IF(OR($D$3=JU!$F1546,$D$3=JU!$I1546),JU!E1546,"")</f>
        <v/>
      </c>
      <c r="F1546" s="72">
        <f>IF($D$3=JU!F1546,JU!H1546,0)</f>
        <v>0</v>
      </c>
      <c r="G1546" s="72">
        <f>IF($D$3=JU!I1546,JU!K1546,0)</f>
        <v>0</v>
      </c>
      <c r="H1546" s="72" t="e">
        <f t="shared" si="24"/>
        <v>#REF!</v>
      </c>
    </row>
    <row r="1547" spans="2:8" hidden="1">
      <c r="B1547" s="68" t="str">
        <f>IF(OR($D$3=JU!$F1547,$D$3=JU!$I1547),JU!B1547,"")</f>
        <v/>
      </c>
      <c r="C1547" s="6" t="str">
        <f>IF(OR($D$3=JU!$F1547,$D$3=JU!$I1547),JU!C1547,"")</f>
        <v/>
      </c>
      <c r="D1547" s="73" t="str">
        <f>IF(OR($D$3=JU!$F1547,$D$3=JU!$I1547),JU!D1547,"")</f>
        <v/>
      </c>
      <c r="E1547" s="74" t="str">
        <f>IF(OR($D$3=JU!$F1547,$D$3=JU!$I1547),JU!E1547,"")</f>
        <v/>
      </c>
      <c r="F1547" s="72">
        <f>IF($D$3=JU!F1547,JU!H1547,0)</f>
        <v>0</v>
      </c>
      <c r="G1547" s="72">
        <f>IF($D$3=JU!I1547,JU!K1547,0)</f>
        <v>0</v>
      </c>
      <c r="H1547" s="72" t="e">
        <f t="shared" si="24"/>
        <v>#REF!</v>
      </c>
    </row>
    <row r="1548" spans="2:8" hidden="1">
      <c r="B1548" s="68" t="str">
        <f>IF(OR($D$3=JU!$F1548,$D$3=JU!$I1548),JU!B1548,"")</f>
        <v/>
      </c>
      <c r="C1548" s="6" t="str">
        <f>IF(OR($D$3=JU!$F1548,$D$3=JU!$I1548),JU!C1548,"")</f>
        <v/>
      </c>
      <c r="D1548" s="73" t="str">
        <f>IF(OR($D$3=JU!$F1548,$D$3=JU!$I1548),JU!D1548,"")</f>
        <v/>
      </c>
      <c r="E1548" s="74" t="str">
        <f>IF(OR($D$3=JU!$F1548,$D$3=JU!$I1548),JU!E1548,"")</f>
        <v/>
      </c>
      <c r="F1548" s="72">
        <f>IF($D$3=JU!F1548,JU!H1548,0)</f>
        <v>0</v>
      </c>
      <c r="G1548" s="72">
        <f>IF($D$3=JU!I1548,JU!K1548,0)</f>
        <v>0</v>
      </c>
      <c r="H1548" s="72" t="e">
        <f t="shared" si="24"/>
        <v>#REF!</v>
      </c>
    </row>
    <row r="1549" spans="2:8" hidden="1">
      <c r="B1549" s="68" t="str">
        <f>IF(OR($D$3=JU!$F1549,$D$3=JU!$I1549),JU!B1549,"")</f>
        <v/>
      </c>
      <c r="C1549" s="6" t="str">
        <f>IF(OR($D$3=JU!$F1549,$D$3=JU!$I1549),JU!C1549,"")</f>
        <v/>
      </c>
      <c r="D1549" s="73" t="str">
        <f>IF(OR($D$3=JU!$F1549,$D$3=JU!$I1549),JU!D1549,"")</f>
        <v/>
      </c>
      <c r="E1549" s="74" t="str">
        <f>IF(OR($D$3=JU!$F1549,$D$3=JU!$I1549),JU!E1549,"")</f>
        <v/>
      </c>
      <c r="F1549" s="72">
        <f>IF($D$3=JU!F1549,JU!H1549,0)</f>
        <v>0</v>
      </c>
      <c r="G1549" s="72">
        <f>IF($D$3=JU!I1549,JU!K1549,0)</f>
        <v>0</v>
      </c>
      <c r="H1549" s="72" t="e">
        <f t="shared" si="24"/>
        <v>#REF!</v>
      </c>
    </row>
    <row r="1550" spans="2:8" hidden="1">
      <c r="B1550" s="68" t="str">
        <f>IF(OR($D$3=JU!$F1550,$D$3=JU!$I1550),JU!B1550,"")</f>
        <v/>
      </c>
      <c r="C1550" s="6" t="str">
        <f>IF(OR($D$3=JU!$F1550,$D$3=JU!$I1550),JU!C1550,"")</f>
        <v/>
      </c>
      <c r="D1550" s="73" t="str">
        <f>IF(OR($D$3=JU!$F1550,$D$3=JU!$I1550),JU!D1550,"")</f>
        <v/>
      </c>
      <c r="E1550" s="74" t="str">
        <f>IF(OR($D$3=JU!$F1550,$D$3=JU!$I1550),JU!E1550,"")</f>
        <v/>
      </c>
      <c r="F1550" s="72">
        <f>IF($D$3=JU!F1550,JU!H1550,0)</f>
        <v>0</v>
      </c>
      <c r="G1550" s="72">
        <f>IF($D$3=JU!I1550,JU!K1550,0)</f>
        <v>0</v>
      </c>
      <c r="H1550" s="72" t="e">
        <f t="shared" ref="H1550:H1613" si="25">IF($H$7="DEBET",H1549+F1550-G1550,H1549+G1550-F1550)</f>
        <v>#REF!</v>
      </c>
    </row>
    <row r="1551" spans="2:8" hidden="1">
      <c r="B1551" s="68" t="str">
        <f>IF(OR($D$3=JU!$F1551,$D$3=JU!$I1551),JU!B1551,"")</f>
        <v/>
      </c>
      <c r="C1551" s="6" t="str">
        <f>IF(OR($D$3=JU!$F1551,$D$3=JU!$I1551),JU!C1551,"")</f>
        <v/>
      </c>
      <c r="D1551" s="73" t="str">
        <f>IF(OR($D$3=JU!$F1551,$D$3=JU!$I1551),JU!D1551,"")</f>
        <v/>
      </c>
      <c r="E1551" s="74" t="str">
        <f>IF(OR($D$3=JU!$F1551,$D$3=JU!$I1551),JU!E1551,"")</f>
        <v/>
      </c>
      <c r="F1551" s="72">
        <f>IF($D$3=JU!F1551,JU!H1551,0)</f>
        <v>0</v>
      </c>
      <c r="G1551" s="72">
        <f>IF($D$3=JU!I1551,JU!K1551,0)</f>
        <v>0</v>
      </c>
      <c r="H1551" s="72" t="e">
        <f t="shared" si="25"/>
        <v>#REF!</v>
      </c>
    </row>
    <row r="1552" spans="2:8" hidden="1">
      <c r="B1552" s="68" t="str">
        <f>IF(OR($D$3=JU!$F1552,$D$3=JU!$I1552),JU!B1552,"")</f>
        <v/>
      </c>
      <c r="C1552" s="6" t="str">
        <f>IF(OR($D$3=JU!$F1552,$D$3=JU!$I1552),JU!C1552,"")</f>
        <v/>
      </c>
      <c r="D1552" s="73" t="str">
        <f>IF(OR($D$3=JU!$F1552,$D$3=JU!$I1552),JU!D1552,"")</f>
        <v/>
      </c>
      <c r="E1552" s="74" t="str">
        <f>IF(OR($D$3=JU!$F1552,$D$3=JU!$I1552),JU!E1552,"")</f>
        <v/>
      </c>
      <c r="F1552" s="72">
        <f>IF($D$3=JU!F1552,JU!H1552,0)</f>
        <v>0</v>
      </c>
      <c r="G1552" s="72">
        <f>IF($D$3=JU!I1552,JU!K1552,0)</f>
        <v>0</v>
      </c>
      <c r="H1552" s="72" t="e">
        <f t="shared" si="25"/>
        <v>#REF!</v>
      </c>
    </row>
    <row r="1553" spans="2:8" hidden="1">
      <c r="B1553" s="68" t="str">
        <f>IF(OR($D$3=JU!$F1553,$D$3=JU!$I1553),JU!B1553,"")</f>
        <v/>
      </c>
      <c r="C1553" s="6" t="str">
        <f>IF(OR($D$3=JU!$F1553,$D$3=JU!$I1553),JU!C1553,"")</f>
        <v/>
      </c>
      <c r="D1553" s="73" t="str">
        <f>IF(OR($D$3=JU!$F1553,$D$3=JU!$I1553),JU!D1553,"")</f>
        <v/>
      </c>
      <c r="E1553" s="74" t="str">
        <f>IF(OR($D$3=JU!$F1553,$D$3=JU!$I1553),JU!E1553,"")</f>
        <v/>
      </c>
      <c r="F1553" s="72">
        <f>IF($D$3=JU!F1553,JU!H1553,0)</f>
        <v>0</v>
      </c>
      <c r="G1553" s="72">
        <f>IF($D$3=JU!I1553,JU!K1553,0)</f>
        <v>0</v>
      </c>
      <c r="H1553" s="72" t="e">
        <f t="shared" si="25"/>
        <v>#REF!</v>
      </c>
    </row>
    <row r="1554" spans="2:8" hidden="1">
      <c r="B1554" s="68" t="str">
        <f>IF(OR($D$3=JU!$F1554,$D$3=JU!$I1554),JU!B1554,"")</f>
        <v/>
      </c>
      <c r="C1554" s="6" t="str">
        <f>IF(OR($D$3=JU!$F1554,$D$3=JU!$I1554),JU!C1554,"")</f>
        <v/>
      </c>
      <c r="D1554" s="73" t="str">
        <f>IF(OR($D$3=JU!$F1554,$D$3=JU!$I1554),JU!D1554,"")</f>
        <v/>
      </c>
      <c r="E1554" s="74" t="str">
        <f>IF(OR($D$3=JU!$F1554,$D$3=JU!$I1554),JU!E1554,"")</f>
        <v/>
      </c>
      <c r="F1554" s="72">
        <f>IF($D$3=JU!F1554,JU!H1554,0)</f>
        <v>0</v>
      </c>
      <c r="G1554" s="72">
        <f>IF($D$3=JU!I1554,JU!K1554,0)</f>
        <v>0</v>
      </c>
      <c r="H1554" s="72" t="e">
        <f t="shared" si="25"/>
        <v>#REF!</v>
      </c>
    </row>
    <row r="1555" spans="2:8" hidden="1">
      <c r="B1555" s="68" t="str">
        <f>IF(OR($D$3=JU!$F1555,$D$3=JU!$I1555),JU!B1555,"")</f>
        <v/>
      </c>
      <c r="C1555" s="6" t="str">
        <f>IF(OR($D$3=JU!$F1555,$D$3=JU!$I1555),JU!C1555,"")</f>
        <v/>
      </c>
      <c r="D1555" s="73" t="str">
        <f>IF(OR($D$3=JU!$F1555,$D$3=JU!$I1555),JU!D1555,"")</f>
        <v/>
      </c>
      <c r="E1555" s="74" t="str">
        <f>IF(OR($D$3=JU!$F1555,$D$3=JU!$I1555),JU!E1555,"")</f>
        <v/>
      </c>
      <c r="F1555" s="72">
        <f>IF($D$3=JU!F1555,JU!H1555,0)</f>
        <v>0</v>
      </c>
      <c r="G1555" s="72">
        <f>IF($D$3=JU!I1555,JU!K1555,0)</f>
        <v>0</v>
      </c>
      <c r="H1555" s="72" t="e">
        <f t="shared" si="25"/>
        <v>#REF!</v>
      </c>
    </row>
    <row r="1556" spans="2:8" hidden="1">
      <c r="B1556" s="68" t="str">
        <f>IF(OR($D$3=JU!$F1556,$D$3=JU!$I1556),JU!B1556,"")</f>
        <v/>
      </c>
      <c r="C1556" s="6" t="str">
        <f>IF(OR($D$3=JU!$F1556,$D$3=JU!$I1556),JU!C1556,"")</f>
        <v/>
      </c>
      <c r="D1556" s="73" t="str">
        <f>IF(OR($D$3=JU!$F1556,$D$3=JU!$I1556),JU!D1556,"")</f>
        <v/>
      </c>
      <c r="E1556" s="74" t="str">
        <f>IF(OR($D$3=JU!$F1556,$D$3=JU!$I1556),JU!E1556,"")</f>
        <v/>
      </c>
      <c r="F1556" s="72">
        <f>IF($D$3=JU!F1556,JU!H1556,0)</f>
        <v>0</v>
      </c>
      <c r="G1556" s="72">
        <f>IF($D$3=JU!I1556,JU!K1556,0)</f>
        <v>0</v>
      </c>
      <c r="H1556" s="72" t="e">
        <f t="shared" si="25"/>
        <v>#REF!</v>
      </c>
    </row>
    <row r="1557" spans="2:8" hidden="1">
      <c r="B1557" s="68" t="str">
        <f>IF(OR($D$3=JU!$F1557,$D$3=JU!$I1557),JU!B1557,"")</f>
        <v/>
      </c>
      <c r="C1557" s="6" t="str">
        <f>IF(OR($D$3=JU!$F1557,$D$3=JU!$I1557),JU!C1557,"")</f>
        <v/>
      </c>
      <c r="D1557" s="73" t="str">
        <f>IF(OR($D$3=JU!$F1557,$D$3=JU!$I1557),JU!D1557,"")</f>
        <v/>
      </c>
      <c r="E1557" s="74" t="str">
        <f>IF(OR($D$3=JU!$F1557,$D$3=JU!$I1557),JU!E1557,"")</f>
        <v/>
      </c>
      <c r="F1557" s="72">
        <f>IF($D$3=JU!F1557,JU!H1557,0)</f>
        <v>0</v>
      </c>
      <c r="G1557" s="72">
        <f>IF($D$3=JU!I1557,JU!K1557,0)</f>
        <v>0</v>
      </c>
      <c r="H1557" s="72" t="e">
        <f t="shared" si="25"/>
        <v>#REF!</v>
      </c>
    </row>
    <row r="1558" spans="2:8" hidden="1">
      <c r="B1558" s="68" t="str">
        <f>IF(OR($D$3=JU!$F1558,$D$3=JU!$I1558),JU!B1558,"")</f>
        <v/>
      </c>
      <c r="C1558" s="6" t="str">
        <f>IF(OR($D$3=JU!$F1558,$D$3=JU!$I1558),JU!C1558,"")</f>
        <v/>
      </c>
      <c r="D1558" s="73" t="str">
        <f>IF(OR($D$3=JU!$F1558,$D$3=JU!$I1558),JU!D1558,"")</f>
        <v/>
      </c>
      <c r="E1558" s="74" t="str">
        <f>IF(OR($D$3=JU!$F1558,$D$3=JU!$I1558),JU!E1558,"")</f>
        <v/>
      </c>
      <c r="F1558" s="72">
        <f>IF($D$3=JU!F1558,JU!H1558,0)</f>
        <v>0</v>
      </c>
      <c r="G1558" s="72">
        <f>IF($D$3=JU!I1558,JU!K1558,0)</f>
        <v>0</v>
      </c>
      <c r="H1558" s="72" t="e">
        <f t="shared" si="25"/>
        <v>#REF!</v>
      </c>
    </row>
    <row r="1559" spans="2:8" hidden="1">
      <c r="B1559" s="68" t="str">
        <f>IF(OR($D$3=JU!$F1559,$D$3=JU!$I1559),JU!B1559,"")</f>
        <v/>
      </c>
      <c r="C1559" s="6" t="str">
        <f>IF(OR($D$3=JU!$F1559,$D$3=JU!$I1559),JU!C1559,"")</f>
        <v/>
      </c>
      <c r="D1559" s="73" t="str">
        <f>IF(OR($D$3=JU!$F1559,$D$3=JU!$I1559),JU!D1559,"")</f>
        <v/>
      </c>
      <c r="E1559" s="74" t="str">
        <f>IF(OR($D$3=JU!$F1559,$D$3=JU!$I1559),JU!E1559,"")</f>
        <v/>
      </c>
      <c r="F1559" s="72">
        <f>IF($D$3=JU!F1559,JU!H1559,0)</f>
        <v>0</v>
      </c>
      <c r="G1559" s="72">
        <f>IF($D$3=JU!I1559,JU!K1559,0)</f>
        <v>0</v>
      </c>
      <c r="H1559" s="72" t="e">
        <f t="shared" si="25"/>
        <v>#REF!</v>
      </c>
    </row>
    <row r="1560" spans="2:8" hidden="1">
      <c r="B1560" s="68" t="str">
        <f>IF(OR($D$3=JU!$F1560,$D$3=JU!$I1560),JU!B1560,"")</f>
        <v/>
      </c>
      <c r="C1560" s="6" t="str">
        <f>IF(OR($D$3=JU!$F1560,$D$3=JU!$I1560),JU!C1560,"")</f>
        <v/>
      </c>
      <c r="D1560" s="73" t="str">
        <f>IF(OR($D$3=JU!$F1560,$D$3=JU!$I1560),JU!D1560,"")</f>
        <v/>
      </c>
      <c r="E1560" s="74" t="str">
        <f>IF(OR($D$3=JU!$F1560,$D$3=JU!$I1560),JU!E1560,"")</f>
        <v/>
      </c>
      <c r="F1560" s="72">
        <f>IF($D$3=JU!F1560,JU!H1560,0)</f>
        <v>0</v>
      </c>
      <c r="G1560" s="72">
        <f>IF($D$3=JU!I1560,JU!K1560,0)</f>
        <v>0</v>
      </c>
      <c r="H1560" s="72" t="e">
        <f t="shared" si="25"/>
        <v>#REF!</v>
      </c>
    </row>
    <row r="1561" spans="2:8" hidden="1">
      <c r="B1561" s="68" t="str">
        <f>IF(OR($D$3=JU!$F1561,$D$3=JU!$I1561),JU!B1561,"")</f>
        <v/>
      </c>
      <c r="C1561" s="6" t="str">
        <f>IF(OR($D$3=JU!$F1561,$D$3=JU!$I1561),JU!C1561,"")</f>
        <v/>
      </c>
      <c r="D1561" s="73" t="str">
        <f>IF(OR($D$3=JU!$F1561,$D$3=JU!$I1561),JU!D1561,"")</f>
        <v/>
      </c>
      <c r="E1561" s="74" t="str">
        <f>IF(OR($D$3=JU!$F1561,$D$3=JU!$I1561),JU!E1561,"")</f>
        <v/>
      </c>
      <c r="F1561" s="72">
        <f>IF($D$3=JU!F1561,JU!H1561,0)</f>
        <v>0</v>
      </c>
      <c r="G1561" s="72">
        <f>IF($D$3=JU!I1561,JU!K1561,0)</f>
        <v>0</v>
      </c>
      <c r="H1561" s="72" t="e">
        <f t="shared" si="25"/>
        <v>#REF!</v>
      </c>
    </row>
    <row r="1562" spans="2:8" hidden="1">
      <c r="B1562" s="68" t="str">
        <f>IF(OR($D$3=JU!$F1562,$D$3=JU!$I1562),JU!B1562,"")</f>
        <v/>
      </c>
      <c r="C1562" s="6" t="str">
        <f>IF(OR($D$3=JU!$F1562,$D$3=JU!$I1562),JU!C1562,"")</f>
        <v/>
      </c>
      <c r="D1562" s="73" t="str">
        <f>IF(OR($D$3=JU!$F1562,$D$3=JU!$I1562),JU!D1562,"")</f>
        <v/>
      </c>
      <c r="E1562" s="74" t="str">
        <f>IF(OR($D$3=JU!$F1562,$D$3=JU!$I1562),JU!E1562,"")</f>
        <v/>
      </c>
      <c r="F1562" s="72">
        <f>IF($D$3=JU!F1562,JU!H1562,0)</f>
        <v>0</v>
      </c>
      <c r="G1562" s="72">
        <f>IF($D$3=JU!I1562,JU!K1562,0)</f>
        <v>0</v>
      </c>
      <c r="H1562" s="72" t="e">
        <f t="shared" si="25"/>
        <v>#REF!</v>
      </c>
    </row>
    <row r="1563" spans="2:8" hidden="1">
      <c r="B1563" s="68" t="str">
        <f>IF(OR($D$3=JU!$F1563,$D$3=JU!$I1563),JU!B1563,"")</f>
        <v/>
      </c>
      <c r="C1563" s="6" t="str">
        <f>IF(OR($D$3=JU!$F1563,$D$3=JU!$I1563),JU!C1563,"")</f>
        <v/>
      </c>
      <c r="D1563" s="73" t="str">
        <f>IF(OR($D$3=JU!$F1563,$D$3=JU!$I1563),JU!D1563,"")</f>
        <v/>
      </c>
      <c r="E1563" s="74" t="str">
        <f>IF(OR($D$3=JU!$F1563,$D$3=JU!$I1563),JU!E1563,"")</f>
        <v/>
      </c>
      <c r="F1563" s="72">
        <f>IF($D$3=JU!F1563,JU!H1563,0)</f>
        <v>0</v>
      </c>
      <c r="G1563" s="72">
        <f>IF($D$3=JU!I1563,JU!K1563,0)</f>
        <v>0</v>
      </c>
      <c r="H1563" s="72" t="e">
        <f t="shared" si="25"/>
        <v>#REF!</v>
      </c>
    </row>
    <row r="1564" spans="2:8" hidden="1">
      <c r="B1564" s="68" t="str">
        <f>IF(OR($D$3=JU!$F1564,$D$3=JU!$I1564),JU!B1564,"")</f>
        <v/>
      </c>
      <c r="C1564" s="6" t="str">
        <f>IF(OR($D$3=JU!$F1564,$D$3=JU!$I1564),JU!C1564,"")</f>
        <v/>
      </c>
      <c r="D1564" s="73" t="str">
        <f>IF(OR($D$3=JU!$F1564,$D$3=JU!$I1564),JU!D1564,"")</f>
        <v/>
      </c>
      <c r="E1564" s="74" t="str">
        <f>IF(OR($D$3=JU!$F1564,$D$3=JU!$I1564),JU!E1564,"")</f>
        <v/>
      </c>
      <c r="F1564" s="72">
        <f>IF($D$3=JU!F1564,JU!H1564,0)</f>
        <v>0</v>
      </c>
      <c r="G1564" s="72">
        <f>IF($D$3=JU!I1564,JU!K1564,0)</f>
        <v>0</v>
      </c>
      <c r="H1564" s="72" t="e">
        <f t="shared" si="25"/>
        <v>#REF!</v>
      </c>
    </row>
    <row r="1565" spans="2:8" hidden="1">
      <c r="B1565" s="68" t="str">
        <f>IF(OR($D$3=JU!$F1565,$D$3=JU!$I1565),JU!B1565,"")</f>
        <v/>
      </c>
      <c r="C1565" s="6" t="str">
        <f>IF(OR($D$3=JU!$F1565,$D$3=JU!$I1565),JU!C1565,"")</f>
        <v/>
      </c>
      <c r="D1565" s="73" t="str">
        <f>IF(OR($D$3=JU!$F1565,$D$3=JU!$I1565),JU!D1565,"")</f>
        <v/>
      </c>
      <c r="E1565" s="74" t="str">
        <f>IF(OR($D$3=JU!$F1565,$D$3=JU!$I1565),JU!E1565,"")</f>
        <v/>
      </c>
      <c r="F1565" s="72">
        <f>IF($D$3=JU!F1565,JU!H1565,0)</f>
        <v>0</v>
      </c>
      <c r="G1565" s="72">
        <f>IF($D$3=JU!I1565,JU!K1565,0)</f>
        <v>0</v>
      </c>
      <c r="H1565" s="72" t="e">
        <f t="shared" si="25"/>
        <v>#REF!</v>
      </c>
    </row>
    <row r="1566" spans="2:8" hidden="1">
      <c r="B1566" s="68" t="str">
        <f>IF(OR($D$3=JU!$F1566,$D$3=JU!$I1566),JU!B1566,"")</f>
        <v/>
      </c>
      <c r="C1566" s="6" t="str">
        <f>IF(OR($D$3=JU!$F1566,$D$3=JU!$I1566),JU!C1566,"")</f>
        <v/>
      </c>
      <c r="D1566" s="73" t="str">
        <f>IF(OR($D$3=JU!$F1566,$D$3=JU!$I1566),JU!D1566,"")</f>
        <v/>
      </c>
      <c r="E1566" s="74" t="str">
        <f>IF(OR($D$3=JU!$F1566,$D$3=JU!$I1566),JU!E1566,"")</f>
        <v/>
      </c>
      <c r="F1566" s="72">
        <f>IF($D$3=JU!F1566,JU!H1566,0)</f>
        <v>0</v>
      </c>
      <c r="G1566" s="72">
        <f>IF($D$3=JU!I1566,JU!K1566,0)</f>
        <v>0</v>
      </c>
      <c r="H1566" s="72" t="e">
        <f t="shared" si="25"/>
        <v>#REF!</v>
      </c>
    </row>
    <row r="1567" spans="2:8" hidden="1">
      <c r="B1567" s="68" t="str">
        <f>IF(OR($D$3=JU!$F1567,$D$3=JU!$I1567),JU!B1567,"")</f>
        <v/>
      </c>
      <c r="C1567" s="6" t="str">
        <f>IF(OR($D$3=JU!$F1567,$D$3=JU!$I1567),JU!C1567,"")</f>
        <v/>
      </c>
      <c r="D1567" s="73" t="str">
        <f>IF(OR($D$3=JU!$F1567,$D$3=JU!$I1567),JU!D1567,"")</f>
        <v/>
      </c>
      <c r="E1567" s="74" t="str">
        <f>IF(OR($D$3=JU!$F1567,$D$3=JU!$I1567),JU!E1567,"")</f>
        <v/>
      </c>
      <c r="F1567" s="72">
        <f>IF($D$3=JU!F1567,JU!H1567,0)</f>
        <v>0</v>
      </c>
      <c r="G1567" s="72">
        <f>IF($D$3=JU!I1567,JU!K1567,0)</f>
        <v>0</v>
      </c>
      <c r="H1567" s="72" t="e">
        <f t="shared" si="25"/>
        <v>#REF!</v>
      </c>
    </row>
    <row r="1568" spans="2:8" hidden="1">
      <c r="B1568" s="68" t="str">
        <f>IF(OR($D$3=JU!$F1568,$D$3=JU!$I1568),JU!B1568,"")</f>
        <v/>
      </c>
      <c r="C1568" s="6" t="str">
        <f>IF(OR($D$3=JU!$F1568,$D$3=JU!$I1568),JU!C1568,"")</f>
        <v/>
      </c>
      <c r="D1568" s="73" t="str">
        <f>IF(OR($D$3=JU!$F1568,$D$3=JU!$I1568),JU!D1568,"")</f>
        <v/>
      </c>
      <c r="E1568" s="74" t="str">
        <f>IF(OR($D$3=JU!$F1568,$D$3=JU!$I1568),JU!E1568,"")</f>
        <v/>
      </c>
      <c r="F1568" s="72">
        <f>IF($D$3=JU!F1568,JU!H1568,0)</f>
        <v>0</v>
      </c>
      <c r="G1568" s="72">
        <f>IF($D$3=JU!I1568,JU!K1568,0)</f>
        <v>0</v>
      </c>
      <c r="H1568" s="72" t="e">
        <f t="shared" si="25"/>
        <v>#REF!</v>
      </c>
    </row>
    <row r="1569" spans="2:8" hidden="1">
      <c r="B1569" s="68" t="str">
        <f>IF(OR($D$3=JU!$F1569,$D$3=JU!$I1569),JU!B1569,"")</f>
        <v/>
      </c>
      <c r="C1569" s="6" t="str">
        <f>IF(OR($D$3=JU!$F1569,$D$3=JU!$I1569),JU!C1569,"")</f>
        <v/>
      </c>
      <c r="D1569" s="73" t="str">
        <f>IF(OR($D$3=JU!$F1569,$D$3=JU!$I1569),JU!D1569,"")</f>
        <v/>
      </c>
      <c r="E1569" s="74" t="str">
        <f>IF(OR($D$3=JU!$F1569,$D$3=JU!$I1569),JU!E1569,"")</f>
        <v/>
      </c>
      <c r="F1569" s="72">
        <f>IF($D$3=JU!F1569,JU!H1569,0)</f>
        <v>0</v>
      </c>
      <c r="G1569" s="72">
        <f>IF($D$3=JU!I1569,JU!K1569,0)</f>
        <v>0</v>
      </c>
      <c r="H1569" s="72" t="e">
        <f t="shared" si="25"/>
        <v>#REF!</v>
      </c>
    </row>
    <row r="1570" spans="2:8" hidden="1">
      <c r="B1570" s="68" t="str">
        <f>IF(OR($D$3=JU!$F1570,$D$3=JU!$I1570),JU!B1570,"")</f>
        <v/>
      </c>
      <c r="C1570" s="6" t="str">
        <f>IF(OR($D$3=JU!$F1570,$D$3=JU!$I1570),JU!C1570,"")</f>
        <v/>
      </c>
      <c r="D1570" s="73" t="str">
        <f>IF(OR($D$3=JU!$F1570,$D$3=JU!$I1570),JU!D1570,"")</f>
        <v/>
      </c>
      <c r="E1570" s="74" t="str">
        <f>IF(OR($D$3=JU!$F1570,$D$3=JU!$I1570),JU!E1570,"")</f>
        <v/>
      </c>
      <c r="F1570" s="72">
        <f>IF($D$3=JU!F1570,JU!H1570,0)</f>
        <v>0</v>
      </c>
      <c r="G1570" s="72">
        <f>IF($D$3=JU!I1570,JU!K1570,0)</f>
        <v>0</v>
      </c>
      <c r="H1570" s="72" t="e">
        <f t="shared" si="25"/>
        <v>#REF!</v>
      </c>
    </row>
    <row r="1571" spans="2:8" hidden="1">
      <c r="B1571" s="68" t="str">
        <f>IF(OR($D$3=JU!$F1571,$D$3=JU!$I1571),JU!B1571,"")</f>
        <v/>
      </c>
      <c r="C1571" s="6" t="str">
        <f>IF(OR($D$3=JU!$F1571,$D$3=JU!$I1571),JU!C1571,"")</f>
        <v/>
      </c>
      <c r="D1571" s="73" t="str">
        <f>IF(OR($D$3=JU!$F1571,$D$3=JU!$I1571),JU!D1571,"")</f>
        <v/>
      </c>
      <c r="E1571" s="74" t="str">
        <f>IF(OR($D$3=JU!$F1571,$D$3=JU!$I1571),JU!E1571,"")</f>
        <v/>
      </c>
      <c r="F1571" s="72">
        <f>IF($D$3=JU!F1571,JU!H1571,0)</f>
        <v>0</v>
      </c>
      <c r="G1571" s="72">
        <f>IF($D$3=JU!I1571,JU!K1571,0)</f>
        <v>0</v>
      </c>
      <c r="H1571" s="72" t="e">
        <f t="shared" si="25"/>
        <v>#REF!</v>
      </c>
    </row>
    <row r="1572" spans="2:8" hidden="1">
      <c r="B1572" s="68" t="str">
        <f>IF(OR($D$3=JU!$F1572,$D$3=JU!$I1572),JU!B1572,"")</f>
        <v/>
      </c>
      <c r="C1572" s="6" t="str">
        <f>IF(OR($D$3=JU!$F1572,$D$3=JU!$I1572),JU!C1572,"")</f>
        <v/>
      </c>
      <c r="D1572" s="73" t="str">
        <f>IF(OR($D$3=JU!$F1572,$D$3=JU!$I1572),JU!D1572,"")</f>
        <v/>
      </c>
      <c r="E1572" s="74" t="str">
        <f>IF(OR($D$3=JU!$F1572,$D$3=JU!$I1572),JU!E1572,"")</f>
        <v/>
      </c>
      <c r="F1572" s="72">
        <f>IF($D$3=JU!F1572,JU!H1572,0)</f>
        <v>0</v>
      </c>
      <c r="G1572" s="72">
        <f>IF($D$3=JU!I1572,JU!K1572,0)</f>
        <v>0</v>
      </c>
      <c r="H1572" s="72" t="e">
        <f t="shared" si="25"/>
        <v>#REF!</v>
      </c>
    </row>
    <row r="1573" spans="2:8" hidden="1">
      <c r="B1573" s="68" t="str">
        <f>IF(OR($D$3=JU!$F1573,$D$3=JU!$I1573),JU!B1573,"")</f>
        <v/>
      </c>
      <c r="C1573" s="6" t="str">
        <f>IF(OR($D$3=JU!$F1573,$D$3=JU!$I1573),JU!C1573,"")</f>
        <v/>
      </c>
      <c r="D1573" s="73" t="str">
        <f>IF(OR($D$3=JU!$F1573,$D$3=JU!$I1573),JU!D1573,"")</f>
        <v/>
      </c>
      <c r="E1573" s="74" t="str">
        <f>IF(OR($D$3=JU!$F1573,$D$3=JU!$I1573),JU!E1573,"")</f>
        <v/>
      </c>
      <c r="F1573" s="72">
        <f>IF($D$3=JU!F1573,JU!H1573,0)</f>
        <v>0</v>
      </c>
      <c r="G1573" s="72">
        <f>IF($D$3=JU!I1573,JU!K1573,0)</f>
        <v>0</v>
      </c>
      <c r="H1573" s="72" t="e">
        <f t="shared" si="25"/>
        <v>#REF!</v>
      </c>
    </row>
    <row r="1574" spans="2:8" hidden="1">
      <c r="B1574" s="68" t="str">
        <f>IF(OR($D$3=JU!$F1574,$D$3=JU!$I1574),JU!B1574,"")</f>
        <v/>
      </c>
      <c r="C1574" s="6" t="str">
        <f>IF(OR($D$3=JU!$F1574,$D$3=JU!$I1574),JU!C1574,"")</f>
        <v/>
      </c>
      <c r="D1574" s="73" t="str">
        <f>IF(OR($D$3=JU!$F1574,$D$3=JU!$I1574),JU!D1574,"")</f>
        <v/>
      </c>
      <c r="E1574" s="74" t="str">
        <f>IF(OR($D$3=JU!$F1574,$D$3=JU!$I1574),JU!E1574,"")</f>
        <v/>
      </c>
      <c r="F1574" s="72">
        <f>IF($D$3=JU!F1574,JU!H1574,0)</f>
        <v>0</v>
      </c>
      <c r="G1574" s="72">
        <f>IF($D$3=JU!I1574,JU!K1574,0)</f>
        <v>0</v>
      </c>
      <c r="H1574" s="72" t="e">
        <f t="shared" si="25"/>
        <v>#REF!</v>
      </c>
    </row>
    <row r="1575" spans="2:8" hidden="1">
      <c r="B1575" s="68" t="str">
        <f>IF(OR($D$3=JU!$F1575,$D$3=JU!$I1575),JU!B1575,"")</f>
        <v/>
      </c>
      <c r="C1575" s="6" t="str">
        <f>IF(OR($D$3=JU!$F1575,$D$3=JU!$I1575),JU!C1575,"")</f>
        <v/>
      </c>
      <c r="D1575" s="73" t="str">
        <f>IF(OR($D$3=JU!$F1575,$D$3=JU!$I1575),JU!D1575,"")</f>
        <v/>
      </c>
      <c r="E1575" s="74" t="str">
        <f>IF(OR($D$3=JU!$F1575,$D$3=JU!$I1575),JU!E1575,"")</f>
        <v/>
      </c>
      <c r="F1575" s="72">
        <f>IF($D$3=JU!F1575,JU!H1575,0)</f>
        <v>0</v>
      </c>
      <c r="G1575" s="72">
        <f>IF($D$3=JU!I1575,JU!K1575,0)</f>
        <v>0</v>
      </c>
      <c r="H1575" s="72" t="e">
        <f t="shared" si="25"/>
        <v>#REF!</v>
      </c>
    </row>
    <row r="1576" spans="2:8" hidden="1">
      <c r="B1576" s="68" t="str">
        <f>IF(OR($D$3=JU!$F1576,$D$3=JU!$I1576),JU!B1576,"")</f>
        <v/>
      </c>
      <c r="C1576" s="6" t="str">
        <f>IF(OR($D$3=JU!$F1576,$D$3=JU!$I1576),JU!C1576,"")</f>
        <v/>
      </c>
      <c r="D1576" s="73" t="str">
        <f>IF(OR($D$3=JU!$F1576,$D$3=JU!$I1576),JU!D1576,"")</f>
        <v/>
      </c>
      <c r="E1576" s="74" t="str">
        <f>IF(OR($D$3=JU!$F1576,$D$3=JU!$I1576),JU!E1576,"")</f>
        <v/>
      </c>
      <c r="F1576" s="72">
        <f>IF($D$3=JU!F1576,JU!H1576,0)</f>
        <v>0</v>
      </c>
      <c r="G1576" s="72">
        <f>IF($D$3=JU!I1576,JU!K1576,0)</f>
        <v>0</v>
      </c>
      <c r="H1576" s="72" t="e">
        <f t="shared" si="25"/>
        <v>#REF!</v>
      </c>
    </row>
    <row r="1577" spans="2:8" hidden="1">
      <c r="B1577" s="68" t="str">
        <f>IF(OR($D$3=JU!$F1577,$D$3=JU!$I1577),JU!B1577,"")</f>
        <v/>
      </c>
      <c r="C1577" s="6" t="str">
        <f>IF(OR($D$3=JU!$F1577,$D$3=JU!$I1577),JU!C1577,"")</f>
        <v/>
      </c>
      <c r="D1577" s="73" t="str">
        <f>IF(OR($D$3=JU!$F1577,$D$3=JU!$I1577),JU!D1577,"")</f>
        <v/>
      </c>
      <c r="E1577" s="74" t="str">
        <f>IF(OR($D$3=JU!$F1577,$D$3=JU!$I1577),JU!E1577,"")</f>
        <v/>
      </c>
      <c r="F1577" s="72">
        <f>IF($D$3=JU!F1577,JU!H1577,0)</f>
        <v>0</v>
      </c>
      <c r="G1577" s="72">
        <f>IF($D$3=JU!I1577,JU!K1577,0)</f>
        <v>0</v>
      </c>
      <c r="H1577" s="72" t="e">
        <f t="shared" si="25"/>
        <v>#REF!</v>
      </c>
    </row>
    <row r="1578" spans="2:8" hidden="1">
      <c r="B1578" s="68" t="str">
        <f>IF(OR($D$3=JU!$F1578,$D$3=JU!$I1578),JU!B1578,"")</f>
        <v/>
      </c>
      <c r="C1578" s="6" t="str">
        <f>IF(OR($D$3=JU!$F1578,$D$3=JU!$I1578),JU!C1578,"")</f>
        <v/>
      </c>
      <c r="D1578" s="73" t="str">
        <f>IF(OR($D$3=JU!$F1578,$D$3=JU!$I1578),JU!D1578,"")</f>
        <v/>
      </c>
      <c r="E1578" s="74" t="str">
        <f>IF(OR($D$3=JU!$F1578,$D$3=JU!$I1578),JU!E1578,"")</f>
        <v/>
      </c>
      <c r="F1578" s="72">
        <f>IF($D$3=JU!F1578,JU!H1578,0)</f>
        <v>0</v>
      </c>
      <c r="G1578" s="72">
        <f>IF($D$3=JU!I1578,JU!K1578,0)</f>
        <v>0</v>
      </c>
      <c r="H1578" s="72" t="e">
        <f t="shared" si="25"/>
        <v>#REF!</v>
      </c>
    </row>
    <row r="1579" spans="2:8" hidden="1">
      <c r="B1579" s="68" t="str">
        <f>IF(OR($D$3=JU!$F1579,$D$3=JU!$I1579),JU!B1579,"")</f>
        <v/>
      </c>
      <c r="C1579" s="6" t="str">
        <f>IF(OR($D$3=JU!$F1579,$D$3=JU!$I1579),JU!C1579,"")</f>
        <v/>
      </c>
      <c r="D1579" s="73" t="str">
        <f>IF(OR($D$3=JU!$F1579,$D$3=JU!$I1579),JU!D1579,"")</f>
        <v/>
      </c>
      <c r="E1579" s="74" t="str">
        <f>IF(OR($D$3=JU!$F1579,$D$3=JU!$I1579),JU!E1579,"")</f>
        <v/>
      </c>
      <c r="F1579" s="72">
        <f>IF($D$3=JU!F1579,JU!H1579,0)</f>
        <v>0</v>
      </c>
      <c r="G1579" s="72">
        <f>IF($D$3=JU!I1579,JU!K1579,0)</f>
        <v>0</v>
      </c>
      <c r="H1579" s="72" t="e">
        <f t="shared" si="25"/>
        <v>#REF!</v>
      </c>
    </row>
    <row r="1580" spans="2:8" hidden="1">
      <c r="B1580" s="68" t="str">
        <f>IF(OR($D$3=JU!$F1580,$D$3=JU!$I1580),JU!B1580,"")</f>
        <v/>
      </c>
      <c r="C1580" s="6" t="str">
        <f>IF(OR($D$3=JU!$F1580,$D$3=JU!$I1580),JU!C1580,"")</f>
        <v/>
      </c>
      <c r="D1580" s="73" t="str">
        <f>IF(OR($D$3=JU!$F1580,$D$3=JU!$I1580),JU!D1580,"")</f>
        <v/>
      </c>
      <c r="E1580" s="74" t="str">
        <f>IF(OR($D$3=JU!$F1580,$D$3=JU!$I1580),JU!E1580,"")</f>
        <v/>
      </c>
      <c r="F1580" s="72">
        <f>IF($D$3=JU!F1580,JU!H1580,0)</f>
        <v>0</v>
      </c>
      <c r="G1580" s="72">
        <f>IF($D$3=JU!I1580,JU!K1580,0)</f>
        <v>0</v>
      </c>
      <c r="H1580" s="72" t="e">
        <f t="shared" si="25"/>
        <v>#REF!</v>
      </c>
    </row>
    <row r="1581" spans="2:8" hidden="1">
      <c r="B1581" s="68" t="str">
        <f>IF(OR($D$3=JU!$F1581,$D$3=JU!$I1581),JU!B1581,"")</f>
        <v/>
      </c>
      <c r="C1581" s="6" t="str">
        <f>IF(OR($D$3=JU!$F1581,$D$3=JU!$I1581),JU!C1581,"")</f>
        <v/>
      </c>
      <c r="D1581" s="73" t="str">
        <f>IF(OR($D$3=JU!$F1581,$D$3=JU!$I1581),JU!D1581,"")</f>
        <v/>
      </c>
      <c r="E1581" s="74" t="str">
        <f>IF(OR($D$3=JU!$F1581,$D$3=JU!$I1581),JU!E1581,"")</f>
        <v/>
      </c>
      <c r="F1581" s="72">
        <f>IF($D$3=JU!F1581,JU!H1581,0)</f>
        <v>0</v>
      </c>
      <c r="G1581" s="72">
        <f>IF($D$3=JU!I1581,JU!K1581,0)</f>
        <v>0</v>
      </c>
      <c r="H1581" s="72" t="e">
        <f t="shared" si="25"/>
        <v>#REF!</v>
      </c>
    </row>
    <row r="1582" spans="2:8" hidden="1">
      <c r="B1582" s="68" t="str">
        <f>IF(OR($D$3=JU!$F1582,$D$3=JU!$I1582),JU!B1582,"")</f>
        <v/>
      </c>
      <c r="C1582" s="6" t="str">
        <f>IF(OR($D$3=JU!$F1582,$D$3=JU!$I1582),JU!C1582,"")</f>
        <v/>
      </c>
      <c r="D1582" s="73" t="str">
        <f>IF(OR($D$3=JU!$F1582,$D$3=JU!$I1582),JU!D1582,"")</f>
        <v/>
      </c>
      <c r="E1582" s="74" t="str">
        <f>IF(OR($D$3=JU!$F1582,$D$3=JU!$I1582),JU!E1582,"")</f>
        <v/>
      </c>
      <c r="F1582" s="72">
        <f>IF($D$3=JU!F1582,JU!H1582,0)</f>
        <v>0</v>
      </c>
      <c r="G1582" s="72">
        <f>IF($D$3=JU!I1582,JU!K1582,0)</f>
        <v>0</v>
      </c>
      <c r="H1582" s="72" t="e">
        <f t="shared" si="25"/>
        <v>#REF!</v>
      </c>
    </row>
    <row r="1583" spans="2:8" hidden="1">
      <c r="B1583" s="68" t="str">
        <f>IF(OR($D$3=JU!$F1583,$D$3=JU!$I1583),JU!B1583,"")</f>
        <v/>
      </c>
      <c r="C1583" s="6" t="str">
        <f>IF(OR($D$3=JU!$F1583,$D$3=JU!$I1583),JU!C1583,"")</f>
        <v/>
      </c>
      <c r="D1583" s="73" t="str">
        <f>IF(OR($D$3=JU!$F1583,$D$3=JU!$I1583),JU!D1583,"")</f>
        <v/>
      </c>
      <c r="E1583" s="74" t="str">
        <f>IF(OR($D$3=JU!$F1583,$D$3=JU!$I1583),JU!E1583,"")</f>
        <v/>
      </c>
      <c r="F1583" s="72">
        <f>IF($D$3=JU!F1583,JU!H1583,0)</f>
        <v>0</v>
      </c>
      <c r="G1583" s="72">
        <f>IF($D$3=JU!I1583,JU!K1583,0)</f>
        <v>0</v>
      </c>
      <c r="H1583" s="72" t="e">
        <f t="shared" si="25"/>
        <v>#REF!</v>
      </c>
    </row>
    <row r="1584" spans="2:8" hidden="1">
      <c r="B1584" s="68" t="str">
        <f>IF(OR($D$3=JU!$F1584,$D$3=JU!$I1584),JU!B1584,"")</f>
        <v/>
      </c>
      <c r="C1584" s="6" t="str">
        <f>IF(OR($D$3=JU!$F1584,$D$3=JU!$I1584),JU!C1584,"")</f>
        <v/>
      </c>
      <c r="D1584" s="73" t="str">
        <f>IF(OR($D$3=JU!$F1584,$D$3=JU!$I1584),JU!D1584,"")</f>
        <v/>
      </c>
      <c r="E1584" s="74" t="str">
        <f>IF(OR($D$3=JU!$F1584,$D$3=JU!$I1584),JU!E1584,"")</f>
        <v/>
      </c>
      <c r="F1584" s="72">
        <f>IF($D$3=JU!F1584,JU!H1584,0)</f>
        <v>0</v>
      </c>
      <c r="G1584" s="72">
        <f>IF($D$3=JU!I1584,JU!K1584,0)</f>
        <v>0</v>
      </c>
      <c r="H1584" s="72" t="e">
        <f t="shared" si="25"/>
        <v>#REF!</v>
      </c>
    </row>
    <row r="1585" spans="2:8" hidden="1">
      <c r="B1585" s="68" t="str">
        <f>IF(OR($D$3=JU!$F1585,$D$3=JU!$I1585),JU!B1585,"")</f>
        <v/>
      </c>
      <c r="C1585" s="6" t="str">
        <f>IF(OR($D$3=JU!$F1585,$D$3=JU!$I1585),JU!C1585,"")</f>
        <v/>
      </c>
      <c r="D1585" s="73" t="str">
        <f>IF(OR($D$3=JU!$F1585,$D$3=JU!$I1585),JU!D1585,"")</f>
        <v/>
      </c>
      <c r="E1585" s="74" t="str">
        <f>IF(OR($D$3=JU!$F1585,$D$3=JU!$I1585),JU!E1585,"")</f>
        <v/>
      </c>
      <c r="F1585" s="72">
        <f>IF($D$3=JU!F1585,JU!H1585,0)</f>
        <v>0</v>
      </c>
      <c r="G1585" s="72">
        <f>IF($D$3=JU!I1585,JU!K1585,0)</f>
        <v>0</v>
      </c>
      <c r="H1585" s="72" t="e">
        <f t="shared" si="25"/>
        <v>#REF!</v>
      </c>
    </row>
    <row r="1586" spans="2:8" hidden="1">
      <c r="B1586" s="68" t="str">
        <f>IF(OR($D$3=JU!$F1586,$D$3=JU!$I1586),JU!B1586,"")</f>
        <v/>
      </c>
      <c r="C1586" s="6" t="str">
        <f>IF(OR($D$3=JU!$F1586,$D$3=JU!$I1586),JU!C1586,"")</f>
        <v/>
      </c>
      <c r="D1586" s="73" t="str">
        <f>IF(OR($D$3=JU!$F1586,$D$3=JU!$I1586),JU!D1586,"")</f>
        <v/>
      </c>
      <c r="E1586" s="74" t="str">
        <f>IF(OR($D$3=JU!$F1586,$D$3=JU!$I1586),JU!E1586,"")</f>
        <v/>
      </c>
      <c r="F1586" s="72">
        <f>IF($D$3=JU!F1586,JU!H1586,0)</f>
        <v>0</v>
      </c>
      <c r="G1586" s="72">
        <f>IF($D$3=JU!I1586,JU!K1586,0)</f>
        <v>0</v>
      </c>
      <c r="H1586" s="72" t="e">
        <f t="shared" si="25"/>
        <v>#REF!</v>
      </c>
    </row>
    <row r="1587" spans="2:8" hidden="1">
      <c r="B1587" s="68" t="str">
        <f>IF(OR($D$3=JU!$F1587,$D$3=JU!$I1587),JU!B1587,"")</f>
        <v/>
      </c>
      <c r="C1587" s="6" t="str">
        <f>IF(OR($D$3=JU!$F1587,$D$3=JU!$I1587),JU!C1587,"")</f>
        <v/>
      </c>
      <c r="D1587" s="73" t="str">
        <f>IF(OR($D$3=JU!$F1587,$D$3=JU!$I1587),JU!D1587,"")</f>
        <v/>
      </c>
      <c r="E1587" s="74" t="str">
        <f>IF(OR($D$3=JU!$F1587,$D$3=JU!$I1587),JU!E1587,"")</f>
        <v/>
      </c>
      <c r="F1587" s="72">
        <f>IF($D$3=JU!F1587,JU!H1587,0)</f>
        <v>0</v>
      </c>
      <c r="G1587" s="72">
        <f>IF($D$3=JU!I1587,JU!K1587,0)</f>
        <v>0</v>
      </c>
      <c r="H1587" s="72" t="e">
        <f t="shared" si="25"/>
        <v>#REF!</v>
      </c>
    </row>
    <row r="1588" spans="2:8" hidden="1">
      <c r="B1588" s="68" t="str">
        <f>IF(OR($D$3=JU!$F1588,$D$3=JU!$I1588),JU!B1588,"")</f>
        <v/>
      </c>
      <c r="C1588" s="6" t="str">
        <f>IF(OR($D$3=JU!$F1588,$D$3=JU!$I1588),JU!C1588,"")</f>
        <v/>
      </c>
      <c r="D1588" s="73" t="str">
        <f>IF(OR($D$3=JU!$F1588,$D$3=JU!$I1588),JU!D1588,"")</f>
        <v/>
      </c>
      <c r="E1588" s="74" t="str">
        <f>IF(OR($D$3=JU!$F1588,$D$3=JU!$I1588),JU!E1588,"")</f>
        <v/>
      </c>
      <c r="F1588" s="72">
        <f>IF($D$3=JU!F1588,JU!H1588,0)</f>
        <v>0</v>
      </c>
      <c r="G1588" s="72">
        <f>IF($D$3=JU!I1588,JU!K1588,0)</f>
        <v>0</v>
      </c>
      <c r="H1588" s="72" t="e">
        <f t="shared" si="25"/>
        <v>#REF!</v>
      </c>
    </row>
    <row r="1589" spans="2:8" hidden="1">
      <c r="B1589" s="68" t="str">
        <f>IF(OR($D$3=JU!$F1589,$D$3=JU!$I1589),JU!B1589,"")</f>
        <v/>
      </c>
      <c r="C1589" s="6" t="str">
        <f>IF(OR($D$3=JU!$F1589,$D$3=JU!$I1589),JU!C1589,"")</f>
        <v/>
      </c>
      <c r="D1589" s="73" t="str">
        <f>IF(OR($D$3=JU!$F1589,$D$3=JU!$I1589),JU!D1589,"")</f>
        <v/>
      </c>
      <c r="E1589" s="74" t="str">
        <f>IF(OR($D$3=JU!$F1589,$D$3=JU!$I1589),JU!E1589,"")</f>
        <v/>
      </c>
      <c r="F1589" s="72">
        <f>IF($D$3=JU!F1589,JU!H1589,0)</f>
        <v>0</v>
      </c>
      <c r="G1589" s="72">
        <f>IF($D$3=JU!I1589,JU!K1589,0)</f>
        <v>0</v>
      </c>
      <c r="H1589" s="72" t="e">
        <f t="shared" si="25"/>
        <v>#REF!</v>
      </c>
    </row>
    <row r="1590" spans="2:8" hidden="1">
      <c r="B1590" s="68" t="str">
        <f>IF(OR($D$3=JU!$F1590,$D$3=JU!$I1590),JU!B1590,"")</f>
        <v/>
      </c>
      <c r="C1590" s="6" t="str">
        <f>IF(OR($D$3=JU!$F1590,$D$3=JU!$I1590),JU!C1590,"")</f>
        <v/>
      </c>
      <c r="D1590" s="73" t="str">
        <f>IF(OR($D$3=JU!$F1590,$D$3=JU!$I1590),JU!D1590,"")</f>
        <v/>
      </c>
      <c r="E1590" s="74" t="str">
        <f>IF(OR($D$3=JU!$F1590,$D$3=JU!$I1590),JU!E1590,"")</f>
        <v/>
      </c>
      <c r="F1590" s="72">
        <f>IF($D$3=JU!F1590,JU!H1590,0)</f>
        <v>0</v>
      </c>
      <c r="G1590" s="72">
        <f>IF($D$3=JU!I1590,JU!K1590,0)</f>
        <v>0</v>
      </c>
      <c r="H1590" s="72" t="e">
        <f t="shared" si="25"/>
        <v>#REF!</v>
      </c>
    </row>
    <row r="1591" spans="2:8" hidden="1">
      <c r="B1591" s="68" t="str">
        <f>IF(OR($D$3=JU!$F1591,$D$3=JU!$I1591),JU!B1591,"")</f>
        <v/>
      </c>
      <c r="C1591" s="6" t="str">
        <f>IF(OR($D$3=JU!$F1591,$D$3=JU!$I1591),JU!C1591,"")</f>
        <v/>
      </c>
      <c r="D1591" s="73" t="str">
        <f>IF(OR($D$3=JU!$F1591,$D$3=JU!$I1591),JU!D1591,"")</f>
        <v/>
      </c>
      <c r="E1591" s="74" t="str">
        <f>IF(OR($D$3=JU!$F1591,$D$3=JU!$I1591),JU!E1591,"")</f>
        <v/>
      </c>
      <c r="F1591" s="72">
        <f>IF($D$3=JU!F1591,JU!H1591,0)</f>
        <v>0</v>
      </c>
      <c r="G1591" s="72">
        <f>IF($D$3=JU!I1591,JU!K1591,0)</f>
        <v>0</v>
      </c>
      <c r="H1591" s="72" t="e">
        <f t="shared" si="25"/>
        <v>#REF!</v>
      </c>
    </row>
    <row r="1592" spans="2:8" hidden="1">
      <c r="B1592" s="68" t="str">
        <f>IF(OR($D$3=JU!$F1592,$D$3=JU!$I1592),JU!B1592,"")</f>
        <v/>
      </c>
      <c r="C1592" s="6" t="str">
        <f>IF(OR($D$3=JU!$F1592,$D$3=JU!$I1592),JU!C1592,"")</f>
        <v/>
      </c>
      <c r="D1592" s="73" t="str">
        <f>IF(OR($D$3=JU!$F1592,$D$3=JU!$I1592),JU!D1592,"")</f>
        <v/>
      </c>
      <c r="E1592" s="74" t="str">
        <f>IF(OR($D$3=JU!$F1592,$D$3=JU!$I1592),JU!E1592,"")</f>
        <v/>
      </c>
      <c r="F1592" s="72">
        <f>IF($D$3=JU!F1592,JU!H1592,0)</f>
        <v>0</v>
      </c>
      <c r="G1592" s="72">
        <f>IF($D$3=JU!I1592,JU!K1592,0)</f>
        <v>0</v>
      </c>
      <c r="H1592" s="72" t="e">
        <f t="shared" si="25"/>
        <v>#REF!</v>
      </c>
    </row>
    <row r="1593" spans="2:8" hidden="1">
      <c r="B1593" s="68" t="str">
        <f>IF(OR($D$3=JU!$F1593,$D$3=JU!$I1593),JU!B1593,"")</f>
        <v/>
      </c>
      <c r="C1593" s="6" t="str">
        <f>IF(OR($D$3=JU!$F1593,$D$3=JU!$I1593),JU!C1593,"")</f>
        <v/>
      </c>
      <c r="D1593" s="73" t="str">
        <f>IF(OR($D$3=JU!$F1593,$D$3=JU!$I1593),JU!D1593,"")</f>
        <v/>
      </c>
      <c r="E1593" s="74" t="str">
        <f>IF(OR($D$3=JU!$F1593,$D$3=JU!$I1593),JU!E1593,"")</f>
        <v/>
      </c>
      <c r="F1593" s="72">
        <f>IF($D$3=JU!F1593,JU!H1593,0)</f>
        <v>0</v>
      </c>
      <c r="G1593" s="72">
        <f>IF($D$3=JU!I1593,JU!K1593,0)</f>
        <v>0</v>
      </c>
      <c r="H1593" s="72" t="e">
        <f t="shared" si="25"/>
        <v>#REF!</v>
      </c>
    </row>
    <row r="1594" spans="2:8" hidden="1">
      <c r="B1594" s="68" t="str">
        <f>IF(OR($D$3=JU!$F1594,$D$3=JU!$I1594),JU!B1594,"")</f>
        <v/>
      </c>
      <c r="C1594" s="6" t="str">
        <f>IF(OR($D$3=JU!$F1594,$D$3=JU!$I1594),JU!C1594,"")</f>
        <v/>
      </c>
      <c r="D1594" s="73" t="str">
        <f>IF(OR($D$3=JU!$F1594,$D$3=JU!$I1594),JU!D1594,"")</f>
        <v/>
      </c>
      <c r="E1594" s="74" t="str">
        <f>IF(OR($D$3=JU!$F1594,$D$3=JU!$I1594),JU!E1594,"")</f>
        <v/>
      </c>
      <c r="F1594" s="72">
        <f>IF($D$3=JU!F1594,JU!H1594,0)</f>
        <v>0</v>
      </c>
      <c r="G1594" s="72">
        <f>IF($D$3=JU!I1594,JU!K1594,0)</f>
        <v>0</v>
      </c>
      <c r="H1594" s="72" t="e">
        <f t="shared" si="25"/>
        <v>#REF!</v>
      </c>
    </row>
    <row r="1595" spans="2:8" hidden="1">
      <c r="B1595" s="68" t="str">
        <f>IF(OR($D$3=JU!$F1595,$D$3=JU!$I1595),JU!B1595,"")</f>
        <v/>
      </c>
      <c r="C1595" s="6" t="str">
        <f>IF(OR($D$3=JU!$F1595,$D$3=JU!$I1595),JU!C1595,"")</f>
        <v/>
      </c>
      <c r="D1595" s="73" t="str">
        <f>IF(OR($D$3=JU!$F1595,$D$3=JU!$I1595),JU!D1595,"")</f>
        <v/>
      </c>
      <c r="E1595" s="74" t="str">
        <f>IF(OR($D$3=JU!$F1595,$D$3=JU!$I1595),JU!E1595,"")</f>
        <v/>
      </c>
      <c r="F1595" s="72">
        <f>IF($D$3=JU!F1595,JU!H1595,0)</f>
        <v>0</v>
      </c>
      <c r="G1595" s="72">
        <f>IF($D$3=JU!I1595,JU!K1595,0)</f>
        <v>0</v>
      </c>
      <c r="H1595" s="72" t="e">
        <f t="shared" si="25"/>
        <v>#REF!</v>
      </c>
    </row>
    <row r="1596" spans="2:8" hidden="1">
      <c r="B1596" s="68" t="str">
        <f>IF(OR($D$3=JU!$F1596,$D$3=JU!$I1596),JU!B1596,"")</f>
        <v/>
      </c>
      <c r="C1596" s="6" t="str">
        <f>IF(OR($D$3=JU!$F1596,$D$3=JU!$I1596),JU!C1596,"")</f>
        <v/>
      </c>
      <c r="D1596" s="73" t="str">
        <f>IF(OR($D$3=JU!$F1596,$D$3=JU!$I1596),JU!D1596,"")</f>
        <v/>
      </c>
      <c r="E1596" s="74" t="str">
        <f>IF(OR($D$3=JU!$F1596,$D$3=JU!$I1596),JU!E1596,"")</f>
        <v/>
      </c>
      <c r="F1596" s="72">
        <f>IF($D$3=JU!F1596,JU!H1596,0)</f>
        <v>0</v>
      </c>
      <c r="G1596" s="72">
        <f>IF($D$3=JU!I1596,JU!K1596,0)</f>
        <v>0</v>
      </c>
      <c r="H1596" s="72" t="e">
        <f t="shared" si="25"/>
        <v>#REF!</v>
      </c>
    </row>
    <row r="1597" spans="2:8" hidden="1">
      <c r="B1597" s="68" t="str">
        <f>IF(OR($D$3=JU!$F1597,$D$3=JU!$I1597),JU!B1597,"")</f>
        <v/>
      </c>
      <c r="C1597" s="6" t="str">
        <f>IF(OR($D$3=JU!$F1597,$D$3=JU!$I1597),JU!C1597,"")</f>
        <v/>
      </c>
      <c r="D1597" s="73" t="str">
        <f>IF(OR($D$3=JU!$F1597,$D$3=JU!$I1597),JU!D1597,"")</f>
        <v/>
      </c>
      <c r="E1597" s="74" t="str">
        <f>IF(OR($D$3=JU!$F1597,$D$3=JU!$I1597),JU!E1597,"")</f>
        <v/>
      </c>
      <c r="F1597" s="72">
        <f>IF($D$3=JU!F1597,JU!H1597,0)</f>
        <v>0</v>
      </c>
      <c r="G1597" s="72">
        <f>IF($D$3=JU!I1597,JU!K1597,0)</f>
        <v>0</v>
      </c>
      <c r="H1597" s="72" t="e">
        <f t="shared" si="25"/>
        <v>#REF!</v>
      </c>
    </row>
    <row r="1598" spans="2:8" hidden="1">
      <c r="B1598" s="68" t="str">
        <f>IF(OR($D$3=JU!$F1598,$D$3=JU!$I1598),JU!B1598,"")</f>
        <v/>
      </c>
      <c r="C1598" s="6" t="str">
        <f>IF(OR($D$3=JU!$F1598,$D$3=JU!$I1598),JU!C1598,"")</f>
        <v/>
      </c>
      <c r="D1598" s="73" t="str">
        <f>IF(OR($D$3=JU!$F1598,$D$3=JU!$I1598),JU!D1598,"")</f>
        <v/>
      </c>
      <c r="E1598" s="74" t="str">
        <f>IF(OR($D$3=JU!$F1598,$D$3=JU!$I1598),JU!E1598,"")</f>
        <v/>
      </c>
      <c r="F1598" s="72">
        <f>IF($D$3=JU!F1598,JU!H1598,0)</f>
        <v>0</v>
      </c>
      <c r="G1598" s="72">
        <f>IF($D$3=JU!I1598,JU!K1598,0)</f>
        <v>0</v>
      </c>
      <c r="H1598" s="72" t="e">
        <f t="shared" si="25"/>
        <v>#REF!</v>
      </c>
    </row>
    <row r="1599" spans="2:8" hidden="1">
      <c r="B1599" s="68" t="str">
        <f>IF(OR($D$3=JU!$F1599,$D$3=JU!$I1599),JU!B1599,"")</f>
        <v/>
      </c>
      <c r="C1599" s="6" t="str">
        <f>IF(OR($D$3=JU!$F1599,$D$3=JU!$I1599),JU!C1599,"")</f>
        <v/>
      </c>
      <c r="D1599" s="73" t="str">
        <f>IF(OR($D$3=JU!$F1599,$D$3=JU!$I1599),JU!D1599,"")</f>
        <v/>
      </c>
      <c r="E1599" s="74" t="str">
        <f>IF(OR($D$3=JU!$F1599,$D$3=JU!$I1599),JU!E1599,"")</f>
        <v/>
      </c>
      <c r="F1599" s="72">
        <f>IF($D$3=JU!F1599,JU!H1599,0)</f>
        <v>0</v>
      </c>
      <c r="G1599" s="72">
        <f>IF($D$3=JU!I1599,JU!K1599,0)</f>
        <v>0</v>
      </c>
      <c r="H1599" s="72" t="e">
        <f t="shared" si="25"/>
        <v>#REF!</v>
      </c>
    </row>
    <row r="1600" spans="2:8" hidden="1">
      <c r="B1600" s="68" t="str">
        <f>IF(OR($D$3=JU!$F1600,$D$3=JU!$I1600),JU!B1600,"")</f>
        <v/>
      </c>
      <c r="C1600" s="6" t="str">
        <f>IF(OR($D$3=JU!$F1600,$D$3=JU!$I1600),JU!C1600,"")</f>
        <v/>
      </c>
      <c r="D1600" s="73" t="str">
        <f>IF(OR($D$3=JU!$F1600,$D$3=JU!$I1600),JU!D1600,"")</f>
        <v/>
      </c>
      <c r="E1600" s="74" t="str">
        <f>IF(OR($D$3=JU!$F1600,$D$3=JU!$I1600),JU!E1600,"")</f>
        <v/>
      </c>
      <c r="F1600" s="72">
        <f>IF($D$3=JU!F1600,JU!H1600,0)</f>
        <v>0</v>
      </c>
      <c r="G1600" s="72">
        <f>IF($D$3=JU!I1600,JU!K1600,0)</f>
        <v>0</v>
      </c>
      <c r="H1600" s="72" t="e">
        <f t="shared" si="25"/>
        <v>#REF!</v>
      </c>
    </row>
    <row r="1601" spans="2:8" hidden="1">
      <c r="B1601" s="68" t="str">
        <f>IF(OR($D$3=JU!$F1601,$D$3=JU!$I1601),JU!B1601,"")</f>
        <v/>
      </c>
      <c r="C1601" s="6" t="str">
        <f>IF(OR($D$3=JU!$F1601,$D$3=JU!$I1601),JU!C1601,"")</f>
        <v/>
      </c>
      <c r="D1601" s="73" t="str">
        <f>IF(OR($D$3=JU!$F1601,$D$3=JU!$I1601),JU!D1601,"")</f>
        <v/>
      </c>
      <c r="E1601" s="74" t="str">
        <f>IF(OR($D$3=JU!$F1601,$D$3=JU!$I1601),JU!E1601,"")</f>
        <v/>
      </c>
      <c r="F1601" s="72">
        <f>IF($D$3=JU!F1601,JU!H1601,0)</f>
        <v>0</v>
      </c>
      <c r="G1601" s="72">
        <f>IF($D$3=JU!I1601,JU!K1601,0)</f>
        <v>0</v>
      </c>
      <c r="H1601" s="72" t="e">
        <f t="shared" si="25"/>
        <v>#REF!</v>
      </c>
    </row>
    <row r="1602" spans="2:8" hidden="1">
      <c r="B1602" s="68" t="str">
        <f>IF(OR($D$3=JU!$F1602,$D$3=JU!$I1602),JU!B1602,"")</f>
        <v/>
      </c>
      <c r="C1602" s="6" t="str">
        <f>IF(OR($D$3=JU!$F1602,$D$3=JU!$I1602),JU!C1602,"")</f>
        <v/>
      </c>
      <c r="D1602" s="73" t="str">
        <f>IF(OR($D$3=JU!$F1602,$D$3=JU!$I1602),JU!D1602,"")</f>
        <v/>
      </c>
      <c r="E1602" s="74" t="str">
        <f>IF(OR($D$3=JU!$F1602,$D$3=JU!$I1602),JU!E1602,"")</f>
        <v/>
      </c>
      <c r="F1602" s="72">
        <f>IF($D$3=JU!F1602,JU!H1602,0)</f>
        <v>0</v>
      </c>
      <c r="G1602" s="72">
        <f>IF($D$3=JU!I1602,JU!K1602,0)</f>
        <v>0</v>
      </c>
      <c r="H1602" s="72" t="e">
        <f t="shared" si="25"/>
        <v>#REF!</v>
      </c>
    </row>
    <row r="1603" spans="2:8" hidden="1">
      <c r="B1603" s="68" t="str">
        <f>IF(OR($D$3=JU!$F1603,$D$3=JU!$I1603),JU!B1603,"")</f>
        <v/>
      </c>
      <c r="C1603" s="6" t="str">
        <f>IF(OR($D$3=JU!$F1603,$D$3=JU!$I1603),JU!C1603,"")</f>
        <v/>
      </c>
      <c r="D1603" s="73" t="str">
        <f>IF(OR($D$3=JU!$F1603,$D$3=JU!$I1603),JU!D1603,"")</f>
        <v/>
      </c>
      <c r="E1603" s="74" t="str">
        <f>IF(OR($D$3=JU!$F1603,$D$3=JU!$I1603),JU!E1603,"")</f>
        <v/>
      </c>
      <c r="F1603" s="72">
        <f>IF($D$3=JU!F1603,JU!H1603,0)</f>
        <v>0</v>
      </c>
      <c r="G1603" s="72">
        <f>IF($D$3=JU!I1603,JU!K1603,0)</f>
        <v>0</v>
      </c>
      <c r="H1603" s="72" t="e">
        <f t="shared" si="25"/>
        <v>#REF!</v>
      </c>
    </row>
    <row r="1604" spans="2:8" hidden="1">
      <c r="B1604" s="68" t="str">
        <f>IF(OR($D$3=JU!$F1604,$D$3=JU!$I1604),JU!B1604,"")</f>
        <v/>
      </c>
      <c r="C1604" s="6" t="str">
        <f>IF(OR($D$3=JU!$F1604,$D$3=JU!$I1604),JU!C1604,"")</f>
        <v/>
      </c>
      <c r="D1604" s="73" t="str">
        <f>IF(OR($D$3=JU!$F1604,$D$3=JU!$I1604),JU!D1604,"")</f>
        <v/>
      </c>
      <c r="E1604" s="74" t="str">
        <f>IF(OR($D$3=JU!$F1604,$D$3=JU!$I1604),JU!E1604,"")</f>
        <v/>
      </c>
      <c r="F1604" s="72">
        <f>IF($D$3=JU!F1604,JU!H1604,0)</f>
        <v>0</v>
      </c>
      <c r="G1604" s="72">
        <f>IF($D$3=JU!I1604,JU!K1604,0)</f>
        <v>0</v>
      </c>
      <c r="H1604" s="72" t="e">
        <f t="shared" si="25"/>
        <v>#REF!</v>
      </c>
    </row>
    <row r="1605" spans="2:8" hidden="1">
      <c r="B1605" s="68" t="str">
        <f>IF(OR($D$3=JU!$F1605,$D$3=JU!$I1605),JU!B1605,"")</f>
        <v/>
      </c>
      <c r="C1605" s="6" t="str">
        <f>IF(OR($D$3=JU!$F1605,$D$3=JU!$I1605),JU!C1605,"")</f>
        <v/>
      </c>
      <c r="D1605" s="73" t="str">
        <f>IF(OR($D$3=JU!$F1605,$D$3=JU!$I1605),JU!D1605,"")</f>
        <v/>
      </c>
      <c r="E1605" s="74" t="str">
        <f>IF(OR($D$3=JU!$F1605,$D$3=JU!$I1605),JU!E1605,"")</f>
        <v/>
      </c>
      <c r="F1605" s="72">
        <f>IF($D$3=JU!F1605,JU!H1605,0)</f>
        <v>0</v>
      </c>
      <c r="G1605" s="72">
        <f>IF($D$3=JU!I1605,JU!K1605,0)</f>
        <v>0</v>
      </c>
      <c r="H1605" s="72" t="e">
        <f t="shared" si="25"/>
        <v>#REF!</v>
      </c>
    </row>
    <row r="1606" spans="2:8" hidden="1">
      <c r="B1606" s="68" t="str">
        <f>IF(OR($D$3=JU!$F1606,$D$3=JU!$I1606),JU!B1606,"")</f>
        <v/>
      </c>
      <c r="C1606" s="6" t="str">
        <f>IF(OR($D$3=JU!$F1606,$D$3=JU!$I1606),JU!C1606,"")</f>
        <v/>
      </c>
      <c r="D1606" s="73" t="str">
        <f>IF(OR($D$3=JU!$F1606,$D$3=JU!$I1606),JU!D1606,"")</f>
        <v/>
      </c>
      <c r="E1606" s="74" t="str">
        <f>IF(OR($D$3=JU!$F1606,$D$3=JU!$I1606),JU!E1606,"")</f>
        <v/>
      </c>
      <c r="F1606" s="72">
        <f>IF($D$3=JU!F1606,JU!H1606,0)</f>
        <v>0</v>
      </c>
      <c r="G1606" s="72">
        <f>IF($D$3=JU!I1606,JU!K1606,0)</f>
        <v>0</v>
      </c>
      <c r="H1606" s="72" t="e">
        <f t="shared" si="25"/>
        <v>#REF!</v>
      </c>
    </row>
    <row r="1607" spans="2:8" hidden="1">
      <c r="B1607" s="68" t="str">
        <f>IF(OR($D$3=JU!$F1607,$D$3=JU!$I1607),JU!B1607,"")</f>
        <v/>
      </c>
      <c r="C1607" s="6" t="str">
        <f>IF(OR($D$3=JU!$F1607,$D$3=JU!$I1607),JU!C1607,"")</f>
        <v/>
      </c>
      <c r="D1607" s="73" t="str">
        <f>IF(OR($D$3=JU!$F1607,$D$3=JU!$I1607),JU!D1607,"")</f>
        <v/>
      </c>
      <c r="E1607" s="74" t="str">
        <f>IF(OR($D$3=JU!$F1607,$D$3=JU!$I1607),JU!E1607,"")</f>
        <v/>
      </c>
      <c r="F1607" s="72">
        <f>IF($D$3=JU!F1607,JU!H1607,0)</f>
        <v>0</v>
      </c>
      <c r="G1607" s="72">
        <f>IF($D$3=JU!I1607,JU!K1607,0)</f>
        <v>0</v>
      </c>
      <c r="H1607" s="72" t="e">
        <f t="shared" si="25"/>
        <v>#REF!</v>
      </c>
    </row>
    <row r="1608" spans="2:8" hidden="1">
      <c r="B1608" s="68" t="str">
        <f>IF(OR($D$3=JU!$F1608,$D$3=JU!$I1608),JU!B1608,"")</f>
        <v/>
      </c>
      <c r="C1608" s="6" t="str">
        <f>IF(OR($D$3=JU!$F1608,$D$3=JU!$I1608),JU!C1608,"")</f>
        <v/>
      </c>
      <c r="D1608" s="73" t="str">
        <f>IF(OR($D$3=JU!$F1608,$D$3=JU!$I1608),JU!D1608,"")</f>
        <v/>
      </c>
      <c r="E1608" s="74" t="str">
        <f>IF(OR($D$3=JU!$F1608,$D$3=JU!$I1608),JU!E1608,"")</f>
        <v/>
      </c>
      <c r="F1608" s="72">
        <f>IF($D$3=JU!F1608,JU!H1608,0)</f>
        <v>0</v>
      </c>
      <c r="G1608" s="72">
        <f>IF($D$3=JU!I1608,JU!K1608,0)</f>
        <v>0</v>
      </c>
      <c r="H1608" s="72" t="e">
        <f t="shared" si="25"/>
        <v>#REF!</v>
      </c>
    </row>
    <row r="1609" spans="2:8" hidden="1">
      <c r="B1609" s="68" t="str">
        <f>IF(OR($D$3=JU!$F1609,$D$3=JU!$I1609),JU!B1609,"")</f>
        <v/>
      </c>
      <c r="C1609" s="6" t="str">
        <f>IF(OR($D$3=JU!$F1609,$D$3=JU!$I1609),JU!C1609,"")</f>
        <v/>
      </c>
      <c r="D1609" s="73" t="str">
        <f>IF(OR($D$3=JU!$F1609,$D$3=JU!$I1609),JU!D1609,"")</f>
        <v/>
      </c>
      <c r="E1609" s="74" t="str">
        <f>IF(OR($D$3=JU!$F1609,$D$3=JU!$I1609),JU!E1609,"")</f>
        <v/>
      </c>
      <c r="F1609" s="72">
        <f>IF($D$3=JU!F1609,JU!H1609,0)</f>
        <v>0</v>
      </c>
      <c r="G1609" s="72">
        <f>IF($D$3=JU!I1609,JU!K1609,0)</f>
        <v>0</v>
      </c>
      <c r="H1609" s="72" t="e">
        <f t="shared" si="25"/>
        <v>#REF!</v>
      </c>
    </row>
    <row r="1610" spans="2:8" hidden="1">
      <c r="B1610" s="68" t="str">
        <f>IF(OR($D$3=JU!$F1610,$D$3=JU!$I1610),JU!B1610,"")</f>
        <v/>
      </c>
      <c r="C1610" s="6" t="str">
        <f>IF(OR($D$3=JU!$F1610,$D$3=JU!$I1610),JU!C1610,"")</f>
        <v/>
      </c>
      <c r="D1610" s="73" t="str">
        <f>IF(OR($D$3=JU!$F1610,$D$3=JU!$I1610),JU!D1610,"")</f>
        <v/>
      </c>
      <c r="E1610" s="74" t="str">
        <f>IF(OR($D$3=JU!$F1610,$D$3=JU!$I1610),JU!E1610,"")</f>
        <v/>
      </c>
      <c r="F1610" s="72">
        <f>IF($D$3=JU!F1610,JU!H1610,0)</f>
        <v>0</v>
      </c>
      <c r="G1610" s="72">
        <f>IF($D$3=JU!I1610,JU!K1610,0)</f>
        <v>0</v>
      </c>
      <c r="H1610" s="72" t="e">
        <f t="shared" si="25"/>
        <v>#REF!</v>
      </c>
    </row>
    <row r="1611" spans="2:8" hidden="1">
      <c r="B1611" s="68" t="str">
        <f>IF(OR($D$3=JU!$F1611,$D$3=JU!$I1611),JU!B1611,"")</f>
        <v/>
      </c>
      <c r="C1611" s="6" t="str">
        <f>IF(OR($D$3=JU!$F1611,$D$3=JU!$I1611),JU!C1611,"")</f>
        <v/>
      </c>
      <c r="D1611" s="73" t="str">
        <f>IF(OR($D$3=JU!$F1611,$D$3=JU!$I1611),JU!D1611,"")</f>
        <v/>
      </c>
      <c r="E1611" s="74" t="str">
        <f>IF(OR($D$3=JU!$F1611,$D$3=JU!$I1611),JU!E1611,"")</f>
        <v/>
      </c>
      <c r="F1611" s="72">
        <f>IF($D$3=JU!F1611,JU!H1611,0)</f>
        <v>0</v>
      </c>
      <c r="G1611" s="72">
        <f>IF($D$3=JU!I1611,JU!K1611,0)</f>
        <v>0</v>
      </c>
      <c r="H1611" s="72" t="e">
        <f t="shared" si="25"/>
        <v>#REF!</v>
      </c>
    </row>
    <row r="1612" spans="2:8" hidden="1">
      <c r="B1612" s="68" t="str">
        <f>IF(OR($D$3=JU!$F1612,$D$3=JU!$I1612),JU!B1612,"")</f>
        <v/>
      </c>
      <c r="C1612" s="6" t="str">
        <f>IF(OR($D$3=JU!$F1612,$D$3=JU!$I1612),JU!C1612,"")</f>
        <v/>
      </c>
      <c r="D1612" s="73" t="str">
        <f>IF(OR($D$3=JU!$F1612,$D$3=JU!$I1612),JU!D1612,"")</f>
        <v/>
      </c>
      <c r="E1612" s="74" t="str">
        <f>IF(OR($D$3=JU!$F1612,$D$3=JU!$I1612),JU!E1612,"")</f>
        <v/>
      </c>
      <c r="F1612" s="72">
        <f>IF($D$3=JU!F1612,JU!H1612,0)</f>
        <v>0</v>
      </c>
      <c r="G1612" s="72">
        <f>IF($D$3=JU!I1612,JU!K1612,0)</f>
        <v>0</v>
      </c>
      <c r="H1612" s="72" t="e">
        <f t="shared" si="25"/>
        <v>#REF!</v>
      </c>
    </row>
    <row r="1613" spans="2:8" hidden="1">
      <c r="B1613" s="68" t="str">
        <f>IF(OR($D$3=JU!$F1613,$D$3=JU!$I1613),JU!B1613,"")</f>
        <v/>
      </c>
      <c r="C1613" s="6" t="str">
        <f>IF(OR($D$3=JU!$F1613,$D$3=JU!$I1613),JU!C1613,"")</f>
        <v/>
      </c>
      <c r="D1613" s="73" t="str">
        <f>IF(OR($D$3=JU!$F1613,$D$3=JU!$I1613),JU!D1613,"")</f>
        <v/>
      </c>
      <c r="E1613" s="74" t="str">
        <f>IF(OR($D$3=JU!$F1613,$D$3=JU!$I1613),JU!E1613,"")</f>
        <v/>
      </c>
      <c r="F1613" s="72">
        <f>IF($D$3=JU!F1613,JU!H1613,0)</f>
        <v>0</v>
      </c>
      <c r="G1613" s="72">
        <f>IF($D$3=JU!I1613,JU!K1613,0)</f>
        <v>0</v>
      </c>
      <c r="H1613" s="72" t="e">
        <f t="shared" si="25"/>
        <v>#REF!</v>
      </c>
    </row>
    <row r="1614" spans="2:8" hidden="1">
      <c r="B1614" s="68" t="str">
        <f>IF(OR($D$3=JU!$F1614,$D$3=JU!$I1614),JU!B1614,"")</f>
        <v/>
      </c>
      <c r="C1614" s="6" t="str">
        <f>IF(OR($D$3=JU!$F1614,$D$3=JU!$I1614),JU!C1614,"")</f>
        <v/>
      </c>
      <c r="D1614" s="73" t="str">
        <f>IF(OR($D$3=JU!$F1614,$D$3=JU!$I1614),JU!D1614,"")</f>
        <v/>
      </c>
      <c r="E1614" s="74" t="str">
        <f>IF(OR($D$3=JU!$F1614,$D$3=JU!$I1614),JU!E1614,"")</f>
        <v/>
      </c>
      <c r="F1614" s="72">
        <f>IF($D$3=JU!F1614,JU!H1614,0)</f>
        <v>0</v>
      </c>
      <c r="G1614" s="72">
        <f>IF($D$3=JU!I1614,JU!K1614,0)</f>
        <v>0</v>
      </c>
      <c r="H1614" s="72" t="e">
        <f t="shared" ref="H1614:H1677" si="26">IF($H$7="DEBET",H1613+F1614-G1614,H1613+G1614-F1614)</f>
        <v>#REF!</v>
      </c>
    </row>
    <row r="1615" spans="2:8" hidden="1">
      <c r="B1615" s="68" t="str">
        <f>IF(OR($D$3=JU!$F1615,$D$3=JU!$I1615),JU!B1615,"")</f>
        <v/>
      </c>
      <c r="C1615" s="6" t="str">
        <f>IF(OR($D$3=JU!$F1615,$D$3=JU!$I1615),JU!C1615,"")</f>
        <v/>
      </c>
      <c r="D1615" s="73" t="str">
        <f>IF(OR($D$3=JU!$F1615,$D$3=JU!$I1615),JU!D1615,"")</f>
        <v/>
      </c>
      <c r="E1615" s="74" t="str">
        <f>IF(OR($D$3=JU!$F1615,$D$3=JU!$I1615),JU!E1615,"")</f>
        <v/>
      </c>
      <c r="F1615" s="72">
        <f>IF($D$3=JU!F1615,JU!H1615,0)</f>
        <v>0</v>
      </c>
      <c r="G1615" s="72">
        <f>IF($D$3=JU!I1615,JU!K1615,0)</f>
        <v>0</v>
      </c>
      <c r="H1615" s="72" t="e">
        <f t="shared" si="26"/>
        <v>#REF!</v>
      </c>
    </row>
    <row r="1616" spans="2:8" hidden="1">
      <c r="B1616" s="68" t="str">
        <f>IF(OR($D$3=JU!$F1616,$D$3=JU!$I1616),JU!B1616,"")</f>
        <v/>
      </c>
      <c r="C1616" s="6" t="str">
        <f>IF(OR($D$3=JU!$F1616,$D$3=JU!$I1616),JU!C1616,"")</f>
        <v/>
      </c>
      <c r="D1616" s="73" t="str">
        <f>IF(OR($D$3=JU!$F1616,$D$3=JU!$I1616),JU!D1616,"")</f>
        <v/>
      </c>
      <c r="E1616" s="74" t="str">
        <f>IF(OR($D$3=JU!$F1616,$D$3=JU!$I1616),JU!E1616,"")</f>
        <v/>
      </c>
      <c r="F1616" s="72">
        <f>IF($D$3=JU!F1616,JU!H1616,0)</f>
        <v>0</v>
      </c>
      <c r="G1616" s="72">
        <f>IF($D$3=JU!I1616,JU!K1616,0)</f>
        <v>0</v>
      </c>
      <c r="H1616" s="72" t="e">
        <f t="shared" si="26"/>
        <v>#REF!</v>
      </c>
    </row>
    <row r="1617" spans="2:8" hidden="1">
      <c r="B1617" s="68" t="str">
        <f>IF(OR($D$3=JU!$F1617,$D$3=JU!$I1617),JU!B1617,"")</f>
        <v/>
      </c>
      <c r="C1617" s="6" t="str">
        <f>IF(OR($D$3=JU!$F1617,$D$3=JU!$I1617),JU!C1617,"")</f>
        <v/>
      </c>
      <c r="D1617" s="73" t="str">
        <f>IF(OR($D$3=JU!$F1617,$D$3=JU!$I1617),JU!D1617,"")</f>
        <v/>
      </c>
      <c r="E1617" s="74" t="str">
        <f>IF(OR($D$3=JU!$F1617,$D$3=JU!$I1617),JU!E1617,"")</f>
        <v/>
      </c>
      <c r="F1617" s="72">
        <f>IF($D$3=JU!F1617,JU!H1617,0)</f>
        <v>0</v>
      </c>
      <c r="G1617" s="72">
        <f>IF($D$3=JU!I1617,JU!K1617,0)</f>
        <v>0</v>
      </c>
      <c r="H1617" s="72" t="e">
        <f t="shared" si="26"/>
        <v>#REF!</v>
      </c>
    </row>
    <row r="1618" spans="2:8" hidden="1">
      <c r="B1618" s="68" t="str">
        <f>IF(OR($D$3=JU!$F1618,$D$3=JU!$I1618),JU!B1618,"")</f>
        <v/>
      </c>
      <c r="C1618" s="6" t="str">
        <f>IF(OR($D$3=JU!$F1618,$D$3=JU!$I1618),JU!C1618,"")</f>
        <v/>
      </c>
      <c r="D1618" s="73" t="str">
        <f>IF(OR($D$3=JU!$F1618,$D$3=JU!$I1618),JU!D1618,"")</f>
        <v/>
      </c>
      <c r="E1618" s="74" t="str">
        <f>IF(OR($D$3=JU!$F1618,$D$3=JU!$I1618),JU!E1618,"")</f>
        <v/>
      </c>
      <c r="F1618" s="72">
        <f>IF($D$3=JU!F1618,JU!H1618,0)</f>
        <v>0</v>
      </c>
      <c r="G1618" s="72">
        <f>IF($D$3=JU!I1618,JU!K1618,0)</f>
        <v>0</v>
      </c>
      <c r="H1618" s="72" t="e">
        <f t="shared" si="26"/>
        <v>#REF!</v>
      </c>
    </row>
    <row r="1619" spans="2:8" hidden="1">
      <c r="B1619" s="68" t="str">
        <f>IF(OR($D$3=JU!$F1619,$D$3=JU!$I1619),JU!B1619,"")</f>
        <v/>
      </c>
      <c r="C1619" s="6" t="str">
        <f>IF(OR($D$3=JU!$F1619,$D$3=JU!$I1619),JU!C1619,"")</f>
        <v/>
      </c>
      <c r="D1619" s="73" t="str">
        <f>IF(OR($D$3=JU!$F1619,$D$3=JU!$I1619),JU!D1619,"")</f>
        <v/>
      </c>
      <c r="E1619" s="74" t="str">
        <f>IF(OR($D$3=JU!$F1619,$D$3=JU!$I1619),JU!E1619,"")</f>
        <v/>
      </c>
      <c r="F1619" s="72">
        <f>IF($D$3=JU!F1619,JU!H1619,0)</f>
        <v>0</v>
      </c>
      <c r="G1619" s="72">
        <f>IF($D$3=JU!I1619,JU!K1619,0)</f>
        <v>0</v>
      </c>
      <c r="H1619" s="72" t="e">
        <f t="shared" si="26"/>
        <v>#REF!</v>
      </c>
    </row>
    <row r="1620" spans="2:8" hidden="1">
      <c r="B1620" s="68" t="str">
        <f>IF(OR($D$3=JU!$F1620,$D$3=JU!$I1620),JU!B1620,"")</f>
        <v/>
      </c>
      <c r="C1620" s="6" t="str">
        <f>IF(OR($D$3=JU!$F1620,$D$3=JU!$I1620),JU!C1620,"")</f>
        <v/>
      </c>
      <c r="D1620" s="73" t="str">
        <f>IF(OR($D$3=JU!$F1620,$D$3=JU!$I1620),JU!D1620,"")</f>
        <v/>
      </c>
      <c r="E1620" s="74" t="str">
        <f>IF(OR($D$3=JU!$F1620,$D$3=JU!$I1620),JU!E1620,"")</f>
        <v/>
      </c>
      <c r="F1620" s="72">
        <f>IF($D$3=JU!F1620,JU!H1620,0)</f>
        <v>0</v>
      </c>
      <c r="G1620" s="72">
        <f>IF($D$3=JU!I1620,JU!K1620,0)</f>
        <v>0</v>
      </c>
      <c r="H1620" s="72" t="e">
        <f t="shared" si="26"/>
        <v>#REF!</v>
      </c>
    </row>
    <row r="1621" spans="2:8" hidden="1">
      <c r="B1621" s="68" t="str">
        <f>IF(OR($D$3=JU!$F1621,$D$3=JU!$I1621),JU!B1621,"")</f>
        <v/>
      </c>
      <c r="C1621" s="6" t="str">
        <f>IF(OR($D$3=JU!$F1621,$D$3=JU!$I1621),JU!C1621,"")</f>
        <v/>
      </c>
      <c r="D1621" s="73" t="str">
        <f>IF(OR($D$3=JU!$F1621,$D$3=JU!$I1621),JU!D1621,"")</f>
        <v/>
      </c>
      <c r="E1621" s="74" t="str">
        <f>IF(OR($D$3=JU!$F1621,$D$3=JU!$I1621),JU!E1621,"")</f>
        <v/>
      </c>
      <c r="F1621" s="72">
        <f>IF($D$3=JU!F1621,JU!H1621,0)</f>
        <v>0</v>
      </c>
      <c r="G1621" s="72">
        <f>IF($D$3=JU!I1621,JU!K1621,0)</f>
        <v>0</v>
      </c>
      <c r="H1621" s="72" t="e">
        <f t="shared" si="26"/>
        <v>#REF!</v>
      </c>
    </row>
    <row r="1622" spans="2:8" hidden="1">
      <c r="B1622" s="68" t="str">
        <f>IF(OR($D$3=JU!$F1622,$D$3=JU!$I1622),JU!B1622,"")</f>
        <v/>
      </c>
      <c r="C1622" s="6" t="str">
        <f>IF(OR($D$3=JU!$F1622,$D$3=JU!$I1622),JU!C1622,"")</f>
        <v/>
      </c>
      <c r="D1622" s="73" t="str">
        <f>IF(OR($D$3=JU!$F1622,$D$3=JU!$I1622),JU!D1622,"")</f>
        <v/>
      </c>
      <c r="E1622" s="74" t="str">
        <f>IF(OR($D$3=JU!$F1622,$D$3=JU!$I1622),JU!E1622,"")</f>
        <v/>
      </c>
      <c r="F1622" s="72">
        <f>IF($D$3=JU!F1622,JU!H1622,0)</f>
        <v>0</v>
      </c>
      <c r="G1622" s="72">
        <f>IF($D$3=JU!I1622,JU!K1622,0)</f>
        <v>0</v>
      </c>
      <c r="H1622" s="72" t="e">
        <f t="shared" si="26"/>
        <v>#REF!</v>
      </c>
    </row>
    <row r="1623" spans="2:8" hidden="1">
      <c r="B1623" s="68" t="str">
        <f>IF(OR($D$3=JU!$F1623,$D$3=JU!$I1623),JU!B1623,"")</f>
        <v/>
      </c>
      <c r="C1623" s="6" t="str">
        <f>IF(OR($D$3=JU!$F1623,$D$3=JU!$I1623),JU!C1623,"")</f>
        <v/>
      </c>
      <c r="D1623" s="73" t="str">
        <f>IF(OR($D$3=JU!$F1623,$D$3=JU!$I1623),JU!D1623,"")</f>
        <v/>
      </c>
      <c r="E1623" s="74" t="str">
        <f>IF(OR($D$3=JU!$F1623,$D$3=JU!$I1623),JU!E1623,"")</f>
        <v/>
      </c>
      <c r="F1623" s="72">
        <f>IF($D$3=JU!F1623,JU!H1623,0)</f>
        <v>0</v>
      </c>
      <c r="G1623" s="72">
        <f>IF($D$3=JU!I1623,JU!K1623,0)</f>
        <v>0</v>
      </c>
      <c r="H1623" s="72" t="e">
        <f t="shared" si="26"/>
        <v>#REF!</v>
      </c>
    </row>
    <row r="1624" spans="2:8" hidden="1">
      <c r="B1624" s="68" t="str">
        <f>IF(OR($D$3=JU!$F1624,$D$3=JU!$I1624),JU!B1624,"")</f>
        <v/>
      </c>
      <c r="C1624" s="6" t="str">
        <f>IF(OR($D$3=JU!$F1624,$D$3=JU!$I1624),JU!C1624,"")</f>
        <v/>
      </c>
      <c r="D1624" s="73" t="str">
        <f>IF(OR($D$3=JU!$F1624,$D$3=JU!$I1624),JU!D1624,"")</f>
        <v/>
      </c>
      <c r="E1624" s="74" t="str">
        <f>IF(OR($D$3=JU!$F1624,$D$3=JU!$I1624),JU!E1624,"")</f>
        <v/>
      </c>
      <c r="F1624" s="72">
        <f>IF($D$3=JU!F1624,JU!H1624,0)</f>
        <v>0</v>
      </c>
      <c r="G1624" s="72">
        <f>IF($D$3=JU!I1624,JU!K1624,0)</f>
        <v>0</v>
      </c>
      <c r="H1624" s="72" t="e">
        <f t="shared" si="26"/>
        <v>#REF!</v>
      </c>
    </row>
    <row r="1625" spans="2:8" hidden="1">
      <c r="B1625" s="68" t="str">
        <f>IF(OR($D$3=JU!$F1625,$D$3=JU!$I1625),JU!B1625,"")</f>
        <v/>
      </c>
      <c r="C1625" s="6" t="str">
        <f>IF(OR($D$3=JU!$F1625,$D$3=JU!$I1625),JU!C1625,"")</f>
        <v/>
      </c>
      <c r="D1625" s="73" t="str">
        <f>IF(OR($D$3=JU!$F1625,$D$3=JU!$I1625),JU!D1625,"")</f>
        <v/>
      </c>
      <c r="E1625" s="74" t="str">
        <f>IF(OR($D$3=JU!$F1625,$D$3=JU!$I1625),JU!E1625,"")</f>
        <v/>
      </c>
      <c r="F1625" s="72">
        <f>IF($D$3=JU!F1625,JU!H1625,0)</f>
        <v>0</v>
      </c>
      <c r="G1625" s="72">
        <f>IF($D$3=JU!I1625,JU!K1625,0)</f>
        <v>0</v>
      </c>
      <c r="H1625" s="72" t="e">
        <f t="shared" si="26"/>
        <v>#REF!</v>
      </c>
    </row>
    <row r="1626" spans="2:8" hidden="1">
      <c r="B1626" s="68" t="str">
        <f>IF(OR($D$3=JU!$F1626,$D$3=JU!$I1626),JU!B1626,"")</f>
        <v/>
      </c>
      <c r="C1626" s="6" t="str">
        <f>IF(OR($D$3=JU!$F1626,$D$3=JU!$I1626),JU!C1626,"")</f>
        <v/>
      </c>
      <c r="D1626" s="73" t="str">
        <f>IF(OR($D$3=JU!$F1626,$D$3=JU!$I1626),JU!D1626,"")</f>
        <v/>
      </c>
      <c r="E1626" s="74" t="str">
        <f>IF(OR($D$3=JU!$F1626,$D$3=JU!$I1626),JU!E1626,"")</f>
        <v/>
      </c>
      <c r="F1626" s="72">
        <f>IF($D$3=JU!F1626,JU!H1626,0)</f>
        <v>0</v>
      </c>
      <c r="G1626" s="72">
        <f>IF($D$3=JU!I1626,JU!K1626,0)</f>
        <v>0</v>
      </c>
      <c r="H1626" s="72" t="e">
        <f t="shared" si="26"/>
        <v>#REF!</v>
      </c>
    </row>
    <row r="1627" spans="2:8" hidden="1">
      <c r="B1627" s="68" t="str">
        <f>IF(OR($D$3=JU!$F1627,$D$3=JU!$I1627),JU!B1627,"")</f>
        <v/>
      </c>
      <c r="C1627" s="6" t="str">
        <f>IF(OR($D$3=JU!$F1627,$D$3=JU!$I1627),JU!C1627,"")</f>
        <v/>
      </c>
      <c r="D1627" s="73" t="str">
        <f>IF(OR($D$3=JU!$F1627,$D$3=JU!$I1627),JU!D1627,"")</f>
        <v/>
      </c>
      <c r="E1627" s="74" t="str">
        <f>IF(OR($D$3=JU!$F1627,$D$3=JU!$I1627),JU!E1627,"")</f>
        <v/>
      </c>
      <c r="F1627" s="72">
        <f>IF($D$3=JU!F1627,JU!H1627,0)</f>
        <v>0</v>
      </c>
      <c r="G1627" s="72">
        <f>IF($D$3=JU!I1627,JU!K1627,0)</f>
        <v>0</v>
      </c>
      <c r="H1627" s="72" t="e">
        <f t="shared" si="26"/>
        <v>#REF!</v>
      </c>
    </row>
    <row r="1628" spans="2:8" hidden="1">
      <c r="B1628" s="68" t="str">
        <f>IF(OR($D$3=JU!$F1628,$D$3=JU!$I1628),JU!B1628,"")</f>
        <v/>
      </c>
      <c r="C1628" s="6" t="str">
        <f>IF(OR($D$3=JU!$F1628,$D$3=JU!$I1628),JU!C1628,"")</f>
        <v/>
      </c>
      <c r="D1628" s="73" t="str">
        <f>IF(OR($D$3=JU!$F1628,$D$3=JU!$I1628),JU!D1628,"")</f>
        <v/>
      </c>
      <c r="E1628" s="74" t="str">
        <f>IF(OR($D$3=JU!$F1628,$D$3=JU!$I1628),JU!E1628,"")</f>
        <v/>
      </c>
      <c r="F1628" s="72">
        <f>IF($D$3=JU!F1628,JU!H1628,0)</f>
        <v>0</v>
      </c>
      <c r="G1628" s="72">
        <f>IF($D$3=JU!I1628,JU!K1628,0)</f>
        <v>0</v>
      </c>
      <c r="H1628" s="72" t="e">
        <f t="shared" si="26"/>
        <v>#REF!</v>
      </c>
    </row>
    <row r="1629" spans="2:8" hidden="1">
      <c r="B1629" s="68" t="str">
        <f>IF(OR($D$3=JU!$F1629,$D$3=JU!$I1629),JU!B1629,"")</f>
        <v/>
      </c>
      <c r="C1629" s="6" t="str">
        <f>IF(OR($D$3=JU!$F1629,$D$3=JU!$I1629),JU!C1629,"")</f>
        <v/>
      </c>
      <c r="D1629" s="73" t="str">
        <f>IF(OR($D$3=JU!$F1629,$D$3=JU!$I1629),JU!D1629,"")</f>
        <v/>
      </c>
      <c r="E1629" s="74" t="str">
        <f>IF(OR($D$3=JU!$F1629,$D$3=JU!$I1629),JU!E1629,"")</f>
        <v/>
      </c>
      <c r="F1629" s="72">
        <f>IF($D$3=JU!F1629,JU!H1629,0)</f>
        <v>0</v>
      </c>
      <c r="G1629" s="72">
        <f>IF($D$3=JU!I1629,JU!K1629,0)</f>
        <v>0</v>
      </c>
      <c r="H1629" s="72" t="e">
        <f t="shared" si="26"/>
        <v>#REF!</v>
      </c>
    </row>
    <row r="1630" spans="2:8" hidden="1">
      <c r="B1630" s="68" t="str">
        <f>IF(OR($D$3=JU!$F1630,$D$3=JU!$I1630),JU!B1630,"")</f>
        <v/>
      </c>
      <c r="C1630" s="6" t="str">
        <f>IF(OR($D$3=JU!$F1630,$D$3=JU!$I1630),JU!C1630,"")</f>
        <v/>
      </c>
      <c r="D1630" s="73" t="str">
        <f>IF(OR($D$3=JU!$F1630,$D$3=JU!$I1630),JU!D1630,"")</f>
        <v/>
      </c>
      <c r="E1630" s="74" t="str">
        <f>IF(OR($D$3=JU!$F1630,$D$3=JU!$I1630),JU!E1630,"")</f>
        <v/>
      </c>
      <c r="F1630" s="72">
        <f>IF($D$3=JU!F1630,JU!H1630,0)</f>
        <v>0</v>
      </c>
      <c r="G1630" s="72">
        <f>IF($D$3=JU!I1630,JU!K1630,0)</f>
        <v>0</v>
      </c>
      <c r="H1630" s="72" t="e">
        <f t="shared" si="26"/>
        <v>#REF!</v>
      </c>
    </row>
    <row r="1631" spans="2:8" hidden="1">
      <c r="B1631" s="68" t="str">
        <f>IF(OR($D$3=JU!$F1631,$D$3=JU!$I1631),JU!B1631,"")</f>
        <v/>
      </c>
      <c r="C1631" s="6" t="str">
        <f>IF(OR($D$3=JU!$F1631,$D$3=JU!$I1631),JU!C1631,"")</f>
        <v/>
      </c>
      <c r="D1631" s="73" t="str">
        <f>IF(OR($D$3=JU!$F1631,$D$3=JU!$I1631),JU!D1631,"")</f>
        <v/>
      </c>
      <c r="E1631" s="74" t="str">
        <f>IF(OR($D$3=JU!$F1631,$D$3=JU!$I1631),JU!E1631,"")</f>
        <v/>
      </c>
      <c r="F1631" s="72">
        <f>IF($D$3=JU!F1631,JU!H1631,0)</f>
        <v>0</v>
      </c>
      <c r="G1631" s="72">
        <f>IF($D$3=JU!I1631,JU!K1631,0)</f>
        <v>0</v>
      </c>
      <c r="H1631" s="72" t="e">
        <f t="shared" si="26"/>
        <v>#REF!</v>
      </c>
    </row>
    <row r="1632" spans="2:8" hidden="1">
      <c r="B1632" s="68" t="str">
        <f>IF(OR($D$3=JU!$F1632,$D$3=JU!$I1632),JU!B1632,"")</f>
        <v/>
      </c>
      <c r="C1632" s="6" t="str">
        <f>IF(OR($D$3=JU!$F1632,$D$3=JU!$I1632),JU!C1632,"")</f>
        <v/>
      </c>
      <c r="D1632" s="73" t="str">
        <f>IF(OR($D$3=JU!$F1632,$D$3=JU!$I1632),JU!D1632,"")</f>
        <v/>
      </c>
      <c r="E1632" s="74" t="str">
        <f>IF(OR($D$3=JU!$F1632,$D$3=JU!$I1632),JU!E1632,"")</f>
        <v/>
      </c>
      <c r="F1632" s="72">
        <f>IF($D$3=JU!F1632,JU!H1632,0)</f>
        <v>0</v>
      </c>
      <c r="G1632" s="72">
        <f>IF($D$3=JU!I1632,JU!K1632,0)</f>
        <v>0</v>
      </c>
      <c r="H1632" s="72" t="e">
        <f t="shared" si="26"/>
        <v>#REF!</v>
      </c>
    </row>
    <row r="1633" spans="2:8" hidden="1">
      <c r="B1633" s="68" t="str">
        <f>IF(OR($D$3=JU!$F1633,$D$3=JU!$I1633),JU!B1633,"")</f>
        <v/>
      </c>
      <c r="C1633" s="6" t="str">
        <f>IF(OR($D$3=JU!$F1633,$D$3=JU!$I1633),JU!C1633,"")</f>
        <v/>
      </c>
      <c r="D1633" s="73" t="str">
        <f>IF(OR($D$3=JU!$F1633,$D$3=JU!$I1633),JU!D1633,"")</f>
        <v/>
      </c>
      <c r="E1633" s="74" t="str">
        <f>IF(OR($D$3=JU!$F1633,$D$3=JU!$I1633),JU!E1633,"")</f>
        <v/>
      </c>
      <c r="F1633" s="72">
        <f>IF($D$3=JU!F1633,JU!H1633,0)</f>
        <v>0</v>
      </c>
      <c r="G1633" s="72">
        <f>IF($D$3=JU!I1633,JU!K1633,0)</f>
        <v>0</v>
      </c>
      <c r="H1633" s="72" t="e">
        <f t="shared" si="26"/>
        <v>#REF!</v>
      </c>
    </row>
    <row r="1634" spans="2:8" hidden="1">
      <c r="B1634" s="68" t="str">
        <f>IF(OR($D$3=JU!$F1634,$D$3=JU!$I1634),JU!B1634,"")</f>
        <v/>
      </c>
      <c r="C1634" s="6" t="str">
        <f>IF(OR($D$3=JU!$F1634,$D$3=JU!$I1634),JU!C1634,"")</f>
        <v/>
      </c>
      <c r="D1634" s="73" t="str">
        <f>IF(OR($D$3=JU!$F1634,$D$3=JU!$I1634),JU!D1634,"")</f>
        <v/>
      </c>
      <c r="E1634" s="74" t="str">
        <f>IF(OR($D$3=JU!$F1634,$D$3=JU!$I1634),JU!E1634,"")</f>
        <v/>
      </c>
      <c r="F1634" s="72">
        <f>IF($D$3=JU!F1634,JU!H1634,0)</f>
        <v>0</v>
      </c>
      <c r="G1634" s="72">
        <f>IF($D$3=JU!I1634,JU!K1634,0)</f>
        <v>0</v>
      </c>
      <c r="H1634" s="72" t="e">
        <f t="shared" si="26"/>
        <v>#REF!</v>
      </c>
    </row>
    <row r="1635" spans="2:8" hidden="1">
      <c r="B1635" s="68" t="str">
        <f>IF(OR($D$3=JU!$F1635,$D$3=JU!$I1635),JU!B1635,"")</f>
        <v/>
      </c>
      <c r="C1635" s="6" t="str">
        <f>IF(OR($D$3=JU!$F1635,$D$3=JU!$I1635),JU!C1635,"")</f>
        <v/>
      </c>
      <c r="D1635" s="73" t="str">
        <f>IF(OR($D$3=JU!$F1635,$D$3=JU!$I1635),JU!D1635,"")</f>
        <v/>
      </c>
      <c r="E1635" s="74" t="str">
        <f>IF(OR($D$3=JU!$F1635,$D$3=JU!$I1635),JU!E1635,"")</f>
        <v/>
      </c>
      <c r="F1635" s="72">
        <f>IF($D$3=JU!F1635,JU!H1635,0)</f>
        <v>0</v>
      </c>
      <c r="G1635" s="72">
        <f>IF($D$3=JU!I1635,JU!K1635,0)</f>
        <v>0</v>
      </c>
      <c r="H1635" s="72" t="e">
        <f t="shared" si="26"/>
        <v>#REF!</v>
      </c>
    </row>
    <row r="1636" spans="2:8" hidden="1">
      <c r="B1636" s="68" t="str">
        <f>IF(OR($D$3=JU!$F1636,$D$3=JU!$I1636),JU!B1636,"")</f>
        <v/>
      </c>
      <c r="C1636" s="6" t="str">
        <f>IF(OR($D$3=JU!$F1636,$D$3=JU!$I1636),JU!C1636,"")</f>
        <v/>
      </c>
      <c r="D1636" s="73" t="str">
        <f>IF(OR($D$3=JU!$F1636,$D$3=JU!$I1636),JU!D1636,"")</f>
        <v/>
      </c>
      <c r="E1636" s="74" t="str">
        <f>IF(OR($D$3=JU!$F1636,$D$3=JU!$I1636),JU!E1636,"")</f>
        <v/>
      </c>
      <c r="F1636" s="72">
        <f>IF($D$3=JU!F1636,JU!H1636,0)</f>
        <v>0</v>
      </c>
      <c r="G1636" s="72">
        <f>IF($D$3=JU!I1636,JU!K1636,0)</f>
        <v>0</v>
      </c>
      <c r="H1636" s="72" t="e">
        <f t="shared" si="26"/>
        <v>#REF!</v>
      </c>
    </row>
    <row r="1637" spans="2:8" hidden="1">
      <c r="B1637" s="68" t="str">
        <f>IF(OR($D$3=JU!$F1637,$D$3=JU!$I1637),JU!B1637,"")</f>
        <v/>
      </c>
      <c r="C1637" s="6" t="str">
        <f>IF(OR($D$3=JU!$F1637,$D$3=JU!$I1637),JU!C1637,"")</f>
        <v/>
      </c>
      <c r="D1637" s="73" t="str">
        <f>IF(OR($D$3=JU!$F1637,$D$3=JU!$I1637),JU!D1637,"")</f>
        <v/>
      </c>
      <c r="E1637" s="74" t="str">
        <f>IF(OR($D$3=JU!$F1637,$D$3=JU!$I1637),JU!E1637,"")</f>
        <v/>
      </c>
      <c r="F1637" s="72">
        <f>IF($D$3=JU!F1637,JU!H1637,0)</f>
        <v>0</v>
      </c>
      <c r="G1637" s="72">
        <f>IF($D$3=JU!I1637,JU!K1637,0)</f>
        <v>0</v>
      </c>
      <c r="H1637" s="72" t="e">
        <f t="shared" si="26"/>
        <v>#REF!</v>
      </c>
    </row>
    <row r="1638" spans="2:8" hidden="1">
      <c r="B1638" s="68" t="str">
        <f>IF(OR($D$3=JU!$F1638,$D$3=JU!$I1638),JU!B1638,"")</f>
        <v/>
      </c>
      <c r="C1638" s="6" t="str">
        <f>IF(OR($D$3=JU!$F1638,$D$3=JU!$I1638),JU!C1638,"")</f>
        <v/>
      </c>
      <c r="D1638" s="73" t="str">
        <f>IF(OR($D$3=JU!$F1638,$D$3=JU!$I1638),JU!D1638,"")</f>
        <v/>
      </c>
      <c r="E1638" s="74" t="str">
        <f>IF(OR($D$3=JU!$F1638,$D$3=JU!$I1638),JU!E1638,"")</f>
        <v/>
      </c>
      <c r="F1638" s="72">
        <f>IF($D$3=JU!F1638,JU!H1638,0)</f>
        <v>0</v>
      </c>
      <c r="G1638" s="72">
        <f>IF($D$3=JU!I1638,JU!K1638,0)</f>
        <v>0</v>
      </c>
      <c r="H1638" s="72" t="e">
        <f t="shared" si="26"/>
        <v>#REF!</v>
      </c>
    </row>
    <row r="1639" spans="2:8" hidden="1">
      <c r="B1639" s="68" t="str">
        <f>IF(OR($D$3=JU!$F1639,$D$3=JU!$I1639),JU!B1639,"")</f>
        <v/>
      </c>
      <c r="C1639" s="6" t="str">
        <f>IF(OR($D$3=JU!$F1639,$D$3=JU!$I1639),JU!C1639,"")</f>
        <v/>
      </c>
      <c r="D1639" s="73" t="str">
        <f>IF(OR($D$3=JU!$F1639,$D$3=JU!$I1639),JU!D1639,"")</f>
        <v/>
      </c>
      <c r="E1639" s="74" t="str">
        <f>IF(OR($D$3=JU!$F1639,$D$3=JU!$I1639),JU!E1639,"")</f>
        <v/>
      </c>
      <c r="F1639" s="72">
        <f>IF($D$3=JU!F1639,JU!H1639,0)</f>
        <v>0</v>
      </c>
      <c r="G1639" s="72">
        <f>IF($D$3=JU!I1639,JU!K1639,0)</f>
        <v>0</v>
      </c>
      <c r="H1639" s="72" t="e">
        <f t="shared" si="26"/>
        <v>#REF!</v>
      </c>
    </row>
    <row r="1640" spans="2:8" hidden="1">
      <c r="B1640" s="68" t="str">
        <f>IF(OR($D$3=JU!$F1640,$D$3=JU!$I1640),JU!B1640,"")</f>
        <v/>
      </c>
      <c r="C1640" s="6" t="str">
        <f>IF(OR($D$3=JU!$F1640,$D$3=JU!$I1640),JU!C1640,"")</f>
        <v/>
      </c>
      <c r="D1640" s="73" t="str">
        <f>IF(OR($D$3=JU!$F1640,$D$3=JU!$I1640),JU!D1640,"")</f>
        <v/>
      </c>
      <c r="E1640" s="74" t="str">
        <f>IF(OR($D$3=JU!$F1640,$D$3=JU!$I1640),JU!E1640,"")</f>
        <v/>
      </c>
      <c r="F1640" s="72">
        <f>IF($D$3=JU!F1640,JU!H1640,0)</f>
        <v>0</v>
      </c>
      <c r="G1640" s="72">
        <f>IF($D$3=JU!I1640,JU!K1640,0)</f>
        <v>0</v>
      </c>
      <c r="H1640" s="72" t="e">
        <f t="shared" si="26"/>
        <v>#REF!</v>
      </c>
    </row>
    <row r="1641" spans="2:8" hidden="1">
      <c r="B1641" s="68" t="str">
        <f>IF(OR($D$3=JU!$F1641,$D$3=JU!$I1641),JU!B1641,"")</f>
        <v/>
      </c>
      <c r="C1641" s="6" t="str">
        <f>IF(OR($D$3=JU!$F1641,$D$3=JU!$I1641),JU!C1641,"")</f>
        <v/>
      </c>
      <c r="D1641" s="73" t="str">
        <f>IF(OR($D$3=JU!$F1641,$D$3=JU!$I1641),JU!D1641,"")</f>
        <v/>
      </c>
      <c r="E1641" s="74" t="str">
        <f>IF(OR($D$3=JU!$F1641,$D$3=JU!$I1641),JU!E1641,"")</f>
        <v/>
      </c>
      <c r="F1641" s="72">
        <f>IF($D$3=JU!F1641,JU!H1641,0)</f>
        <v>0</v>
      </c>
      <c r="G1641" s="72">
        <f>IF($D$3=JU!I1641,JU!K1641,0)</f>
        <v>0</v>
      </c>
      <c r="H1641" s="72" t="e">
        <f t="shared" si="26"/>
        <v>#REF!</v>
      </c>
    </row>
    <row r="1642" spans="2:8" hidden="1">
      <c r="B1642" s="68" t="str">
        <f>IF(OR($D$3=JU!$F1642,$D$3=JU!$I1642),JU!B1642,"")</f>
        <v/>
      </c>
      <c r="C1642" s="6" t="str">
        <f>IF(OR($D$3=JU!$F1642,$D$3=JU!$I1642),JU!C1642,"")</f>
        <v/>
      </c>
      <c r="D1642" s="73" t="str">
        <f>IF(OR($D$3=JU!$F1642,$D$3=JU!$I1642),JU!D1642,"")</f>
        <v/>
      </c>
      <c r="E1642" s="74" t="str">
        <f>IF(OR($D$3=JU!$F1642,$D$3=JU!$I1642),JU!E1642,"")</f>
        <v/>
      </c>
      <c r="F1642" s="72">
        <f>IF($D$3=JU!F1642,JU!H1642,0)</f>
        <v>0</v>
      </c>
      <c r="G1642" s="72">
        <f>IF($D$3=JU!I1642,JU!K1642,0)</f>
        <v>0</v>
      </c>
      <c r="H1642" s="72" t="e">
        <f t="shared" si="26"/>
        <v>#REF!</v>
      </c>
    </row>
    <row r="1643" spans="2:8" hidden="1">
      <c r="B1643" s="68" t="str">
        <f>IF(OR($D$3=JU!$F1643,$D$3=JU!$I1643),JU!B1643,"")</f>
        <v/>
      </c>
      <c r="C1643" s="6" t="str">
        <f>IF(OR($D$3=JU!$F1643,$D$3=JU!$I1643),JU!C1643,"")</f>
        <v/>
      </c>
      <c r="D1643" s="73" t="str">
        <f>IF(OR($D$3=JU!$F1643,$D$3=JU!$I1643),JU!D1643,"")</f>
        <v/>
      </c>
      <c r="E1643" s="74" t="str">
        <f>IF(OR($D$3=JU!$F1643,$D$3=JU!$I1643),JU!E1643,"")</f>
        <v/>
      </c>
      <c r="F1643" s="72">
        <f>IF($D$3=JU!F1643,JU!H1643,0)</f>
        <v>0</v>
      </c>
      <c r="G1643" s="72">
        <f>IF($D$3=JU!I1643,JU!K1643,0)</f>
        <v>0</v>
      </c>
      <c r="H1643" s="72" t="e">
        <f t="shared" si="26"/>
        <v>#REF!</v>
      </c>
    </row>
    <row r="1644" spans="2:8" hidden="1">
      <c r="B1644" s="68" t="str">
        <f>IF(OR($D$3=JU!$F1644,$D$3=JU!$I1644),JU!B1644,"")</f>
        <v/>
      </c>
      <c r="C1644" s="6" t="str">
        <f>IF(OR($D$3=JU!$F1644,$D$3=JU!$I1644),JU!C1644,"")</f>
        <v/>
      </c>
      <c r="D1644" s="73" t="str">
        <f>IF(OR($D$3=JU!$F1644,$D$3=JU!$I1644),JU!D1644,"")</f>
        <v/>
      </c>
      <c r="E1644" s="74" t="str">
        <f>IF(OR($D$3=JU!$F1644,$D$3=JU!$I1644),JU!E1644,"")</f>
        <v/>
      </c>
      <c r="F1644" s="72">
        <f>IF($D$3=JU!F1644,JU!H1644,0)</f>
        <v>0</v>
      </c>
      <c r="G1644" s="72">
        <f>IF($D$3=JU!I1644,JU!K1644,0)</f>
        <v>0</v>
      </c>
      <c r="H1644" s="72" t="e">
        <f t="shared" si="26"/>
        <v>#REF!</v>
      </c>
    </row>
    <row r="1645" spans="2:8" hidden="1">
      <c r="B1645" s="68" t="str">
        <f>IF(OR($D$3=JU!$F1645,$D$3=JU!$I1645),JU!B1645,"")</f>
        <v/>
      </c>
      <c r="C1645" s="6" t="str">
        <f>IF(OR($D$3=JU!$F1645,$D$3=JU!$I1645),JU!C1645,"")</f>
        <v/>
      </c>
      <c r="D1645" s="73" t="str">
        <f>IF(OR($D$3=JU!$F1645,$D$3=JU!$I1645),JU!D1645,"")</f>
        <v/>
      </c>
      <c r="E1645" s="74" t="str">
        <f>IF(OR($D$3=JU!$F1645,$D$3=JU!$I1645),JU!E1645,"")</f>
        <v/>
      </c>
      <c r="F1645" s="72">
        <f>IF($D$3=JU!F1645,JU!H1645,0)</f>
        <v>0</v>
      </c>
      <c r="G1645" s="72">
        <f>IF($D$3=JU!I1645,JU!K1645,0)</f>
        <v>0</v>
      </c>
      <c r="H1645" s="72" t="e">
        <f t="shared" si="26"/>
        <v>#REF!</v>
      </c>
    </row>
    <row r="1646" spans="2:8" hidden="1">
      <c r="B1646" s="68" t="str">
        <f>IF(OR($D$3=JU!$F1646,$D$3=JU!$I1646),JU!B1646,"")</f>
        <v/>
      </c>
      <c r="C1646" s="6" t="str">
        <f>IF(OR($D$3=JU!$F1646,$D$3=JU!$I1646),JU!C1646,"")</f>
        <v/>
      </c>
      <c r="D1646" s="73" t="str">
        <f>IF(OR($D$3=JU!$F1646,$D$3=JU!$I1646),JU!D1646,"")</f>
        <v/>
      </c>
      <c r="E1646" s="74" t="str">
        <f>IF(OR($D$3=JU!$F1646,$D$3=JU!$I1646),JU!E1646,"")</f>
        <v/>
      </c>
      <c r="F1646" s="72">
        <f>IF($D$3=JU!F1646,JU!H1646,0)</f>
        <v>0</v>
      </c>
      <c r="G1646" s="72">
        <f>IF($D$3=JU!I1646,JU!K1646,0)</f>
        <v>0</v>
      </c>
      <c r="H1646" s="72" t="e">
        <f t="shared" si="26"/>
        <v>#REF!</v>
      </c>
    </row>
    <row r="1647" spans="2:8" hidden="1">
      <c r="B1647" s="68" t="str">
        <f>IF(OR($D$3=JU!$F1647,$D$3=JU!$I1647),JU!B1647,"")</f>
        <v/>
      </c>
      <c r="C1647" s="6" t="str">
        <f>IF(OR($D$3=JU!$F1647,$D$3=JU!$I1647),JU!C1647,"")</f>
        <v/>
      </c>
      <c r="D1647" s="73" t="str">
        <f>IF(OR($D$3=JU!$F1647,$D$3=JU!$I1647),JU!D1647,"")</f>
        <v/>
      </c>
      <c r="E1647" s="74" t="str">
        <f>IF(OR($D$3=JU!$F1647,$D$3=JU!$I1647),JU!E1647,"")</f>
        <v/>
      </c>
      <c r="F1647" s="72">
        <f>IF($D$3=JU!F1647,JU!H1647,0)</f>
        <v>0</v>
      </c>
      <c r="G1647" s="72">
        <f>IF($D$3=JU!I1647,JU!K1647,0)</f>
        <v>0</v>
      </c>
      <c r="H1647" s="72" t="e">
        <f t="shared" si="26"/>
        <v>#REF!</v>
      </c>
    </row>
    <row r="1648" spans="2:8" hidden="1">
      <c r="B1648" s="68" t="str">
        <f>IF(OR($D$3=JU!$F1648,$D$3=JU!$I1648),JU!B1648,"")</f>
        <v/>
      </c>
      <c r="C1648" s="6" t="str">
        <f>IF(OR($D$3=JU!$F1648,$D$3=JU!$I1648),JU!C1648,"")</f>
        <v/>
      </c>
      <c r="D1648" s="73" t="str">
        <f>IF(OR($D$3=JU!$F1648,$D$3=JU!$I1648),JU!D1648,"")</f>
        <v/>
      </c>
      <c r="E1648" s="74" t="str">
        <f>IF(OR($D$3=JU!$F1648,$D$3=JU!$I1648),JU!E1648,"")</f>
        <v/>
      </c>
      <c r="F1648" s="72">
        <f>IF($D$3=JU!F1648,JU!H1648,0)</f>
        <v>0</v>
      </c>
      <c r="G1648" s="72">
        <f>IF($D$3=JU!I1648,JU!K1648,0)</f>
        <v>0</v>
      </c>
      <c r="H1648" s="72" t="e">
        <f t="shared" si="26"/>
        <v>#REF!</v>
      </c>
    </row>
    <row r="1649" spans="2:8" hidden="1">
      <c r="B1649" s="68" t="str">
        <f>IF(OR($D$3=JU!$F1649,$D$3=JU!$I1649),JU!B1649,"")</f>
        <v/>
      </c>
      <c r="C1649" s="6" t="str">
        <f>IF(OR($D$3=JU!$F1649,$D$3=JU!$I1649),JU!C1649,"")</f>
        <v/>
      </c>
      <c r="D1649" s="73" t="str">
        <f>IF(OR($D$3=JU!$F1649,$D$3=JU!$I1649),JU!D1649,"")</f>
        <v/>
      </c>
      <c r="E1649" s="74" t="str">
        <f>IF(OR($D$3=JU!$F1649,$D$3=JU!$I1649),JU!E1649,"")</f>
        <v/>
      </c>
      <c r="F1649" s="72">
        <f>IF($D$3=JU!F1649,JU!H1649,0)</f>
        <v>0</v>
      </c>
      <c r="G1649" s="72">
        <f>IF($D$3=JU!I1649,JU!K1649,0)</f>
        <v>0</v>
      </c>
      <c r="H1649" s="72" t="e">
        <f t="shared" si="26"/>
        <v>#REF!</v>
      </c>
    </row>
    <row r="1650" spans="2:8" hidden="1">
      <c r="B1650" s="68" t="str">
        <f>IF(OR($D$3=JU!$F1650,$D$3=JU!$I1650),JU!B1650,"")</f>
        <v/>
      </c>
      <c r="C1650" s="6" t="str">
        <f>IF(OR($D$3=JU!$F1650,$D$3=JU!$I1650),JU!C1650,"")</f>
        <v/>
      </c>
      <c r="D1650" s="73" t="str">
        <f>IF(OR($D$3=JU!$F1650,$D$3=JU!$I1650),JU!D1650,"")</f>
        <v/>
      </c>
      <c r="E1650" s="74" t="str">
        <f>IF(OR($D$3=JU!$F1650,$D$3=JU!$I1650),JU!E1650,"")</f>
        <v/>
      </c>
      <c r="F1650" s="72">
        <f>IF($D$3=JU!F1650,JU!H1650,0)</f>
        <v>0</v>
      </c>
      <c r="G1650" s="72">
        <f>IF($D$3=JU!I1650,JU!K1650,0)</f>
        <v>0</v>
      </c>
      <c r="H1650" s="72" t="e">
        <f t="shared" si="26"/>
        <v>#REF!</v>
      </c>
    </row>
    <row r="1651" spans="2:8" hidden="1">
      <c r="B1651" s="68" t="str">
        <f>IF(OR($D$3=JU!$F1651,$D$3=JU!$I1651),JU!B1651,"")</f>
        <v/>
      </c>
      <c r="C1651" s="6" t="str">
        <f>IF(OR($D$3=JU!$F1651,$D$3=JU!$I1651),JU!C1651,"")</f>
        <v/>
      </c>
      <c r="D1651" s="73" t="str">
        <f>IF(OR($D$3=JU!$F1651,$D$3=JU!$I1651),JU!D1651,"")</f>
        <v/>
      </c>
      <c r="E1651" s="74" t="str">
        <f>IF(OR($D$3=JU!$F1651,$D$3=JU!$I1651),JU!E1651,"")</f>
        <v/>
      </c>
      <c r="F1651" s="72">
        <f>IF($D$3=JU!F1651,JU!H1651,0)</f>
        <v>0</v>
      </c>
      <c r="G1651" s="72">
        <f>IF($D$3=JU!I1651,JU!K1651,0)</f>
        <v>0</v>
      </c>
      <c r="H1651" s="72" t="e">
        <f t="shared" si="26"/>
        <v>#REF!</v>
      </c>
    </row>
    <row r="1652" spans="2:8" hidden="1">
      <c r="B1652" s="68" t="str">
        <f>IF(OR($D$3=JU!$F1652,$D$3=JU!$I1652),JU!B1652,"")</f>
        <v/>
      </c>
      <c r="C1652" s="6" t="str">
        <f>IF(OR($D$3=JU!$F1652,$D$3=JU!$I1652),JU!C1652,"")</f>
        <v/>
      </c>
      <c r="D1652" s="73" t="str">
        <f>IF(OR($D$3=JU!$F1652,$D$3=JU!$I1652),JU!D1652,"")</f>
        <v/>
      </c>
      <c r="E1652" s="74" t="str">
        <f>IF(OR($D$3=JU!$F1652,$D$3=JU!$I1652),JU!E1652,"")</f>
        <v/>
      </c>
      <c r="F1652" s="72">
        <f>IF($D$3=JU!F1652,JU!H1652,0)</f>
        <v>0</v>
      </c>
      <c r="G1652" s="72">
        <f>IF($D$3=JU!I1652,JU!K1652,0)</f>
        <v>0</v>
      </c>
      <c r="H1652" s="72" t="e">
        <f t="shared" si="26"/>
        <v>#REF!</v>
      </c>
    </row>
    <row r="1653" spans="2:8" hidden="1">
      <c r="B1653" s="68" t="str">
        <f>IF(OR($D$3=JU!$F1653,$D$3=JU!$I1653),JU!B1653,"")</f>
        <v/>
      </c>
      <c r="C1653" s="6" t="str">
        <f>IF(OR($D$3=JU!$F1653,$D$3=JU!$I1653),JU!C1653,"")</f>
        <v/>
      </c>
      <c r="D1653" s="73" t="str">
        <f>IF(OR($D$3=JU!$F1653,$D$3=JU!$I1653),JU!D1653,"")</f>
        <v/>
      </c>
      <c r="E1653" s="74" t="str">
        <f>IF(OR($D$3=JU!$F1653,$D$3=JU!$I1653),JU!E1653,"")</f>
        <v/>
      </c>
      <c r="F1653" s="72">
        <f>IF($D$3=JU!F1653,JU!H1653,0)</f>
        <v>0</v>
      </c>
      <c r="G1653" s="72">
        <f>IF($D$3=JU!I1653,JU!K1653,0)</f>
        <v>0</v>
      </c>
      <c r="H1653" s="72" t="e">
        <f t="shared" si="26"/>
        <v>#REF!</v>
      </c>
    </row>
    <row r="1654" spans="2:8" hidden="1">
      <c r="B1654" s="68" t="str">
        <f>IF(OR($D$3=JU!$F1654,$D$3=JU!$I1654),JU!B1654,"")</f>
        <v/>
      </c>
      <c r="C1654" s="6" t="str">
        <f>IF(OR($D$3=JU!$F1654,$D$3=JU!$I1654),JU!C1654,"")</f>
        <v/>
      </c>
      <c r="D1654" s="73" t="str">
        <f>IF(OR($D$3=JU!$F1654,$D$3=JU!$I1654),JU!D1654,"")</f>
        <v/>
      </c>
      <c r="E1654" s="74" t="str">
        <f>IF(OR($D$3=JU!$F1654,$D$3=JU!$I1654),JU!E1654,"")</f>
        <v/>
      </c>
      <c r="F1654" s="72">
        <f>IF($D$3=JU!F1654,JU!H1654,0)</f>
        <v>0</v>
      </c>
      <c r="G1654" s="72">
        <f>IF($D$3=JU!I1654,JU!K1654,0)</f>
        <v>0</v>
      </c>
      <c r="H1654" s="72" t="e">
        <f t="shared" si="26"/>
        <v>#REF!</v>
      </c>
    </row>
    <row r="1655" spans="2:8" hidden="1">
      <c r="B1655" s="68" t="str">
        <f>IF(OR($D$3=JU!$F1655,$D$3=JU!$I1655),JU!B1655,"")</f>
        <v/>
      </c>
      <c r="C1655" s="6" t="str">
        <f>IF(OR($D$3=JU!$F1655,$D$3=JU!$I1655),JU!C1655,"")</f>
        <v/>
      </c>
      <c r="D1655" s="73" t="str">
        <f>IF(OR($D$3=JU!$F1655,$D$3=JU!$I1655),JU!D1655,"")</f>
        <v/>
      </c>
      <c r="E1655" s="74" t="str">
        <f>IF(OR($D$3=JU!$F1655,$D$3=JU!$I1655),JU!E1655,"")</f>
        <v/>
      </c>
      <c r="F1655" s="72">
        <f>IF($D$3=JU!F1655,JU!H1655,0)</f>
        <v>0</v>
      </c>
      <c r="G1655" s="72">
        <f>IF($D$3=JU!I1655,JU!K1655,0)</f>
        <v>0</v>
      </c>
      <c r="H1655" s="72" t="e">
        <f t="shared" si="26"/>
        <v>#REF!</v>
      </c>
    </row>
    <row r="1656" spans="2:8" hidden="1">
      <c r="B1656" s="68" t="str">
        <f>IF(OR($D$3=JU!$F1656,$D$3=JU!$I1656),JU!B1656,"")</f>
        <v/>
      </c>
      <c r="C1656" s="6" t="str">
        <f>IF(OR($D$3=JU!$F1656,$D$3=JU!$I1656),JU!C1656,"")</f>
        <v/>
      </c>
      <c r="D1656" s="73" t="str">
        <f>IF(OR($D$3=JU!$F1656,$D$3=JU!$I1656),JU!D1656,"")</f>
        <v/>
      </c>
      <c r="E1656" s="74" t="str">
        <f>IF(OR($D$3=JU!$F1656,$D$3=JU!$I1656),JU!E1656,"")</f>
        <v/>
      </c>
      <c r="F1656" s="72">
        <f>IF($D$3=JU!F1656,JU!H1656,0)</f>
        <v>0</v>
      </c>
      <c r="G1656" s="72">
        <f>IF($D$3=JU!I1656,JU!K1656,0)</f>
        <v>0</v>
      </c>
      <c r="H1656" s="72" t="e">
        <f t="shared" si="26"/>
        <v>#REF!</v>
      </c>
    </row>
    <row r="1657" spans="2:8" hidden="1">
      <c r="B1657" s="68" t="str">
        <f>IF(OR($D$3=JU!$F1657,$D$3=JU!$I1657),JU!B1657,"")</f>
        <v/>
      </c>
      <c r="C1657" s="6" t="str">
        <f>IF(OR($D$3=JU!$F1657,$D$3=JU!$I1657),JU!C1657,"")</f>
        <v/>
      </c>
      <c r="D1657" s="73" t="str">
        <f>IF(OR($D$3=JU!$F1657,$D$3=JU!$I1657),JU!D1657,"")</f>
        <v/>
      </c>
      <c r="E1657" s="74" t="str">
        <f>IF(OR($D$3=JU!$F1657,$D$3=JU!$I1657),JU!E1657,"")</f>
        <v/>
      </c>
      <c r="F1657" s="72">
        <f>IF($D$3=JU!F1657,JU!H1657,0)</f>
        <v>0</v>
      </c>
      <c r="G1657" s="72">
        <f>IF($D$3=JU!I1657,JU!K1657,0)</f>
        <v>0</v>
      </c>
      <c r="H1657" s="72" t="e">
        <f t="shared" si="26"/>
        <v>#REF!</v>
      </c>
    </row>
    <row r="1658" spans="2:8" hidden="1">
      <c r="B1658" s="68" t="str">
        <f>IF(OR($D$3=JU!$F1658,$D$3=JU!$I1658),JU!B1658,"")</f>
        <v/>
      </c>
      <c r="C1658" s="6" t="str">
        <f>IF(OR($D$3=JU!$F1658,$D$3=JU!$I1658),JU!C1658,"")</f>
        <v/>
      </c>
      <c r="D1658" s="73" t="str">
        <f>IF(OR($D$3=JU!$F1658,$D$3=JU!$I1658),JU!D1658,"")</f>
        <v/>
      </c>
      <c r="E1658" s="74" t="str">
        <f>IF(OR($D$3=JU!$F1658,$D$3=JU!$I1658),JU!E1658,"")</f>
        <v/>
      </c>
      <c r="F1658" s="72">
        <f>IF($D$3=JU!F1658,JU!H1658,0)</f>
        <v>0</v>
      </c>
      <c r="G1658" s="72">
        <f>IF($D$3=JU!I1658,JU!K1658,0)</f>
        <v>0</v>
      </c>
      <c r="H1658" s="72" t="e">
        <f t="shared" si="26"/>
        <v>#REF!</v>
      </c>
    </row>
    <row r="1659" spans="2:8" hidden="1">
      <c r="B1659" s="68" t="str">
        <f>IF(OR($D$3=JU!$F1659,$D$3=JU!$I1659),JU!B1659,"")</f>
        <v/>
      </c>
      <c r="C1659" s="6" t="str">
        <f>IF(OR($D$3=JU!$F1659,$D$3=JU!$I1659),JU!C1659,"")</f>
        <v/>
      </c>
      <c r="D1659" s="73" t="str">
        <f>IF(OR($D$3=JU!$F1659,$D$3=JU!$I1659),JU!D1659,"")</f>
        <v/>
      </c>
      <c r="E1659" s="74" t="str">
        <f>IF(OR($D$3=JU!$F1659,$D$3=JU!$I1659),JU!E1659,"")</f>
        <v/>
      </c>
      <c r="F1659" s="72">
        <f>IF($D$3=JU!F1659,JU!H1659,0)</f>
        <v>0</v>
      </c>
      <c r="G1659" s="72">
        <f>IF($D$3=JU!I1659,JU!K1659,0)</f>
        <v>0</v>
      </c>
      <c r="H1659" s="72" t="e">
        <f t="shared" si="26"/>
        <v>#REF!</v>
      </c>
    </row>
    <row r="1660" spans="2:8" hidden="1">
      <c r="B1660" s="68" t="str">
        <f>IF(OR($D$3=JU!$F1660,$D$3=JU!$I1660),JU!B1660,"")</f>
        <v/>
      </c>
      <c r="C1660" s="6" t="str">
        <f>IF(OR($D$3=JU!$F1660,$D$3=JU!$I1660),JU!C1660,"")</f>
        <v/>
      </c>
      <c r="D1660" s="73" t="str">
        <f>IF(OR($D$3=JU!$F1660,$D$3=JU!$I1660),JU!D1660,"")</f>
        <v/>
      </c>
      <c r="E1660" s="74" t="str">
        <f>IF(OR($D$3=JU!$F1660,$D$3=JU!$I1660),JU!E1660,"")</f>
        <v/>
      </c>
      <c r="F1660" s="72">
        <f>IF($D$3=JU!F1660,JU!H1660,0)</f>
        <v>0</v>
      </c>
      <c r="G1660" s="72">
        <f>IF($D$3=JU!I1660,JU!K1660,0)</f>
        <v>0</v>
      </c>
      <c r="H1660" s="72" t="e">
        <f t="shared" si="26"/>
        <v>#REF!</v>
      </c>
    </row>
    <row r="1661" spans="2:8" hidden="1">
      <c r="B1661" s="68" t="str">
        <f>IF(OR($D$3=JU!$F1661,$D$3=JU!$I1661),JU!B1661,"")</f>
        <v/>
      </c>
      <c r="C1661" s="6" t="str">
        <f>IF(OR($D$3=JU!$F1661,$D$3=JU!$I1661),JU!C1661,"")</f>
        <v/>
      </c>
      <c r="D1661" s="73" t="str">
        <f>IF(OR($D$3=JU!$F1661,$D$3=JU!$I1661),JU!D1661,"")</f>
        <v/>
      </c>
      <c r="E1661" s="74" t="str">
        <f>IF(OR($D$3=JU!$F1661,$D$3=JU!$I1661),JU!E1661,"")</f>
        <v/>
      </c>
      <c r="F1661" s="72">
        <f>IF($D$3=JU!F1661,JU!H1661,0)</f>
        <v>0</v>
      </c>
      <c r="G1661" s="72">
        <f>IF($D$3=JU!I1661,JU!K1661,0)</f>
        <v>0</v>
      </c>
      <c r="H1661" s="72" t="e">
        <f t="shared" si="26"/>
        <v>#REF!</v>
      </c>
    </row>
    <row r="1662" spans="2:8" hidden="1">
      <c r="B1662" s="68" t="str">
        <f>IF(OR($D$3=JU!$F1662,$D$3=JU!$I1662),JU!B1662,"")</f>
        <v/>
      </c>
      <c r="C1662" s="6" t="str">
        <f>IF(OR($D$3=JU!$F1662,$D$3=JU!$I1662),JU!C1662,"")</f>
        <v/>
      </c>
      <c r="D1662" s="73" t="str">
        <f>IF(OR($D$3=JU!$F1662,$D$3=JU!$I1662),JU!D1662,"")</f>
        <v/>
      </c>
      <c r="E1662" s="74" t="str">
        <f>IF(OR($D$3=JU!$F1662,$D$3=JU!$I1662),JU!E1662,"")</f>
        <v/>
      </c>
      <c r="F1662" s="72">
        <f>IF($D$3=JU!F1662,JU!H1662,0)</f>
        <v>0</v>
      </c>
      <c r="G1662" s="72">
        <f>IF($D$3=JU!I1662,JU!K1662,0)</f>
        <v>0</v>
      </c>
      <c r="H1662" s="72" t="e">
        <f t="shared" si="26"/>
        <v>#REF!</v>
      </c>
    </row>
    <row r="1663" spans="2:8" hidden="1">
      <c r="B1663" s="68" t="str">
        <f>IF(OR($D$3=JU!$F1663,$D$3=JU!$I1663),JU!B1663,"")</f>
        <v/>
      </c>
      <c r="C1663" s="6" t="str">
        <f>IF(OR($D$3=JU!$F1663,$D$3=JU!$I1663),JU!C1663,"")</f>
        <v/>
      </c>
      <c r="D1663" s="73" t="str">
        <f>IF(OR($D$3=JU!$F1663,$D$3=JU!$I1663),JU!D1663,"")</f>
        <v/>
      </c>
      <c r="E1663" s="74" t="str">
        <f>IF(OR($D$3=JU!$F1663,$D$3=JU!$I1663),JU!E1663,"")</f>
        <v/>
      </c>
      <c r="F1663" s="72">
        <f>IF($D$3=JU!F1663,JU!H1663,0)</f>
        <v>0</v>
      </c>
      <c r="G1663" s="72">
        <f>IF($D$3=JU!I1663,JU!K1663,0)</f>
        <v>0</v>
      </c>
      <c r="H1663" s="72" t="e">
        <f t="shared" si="26"/>
        <v>#REF!</v>
      </c>
    </row>
    <row r="1664" spans="2:8" hidden="1">
      <c r="B1664" s="68" t="str">
        <f>IF(OR($D$3=JU!$F1664,$D$3=JU!$I1664),JU!B1664,"")</f>
        <v/>
      </c>
      <c r="C1664" s="6" t="str">
        <f>IF(OR($D$3=JU!$F1664,$D$3=JU!$I1664),JU!C1664,"")</f>
        <v/>
      </c>
      <c r="D1664" s="73" t="str">
        <f>IF(OR($D$3=JU!$F1664,$D$3=JU!$I1664),JU!D1664,"")</f>
        <v/>
      </c>
      <c r="E1664" s="74" t="str">
        <f>IF(OR($D$3=JU!$F1664,$D$3=JU!$I1664),JU!E1664,"")</f>
        <v/>
      </c>
      <c r="F1664" s="72">
        <f>IF($D$3=JU!F1664,JU!H1664,0)</f>
        <v>0</v>
      </c>
      <c r="G1664" s="72">
        <f>IF($D$3=JU!I1664,JU!K1664,0)</f>
        <v>0</v>
      </c>
      <c r="H1664" s="72" t="e">
        <f t="shared" si="26"/>
        <v>#REF!</v>
      </c>
    </row>
    <row r="1665" spans="2:8" hidden="1">
      <c r="B1665" s="68" t="str">
        <f>IF(OR($D$3=JU!$F1665,$D$3=JU!$I1665),JU!B1665,"")</f>
        <v/>
      </c>
      <c r="C1665" s="6" t="str">
        <f>IF(OR($D$3=JU!$F1665,$D$3=JU!$I1665),JU!C1665,"")</f>
        <v/>
      </c>
      <c r="D1665" s="73" t="str">
        <f>IF(OR($D$3=JU!$F1665,$D$3=JU!$I1665),JU!D1665,"")</f>
        <v/>
      </c>
      <c r="E1665" s="74" t="str">
        <f>IF(OR($D$3=JU!$F1665,$D$3=JU!$I1665),JU!E1665,"")</f>
        <v/>
      </c>
      <c r="F1665" s="72">
        <f>IF($D$3=JU!F1665,JU!H1665,0)</f>
        <v>0</v>
      </c>
      <c r="G1665" s="72">
        <f>IF($D$3=JU!I1665,JU!K1665,0)</f>
        <v>0</v>
      </c>
      <c r="H1665" s="72" t="e">
        <f t="shared" si="26"/>
        <v>#REF!</v>
      </c>
    </row>
    <row r="1666" spans="2:8" hidden="1">
      <c r="B1666" s="68" t="str">
        <f>IF(OR($D$3=JU!$F1666,$D$3=JU!$I1666),JU!B1666,"")</f>
        <v/>
      </c>
      <c r="C1666" s="6" t="str">
        <f>IF(OR($D$3=JU!$F1666,$D$3=JU!$I1666),JU!C1666,"")</f>
        <v/>
      </c>
      <c r="D1666" s="73" t="str">
        <f>IF(OR($D$3=JU!$F1666,$D$3=JU!$I1666),JU!D1666,"")</f>
        <v/>
      </c>
      <c r="E1666" s="74" t="str">
        <f>IF(OR($D$3=JU!$F1666,$D$3=JU!$I1666),JU!E1666,"")</f>
        <v/>
      </c>
      <c r="F1666" s="72">
        <f>IF($D$3=JU!F1666,JU!H1666,0)</f>
        <v>0</v>
      </c>
      <c r="G1666" s="72">
        <f>IF($D$3=JU!I1666,JU!K1666,0)</f>
        <v>0</v>
      </c>
      <c r="H1666" s="72" t="e">
        <f t="shared" si="26"/>
        <v>#REF!</v>
      </c>
    </row>
    <row r="1667" spans="2:8" hidden="1">
      <c r="B1667" s="68" t="str">
        <f>IF(OR($D$3=JU!$F1667,$D$3=JU!$I1667),JU!B1667,"")</f>
        <v/>
      </c>
      <c r="C1667" s="6" t="str">
        <f>IF(OR($D$3=JU!$F1667,$D$3=JU!$I1667),JU!C1667,"")</f>
        <v/>
      </c>
      <c r="D1667" s="73" t="str">
        <f>IF(OR($D$3=JU!$F1667,$D$3=JU!$I1667),JU!D1667,"")</f>
        <v/>
      </c>
      <c r="E1667" s="74" t="str">
        <f>IF(OR($D$3=JU!$F1667,$D$3=JU!$I1667),JU!E1667,"")</f>
        <v/>
      </c>
      <c r="F1667" s="72">
        <f>IF($D$3=JU!F1667,JU!H1667,0)</f>
        <v>0</v>
      </c>
      <c r="G1667" s="72">
        <f>IF($D$3=JU!I1667,JU!K1667,0)</f>
        <v>0</v>
      </c>
      <c r="H1667" s="72" t="e">
        <f t="shared" si="26"/>
        <v>#REF!</v>
      </c>
    </row>
    <row r="1668" spans="2:8" hidden="1">
      <c r="B1668" s="68" t="str">
        <f>IF(OR($D$3=JU!$F1668,$D$3=JU!$I1668),JU!B1668,"")</f>
        <v/>
      </c>
      <c r="C1668" s="6" t="str">
        <f>IF(OR($D$3=JU!$F1668,$D$3=JU!$I1668),JU!C1668,"")</f>
        <v/>
      </c>
      <c r="D1668" s="73" t="str">
        <f>IF(OR($D$3=JU!$F1668,$D$3=JU!$I1668),JU!D1668,"")</f>
        <v/>
      </c>
      <c r="E1668" s="74" t="str">
        <f>IF(OR($D$3=JU!$F1668,$D$3=JU!$I1668),JU!E1668,"")</f>
        <v/>
      </c>
      <c r="F1668" s="72">
        <f>IF($D$3=JU!F1668,JU!H1668,0)</f>
        <v>0</v>
      </c>
      <c r="G1668" s="72">
        <f>IF($D$3=JU!I1668,JU!K1668,0)</f>
        <v>0</v>
      </c>
      <c r="H1668" s="72" t="e">
        <f t="shared" si="26"/>
        <v>#REF!</v>
      </c>
    </row>
    <row r="1669" spans="2:8" hidden="1">
      <c r="B1669" s="68" t="str">
        <f>IF(OR($D$3=JU!$F1669,$D$3=JU!$I1669),JU!B1669,"")</f>
        <v/>
      </c>
      <c r="C1669" s="6" t="str">
        <f>IF(OR($D$3=JU!$F1669,$D$3=JU!$I1669),JU!C1669,"")</f>
        <v/>
      </c>
      <c r="D1669" s="73" t="str">
        <f>IF(OR($D$3=JU!$F1669,$D$3=JU!$I1669),JU!D1669,"")</f>
        <v/>
      </c>
      <c r="E1669" s="74" t="str">
        <f>IF(OR($D$3=JU!$F1669,$D$3=JU!$I1669),JU!E1669,"")</f>
        <v/>
      </c>
      <c r="F1669" s="72">
        <f>IF($D$3=JU!F1669,JU!H1669,0)</f>
        <v>0</v>
      </c>
      <c r="G1669" s="72">
        <f>IF($D$3=JU!I1669,JU!K1669,0)</f>
        <v>0</v>
      </c>
      <c r="H1669" s="72" t="e">
        <f t="shared" si="26"/>
        <v>#REF!</v>
      </c>
    </row>
    <row r="1670" spans="2:8" hidden="1">
      <c r="B1670" s="68" t="str">
        <f>IF(OR($D$3=JU!$F1670,$D$3=JU!$I1670),JU!B1670,"")</f>
        <v/>
      </c>
      <c r="C1670" s="6" t="str">
        <f>IF(OR($D$3=JU!$F1670,$D$3=JU!$I1670),JU!C1670,"")</f>
        <v/>
      </c>
      <c r="D1670" s="73" t="str">
        <f>IF(OR($D$3=JU!$F1670,$D$3=JU!$I1670),JU!D1670,"")</f>
        <v/>
      </c>
      <c r="E1670" s="74" t="str">
        <f>IF(OR($D$3=JU!$F1670,$D$3=JU!$I1670),JU!E1670,"")</f>
        <v/>
      </c>
      <c r="F1670" s="72">
        <f>IF($D$3=JU!F1670,JU!H1670,0)</f>
        <v>0</v>
      </c>
      <c r="G1670" s="72">
        <f>IF($D$3=JU!I1670,JU!K1670,0)</f>
        <v>0</v>
      </c>
      <c r="H1670" s="72" t="e">
        <f t="shared" si="26"/>
        <v>#REF!</v>
      </c>
    </row>
    <row r="1671" spans="2:8" hidden="1">
      <c r="B1671" s="68" t="str">
        <f>IF(OR($D$3=JU!$F1671,$D$3=JU!$I1671),JU!B1671,"")</f>
        <v/>
      </c>
      <c r="C1671" s="6" t="str">
        <f>IF(OR($D$3=JU!$F1671,$D$3=JU!$I1671),JU!C1671,"")</f>
        <v/>
      </c>
      <c r="D1671" s="73" t="str">
        <f>IF(OR($D$3=JU!$F1671,$D$3=JU!$I1671),JU!D1671,"")</f>
        <v/>
      </c>
      <c r="E1671" s="74" t="str">
        <f>IF(OR($D$3=JU!$F1671,$D$3=JU!$I1671),JU!E1671,"")</f>
        <v/>
      </c>
      <c r="F1671" s="72">
        <f>IF($D$3=JU!F1671,JU!H1671,0)</f>
        <v>0</v>
      </c>
      <c r="G1671" s="72">
        <f>IF($D$3=JU!I1671,JU!K1671,0)</f>
        <v>0</v>
      </c>
      <c r="H1671" s="72" t="e">
        <f t="shared" si="26"/>
        <v>#REF!</v>
      </c>
    </row>
    <row r="1672" spans="2:8" hidden="1">
      <c r="B1672" s="68" t="str">
        <f>IF(OR($D$3=JU!$F1672,$D$3=JU!$I1672),JU!B1672,"")</f>
        <v/>
      </c>
      <c r="C1672" s="6" t="str">
        <f>IF(OR($D$3=JU!$F1672,$D$3=JU!$I1672),JU!C1672,"")</f>
        <v/>
      </c>
      <c r="D1672" s="73" t="str">
        <f>IF(OR($D$3=JU!$F1672,$D$3=JU!$I1672),JU!D1672,"")</f>
        <v/>
      </c>
      <c r="E1672" s="74" t="str">
        <f>IF(OR($D$3=JU!$F1672,$D$3=JU!$I1672),JU!E1672,"")</f>
        <v/>
      </c>
      <c r="F1672" s="72">
        <f>IF($D$3=JU!F1672,JU!H1672,0)</f>
        <v>0</v>
      </c>
      <c r="G1672" s="72">
        <f>IF($D$3=JU!I1672,JU!K1672,0)</f>
        <v>0</v>
      </c>
      <c r="H1672" s="72" t="e">
        <f t="shared" si="26"/>
        <v>#REF!</v>
      </c>
    </row>
    <row r="1673" spans="2:8" hidden="1">
      <c r="B1673" s="68" t="str">
        <f>IF(OR($D$3=JU!$F1673,$D$3=JU!$I1673),JU!B1673,"")</f>
        <v/>
      </c>
      <c r="C1673" s="6" t="str">
        <f>IF(OR($D$3=JU!$F1673,$D$3=JU!$I1673),JU!C1673,"")</f>
        <v/>
      </c>
      <c r="D1673" s="73" t="str">
        <f>IF(OR($D$3=JU!$F1673,$D$3=JU!$I1673),JU!D1673,"")</f>
        <v/>
      </c>
      <c r="E1673" s="74" t="str">
        <f>IF(OR($D$3=JU!$F1673,$D$3=JU!$I1673),JU!E1673,"")</f>
        <v/>
      </c>
      <c r="F1673" s="72">
        <f>IF($D$3=JU!F1673,JU!H1673,0)</f>
        <v>0</v>
      </c>
      <c r="G1673" s="72">
        <f>IF($D$3=JU!I1673,JU!K1673,0)</f>
        <v>0</v>
      </c>
      <c r="H1673" s="72" t="e">
        <f t="shared" si="26"/>
        <v>#REF!</v>
      </c>
    </row>
    <row r="1674" spans="2:8" hidden="1">
      <c r="B1674" s="68" t="str">
        <f>IF(OR($D$3=JU!$F1674,$D$3=JU!$I1674),JU!B1674,"")</f>
        <v/>
      </c>
      <c r="C1674" s="6" t="str">
        <f>IF(OR($D$3=JU!$F1674,$D$3=JU!$I1674),JU!C1674,"")</f>
        <v/>
      </c>
      <c r="D1674" s="73" t="str">
        <f>IF(OR($D$3=JU!$F1674,$D$3=JU!$I1674),JU!D1674,"")</f>
        <v/>
      </c>
      <c r="E1674" s="74" t="str">
        <f>IF(OR($D$3=JU!$F1674,$D$3=JU!$I1674),JU!E1674,"")</f>
        <v/>
      </c>
      <c r="F1674" s="72">
        <f>IF($D$3=JU!F1674,JU!H1674,0)</f>
        <v>0</v>
      </c>
      <c r="G1674" s="72">
        <f>IF($D$3=JU!I1674,JU!K1674,0)</f>
        <v>0</v>
      </c>
      <c r="H1674" s="72" t="e">
        <f t="shared" si="26"/>
        <v>#REF!</v>
      </c>
    </row>
    <row r="1675" spans="2:8" hidden="1">
      <c r="B1675" s="68" t="str">
        <f>IF(OR($D$3=JU!$F1675,$D$3=JU!$I1675),JU!B1675,"")</f>
        <v/>
      </c>
      <c r="C1675" s="6" t="str">
        <f>IF(OR($D$3=JU!$F1675,$D$3=JU!$I1675),JU!C1675,"")</f>
        <v/>
      </c>
      <c r="D1675" s="73" t="str">
        <f>IF(OR($D$3=JU!$F1675,$D$3=JU!$I1675),JU!D1675,"")</f>
        <v/>
      </c>
      <c r="E1675" s="74" t="str">
        <f>IF(OR($D$3=JU!$F1675,$D$3=JU!$I1675),JU!E1675,"")</f>
        <v/>
      </c>
      <c r="F1675" s="72">
        <f>IF($D$3=JU!F1675,JU!H1675,0)</f>
        <v>0</v>
      </c>
      <c r="G1675" s="72">
        <f>IF($D$3=JU!I1675,JU!K1675,0)</f>
        <v>0</v>
      </c>
      <c r="H1675" s="72" t="e">
        <f t="shared" si="26"/>
        <v>#REF!</v>
      </c>
    </row>
    <row r="1676" spans="2:8" hidden="1">
      <c r="B1676" s="68" t="str">
        <f>IF(OR($D$3=JU!$F1676,$D$3=JU!$I1676),JU!B1676,"")</f>
        <v/>
      </c>
      <c r="C1676" s="6" t="str">
        <f>IF(OR($D$3=JU!$F1676,$D$3=JU!$I1676),JU!C1676,"")</f>
        <v/>
      </c>
      <c r="D1676" s="73" t="str">
        <f>IF(OR($D$3=JU!$F1676,$D$3=JU!$I1676),JU!D1676,"")</f>
        <v/>
      </c>
      <c r="E1676" s="74" t="str">
        <f>IF(OR($D$3=JU!$F1676,$D$3=JU!$I1676),JU!E1676,"")</f>
        <v/>
      </c>
      <c r="F1676" s="72">
        <f>IF($D$3=JU!F1676,JU!H1676,0)</f>
        <v>0</v>
      </c>
      <c r="G1676" s="72">
        <f>IF($D$3=JU!I1676,JU!K1676,0)</f>
        <v>0</v>
      </c>
      <c r="H1676" s="72" t="e">
        <f t="shared" si="26"/>
        <v>#REF!</v>
      </c>
    </row>
    <row r="1677" spans="2:8" hidden="1">
      <c r="B1677" s="68" t="str">
        <f>IF(OR($D$3=JU!$F1677,$D$3=JU!$I1677),JU!B1677,"")</f>
        <v/>
      </c>
      <c r="C1677" s="6" t="str">
        <f>IF(OR($D$3=JU!$F1677,$D$3=JU!$I1677),JU!C1677,"")</f>
        <v/>
      </c>
      <c r="D1677" s="73" t="str">
        <f>IF(OR($D$3=JU!$F1677,$D$3=JU!$I1677),JU!D1677,"")</f>
        <v/>
      </c>
      <c r="E1677" s="74" t="str">
        <f>IF(OR($D$3=JU!$F1677,$D$3=JU!$I1677),JU!E1677,"")</f>
        <v/>
      </c>
      <c r="F1677" s="72">
        <f>IF($D$3=JU!F1677,JU!H1677,0)</f>
        <v>0</v>
      </c>
      <c r="G1677" s="72">
        <f>IF($D$3=JU!I1677,JU!K1677,0)</f>
        <v>0</v>
      </c>
      <c r="H1677" s="72" t="e">
        <f t="shared" si="26"/>
        <v>#REF!</v>
      </c>
    </row>
    <row r="1678" spans="2:8" hidden="1">
      <c r="B1678" s="68" t="str">
        <f>IF(OR($D$3=JU!$F1678,$D$3=JU!$I1678),JU!B1678,"")</f>
        <v/>
      </c>
      <c r="C1678" s="6" t="str">
        <f>IF(OR($D$3=JU!$F1678,$D$3=JU!$I1678),JU!C1678,"")</f>
        <v/>
      </c>
      <c r="D1678" s="73" t="str">
        <f>IF(OR($D$3=JU!$F1678,$D$3=JU!$I1678),JU!D1678,"")</f>
        <v/>
      </c>
      <c r="E1678" s="74" t="str">
        <f>IF(OR($D$3=JU!$F1678,$D$3=JU!$I1678),JU!E1678,"")</f>
        <v/>
      </c>
      <c r="F1678" s="72">
        <f>IF($D$3=JU!F1678,JU!H1678,0)</f>
        <v>0</v>
      </c>
      <c r="G1678" s="72">
        <f>IF($D$3=JU!I1678,JU!K1678,0)</f>
        <v>0</v>
      </c>
      <c r="H1678" s="72" t="e">
        <f t="shared" ref="H1678:H1741" si="27">IF($H$7="DEBET",H1677+F1678-G1678,H1677+G1678-F1678)</f>
        <v>#REF!</v>
      </c>
    </row>
    <row r="1679" spans="2:8" hidden="1">
      <c r="B1679" s="68" t="str">
        <f>IF(OR($D$3=JU!$F1679,$D$3=JU!$I1679),JU!B1679,"")</f>
        <v/>
      </c>
      <c r="C1679" s="6" t="str">
        <f>IF(OR($D$3=JU!$F1679,$D$3=JU!$I1679),JU!C1679,"")</f>
        <v/>
      </c>
      <c r="D1679" s="73" t="str">
        <f>IF(OR($D$3=JU!$F1679,$D$3=JU!$I1679),JU!D1679,"")</f>
        <v/>
      </c>
      <c r="E1679" s="74" t="str">
        <f>IF(OR($D$3=JU!$F1679,$D$3=JU!$I1679),JU!E1679,"")</f>
        <v/>
      </c>
      <c r="F1679" s="72">
        <f>IF($D$3=JU!F1679,JU!H1679,0)</f>
        <v>0</v>
      </c>
      <c r="G1679" s="72">
        <f>IF($D$3=JU!I1679,JU!K1679,0)</f>
        <v>0</v>
      </c>
      <c r="H1679" s="72" t="e">
        <f t="shared" si="27"/>
        <v>#REF!</v>
      </c>
    </row>
    <row r="1680" spans="2:8" hidden="1">
      <c r="B1680" s="68" t="str">
        <f>IF(OR($D$3=JU!$F1680,$D$3=JU!$I1680),JU!B1680,"")</f>
        <v/>
      </c>
      <c r="C1680" s="6" t="str">
        <f>IF(OR($D$3=JU!$F1680,$D$3=JU!$I1680),JU!C1680,"")</f>
        <v/>
      </c>
      <c r="D1680" s="73" t="str">
        <f>IF(OR($D$3=JU!$F1680,$D$3=JU!$I1680),JU!D1680,"")</f>
        <v/>
      </c>
      <c r="E1680" s="74" t="str">
        <f>IF(OR($D$3=JU!$F1680,$D$3=JU!$I1680),JU!E1680,"")</f>
        <v/>
      </c>
      <c r="F1680" s="72">
        <f>IF($D$3=JU!F1680,JU!H1680,0)</f>
        <v>0</v>
      </c>
      <c r="G1680" s="72">
        <f>IF($D$3=JU!I1680,JU!K1680,0)</f>
        <v>0</v>
      </c>
      <c r="H1680" s="72" t="e">
        <f t="shared" si="27"/>
        <v>#REF!</v>
      </c>
    </row>
    <row r="1681" spans="2:8" hidden="1">
      <c r="B1681" s="68" t="str">
        <f>IF(OR($D$3=JU!$F1681,$D$3=JU!$I1681),JU!B1681,"")</f>
        <v/>
      </c>
      <c r="C1681" s="6" t="str">
        <f>IF(OR($D$3=JU!$F1681,$D$3=JU!$I1681),JU!C1681,"")</f>
        <v/>
      </c>
      <c r="D1681" s="73" t="str">
        <f>IF(OR($D$3=JU!$F1681,$D$3=JU!$I1681),JU!D1681,"")</f>
        <v/>
      </c>
      <c r="E1681" s="74" t="str">
        <f>IF(OR($D$3=JU!$F1681,$D$3=JU!$I1681),JU!E1681,"")</f>
        <v/>
      </c>
      <c r="F1681" s="72">
        <f>IF($D$3=JU!F1681,JU!H1681,0)</f>
        <v>0</v>
      </c>
      <c r="G1681" s="72">
        <f>IF($D$3=JU!I1681,JU!K1681,0)</f>
        <v>0</v>
      </c>
      <c r="H1681" s="72" t="e">
        <f t="shared" si="27"/>
        <v>#REF!</v>
      </c>
    </row>
    <row r="1682" spans="2:8" hidden="1">
      <c r="B1682" s="68" t="str">
        <f>IF(OR($D$3=JU!$F1682,$D$3=JU!$I1682),JU!B1682,"")</f>
        <v/>
      </c>
      <c r="C1682" s="6" t="str">
        <f>IF(OR($D$3=JU!$F1682,$D$3=JU!$I1682),JU!C1682,"")</f>
        <v/>
      </c>
      <c r="D1682" s="73" t="str">
        <f>IF(OR($D$3=JU!$F1682,$D$3=JU!$I1682),JU!D1682,"")</f>
        <v/>
      </c>
      <c r="E1682" s="74" t="str">
        <f>IF(OR($D$3=JU!$F1682,$D$3=JU!$I1682),JU!E1682,"")</f>
        <v/>
      </c>
      <c r="F1682" s="72">
        <f>IF($D$3=JU!F1682,JU!H1682,0)</f>
        <v>0</v>
      </c>
      <c r="G1682" s="72">
        <f>IF($D$3=JU!I1682,JU!K1682,0)</f>
        <v>0</v>
      </c>
      <c r="H1682" s="72" t="e">
        <f t="shared" si="27"/>
        <v>#REF!</v>
      </c>
    </row>
    <row r="1683" spans="2:8" hidden="1">
      <c r="B1683" s="68" t="str">
        <f>IF(OR($D$3=JU!$F1683,$D$3=JU!$I1683),JU!B1683,"")</f>
        <v/>
      </c>
      <c r="C1683" s="6" t="str">
        <f>IF(OR($D$3=JU!$F1683,$D$3=JU!$I1683),JU!C1683,"")</f>
        <v/>
      </c>
      <c r="D1683" s="73" t="str">
        <f>IF(OR($D$3=JU!$F1683,$D$3=JU!$I1683),JU!D1683,"")</f>
        <v/>
      </c>
      <c r="E1683" s="74" t="str">
        <f>IF(OR($D$3=JU!$F1683,$D$3=JU!$I1683),JU!E1683,"")</f>
        <v/>
      </c>
      <c r="F1683" s="72">
        <f>IF($D$3=JU!F1683,JU!H1683,0)</f>
        <v>0</v>
      </c>
      <c r="G1683" s="72">
        <f>IF($D$3=JU!I1683,JU!K1683,0)</f>
        <v>0</v>
      </c>
      <c r="H1683" s="72" t="e">
        <f t="shared" si="27"/>
        <v>#REF!</v>
      </c>
    </row>
    <row r="1684" spans="2:8" hidden="1">
      <c r="B1684" s="68" t="str">
        <f>IF(OR($D$3=JU!$F1684,$D$3=JU!$I1684),JU!B1684,"")</f>
        <v/>
      </c>
      <c r="C1684" s="6" t="str">
        <f>IF(OR($D$3=JU!$F1684,$D$3=JU!$I1684),JU!C1684,"")</f>
        <v/>
      </c>
      <c r="D1684" s="73" t="str">
        <f>IF(OR($D$3=JU!$F1684,$D$3=JU!$I1684),JU!D1684,"")</f>
        <v/>
      </c>
      <c r="E1684" s="74" t="str">
        <f>IF(OR($D$3=JU!$F1684,$D$3=JU!$I1684),JU!E1684,"")</f>
        <v/>
      </c>
      <c r="F1684" s="72">
        <f>IF($D$3=JU!F1684,JU!H1684,0)</f>
        <v>0</v>
      </c>
      <c r="G1684" s="72">
        <f>IF($D$3=JU!I1684,JU!K1684,0)</f>
        <v>0</v>
      </c>
      <c r="H1684" s="72" t="e">
        <f t="shared" si="27"/>
        <v>#REF!</v>
      </c>
    </row>
    <row r="1685" spans="2:8" hidden="1">
      <c r="B1685" s="68" t="str">
        <f>IF(OR($D$3=JU!$F1685,$D$3=JU!$I1685),JU!B1685,"")</f>
        <v/>
      </c>
      <c r="C1685" s="6" t="str">
        <f>IF(OR($D$3=JU!$F1685,$D$3=JU!$I1685),JU!C1685,"")</f>
        <v/>
      </c>
      <c r="D1685" s="73" t="str">
        <f>IF(OR($D$3=JU!$F1685,$D$3=JU!$I1685),JU!D1685,"")</f>
        <v/>
      </c>
      <c r="E1685" s="74" t="str">
        <f>IF(OR($D$3=JU!$F1685,$D$3=JU!$I1685),JU!E1685,"")</f>
        <v/>
      </c>
      <c r="F1685" s="72">
        <f>IF($D$3=JU!F1685,JU!H1685,0)</f>
        <v>0</v>
      </c>
      <c r="G1685" s="72">
        <f>IF($D$3=JU!I1685,JU!K1685,0)</f>
        <v>0</v>
      </c>
      <c r="H1685" s="72" t="e">
        <f t="shared" si="27"/>
        <v>#REF!</v>
      </c>
    </row>
    <row r="1686" spans="2:8" hidden="1">
      <c r="B1686" s="68" t="str">
        <f>IF(OR($D$3=JU!$F1686,$D$3=JU!$I1686),JU!B1686,"")</f>
        <v/>
      </c>
      <c r="C1686" s="6" t="str">
        <f>IF(OR($D$3=JU!$F1686,$D$3=JU!$I1686),JU!C1686,"")</f>
        <v/>
      </c>
      <c r="D1686" s="73" t="str">
        <f>IF(OR($D$3=JU!$F1686,$D$3=JU!$I1686),JU!D1686,"")</f>
        <v/>
      </c>
      <c r="E1686" s="74" t="str">
        <f>IF(OR($D$3=JU!$F1686,$D$3=JU!$I1686),JU!E1686,"")</f>
        <v/>
      </c>
      <c r="F1686" s="72">
        <f>IF($D$3=JU!F1686,JU!H1686,0)</f>
        <v>0</v>
      </c>
      <c r="G1686" s="72">
        <f>IF($D$3=JU!I1686,JU!K1686,0)</f>
        <v>0</v>
      </c>
      <c r="H1686" s="72" t="e">
        <f t="shared" si="27"/>
        <v>#REF!</v>
      </c>
    </row>
    <row r="1687" spans="2:8" hidden="1">
      <c r="B1687" s="68" t="str">
        <f>IF(OR($D$3=JU!$F1687,$D$3=JU!$I1687),JU!B1687,"")</f>
        <v/>
      </c>
      <c r="C1687" s="6" t="str">
        <f>IF(OR($D$3=JU!$F1687,$D$3=JU!$I1687),JU!C1687,"")</f>
        <v/>
      </c>
      <c r="D1687" s="73" t="str">
        <f>IF(OR($D$3=JU!$F1687,$D$3=JU!$I1687),JU!D1687,"")</f>
        <v/>
      </c>
      <c r="E1687" s="74" t="str">
        <f>IF(OR($D$3=JU!$F1687,$D$3=JU!$I1687),JU!E1687,"")</f>
        <v/>
      </c>
      <c r="F1687" s="72">
        <f>IF($D$3=JU!F1687,JU!H1687,0)</f>
        <v>0</v>
      </c>
      <c r="G1687" s="72">
        <f>IF($D$3=JU!I1687,JU!K1687,0)</f>
        <v>0</v>
      </c>
      <c r="H1687" s="72" t="e">
        <f t="shared" si="27"/>
        <v>#REF!</v>
      </c>
    </row>
    <row r="1688" spans="2:8" hidden="1">
      <c r="B1688" s="68" t="str">
        <f>IF(OR($D$3=JU!$F1688,$D$3=JU!$I1688),JU!B1688,"")</f>
        <v/>
      </c>
      <c r="C1688" s="6" t="str">
        <f>IF(OR($D$3=JU!$F1688,$D$3=JU!$I1688),JU!C1688,"")</f>
        <v/>
      </c>
      <c r="D1688" s="73" t="str">
        <f>IF(OR($D$3=JU!$F1688,$D$3=JU!$I1688),JU!D1688,"")</f>
        <v/>
      </c>
      <c r="E1688" s="74" t="str">
        <f>IF(OR($D$3=JU!$F1688,$D$3=JU!$I1688),JU!E1688,"")</f>
        <v/>
      </c>
      <c r="F1688" s="72">
        <f>IF($D$3=JU!F1688,JU!H1688,0)</f>
        <v>0</v>
      </c>
      <c r="G1688" s="72">
        <f>IF($D$3=JU!I1688,JU!K1688,0)</f>
        <v>0</v>
      </c>
      <c r="H1688" s="72" t="e">
        <f t="shared" si="27"/>
        <v>#REF!</v>
      </c>
    </row>
    <row r="1689" spans="2:8" hidden="1">
      <c r="B1689" s="68" t="str">
        <f>IF(OR($D$3=JU!$F1689,$D$3=JU!$I1689),JU!B1689,"")</f>
        <v/>
      </c>
      <c r="C1689" s="6" t="str">
        <f>IF(OR($D$3=JU!$F1689,$D$3=JU!$I1689),JU!C1689,"")</f>
        <v/>
      </c>
      <c r="D1689" s="73" t="str">
        <f>IF(OR($D$3=JU!$F1689,$D$3=JU!$I1689),JU!D1689,"")</f>
        <v/>
      </c>
      <c r="E1689" s="74" t="str">
        <f>IF(OR($D$3=JU!$F1689,$D$3=JU!$I1689),JU!E1689,"")</f>
        <v/>
      </c>
      <c r="F1689" s="72">
        <f>IF($D$3=JU!F1689,JU!H1689,0)</f>
        <v>0</v>
      </c>
      <c r="G1689" s="72">
        <f>IF($D$3=JU!I1689,JU!K1689,0)</f>
        <v>0</v>
      </c>
      <c r="H1689" s="72" t="e">
        <f t="shared" si="27"/>
        <v>#REF!</v>
      </c>
    </row>
    <row r="1690" spans="2:8" hidden="1">
      <c r="B1690" s="68" t="str">
        <f>IF(OR($D$3=JU!$F1690,$D$3=JU!$I1690),JU!B1690,"")</f>
        <v/>
      </c>
      <c r="C1690" s="6" t="str">
        <f>IF(OR($D$3=JU!$F1690,$D$3=JU!$I1690),JU!C1690,"")</f>
        <v/>
      </c>
      <c r="D1690" s="73" t="str">
        <f>IF(OR($D$3=JU!$F1690,$D$3=JU!$I1690),JU!D1690,"")</f>
        <v/>
      </c>
      <c r="E1690" s="74" t="str">
        <f>IF(OR($D$3=JU!$F1690,$D$3=JU!$I1690),JU!E1690,"")</f>
        <v/>
      </c>
      <c r="F1690" s="72">
        <f>IF($D$3=JU!F1690,JU!H1690,0)</f>
        <v>0</v>
      </c>
      <c r="G1690" s="72">
        <f>IF($D$3=JU!I1690,JU!K1690,0)</f>
        <v>0</v>
      </c>
      <c r="H1690" s="72" t="e">
        <f t="shared" si="27"/>
        <v>#REF!</v>
      </c>
    </row>
    <row r="1691" spans="2:8" hidden="1">
      <c r="B1691" s="68" t="str">
        <f>IF(OR($D$3=JU!$F1691,$D$3=JU!$I1691),JU!B1691,"")</f>
        <v/>
      </c>
      <c r="C1691" s="6" t="str">
        <f>IF(OR($D$3=JU!$F1691,$D$3=JU!$I1691),JU!C1691,"")</f>
        <v/>
      </c>
      <c r="D1691" s="73" t="str">
        <f>IF(OR($D$3=JU!$F1691,$D$3=JU!$I1691),JU!D1691,"")</f>
        <v/>
      </c>
      <c r="E1691" s="74" t="str">
        <f>IF(OR($D$3=JU!$F1691,$D$3=JU!$I1691),JU!E1691,"")</f>
        <v/>
      </c>
      <c r="F1691" s="72">
        <f>IF($D$3=JU!F1691,JU!H1691,0)</f>
        <v>0</v>
      </c>
      <c r="G1691" s="72">
        <f>IF($D$3=JU!I1691,JU!K1691,0)</f>
        <v>0</v>
      </c>
      <c r="H1691" s="72" t="e">
        <f t="shared" si="27"/>
        <v>#REF!</v>
      </c>
    </row>
    <row r="1692" spans="2:8" hidden="1">
      <c r="B1692" s="68" t="str">
        <f>IF(OR($D$3=JU!$F1692,$D$3=JU!$I1692),JU!B1692,"")</f>
        <v/>
      </c>
      <c r="C1692" s="6" t="str">
        <f>IF(OR($D$3=JU!$F1692,$D$3=JU!$I1692),JU!C1692,"")</f>
        <v/>
      </c>
      <c r="D1692" s="73" t="str">
        <f>IF(OR($D$3=JU!$F1692,$D$3=JU!$I1692),JU!D1692,"")</f>
        <v/>
      </c>
      <c r="E1692" s="74" t="str">
        <f>IF(OR($D$3=JU!$F1692,$D$3=JU!$I1692),JU!E1692,"")</f>
        <v/>
      </c>
      <c r="F1692" s="72">
        <f>IF($D$3=JU!F1692,JU!H1692,0)</f>
        <v>0</v>
      </c>
      <c r="G1692" s="72">
        <f>IF($D$3=JU!I1692,JU!K1692,0)</f>
        <v>0</v>
      </c>
      <c r="H1692" s="72" t="e">
        <f t="shared" si="27"/>
        <v>#REF!</v>
      </c>
    </row>
    <row r="1693" spans="2:8" hidden="1">
      <c r="B1693" s="68" t="str">
        <f>IF(OR($D$3=JU!$F1693,$D$3=JU!$I1693),JU!B1693,"")</f>
        <v/>
      </c>
      <c r="C1693" s="6" t="str">
        <f>IF(OR($D$3=JU!$F1693,$D$3=JU!$I1693),JU!C1693,"")</f>
        <v/>
      </c>
      <c r="D1693" s="73" t="str">
        <f>IF(OR($D$3=JU!$F1693,$D$3=JU!$I1693),JU!D1693,"")</f>
        <v/>
      </c>
      <c r="E1693" s="74" t="str">
        <f>IF(OR($D$3=JU!$F1693,$D$3=JU!$I1693),JU!E1693,"")</f>
        <v/>
      </c>
      <c r="F1693" s="72">
        <f>IF($D$3=JU!F1693,JU!H1693,0)</f>
        <v>0</v>
      </c>
      <c r="G1693" s="72">
        <f>IF($D$3=JU!I1693,JU!K1693,0)</f>
        <v>0</v>
      </c>
      <c r="H1693" s="72" t="e">
        <f t="shared" si="27"/>
        <v>#REF!</v>
      </c>
    </row>
    <row r="1694" spans="2:8" hidden="1">
      <c r="B1694" s="68" t="str">
        <f>IF(OR($D$3=JU!$F1694,$D$3=JU!$I1694),JU!B1694,"")</f>
        <v/>
      </c>
      <c r="C1694" s="6" t="str">
        <f>IF(OR($D$3=JU!$F1694,$D$3=JU!$I1694),JU!C1694,"")</f>
        <v/>
      </c>
      <c r="D1694" s="73" t="str">
        <f>IF(OR($D$3=JU!$F1694,$D$3=JU!$I1694),JU!D1694,"")</f>
        <v/>
      </c>
      <c r="E1694" s="74" t="str">
        <f>IF(OR($D$3=JU!$F1694,$D$3=JU!$I1694),JU!E1694,"")</f>
        <v/>
      </c>
      <c r="F1694" s="72">
        <f>IF($D$3=JU!F1694,JU!H1694,0)</f>
        <v>0</v>
      </c>
      <c r="G1694" s="72">
        <f>IF($D$3=JU!I1694,JU!K1694,0)</f>
        <v>0</v>
      </c>
      <c r="H1694" s="72" t="e">
        <f t="shared" si="27"/>
        <v>#REF!</v>
      </c>
    </row>
    <row r="1695" spans="2:8" hidden="1">
      <c r="B1695" s="68" t="str">
        <f>IF(OR($D$3=JU!$F1695,$D$3=JU!$I1695),JU!B1695,"")</f>
        <v/>
      </c>
      <c r="C1695" s="6" t="str">
        <f>IF(OR($D$3=JU!$F1695,$D$3=JU!$I1695),JU!C1695,"")</f>
        <v/>
      </c>
      <c r="D1695" s="73" t="str">
        <f>IF(OR($D$3=JU!$F1695,$D$3=JU!$I1695),JU!D1695,"")</f>
        <v/>
      </c>
      <c r="E1695" s="74" t="str">
        <f>IF(OR($D$3=JU!$F1695,$D$3=JU!$I1695),JU!E1695,"")</f>
        <v/>
      </c>
      <c r="F1695" s="72">
        <f>IF($D$3=JU!F1695,JU!H1695,0)</f>
        <v>0</v>
      </c>
      <c r="G1695" s="72">
        <f>IF($D$3=JU!I1695,JU!K1695,0)</f>
        <v>0</v>
      </c>
      <c r="H1695" s="72" t="e">
        <f t="shared" si="27"/>
        <v>#REF!</v>
      </c>
    </row>
    <row r="1696" spans="2:8" hidden="1">
      <c r="B1696" s="68" t="str">
        <f>IF(OR($D$3=JU!$F1696,$D$3=JU!$I1696),JU!B1696,"")</f>
        <v/>
      </c>
      <c r="C1696" s="6" t="str">
        <f>IF(OR($D$3=JU!$F1696,$D$3=JU!$I1696),JU!C1696,"")</f>
        <v/>
      </c>
      <c r="D1696" s="73" t="str">
        <f>IF(OR($D$3=JU!$F1696,$D$3=JU!$I1696),JU!D1696,"")</f>
        <v/>
      </c>
      <c r="E1696" s="74" t="str">
        <f>IF(OR($D$3=JU!$F1696,$D$3=JU!$I1696),JU!E1696,"")</f>
        <v/>
      </c>
      <c r="F1696" s="72">
        <f>IF($D$3=JU!F1696,JU!H1696,0)</f>
        <v>0</v>
      </c>
      <c r="G1696" s="72">
        <f>IF($D$3=JU!I1696,JU!K1696,0)</f>
        <v>0</v>
      </c>
      <c r="H1696" s="72" t="e">
        <f t="shared" si="27"/>
        <v>#REF!</v>
      </c>
    </row>
    <row r="1697" spans="2:8" hidden="1">
      <c r="B1697" s="68" t="str">
        <f>IF(OR($D$3=JU!$F1697,$D$3=JU!$I1697),JU!B1697,"")</f>
        <v/>
      </c>
      <c r="C1697" s="6" t="str">
        <f>IF(OR($D$3=JU!$F1697,$D$3=JU!$I1697),JU!C1697,"")</f>
        <v/>
      </c>
      <c r="D1697" s="73" t="str">
        <f>IF(OR($D$3=JU!$F1697,$D$3=JU!$I1697),JU!D1697,"")</f>
        <v/>
      </c>
      <c r="E1697" s="74" t="str">
        <f>IF(OR($D$3=JU!$F1697,$D$3=JU!$I1697),JU!E1697,"")</f>
        <v/>
      </c>
      <c r="F1697" s="72">
        <f>IF($D$3=JU!F1697,JU!H1697,0)</f>
        <v>0</v>
      </c>
      <c r="G1697" s="72">
        <f>IF($D$3=JU!I1697,JU!K1697,0)</f>
        <v>0</v>
      </c>
      <c r="H1697" s="72" t="e">
        <f t="shared" si="27"/>
        <v>#REF!</v>
      </c>
    </row>
    <row r="1698" spans="2:8" hidden="1">
      <c r="B1698" s="68" t="str">
        <f>IF(OR($D$3=JU!$F1698,$D$3=JU!$I1698),JU!B1698,"")</f>
        <v/>
      </c>
      <c r="C1698" s="6" t="str">
        <f>IF(OR($D$3=JU!$F1698,$D$3=JU!$I1698),JU!C1698,"")</f>
        <v/>
      </c>
      <c r="D1698" s="73" t="str">
        <f>IF(OR($D$3=JU!$F1698,$D$3=JU!$I1698),JU!D1698,"")</f>
        <v/>
      </c>
      <c r="E1698" s="74" t="str">
        <f>IF(OR($D$3=JU!$F1698,$D$3=JU!$I1698),JU!E1698,"")</f>
        <v/>
      </c>
      <c r="F1698" s="72">
        <f>IF($D$3=JU!F1698,JU!H1698,0)</f>
        <v>0</v>
      </c>
      <c r="G1698" s="72">
        <f>IF($D$3=JU!I1698,JU!K1698,0)</f>
        <v>0</v>
      </c>
      <c r="H1698" s="72" t="e">
        <f t="shared" si="27"/>
        <v>#REF!</v>
      </c>
    </row>
    <row r="1699" spans="2:8" hidden="1">
      <c r="B1699" s="68" t="str">
        <f>IF(OR($D$3=JU!$F1699,$D$3=JU!$I1699),JU!B1699,"")</f>
        <v/>
      </c>
      <c r="C1699" s="6" t="str">
        <f>IF(OR($D$3=JU!$F1699,$D$3=JU!$I1699),JU!C1699,"")</f>
        <v/>
      </c>
      <c r="D1699" s="73" t="str">
        <f>IF(OR($D$3=JU!$F1699,$D$3=JU!$I1699),JU!D1699,"")</f>
        <v/>
      </c>
      <c r="E1699" s="74" t="str">
        <f>IF(OR($D$3=JU!$F1699,$D$3=JU!$I1699),JU!E1699,"")</f>
        <v/>
      </c>
      <c r="F1699" s="72">
        <f>IF($D$3=JU!F1699,JU!H1699,0)</f>
        <v>0</v>
      </c>
      <c r="G1699" s="72">
        <f>IF($D$3=JU!I1699,JU!K1699,0)</f>
        <v>0</v>
      </c>
      <c r="H1699" s="72" t="e">
        <f t="shared" si="27"/>
        <v>#REF!</v>
      </c>
    </row>
    <row r="1700" spans="2:8" hidden="1">
      <c r="B1700" s="68" t="str">
        <f>IF(OR($D$3=JU!$F1700,$D$3=JU!$I1700),JU!B1700,"")</f>
        <v/>
      </c>
      <c r="C1700" s="6" t="str">
        <f>IF(OR($D$3=JU!$F1700,$D$3=JU!$I1700),JU!C1700,"")</f>
        <v/>
      </c>
      <c r="D1700" s="73" t="str">
        <f>IF(OR($D$3=JU!$F1700,$D$3=JU!$I1700),JU!D1700,"")</f>
        <v/>
      </c>
      <c r="E1700" s="74" t="str">
        <f>IF(OR($D$3=JU!$F1700,$D$3=JU!$I1700),JU!E1700,"")</f>
        <v/>
      </c>
      <c r="F1700" s="72">
        <f>IF($D$3=JU!F1700,JU!H1700,0)</f>
        <v>0</v>
      </c>
      <c r="G1700" s="72">
        <f>IF($D$3=JU!I1700,JU!K1700,0)</f>
        <v>0</v>
      </c>
      <c r="H1700" s="72" t="e">
        <f t="shared" si="27"/>
        <v>#REF!</v>
      </c>
    </row>
    <row r="1701" spans="2:8" hidden="1">
      <c r="B1701" s="68" t="str">
        <f>IF(OR($D$3=JU!$F1701,$D$3=JU!$I1701),JU!B1701,"")</f>
        <v/>
      </c>
      <c r="C1701" s="6" t="str">
        <f>IF(OR($D$3=JU!$F1701,$D$3=JU!$I1701),JU!C1701,"")</f>
        <v/>
      </c>
      <c r="D1701" s="73" t="str">
        <f>IF(OR($D$3=JU!$F1701,$D$3=JU!$I1701),JU!D1701,"")</f>
        <v/>
      </c>
      <c r="E1701" s="74" t="str">
        <f>IF(OR($D$3=JU!$F1701,$D$3=JU!$I1701),JU!E1701,"")</f>
        <v/>
      </c>
      <c r="F1701" s="72">
        <f>IF($D$3=JU!F1701,JU!H1701,0)</f>
        <v>0</v>
      </c>
      <c r="G1701" s="72">
        <f>IF($D$3=JU!I1701,JU!K1701,0)</f>
        <v>0</v>
      </c>
      <c r="H1701" s="72" t="e">
        <f t="shared" si="27"/>
        <v>#REF!</v>
      </c>
    </row>
    <row r="1702" spans="2:8" hidden="1">
      <c r="B1702" s="68" t="str">
        <f>IF(OR($D$3=JU!$F1702,$D$3=JU!$I1702),JU!B1702,"")</f>
        <v/>
      </c>
      <c r="C1702" s="6" t="str">
        <f>IF(OR($D$3=JU!$F1702,$D$3=JU!$I1702),JU!C1702,"")</f>
        <v/>
      </c>
      <c r="D1702" s="73" t="str">
        <f>IF(OR($D$3=JU!$F1702,$D$3=JU!$I1702),JU!D1702,"")</f>
        <v/>
      </c>
      <c r="E1702" s="74" t="str">
        <f>IF(OR($D$3=JU!$F1702,$D$3=JU!$I1702),JU!E1702,"")</f>
        <v/>
      </c>
      <c r="F1702" s="72">
        <f>IF($D$3=JU!F1702,JU!H1702,0)</f>
        <v>0</v>
      </c>
      <c r="G1702" s="72">
        <f>IF($D$3=JU!I1702,JU!K1702,0)</f>
        <v>0</v>
      </c>
      <c r="H1702" s="72" t="e">
        <f t="shared" si="27"/>
        <v>#REF!</v>
      </c>
    </row>
    <row r="1703" spans="2:8" hidden="1">
      <c r="B1703" s="68" t="str">
        <f>IF(OR($D$3=JU!$F1703,$D$3=JU!$I1703),JU!B1703,"")</f>
        <v/>
      </c>
      <c r="C1703" s="6" t="str">
        <f>IF(OR($D$3=JU!$F1703,$D$3=JU!$I1703),JU!C1703,"")</f>
        <v/>
      </c>
      <c r="D1703" s="73" t="str">
        <f>IF(OR($D$3=JU!$F1703,$D$3=JU!$I1703),JU!D1703,"")</f>
        <v/>
      </c>
      <c r="E1703" s="74" t="str">
        <f>IF(OR($D$3=JU!$F1703,$D$3=JU!$I1703),JU!E1703,"")</f>
        <v/>
      </c>
      <c r="F1703" s="72">
        <f>IF($D$3=JU!F1703,JU!H1703,0)</f>
        <v>0</v>
      </c>
      <c r="G1703" s="72">
        <f>IF($D$3=JU!I1703,JU!K1703,0)</f>
        <v>0</v>
      </c>
      <c r="H1703" s="72" t="e">
        <f t="shared" si="27"/>
        <v>#REF!</v>
      </c>
    </row>
    <row r="1704" spans="2:8" hidden="1">
      <c r="B1704" s="68" t="str">
        <f>IF(OR($D$3=JU!$F1704,$D$3=JU!$I1704),JU!B1704,"")</f>
        <v/>
      </c>
      <c r="C1704" s="6" t="str">
        <f>IF(OR($D$3=JU!$F1704,$D$3=JU!$I1704),JU!C1704,"")</f>
        <v/>
      </c>
      <c r="D1704" s="73" t="str">
        <f>IF(OR($D$3=JU!$F1704,$D$3=JU!$I1704),JU!D1704,"")</f>
        <v/>
      </c>
      <c r="E1704" s="74" t="str">
        <f>IF(OR($D$3=JU!$F1704,$D$3=JU!$I1704),JU!E1704,"")</f>
        <v/>
      </c>
      <c r="F1704" s="72">
        <f>IF($D$3=JU!F1704,JU!H1704,0)</f>
        <v>0</v>
      </c>
      <c r="G1704" s="72">
        <f>IF($D$3=JU!I1704,JU!K1704,0)</f>
        <v>0</v>
      </c>
      <c r="H1704" s="72" t="e">
        <f t="shared" si="27"/>
        <v>#REF!</v>
      </c>
    </row>
    <row r="1705" spans="2:8" hidden="1">
      <c r="B1705" s="68" t="str">
        <f>IF(OR($D$3=JU!$F1705,$D$3=JU!$I1705),JU!B1705,"")</f>
        <v/>
      </c>
      <c r="C1705" s="6" t="str">
        <f>IF(OR($D$3=JU!$F1705,$D$3=JU!$I1705),JU!C1705,"")</f>
        <v/>
      </c>
      <c r="D1705" s="73" t="str">
        <f>IF(OR($D$3=JU!$F1705,$D$3=JU!$I1705),JU!D1705,"")</f>
        <v/>
      </c>
      <c r="E1705" s="74" t="str">
        <f>IF(OR($D$3=JU!$F1705,$D$3=JU!$I1705),JU!E1705,"")</f>
        <v/>
      </c>
      <c r="F1705" s="72">
        <f>IF($D$3=JU!F1705,JU!H1705,0)</f>
        <v>0</v>
      </c>
      <c r="G1705" s="72">
        <f>IF($D$3=JU!I1705,JU!K1705,0)</f>
        <v>0</v>
      </c>
      <c r="H1705" s="72" t="e">
        <f t="shared" si="27"/>
        <v>#REF!</v>
      </c>
    </row>
    <row r="1706" spans="2:8" hidden="1">
      <c r="B1706" s="68" t="str">
        <f>IF(OR($D$3=JU!$F1706,$D$3=JU!$I1706),JU!B1706,"")</f>
        <v/>
      </c>
      <c r="C1706" s="6" t="str">
        <f>IF(OR($D$3=JU!$F1706,$D$3=JU!$I1706),JU!C1706,"")</f>
        <v/>
      </c>
      <c r="D1706" s="73" t="str">
        <f>IF(OR($D$3=JU!$F1706,$D$3=JU!$I1706),JU!D1706,"")</f>
        <v/>
      </c>
      <c r="E1706" s="74" t="str">
        <f>IF(OR($D$3=JU!$F1706,$D$3=JU!$I1706),JU!E1706,"")</f>
        <v/>
      </c>
      <c r="F1706" s="72">
        <f>IF($D$3=JU!F1706,JU!H1706,0)</f>
        <v>0</v>
      </c>
      <c r="G1706" s="72">
        <f>IF($D$3=JU!I1706,JU!K1706,0)</f>
        <v>0</v>
      </c>
      <c r="H1706" s="72" t="e">
        <f t="shared" si="27"/>
        <v>#REF!</v>
      </c>
    </row>
    <row r="1707" spans="2:8" hidden="1">
      <c r="B1707" s="68" t="str">
        <f>IF(OR($D$3=JU!$F1707,$D$3=JU!$I1707),JU!B1707,"")</f>
        <v/>
      </c>
      <c r="C1707" s="6" t="str">
        <f>IF(OR($D$3=JU!$F1707,$D$3=JU!$I1707),JU!C1707,"")</f>
        <v/>
      </c>
      <c r="D1707" s="73" t="str">
        <f>IF(OR($D$3=JU!$F1707,$D$3=JU!$I1707),JU!D1707,"")</f>
        <v/>
      </c>
      <c r="E1707" s="74" t="str">
        <f>IF(OR($D$3=JU!$F1707,$D$3=JU!$I1707),JU!E1707,"")</f>
        <v/>
      </c>
      <c r="F1707" s="72">
        <f>IF($D$3=JU!F1707,JU!H1707,0)</f>
        <v>0</v>
      </c>
      <c r="G1707" s="72">
        <f>IF($D$3=JU!I1707,JU!K1707,0)</f>
        <v>0</v>
      </c>
      <c r="H1707" s="72" t="e">
        <f t="shared" si="27"/>
        <v>#REF!</v>
      </c>
    </row>
    <row r="1708" spans="2:8" hidden="1">
      <c r="B1708" s="68" t="str">
        <f>IF(OR($D$3=JU!$F1708,$D$3=JU!$I1708),JU!B1708,"")</f>
        <v/>
      </c>
      <c r="C1708" s="6" t="str">
        <f>IF(OR($D$3=JU!$F1708,$D$3=JU!$I1708),JU!C1708,"")</f>
        <v/>
      </c>
      <c r="D1708" s="73" t="str">
        <f>IF(OR($D$3=JU!$F1708,$D$3=JU!$I1708),JU!D1708,"")</f>
        <v/>
      </c>
      <c r="E1708" s="74" t="str">
        <f>IF(OR($D$3=JU!$F1708,$D$3=JU!$I1708),JU!E1708,"")</f>
        <v/>
      </c>
      <c r="F1708" s="72">
        <f>IF($D$3=JU!F1708,JU!H1708,0)</f>
        <v>0</v>
      </c>
      <c r="G1708" s="72">
        <f>IF($D$3=JU!I1708,JU!K1708,0)</f>
        <v>0</v>
      </c>
      <c r="H1708" s="72" t="e">
        <f t="shared" si="27"/>
        <v>#REF!</v>
      </c>
    </row>
    <row r="1709" spans="2:8" hidden="1">
      <c r="B1709" s="68" t="str">
        <f>IF(OR($D$3=JU!$F1709,$D$3=JU!$I1709),JU!B1709,"")</f>
        <v/>
      </c>
      <c r="C1709" s="6" t="str">
        <f>IF(OR($D$3=JU!$F1709,$D$3=JU!$I1709),JU!C1709,"")</f>
        <v/>
      </c>
      <c r="D1709" s="73" t="str">
        <f>IF(OR($D$3=JU!$F1709,$D$3=JU!$I1709),JU!D1709,"")</f>
        <v/>
      </c>
      <c r="E1709" s="74" t="str">
        <f>IF(OR($D$3=JU!$F1709,$D$3=JU!$I1709),JU!E1709,"")</f>
        <v/>
      </c>
      <c r="F1709" s="72">
        <f>IF($D$3=JU!F1709,JU!H1709,0)</f>
        <v>0</v>
      </c>
      <c r="G1709" s="72">
        <f>IF($D$3=JU!I1709,JU!K1709,0)</f>
        <v>0</v>
      </c>
      <c r="H1709" s="72" t="e">
        <f t="shared" si="27"/>
        <v>#REF!</v>
      </c>
    </row>
    <row r="1710" spans="2:8" hidden="1">
      <c r="B1710" s="68" t="str">
        <f>IF(OR($D$3=JU!$F1710,$D$3=JU!$I1710),JU!B1710,"")</f>
        <v/>
      </c>
      <c r="C1710" s="6" t="str">
        <f>IF(OR($D$3=JU!$F1710,$D$3=JU!$I1710),JU!C1710,"")</f>
        <v/>
      </c>
      <c r="D1710" s="73" t="str">
        <f>IF(OR($D$3=JU!$F1710,$D$3=JU!$I1710),JU!D1710,"")</f>
        <v/>
      </c>
      <c r="E1710" s="74" t="str">
        <f>IF(OR($D$3=JU!$F1710,$D$3=JU!$I1710),JU!E1710,"")</f>
        <v/>
      </c>
      <c r="F1710" s="72">
        <f>IF($D$3=JU!F1710,JU!H1710,0)</f>
        <v>0</v>
      </c>
      <c r="G1710" s="72">
        <f>IF($D$3=JU!I1710,JU!K1710,0)</f>
        <v>0</v>
      </c>
      <c r="H1710" s="72" t="e">
        <f t="shared" si="27"/>
        <v>#REF!</v>
      </c>
    </row>
    <row r="1711" spans="2:8" hidden="1">
      <c r="B1711" s="68" t="str">
        <f>IF(OR($D$3=JU!$F1711,$D$3=JU!$I1711),JU!B1711,"")</f>
        <v/>
      </c>
      <c r="C1711" s="6" t="str">
        <f>IF(OR($D$3=JU!$F1711,$D$3=JU!$I1711),JU!C1711,"")</f>
        <v/>
      </c>
      <c r="D1711" s="73" t="str">
        <f>IF(OR($D$3=JU!$F1711,$D$3=JU!$I1711),JU!D1711,"")</f>
        <v/>
      </c>
      <c r="E1711" s="74" t="str">
        <f>IF(OR($D$3=JU!$F1711,$D$3=JU!$I1711),JU!E1711,"")</f>
        <v/>
      </c>
      <c r="F1711" s="72">
        <f>IF($D$3=JU!F1711,JU!H1711,0)</f>
        <v>0</v>
      </c>
      <c r="G1711" s="72">
        <f>IF($D$3=JU!I1711,JU!K1711,0)</f>
        <v>0</v>
      </c>
      <c r="H1711" s="72" t="e">
        <f t="shared" si="27"/>
        <v>#REF!</v>
      </c>
    </row>
    <row r="1712" spans="2:8" hidden="1">
      <c r="B1712" s="68" t="str">
        <f>IF(OR($D$3=JU!$F1712,$D$3=JU!$I1712),JU!B1712,"")</f>
        <v/>
      </c>
      <c r="C1712" s="6" t="str">
        <f>IF(OR($D$3=JU!$F1712,$D$3=JU!$I1712),JU!C1712,"")</f>
        <v/>
      </c>
      <c r="D1712" s="73" t="str">
        <f>IF(OR($D$3=JU!$F1712,$D$3=JU!$I1712),JU!D1712,"")</f>
        <v/>
      </c>
      <c r="E1712" s="74" t="str">
        <f>IF(OR($D$3=JU!$F1712,$D$3=JU!$I1712),JU!E1712,"")</f>
        <v/>
      </c>
      <c r="F1712" s="72">
        <f>IF($D$3=JU!F1712,JU!H1712,0)</f>
        <v>0</v>
      </c>
      <c r="G1712" s="72">
        <f>IF($D$3=JU!I1712,JU!K1712,0)</f>
        <v>0</v>
      </c>
      <c r="H1712" s="72" t="e">
        <f t="shared" si="27"/>
        <v>#REF!</v>
      </c>
    </row>
    <row r="1713" spans="2:8" hidden="1">
      <c r="B1713" s="68" t="str">
        <f>IF(OR($D$3=JU!$F1713,$D$3=JU!$I1713),JU!B1713,"")</f>
        <v/>
      </c>
      <c r="C1713" s="6" t="str">
        <f>IF(OR($D$3=JU!$F1713,$D$3=JU!$I1713),JU!C1713,"")</f>
        <v/>
      </c>
      <c r="D1713" s="73" t="str">
        <f>IF(OR($D$3=JU!$F1713,$D$3=JU!$I1713),JU!D1713,"")</f>
        <v/>
      </c>
      <c r="E1713" s="74" t="str">
        <f>IF(OR($D$3=JU!$F1713,$D$3=JU!$I1713),JU!E1713,"")</f>
        <v/>
      </c>
      <c r="F1713" s="72">
        <f>IF($D$3=JU!F1713,JU!H1713,0)</f>
        <v>0</v>
      </c>
      <c r="G1713" s="72">
        <f>IF($D$3=JU!I1713,JU!K1713,0)</f>
        <v>0</v>
      </c>
      <c r="H1713" s="72" t="e">
        <f t="shared" si="27"/>
        <v>#REF!</v>
      </c>
    </row>
    <row r="1714" spans="2:8" hidden="1">
      <c r="B1714" s="68" t="str">
        <f>IF(OR($D$3=JU!$F1714,$D$3=JU!$I1714),JU!B1714,"")</f>
        <v/>
      </c>
      <c r="C1714" s="6" t="str">
        <f>IF(OR($D$3=JU!$F1714,$D$3=JU!$I1714),JU!C1714,"")</f>
        <v/>
      </c>
      <c r="D1714" s="73" t="str">
        <f>IF(OR($D$3=JU!$F1714,$D$3=JU!$I1714),JU!D1714,"")</f>
        <v/>
      </c>
      <c r="E1714" s="74" t="str">
        <f>IF(OR($D$3=JU!$F1714,$D$3=JU!$I1714),JU!E1714,"")</f>
        <v/>
      </c>
      <c r="F1714" s="72">
        <f>IF($D$3=JU!F1714,JU!H1714,0)</f>
        <v>0</v>
      </c>
      <c r="G1714" s="72">
        <f>IF($D$3=JU!I1714,JU!K1714,0)</f>
        <v>0</v>
      </c>
      <c r="H1714" s="72" t="e">
        <f t="shared" si="27"/>
        <v>#REF!</v>
      </c>
    </row>
    <row r="1715" spans="2:8" hidden="1">
      <c r="B1715" s="68" t="str">
        <f>IF(OR($D$3=JU!$F1715,$D$3=JU!$I1715),JU!B1715,"")</f>
        <v/>
      </c>
      <c r="C1715" s="6" t="str">
        <f>IF(OR($D$3=JU!$F1715,$D$3=JU!$I1715),JU!C1715,"")</f>
        <v/>
      </c>
      <c r="D1715" s="73" t="str">
        <f>IF(OR($D$3=JU!$F1715,$D$3=JU!$I1715),JU!D1715,"")</f>
        <v/>
      </c>
      <c r="E1715" s="74" t="str">
        <f>IF(OR($D$3=JU!$F1715,$D$3=JU!$I1715),JU!E1715,"")</f>
        <v/>
      </c>
      <c r="F1715" s="72">
        <f>IF($D$3=JU!F1715,JU!H1715,0)</f>
        <v>0</v>
      </c>
      <c r="G1715" s="72">
        <f>IF($D$3=JU!I1715,JU!K1715,0)</f>
        <v>0</v>
      </c>
      <c r="H1715" s="72" t="e">
        <f t="shared" si="27"/>
        <v>#REF!</v>
      </c>
    </row>
    <row r="1716" spans="2:8" hidden="1">
      <c r="B1716" s="68" t="str">
        <f>IF(OR($D$3=JU!$F1716,$D$3=JU!$I1716),JU!B1716,"")</f>
        <v/>
      </c>
      <c r="C1716" s="6" t="str">
        <f>IF(OR($D$3=JU!$F1716,$D$3=JU!$I1716),JU!C1716,"")</f>
        <v/>
      </c>
      <c r="D1716" s="73" t="str">
        <f>IF(OR($D$3=JU!$F1716,$D$3=JU!$I1716),JU!D1716,"")</f>
        <v/>
      </c>
      <c r="E1716" s="74" t="str">
        <f>IF(OR($D$3=JU!$F1716,$D$3=JU!$I1716),JU!E1716,"")</f>
        <v/>
      </c>
      <c r="F1716" s="72">
        <f>IF($D$3=JU!F1716,JU!H1716,0)</f>
        <v>0</v>
      </c>
      <c r="G1716" s="72">
        <f>IF($D$3=JU!I1716,JU!K1716,0)</f>
        <v>0</v>
      </c>
      <c r="H1716" s="72" t="e">
        <f t="shared" si="27"/>
        <v>#REF!</v>
      </c>
    </row>
    <row r="1717" spans="2:8" hidden="1">
      <c r="B1717" s="68" t="str">
        <f>IF(OR($D$3=JU!$F1717,$D$3=JU!$I1717),JU!B1717,"")</f>
        <v/>
      </c>
      <c r="C1717" s="6" t="str">
        <f>IF(OR($D$3=JU!$F1717,$D$3=JU!$I1717),JU!C1717,"")</f>
        <v/>
      </c>
      <c r="D1717" s="73" t="str">
        <f>IF(OR($D$3=JU!$F1717,$D$3=JU!$I1717),JU!D1717,"")</f>
        <v/>
      </c>
      <c r="E1717" s="74" t="str">
        <f>IF(OR($D$3=JU!$F1717,$D$3=JU!$I1717),JU!E1717,"")</f>
        <v/>
      </c>
      <c r="F1717" s="72">
        <f>IF($D$3=JU!F1717,JU!H1717,0)</f>
        <v>0</v>
      </c>
      <c r="G1717" s="72">
        <f>IF($D$3=JU!I1717,JU!K1717,0)</f>
        <v>0</v>
      </c>
      <c r="H1717" s="72" t="e">
        <f t="shared" si="27"/>
        <v>#REF!</v>
      </c>
    </row>
    <row r="1718" spans="2:8" hidden="1">
      <c r="B1718" s="68" t="str">
        <f>IF(OR($D$3=JU!$F1718,$D$3=JU!$I1718),JU!B1718,"")</f>
        <v/>
      </c>
      <c r="C1718" s="6" t="str">
        <f>IF(OR($D$3=JU!$F1718,$D$3=JU!$I1718),JU!C1718,"")</f>
        <v/>
      </c>
      <c r="D1718" s="73" t="str">
        <f>IF(OR($D$3=JU!$F1718,$D$3=JU!$I1718),JU!D1718,"")</f>
        <v/>
      </c>
      <c r="E1718" s="74" t="str">
        <f>IF(OR($D$3=JU!$F1718,$D$3=JU!$I1718),JU!E1718,"")</f>
        <v/>
      </c>
      <c r="F1718" s="72">
        <f>IF($D$3=JU!F1718,JU!H1718,0)</f>
        <v>0</v>
      </c>
      <c r="G1718" s="72">
        <f>IF($D$3=JU!I1718,JU!K1718,0)</f>
        <v>0</v>
      </c>
      <c r="H1718" s="72" t="e">
        <f t="shared" si="27"/>
        <v>#REF!</v>
      </c>
    </row>
    <row r="1719" spans="2:8" hidden="1">
      <c r="B1719" s="68" t="str">
        <f>IF(OR($D$3=JU!$F1719,$D$3=JU!$I1719),JU!B1719,"")</f>
        <v/>
      </c>
      <c r="C1719" s="6" t="str">
        <f>IF(OR($D$3=JU!$F1719,$D$3=JU!$I1719),JU!C1719,"")</f>
        <v/>
      </c>
      <c r="D1719" s="73" t="str">
        <f>IF(OR($D$3=JU!$F1719,$D$3=JU!$I1719),JU!D1719,"")</f>
        <v/>
      </c>
      <c r="E1719" s="74" t="str">
        <f>IF(OR($D$3=JU!$F1719,$D$3=JU!$I1719),JU!E1719,"")</f>
        <v/>
      </c>
      <c r="F1719" s="72">
        <f>IF($D$3=JU!F1719,JU!H1719,0)</f>
        <v>0</v>
      </c>
      <c r="G1719" s="72">
        <f>IF($D$3=JU!I1719,JU!K1719,0)</f>
        <v>0</v>
      </c>
      <c r="H1719" s="72" t="e">
        <f t="shared" si="27"/>
        <v>#REF!</v>
      </c>
    </row>
    <row r="1720" spans="2:8" hidden="1">
      <c r="B1720" s="68" t="str">
        <f>IF(OR($D$3=JU!$F1720,$D$3=JU!$I1720),JU!B1720,"")</f>
        <v/>
      </c>
      <c r="C1720" s="6" t="str">
        <f>IF(OR($D$3=JU!$F1720,$D$3=JU!$I1720),JU!C1720,"")</f>
        <v/>
      </c>
      <c r="D1720" s="73" t="str">
        <f>IF(OR($D$3=JU!$F1720,$D$3=JU!$I1720),JU!D1720,"")</f>
        <v/>
      </c>
      <c r="E1720" s="74" t="str">
        <f>IF(OR($D$3=JU!$F1720,$D$3=JU!$I1720),JU!E1720,"")</f>
        <v/>
      </c>
      <c r="F1720" s="72">
        <f>IF($D$3=JU!F1720,JU!H1720,0)</f>
        <v>0</v>
      </c>
      <c r="G1720" s="72">
        <f>IF($D$3=JU!I1720,JU!K1720,0)</f>
        <v>0</v>
      </c>
      <c r="H1720" s="72" t="e">
        <f t="shared" si="27"/>
        <v>#REF!</v>
      </c>
    </row>
    <row r="1721" spans="2:8" hidden="1">
      <c r="B1721" s="68" t="str">
        <f>IF(OR($D$3=JU!$F1721,$D$3=JU!$I1721),JU!B1721,"")</f>
        <v/>
      </c>
      <c r="C1721" s="6" t="str">
        <f>IF(OR($D$3=JU!$F1721,$D$3=JU!$I1721),JU!C1721,"")</f>
        <v/>
      </c>
      <c r="D1721" s="73" t="str">
        <f>IF(OR($D$3=JU!$F1721,$D$3=JU!$I1721),JU!D1721,"")</f>
        <v/>
      </c>
      <c r="E1721" s="74" t="str">
        <f>IF(OR($D$3=JU!$F1721,$D$3=JU!$I1721),JU!E1721,"")</f>
        <v/>
      </c>
      <c r="F1721" s="72">
        <f>IF($D$3=JU!F1721,JU!H1721,0)</f>
        <v>0</v>
      </c>
      <c r="G1721" s="72">
        <f>IF($D$3=JU!I1721,JU!K1721,0)</f>
        <v>0</v>
      </c>
      <c r="H1721" s="72" t="e">
        <f t="shared" si="27"/>
        <v>#REF!</v>
      </c>
    </row>
    <row r="1722" spans="2:8" hidden="1">
      <c r="B1722" s="68" t="str">
        <f>IF(OR($D$3=JU!$F1722,$D$3=JU!$I1722),JU!B1722,"")</f>
        <v/>
      </c>
      <c r="C1722" s="6" t="str">
        <f>IF(OR($D$3=JU!$F1722,$D$3=JU!$I1722),JU!C1722,"")</f>
        <v/>
      </c>
      <c r="D1722" s="73" t="str">
        <f>IF(OR($D$3=JU!$F1722,$D$3=JU!$I1722),JU!D1722,"")</f>
        <v/>
      </c>
      <c r="E1722" s="74" t="str">
        <f>IF(OR($D$3=JU!$F1722,$D$3=JU!$I1722),JU!E1722,"")</f>
        <v/>
      </c>
      <c r="F1722" s="72">
        <f>IF($D$3=JU!F1722,JU!H1722,0)</f>
        <v>0</v>
      </c>
      <c r="G1722" s="72">
        <f>IF($D$3=JU!I1722,JU!K1722,0)</f>
        <v>0</v>
      </c>
      <c r="H1722" s="72" t="e">
        <f t="shared" si="27"/>
        <v>#REF!</v>
      </c>
    </row>
    <row r="1723" spans="2:8" hidden="1">
      <c r="B1723" s="68" t="str">
        <f>IF(OR($D$3=JU!$F1723,$D$3=JU!$I1723),JU!B1723,"")</f>
        <v/>
      </c>
      <c r="C1723" s="6" t="str">
        <f>IF(OR($D$3=JU!$F1723,$D$3=JU!$I1723),JU!C1723,"")</f>
        <v/>
      </c>
      <c r="D1723" s="73" t="str">
        <f>IF(OR($D$3=JU!$F1723,$D$3=JU!$I1723),JU!D1723,"")</f>
        <v/>
      </c>
      <c r="E1723" s="74" t="str">
        <f>IF(OR($D$3=JU!$F1723,$D$3=JU!$I1723),JU!E1723,"")</f>
        <v/>
      </c>
      <c r="F1723" s="72">
        <f>IF($D$3=JU!F1723,JU!H1723,0)</f>
        <v>0</v>
      </c>
      <c r="G1723" s="72">
        <f>IF($D$3=JU!I1723,JU!K1723,0)</f>
        <v>0</v>
      </c>
      <c r="H1723" s="72" t="e">
        <f t="shared" si="27"/>
        <v>#REF!</v>
      </c>
    </row>
    <row r="1724" spans="2:8" hidden="1">
      <c r="B1724" s="68" t="str">
        <f>IF(OR($D$3=JU!$F1724,$D$3=JU!$I1724),JU!B1724,"")</f>
        <v/>
      </c>
      <c r="C1724" s="6" t="str">
        <f>IF(OR($D$3=JU!$F1724,$D$3=JU!$I1724),JU!C1724,"")</f>
        <v/>
      </c>
      <c r="D1724" s="73" t="str">
        <f>IF(OR($D$3=JU!$F1724,$D$3=JU!$I1724),JU!D1724,"")</f>
        <v/>
      </c>
      <c r="E1724" s="74" t="str">
        <f>IF(OR($D$3=JU!$F1724,$D$3=JU!$I1724),JU!E1724,"")</f>
        <v/>
      </c>
      <c r="F1724" s="72">
        <f>IF($D$3=JU!F1724,JU!H1724,0)</f>
        <v>0</v>
      </c>
      <c r="G1724" s="72">
        <f>IF($D$3=JU!I1724,JU!K1724,0)</f>
        <v>0</v>
      </c>
      <c r="H1724" s="72" t="e">
        <f t="shared" si="27"/>
        <v>#REF!</v>
      </c>
    </row>
    <row r="1725" spans="2:8" hidden="1">
      <c r="B1725" s="68" t="str">
        <f>IF(OR($D$3=JU!$F1725,$D$3=JU!$I1725),JU!B1725,"")</f>
        <v/>
      </c>
      <c r="C1725" s="6" t="str">
        <f>IF(OR($D$3=JU!$F1725,$D$3=JU!$I1725),JU!C1725,"")</f>
        <v/>
      </c>
      <c r="D1725" s="73" t="str">
        <f>IF(OR($D$3=JU!$F1725,$D$3=JU!$I1725),JU!D1725,"")</f>
        <v/>
      </c>
      <c r="E1725" s="74" t="str">
        <f>IF(OR($D$3=JU!$F1725,$D$3=JU!$I1725),JU!E1725,"")</f>
        <v/>
      </c>
      <c r="F1725" s="72">
        <f>IF($D$3=JU!F1725,JU!H1725,0)</f>
        <v>0</v>
      </c>
      <c r="G1725" s="72">
        <f>IF($D$3=JU!I1725,JU!K1725,0)</f>
        <v>0</v>
      </c>
      <c r="H1725" s="72" t="e">
        <f t="shared" si="27"/>
        <v>#REF!</v>
      </c>
    </row>
    <row r="1726" spans="2:8" hidden="1">
      <c r="B1726" s="68" t="str">
        <f>IF(OR($D$3=JU!$F1726,$D$3=JU!$I1726),JU!B1726,"")</f>
        <v/>
      </c>
      <c r="C1726" s="6" t="str">
        <f>IF(OR($D$3=JU!$F1726,$D$3=JU!$I1726),JU!C1726,"")</f>
        <v/>
      </c>
      <c r="D1726" s="73" t="str">
        <f>IF(OR($D$3=JU!$F1726,$D$3=JU!$I1726),JU!D1726,"")</f>
        <v/>
      </c>
      <c r="E1726" s="74" t="str">
        <f>IF(OR($D$3=JU!$F1726,$D$3=JU!$I1726),JU!E1726,"")</f>
        <v/>
      </c>
      <c r="F1726" s="72">
        <f>IF($D$3=JU!F1726,JU!H1726,0)</f>
        <v>0</v>
      </c>
      <c r="G1726" s="72">
        <f>IF($D$3=JU!I1726,JU!K1726,0)</f>
        <v>0</v>
      </c>
      <c r="H1726" s="72" t="e">
        <f t="shared" si="27"/>
        <v>#REF!</v>
      </c>
    </row>
    <row r="1727" spans="2:8" hidden="1">
      <c r="B1727" s="68" t="str">
        <f>IF(OR($D$3=JU!$F1727,$D$3=JU!$I1727),JU!B1727,"")</f>
        <v/>
      </c>
      <c r="C1727" s="6" t="str">
        <f>IF(OR($D$3=JU!$F1727,$D$3=JU!$I1727),JU!C1727,"")</f>
        <v/>
      </c>
      <c r="D1727" s="73" t="str">
        <f>IF(OR($D$3=JU!$F1727,$D$3=JU!$I1727),JU!D1727,"")</f>
        <v/>
      </c>
      <c r="E1727" s="74" t="str">
        <f>IF(OR($D$3=JU!$F1727,$D$3=JU!$I1727),JU!E1727,"")</f>
        <v/>
      </c>
      <c r="F1727" s="72">
        <f>IF($D$3=JU!F1727,JU!H1727,0)</f>
        <v>0</v>
      </c>
      <c r="G1727" s="72">
        <f>IF($D$3=JU!I1727,JU!K1727,0)</f>
        <v>0</v>
      </c>
      <c r="H1727" s="72" t="e">
        <f t="shared" si="27"/>
        <v>#REF!</v>
      </c>
    </row>
    <row r="1728" spans="2:8" hidden="1">
      <c r="B1728" s="68" t="str">
        <f>IF(OR($D$3=JU!$F1728,$D$3=JU!$I1728),JU!B1728,"")</f>
        <v/>
      </c>
      <c r="C1728" s="6" t="str">
        <f>IF(OR($D$3=JU!$F1728,$D$3=JU!$I1728),JU!C1728,"")</f>
        <v/>
      </c>
      <c r="D1728" s="73" t="str">
        <f>IF(OR($D$3=JU!$F1728,$D$3=JU!$I1728),JU!D1728,"")</f>
        <v/>
      </c>
      <c r="E1728" s="74" t="str">
        <f>IF(OR($D$3=JU!$F1728,$D$3=JU!$I1728),JU!E1728,"")</f>
        <v/>
      </c>
      <c r="F1728" s="72">
        <f>IF($D$3=JU!F1728,JU!H1728,0)</f>
        <v>0</v>
      </c>
      <c r="G1728" s="72">
        <f>IF($D$3=JU!I1728,JU!K1728,0)</f>
        <v>0</v>
      </c>
      <c r="H1728" s="72" t="e">
        <f t="shared" si="27"/>
        <v>#REF!</v>
      </c>
    </row>
    <row r="1729" spans="2:8" hidden="1">
      <c r="B1729" s="68" t="str">
        <f>IF(OR($D$3=JU!$F1729,$D$3=JU!$I1729),JU!B1729,"")</f>
        <v/>
      </c>
      <c r="C1729" s="6" t="str">
        <f>IF(OR($D$3=JU!$F1729,$D$3=JU!$I1729),JU!C1729,"")</f>
        <v/>
      </c>
      <c r="D1729" s="73" t="str">
        <f>IF(OR($D$3=JU!$F1729,$D$3=JU!$I1729),JU!D1729,"")</f>
        <v/>
      </c>
      <c r="E1729" s="74" t="str">
        <f>IF(OR($D$3=JU!$F1729,$D$3=JU!$I1729),JU!E1729,"")</f>
        <v/>
      </c>
      <c r="F1729" s="72">
        <f>IF($D$3=JU!F1729,JU!H1729,0)</f>
        <v>0</v>
      </c>
      <c r="G1729" s="72">
        <f>IF($D$3=JU!I1729,JU!K1729,0)</f>
        <v>0</v>
      </c>
      <c r="H1729" s="72" t="e">
        <f t="shared" si="27"/>
        <v>#REF!</v>
      </c>
    </row>
    <row r="1730" spans="2:8" hidden="1">
      <c r="B1730" s="68" t="str">
        <f>IF(OR($D$3=JU!$F1730,$D$3=JU!$I1730),JU!B1730,"")</f>
        <v/>
      </c>
      <c r="C1730" s="6" t="str">
        <f>IF(OR($D$3=JU!$F1730,$D$3=JU!$I1730),JU!C1730,"")</f>
        <v/>
      </c>
      <c r="D1730" s="73" t="str">
        <f>IF(OR($D$3=JU!$F1730,$D$3=JU!$I1730),JU!D1730,"")</f>
        <v/>
      </c>
      <c r="E1730" s="74" t="str">
        <f>IF(OR($D$3=JU!$F1730,$D$3=JU!$I1730),JU!E1730,"")</f>
        <v/>
      </c>
      <c r="F1730" s="72">
        <f>IF($D$3=JU!F1730,JU!H1730,0)</f>
        <v>0</v>
      </c>
      <c r="G1730" s="72">
        <f>IF($D$3=JU!I1730,JU!K1730,0)</f>
        <v>0</v>
      </c>
      <c r="H1730" s="72" t="e">
        <f t="shared" si="27"/>
        <v>#REF!</v>
      </c>
    </row>
    <row r="1731" spans="2:8" hidden="1">
      <c r="B1731" s="68" t="str">
        <f>IF(OR($D$3=JU!$F1731,$D$3=JU!$I1731),JU!B1731,"")</f>
        <v/>
      </c>
      <c r="C1731" s="6" t="str">
        <f>IF(OR($D$3=JU!$F1731,$D$3=JU!$I1731),JU!C1731,"")</f>
        <v/>
      </c>
      <c r="D1731" s="73" t="str">
        <f>IF(OR($D$3=JU!$F1731,$D$3=JU!$I1731),JU!D1731,"")</f>
        <v/>
      </c>
      <c r="E1731" s="74" t="str">
        <f>IF(OR($D$3=JU!$F1731,$D$3=JU!$I1731),JU!E1731,"")</f>
        <v/>
      </c>
      <c r="F1731" s="72">
        <f>IF($D$3=JU!F1731,JU!H1731,0)</f>
        <v>0</v>
      </c>
      <c r="G1731" s="72">
        <f>IF($D$3=JU!I1731,JU!K1731,0)</f>
        <v>0</v>
      </c>
      <c r="H1731" s="72" t="e">
        <f t="shared" si="27"/>
        <v>#REF!</v>
      </c>
    </row>
    <row r="1732" spans="2:8" hidden="1">
      <c r="B1732" s="68" t="str">
        <f>IF(OR($D$3=JU!$F1732,$D$3=JU!$I1732),JU!B1732,"")</f>
        <v/>
      </c>
      <c r="C1732" s="6" t="str">
        <f>IF(OR($D$3=JU!$F1732,$D$3=JU!$I1732),JU!C1732,"")</f>
        <v/>
      </c>
      <c r="D1732" s="73" t="str">
        <f>IF(OR($D$3=JU!$F1732,$D$3=JU!$I1732),JU!D1732,"")</f>
        <v/>
      </c>
      <c r="E1732" s="74" t="str">
        <f>IF(OR($D$3=JU!$F1732,$D$3=JU!$I1732),JU!E1732,"")</f>
        <v/>
      </c>
      <c r="F1732" s="72">
        <f>IF($D$3=JU!F1732,JU!H1732,0)</f>
        <v>0</v>
      </c>
      <c r="G1732" s="72">
        <f>IF($D$3=JU!I1732,JU!K1732,0)</f>
        <v>0</v>
      </c>
      <c r="H1732" s="72" t="e">
        <f t="shared" si="27"/>
        <v>#REF!</v>
      </c>
    </row>
    <row r="1733" spans="2:8" hidden="1">
      <c r="B1733" s="68" t="str">
        <f>IF(OR($D$3=JU!$F1733,$D$3=JU!$I1733),JU!B1733,"")</f>
        <v/>
      </c>
      <c r="C1733" s="6" t="str">
        <f>IF(OR($D$3=JU!$F1733,$D$3=JU!$I1733),JU!C1733,"")</f>
        <v/>
      </c>
      <c r="D1733" s="73" t="str">
        <f>IF(OR($D$3=JU!$F1733,$D$3=JU!$I1733),JU!D1733,"")</f>
        <v/>
      </c>
      <c r="E1733" s="74" t="str">
        <f>IF(OR($D$3=JU!$F1733,$D$3=JU!$I1733),JU!E1733,"")</f>
        <v/>
      </c>
      <c r="F1733" s="72">
        <f>IF($D$3=JU!F1733,JU!H1733,0)</f>
        <v>0</v>
      </c>
      <c r="G1733" s="72">
        <f>IF($D$3=JU!I1733,JU!K1733,0)</f>
        <v>0</v>
      </c>
      <c r="H1733" s="72" t="e">
        <f t="shared" si="27"/>
        <v>#REF!</v>
      </c>
    </row>
    <row r="1734" spans="2:8" hidden="1">
      <c r="B1734" s="68" t="str">
        <f>IF(OR($D$3=JU!$F1734,$D$3=JU!$I1734),JU!B1734,"")</f>
        <v/>
      </c>
      <c r="C1734" s="6" t="str">
        <f>IF(OR($D$3=JU!$F1734,$D$3=JU!$I1734),JU!C1734,"")</f>
        <v/>
      </c>
      <c r="D1734" s="73" t="str">
        <f>IF(OR($D$3=JU!$F1734,$D$3=JU!$I1734),JU!D1734,"")</f>
        <v/>
      </c>
      <c r="E1734" s="74" t="str">
        <f>IF(OR($D$3=JU!$F1734,$D$3=JU!$I1734),JU!E1734,"")</f>
        <v/>
      </c>
      <c r="F1734" s="72">
        <f>IF($D$3=JU!F1734,JU!H1734,0)</f>
        <v>0</v>
      </c>
      <c r="G1734" s="72">
        <f>IF($D$3=JU!I1734,JU!K1734,0)</f>
        <v>0</v>
      </c>
      <c r="H1734" s="72" t="e">
        <f t="shared" si="27"/>
        <v>#REF!</v>
      </c>
    </row>
    <row r="1735" spans="2:8" hidden="1">
      <c r="B1735" s="68" t="str">
        <f>IF(OR($D$3=JU!$F1735,$D$3=JU!$I1735),JU!B1735,"")</f>
        <v/>
      </c>
      <c r="C1735" s="6" t="str">
        <f>IF(OR($D$3=JU!$F1735,$D$3=JU!$I1735),JU!C1735,"")</f>
        <v/>
      </c>
      <c r="D1735" s="73" t="str">
        <f>IF(OR($D$3=JU!$F1735,$D$3=JU!$I1735),JU!D1735,"")</f>
        <v/>
      </c>
      <c r="E1735" s="74" t="str">
        <f>IF(OR($D$3=JU!$F1735,$D$3=JU!$I1735),JU!E1735,"")</f>
        <v/>
      </c>
      <c r="F1735" s="72">
        <f>IF($D$3=JU!F1735,JU!H1735,0)</f>
        <v>0</v>
      </c>
      <c r="G1735" s="72">
        <f>IF($D$3=JU!I1735,JU!K1735,0)</f>
        <v>0</v>
      </c>
      <c r="H1735" s="72" t="e">
        <f t="shared" si="27"/>
        <v>#REF!</v>
      </c>
    </row>
    <row r="1736" spans="2:8" hidden="1">
      <c r="B1736" s="68" t="str">
        <f>IF(OR($D$3=JU!$F1736,$D$3=JU!$I1736),JU!B1736,"")</f>
        <v/>
      </c>
      <c r="C1736" s="6" t="str">
        <f>IF(OR($D$3=JU!$F1736,$D$3=JU!$I1736),JU!C1736,"")</f>
        <v/>
      </c>
      <c r="D1736" s="73" t="str">
        <f>IF(OR($D$3=JU!$F1736,$D$3=JU!$I1736),JU!D1736,"")</f>
        <v/>
      </c>
      <c r="E1736" s="74" t="str">
        <f>IF(OR($D$3=JU!$F1736,$D$3=JU!$I1736),JU!E1736,"")</f>
        <v/>
      </c>
      <c r="F1736" s="72">
        <f>IF($D$3=JU!F1736,JU!H1736,0)</f>
        <v>0</v>
      </c>
      <c r="G1736" s="72">
        <f>IF($D$3=JU!I1736,JU!K1736,0)</f>
        <v>0</v>
      </c>
      <c r="H1736" s="72" t="e">
        <f t="shared" si="27"/>
        <v>#REF!</v>
      </c>
    </row>
    <row r="1737" spans="2:8" hidden="1">
      <c r="B1737" s="68" t="str">
        <f>IF(OR($D$3=JU!$F1737,$D$3=JU!$I1737),JU!B1737,"")</f>
        <v/>
      </c>
      <c r="C1737" s="6" t="str">
        <f>IF(OR($D$3=JU!$F1737,$D$3=JU!$I1737),JU!C1737,"")</f>
        <v/>
      </c>
      <c r="D1737" s="73" t="str">
        <f>IF(OR($D$3=JU!$F1737,$D$3=JU!$I1737),JU!D1737,"")</f>
        <v/>
      </c>
      <c r="E1737" s="74" t="str">
        <f>IF(OR($D$3=JU!$F1737,$D$3=JU!$I1737),JU!E1737,"")</f>
        <v/>
      </c>
      <c r="F1737" s="72">
        <f>IF($D$3=JU!F1737,JU!H1737,0)</f>
        <v>0</v>
      </c>
      <c r="G1737" s="72">
        <f>IF($D$3=JU!I1737,JU!K1737,0)</f>
        <v>0</v>
      </c>
      <c r="H1737" s="72" t="e">
        <f t="shared" si="27"/>
        <v>#REF!</v>
      </c>
    </row>
    <row r="1738" spans="2:8" hidden="1">
      <c r="B1738" s="68" t="str">
        <f>IF(OR($D$3=JU!$F1738,$D$3=JU!$I1738),JU!B1738,"")</f>
        <v/>
      </c>
      <c r="C1738" s="6" t="str">
        <f>IF(OR($D$3=JU!$F1738,$D$3=JU!$I1738),JU!C1738,"")</f>
        <v/>
      </c>
      <c r="D1738" s="73" t="str">
        <f>IF(OR($D$3=JU!$F1738,$D$3=JU!$I1738),JU!D1738,"")</f>
        <v/>
      </c>
      <c r="E1738" s="74" t="str">
        <f>IF(OR($D$3=JU!$F1738,$D$3=JU!$I1738),JU!E1738,"")</f>
        <v/>
      </c>
      <c r="F1738" s="72">
        <f>IF($D$3=JU!F1738,JU!H1738,0)</f>
        <v>0</v>
      </c>
      <c r="G1738" s="72">
        <f>IF($D$3=JU!I1738,JU!K1738,0)</f>
        <v>0</v>
      </c>
      <c r="H1738" s="72" t="e">
        <f t="shared" si="27"/>
        <v>#REF!</v>
      </c>
    </row>
    <row r="1739" spans="2:8" hidden="1">
      <c r="B1739" s="68" t="str">
        <f>IF(OR($D$3=JU!$F1739,$D$3=JU!$I1739),JU!B1739,"")</f>
        <v/>
      </c>
      <c r="C1739" s="6" t="str">
        <f>IF(OR($D$3=JU!$F1739,$D$3=JU!$I1739),JU!C1739,"")</f>
        <v/>
      </c>
      <c r="D1739" s="73" t="str">
        <f>IF(OR($D$3=JU!$F1739,$D$3=JU!$I1739),JU!D1739,"")</f>
        <v/>
      </c>
      <c r="E1739" s="74" t="str">
        <f>IF(OR($D$3=JU!$F1739,$D$3=JU!$I1739),JU!E1739,"")</f>
        <v/>
      </c>
      <c r="F1739" s="72">
        <f>IF($D$3=JU!F1739,JU!H1739,0)</f>
        <v>0</v>
      </c>
      <c r="G1739" s="72">
        <f>IF($D$3=JU!I1739,JU!K1739,0)</f>
        <v>0</v>
      </c>
      <c r="H1739" s="72" t="e">
        <f t="shared" si="27"/>
        <v>#REF!</v>
      </c>
    </row>
    <row r="1740" spans="2:8" hidden="1">
      <c r="B1740" s="68" t="str">
        <f>IF(OR($D$3=JU!$F1740,$D$3=JU!$I1740),JU!B1740,"")</f>
        <v/>
      </c>
      <c r="C1740" s="6" t="str">
        <f>IF(OR($D$3=JU!$F1740,$D$3=JU!$I1740),JU!C1740,"")</f>
        <v/>
      </c>
      <c r="D1740" s="73" t="str">
        <f>IF(OR($D$3=JU!$F1740,$D$3=JU!$I1740),JU!D1740,"")</f>
        <v/>
      </c>
      <c r="E1740" s="74" t="str">
        <f>IF(OR($D$3=JU!$F1740,$D$3=JU!$I1740),JU!E1740,"")</f>
        <v/>
      </c>
      <c r="F1740" s="72">
        <f>IF($D$3=JU!F1740,JU!H1740,0)</f>
        <v>0</v>
      </c>
      <c r="G1740" s="72">
        <f>IF($D$3=JU!I1740,JU!K1740,0)</f>
        <v>0</v>
      </c>
      <c r="H1740" s="72" t="e">
        <f t="shared" si="27"/>
        <v>#REF!</v>
      </c>
    </row>
    <row r="1741" spans="2:8" hidden="1">
      <c r="B1741" s="68" t="str">
        <f>IF(OR($D$3=JU!$F1741,$D$3=JU!$I1741),JU!B1741,"")</f>
        <v/>
      </c>
      <c r="C1741" s="6" t="str">
        <f>IF(OR($D$3=JU!$F1741,$D$3=JU!$I1741),JU!C1741,"")</f>
        <v/>
      </c>
      <c r="D1741" s="73" t="str">
        <f>IF(OR($D$3=JU!$F1741,$D$3=JU!$I1741),JU!D1741,"")</f>
        <v/>
      </c>
      <c r="E1741" s="74" t="str">
        <f>IF(OR($D$3=JU!$F1741,$D$3=JU!$I1741),JU!E1741,"")</f>
        <v/>
      </c>
      <c r="F1741" s="72">
        <f>IF($D$3=JU!F1741,JU!H1741,0)</f>
        <v>0</v>
      </c>
      <c r="G1741" s="72">
        <f>IF($D$3=JU!I1741,JU!K1741,0)</f>
        <v>0</v>
      </c>
      <c r="H1741" s="72" t="e">
        <f t="shared" si="27"/>
        <v>#REF!</v>
      </c>
    </row>
    <row r="1742" spans="2:8" hidden="1">
      <c r="B1742" s="68" t="str">
        <f>IF(OR($D$3=JU!$F1742,$D$3=JU!$I1742),JU!B1742,"")</f>
        <v/>
      </c>
      <c r="C1742" s="6" t="str">
        <f>IF(OR($D$3=JU!$F1742,$D$3=JU!$I1742),JU!C1742,"")</f>
        <v/>
      </c>
      <c r="D1742" s="73" t="str">
        <f>IF(OR($D$3=JU!$F1742,$D$3=JU!$I1742),JU!D1742,"")</f>
        <v/>
      </c>
      <c r="E1742" s="74" t="str">
        <f>IF(OR($D$3=JU!$F1742,$D$3=JU!$I1742),JU!E1742,"")</f>
        <v/>
      </c>
      <c r="F1742" s="72">
        <f>IF($D$3=JU!F1742,JU!H1742,0)</f>
        <v>0</v>
      </c>
      <c r="G1742" s="72">
        <f>IF($D$3=JU!I1742,JU!K1742,0)</f>
        <v>0</v>
      </c>
      <c r="H1742" s="72" t="e">
        <f t="shared" ref="H1742:H1805" si="28">IF($H$7="DEBET",H1741+F1742-G1742,H1741+G1742-F1742)</f>
        <v>#REF!</v>
      </c>
    </row>
    <row r="1743" spans="2:8" hidden="1">
      <c r="B1743" s="68" t="str">
        <f>IF(OR($D$3=JU!$F1743,$D$3=JU!$I1743),JU!B1743,"")</f>
        <v/>
      </c>
      <c r="C1743" s="6" t="str">
        <f>IF(OR($D$3=JU!$F1743,$D$3=JU!$I1743),JU!C1743,"")</f>
        <v/>
      </c>
      <c r="D1743" s="73" t="str">
        <f>IF(OR($D$3=JU!$F1743,$D$3=JU!$I1743),JU!D1743,"")</f>
        <v/>
      </c>
      <c r="E1743" s="74" t="str">
        <f>IF(OR($D$3=JU!$F1743,$D$3=JU!$I1743),JU!E1743,"")</f>
        <v/>
      </c>
      <c r="F1743" s="72">
        <f>IF($D$3=JU!F1743,JU!H1743,0)</f>
        <v>0</v>
      </c>
      <c r="G1743" s="72">
        <f>IF($D$3=JU!I1743,JU!K1743,0)</f>
        <v>0</v>
      </c>
      <c r="H1743" s="72" t="e">
        <f t="shared" si="28"/>
        <v>#REF!</v>
      </c>
    </row>
    <row r="1744" spans="2:8" hidden="1">
      <c r="B1744" s="68" t="str">
        <f>IF(OR($D$3=JU!$F1744,$D$3=JU!$I1744),JU!B1744,"")</f>
        <v/>
      </c>
      <c r="C1744" s="6" t="str">
        <f>IF(OR($D$3=JU!$F1744,$D$3=JU!$I1744),JU!C1744,"")</f>
        <v/>
      </c>
      <c r="D1744" s="73" t="str">
        <f>IF(OR($D$3=JU!$F1744,$D$3=JU!$I1744),JU!D1744,"")</f>
        <v/>
      </c>
      <c r="E1744" s="74" t="str">
        <f>IF(OR($D$3=JU!$F1744,$D$3=JU!$I1744),JU!E1744,"")</f>
        <v/>
      </c>
      <c r="F1744" s="72">
        <f>IF($D$3=JU!F1744,JU!H1744,0)</f>
        <v>0</v>
      </c>
      <c r="G1744" s="72">
        <f>IF($D$3=JU!I1744,JU!K1744,0)</f>
        <v>0</v>
      </c>
      <c r="H1744" s="72" t="e">
        <f t="shared" si="28"/>
        <v>#REF!</v>
      </c>
    </row>
    <row r="1745" spans="2:8" hidden="1">
      <c r="B1745" s="68" t="str">
        <f>IF(OR($D$3=JU!$F1745,$D$3=JU!$I1745),JU!B1745,"")</f>
        <v/>
      </c>
      <c r="C1745" s="6" t="str">
        <f>IF(OR($D$3=JU!$F1745,$D$3=JU!$I1745),JU!C1745,"")</f>
        <v/>
      </c>
      <c r="D1745" s="73" t="str">
        <f>IF(OR($D$3=JU!$F1745,$D$3=JU!$I1745),JU!D1745,"")</f>
        <v/>
      </c>
      <c r="E1745" s="74" t="str">
        <f>IF(OR($D$3=JU!$F1745,$D$3=JU!$I1745),JU!E1745,"")</f>
        <v/>
      </c>
      <c r="F1745" s="72">
        <f>IF($D$3=JU!F1745,JU!H1745,0)</f>
        <v>0</v>
      </c>
      <c r="G1745" s="72">
        <f>IF($D$3=JU!I1745,JU!K1745,0)</f>
        <v>0</v>
      </c>
      <c r="H1745" s="72" t="e">
        <f t="shared" si="28"/>
        <v>#REF!</v>
      </c>
    </row>
    <row r="1746" spans="2:8" hidden="1">
      <c r="B1746" s="68" t="str">
        <f>IF(OR($D$3=JU!$F1746,$D$3=JU!$I1746),JU!B1746,"")</f>
        <v/>
      </c>
      <c r="C1746" s="6" t="str">
        <f>IF(OR($D$3=JU!$F1746,$D$3=JU!$I1746),JU!C1746,"")</f>
        <v/>
      </c>
      <c r="D1746" s="73" t="str">
        <f>IF(OR($D$3=JU!$F1746,$D$3=JU!$I1746),JU!D1746,"")</f>
        <v/>
      </c>
      <c r="E1746" s="74" t="str">
        <f>IF(OR($D$3=JU!$F1746,$D$3=JU!$I1746),JU!E1746,"")</f>
        <v/>
      </c>
      <c r="F1746" s="72">
        <f>IF($D$3=JU!F1746,JU!H1746,0)</f>
        <v>0</v>
      </c>
      <c r="G1746" s="72">
        <f>IF($D$3=JU!I1746,JU!K1746,0)</f>
        <v>0</v>
      </c>
      <c r="H1746" s="72" t="e">
        <f t="shared" si="28"/>
        <v>#REF!</v>
      </c>
    </row>
    <row r="1747" spans="2:8" hidden="1">
      <c r="B1747" s="68" t="str">
        <f>IF(OR($D$3=JU!$F1747,$D$3=JU!$I1747),JU!B1747,"")</f>
        <v/>
      </c>
      <c r="C1747" s="6" t="str">
        <f>IF(OR($D$3=JU!$F1747,$D$3=JU!$I1747),JU!C1747,"")</f>
        <v/>
      </c>
      <c r="D1747" s="73" t="str">
        <f>IF(OR($D$3=JU!$F1747,$D$3=JU!$I1747),JU!D1747,"")</f>
        <v/>
      </c>
      <c r="E1747" s="74" t="str">
        <f>IF(OR($D$3=JU!$F1747,$D$3=JU!$I1747),JU!E1747,"")</f>
        <v/>
      </c>
      <c r="F1747" s="72">
        <f>IF($D$3=JU!F1747,JU!H1747,0)</f>
        <v>0</v>
      </c>
      <c r="G1747" s="72">
        <f>IF($D$3=JU!I1747,JU!K1747,0)</f>
        <v>0</v>
      </c>
      <c r="H1747" s="72" t="e">
        <f t="shared" si="28"/>
        <v>#REF!</v>
      </c>
    </row>
    <row r="1748" spans="2:8" hidden="1">
      <c r="B1748" s="68" t="str">
        <f>IF(OR($D$3=JU!$F1748,$D$3=JU!$I1748),JU!B1748,"")</f>
        <v/>
      </c>
      <c r="C1748" s="6" t="str">
        <f>IF(OR($D$3=JU!$F1748,$D$3=JU!$I1748),JU!C1748,"")</f>
        <v/>
      </c>
      <c r="D1748" s="73" t="str">
        <f>IF(OR($D$3=JU!$F1748,$D$3=JU!$I1748),JU!D1748,"")</f>
        <v/>
      </c>
      <c r="E1748" s="74" t="str">
        <f>IF(OR($D$3=JU!$F1748,$D$3=JU!$I1748),JU!E1748,"")</f>
        <v/>
      </c>
      <c r="F1748" s="72">
        <f>IF($D$3=JU!F1748,JU!H1748,0)</f>
        <v>0</v>
      </c>
      <c r="G1748" s="72">
        <f>IF($D$3=JU!I1748,JU!K1748,0)</f>
        <v>0</v>
      </c>
      <c r="H1748" s="72" t="e">
        <f t="shared" si="28"/>
        <v>#REF!</v>
      </c>
    </row>
    <row r="1749" spans="2:8" hidden="1">
      <c r="B1749" s="68" t="str">
        <f>IF(OR($D$3=JU!$F1749,$D$3=JU!$I1749),JU!B1749,"")</f>
        <v/>
      </c>
      <c r="C1749" s="6" t="str">
        <f>IF(OR($D$3=JU!$F1749,$D$3=JU!$I1749),JU!C1749,"")</f>
        <v/>
      </c>
      <c r="D1749" s="73" t="str">
        <f>IF(OR($D$3=JU!$F1749,$D$3=JU!$I1749),JU!D1749,"")</f>
        <v/>
      </c>
      <c r="E1749" s="74" t="str">
        <f>IF(OR($D$3=JU!$F1749,$D$3=JU!$I1749),JU!E1749,"")</f>
        <v/>
      </c>
      <c r="F1749" s="72">
        <f>IF($D$3=JU!F1749,JU!H1749,0)</f>
        <v>0</v>
      </c>
      <c r="G1749" s="72">
        <f>IF($D$3=JU!I1749,JU!K1749,0)</f>
        <v>0</v>
      </c>
      <c r="H1749" s="72" t="e">
        <f t="shared" si="28"/>
        <v>#REF!</v>
      </c>
    </row>
    <row r="1750" spans="2:8" hidden="1">
      <c r="B1750" s="68" t="str">
        <f>IF(OR($D$3=JU!$F1750,$D$3=JU!$I1750),JU!B1750,"")</f>
        <v/>
      </c>
      <c r="C1750" s="6" t="str">
        <f>IF(OR($D$3=JU!$F1750,$D$3=JU!$I1750),JU!C1750,"")</f>
        <v/>
      </c>
      <c r="D1750" s="73" t="str">
        <f>IF(OR($D$3=JU!$F1750,$D$3=JU!$I1750),JU!D1750,"")</f>
        <v/>
      </c>
      <c r="E1750" s="74" t="str">
        <f>IF(OR($D$3=JU!$F1750,$D$3=JU!$I1750),JU!E1750,"")</f>
        <v/>
      </c>
      <c r="F1750" s="72">
        <f>IF($D$3=JU!F1750,JU!H1750,0)</f>
        <v>0</v>
      </c>
      <c r="G1750" s="72">
        <f>IF($D$3=JU!I1750,JU!K1750,0)</f>
        <v>0</v>
      </c>
      <c r="H1750" s="72" t="e">
        <f t="shared" si="28"/>
        <v>#REF!</v>
      </c>
    </row>
    <row r="1751" spans="2:8" hidden="1">
      <c r="B1751" s="68" t="str">
        <f>IF(OR($D$3=JU!$F1751,$D$3=JU!$I1751),JU!B1751,"")</f>
        <v/>
      </c>
      <c r="C1751" s="6" t="str">
        <f>IF(OR($D$3=JU!$F1751,$D$3=JU!$I1751),JU!C1751,"")</f>
        <v/>
      </c>
      <c r="D1751" s="73" t="str">
        <f>IF(OR($D$3=JU!$F1751,$D$3=JU!$I1751),JU!D1751,"")</f>
        <v/>
      </c>
      <c r="E1751" s="74" t="str">
        <f>IF(OR($D$3=JU!$F1751,$D$3=JU!$I1751),JU!E1751,"")</f>
        <v/>
      </c>
      <c r="F1751" s="72">
        <f>IF($D$3=JU!F1751,JU!H1751,0)</f>
        <v>0</v>
      </c>
      <c r="G1751" s="72">
        <f>IF($D$3=JU!I1751,JU!K1751,0)</f>
        <v>0</v>
      </c>
      <c r="H1751" s="72" t="e">
        <f t="shared" si="28"/>
        <v>#REF!</v>
      </c>
    </row>
    <row r="1752" spans="2:8" hidden="1">
      <c r="B1752" s="68" t="str">
        <f>IF(OR($D$3=JU!$F1752,$D$3=JU!$I1752),JU!B1752,"")</f>
        <v/>
      </c>
      <c r="C1752" s="6" t="str">
        <f>IF(OR($D$3=JU!$F1752,$D$3=JU!$I1752),JU!C1752,"")</f>
        <v/>
      </c>
      <c r="D1752" s="73" t="str">
        <f>IF(OR($D$3=JU!$F1752,$D$3=JU!$I1752),JU!D1752,"")</f>
        <v/>
      </c>
      <c r="E1752" s="74" t="str">
        <f>IF(OR($D$3=JU!$F1752,$D$3=JU!$I1752),JU!E1752,"")</f>
        <v/>
      </c>
      <c r="F1752" s="72">
        <f>IF($D$3=JU!F1752,JU!H1752,0)</f>
        <v>0</v>
      </c>
      <c r="G1752" s="72">
        <f>IF($D$3=JU!I1752,JU!K1752,0)</f>
        <v>0</v>
      </c>
      <c r="H1752" s="72" t="e">
        <f t="shared" si="28"/>
        <v>#REF!</v>
      </c>
    </row>
    <row r="1753" spans="2:8" hidden="1">
      <c r="B1753" s="68" t="str">
        <f>IF(OR($D$3=JU!$F1753,$D$3=JU!$I1753),JU!B1753,"")</f>
        <v/>
      </c>
      <c r="C1753" s="6" t="str">
        <f>IF(OR($D$3=JU!$F1753,$D$3=JU!$I1753),JU!C1753,"")</f>
        <v/>
      </c>
      <c r="D1753" s="73" t="str">
        <f>IF(OR($D$3=JU!$F1753,$D$3=JU!$I1753),JU!D1753,"")</f>
        <v/>
      </c>
      <c r="E1753" s="74" t="str">
        <f>IF(OR($D$3=JU!$F1753,$D$3=JU!$I1753),JU!E1753,"")</f>
        <v/>
      </c>
      <c r="F1753" s="72">
        <f>IF($D$3=JU!F1753,JU!H1753,0)</f>
        <v>0</v>
      </c>
      <c r="G1753" s="72">
        <f>IF($D$3=JU!I1753,JU!K1753,0)</f>
        <v>0</v>
      </c>
      <c r="H1753" s="72" t="e">
        <f t="shared" si="28"/>
        <v>#REF!</v>
      </c>
    </row>
    <row r="1754" spans="2:8" hidden="1">
      <c r="B1754" s="68" t="str">
        <f>IF(OR($D$3=JU!$F1754,$D$3=JU!$I1754),JU!B1754,"")</f>
        <v/>
      </c>
      <c r="C1754" s="6" t="str">
        <f>IF(OR($D$3=JU!$F1754,$D$3=JU!$I1754),JU!C1754,"")</f>
        <v/>
      </c>
      <c r="D1754" s="73" t="str">
        <f>IF(OR($D$3=JU!$F1754,$D$3=JU!$I1754),JU!D1754,"")</f>
        <v/>
      </c>
      <c r="E1754" s="74" t="str">
        <f>IF(OR($D$3=JU!$F1754,$D$3=JU!$I1754),JU!E1754,"")</f>
        <v/>
      </c>
      <c r="F1754" s="72">
        <f>IF($D$3=JU!F1754,JU!H1754,0)</f>
        <v>0</v>
      </c>
      <c r="G1754" s="72">
        <f>IF($D$3=JU!I1754,JU!K1754,0)</f>
        <v>0</v>
      </c>
      <c r="H1754" s="72" t="e">
        <f t="shared" si="28"/>
        <v>#REF!</v>
      </c>
    </row>
    <row r="1755" spans="2:8" hidden="1">
      <c r="B1755" s="68" t="str">
        <f>IF(OR($D$3=JU!$F1755,$D$3=JU!$I1755),JU!B1755,"")</f>
        <v/>
      </c>
      <c r="C1755" s="6" t="str">
        <f>IF(OR($D$3=JU!$F1755,$D$3=JU!$I1755),JU!C1755,"")</f>
        <v/>
      </c>
      <c r="D1755" s="73" t="str">
        <f>IF(OR($D$3=JU!$F1755,$D$3=JU!$I1755),JU!D1755,"")</f>
        <v/>
      </c>
      <c r="E1755" s="74" t="str">
        <f>IF(OR($D$3=JU!$F1755,$D$3=JU!$I1755),JU!E1755,"")</f>
        <v/>
      </c>
      <c r="F1755" s="72">
        <f>IF($D$3=JU!F1755,JU!H1755,0)</f>
        <v>0</v>
      </c>
      <c r="G1755" s="72">
        <f>IF($D$3=JU!I1755,JU!K1755,0)</f>
        <v>0</v>
      </c>
      <c r="H1755" s="72" t="e">
        <f t="shared" si="28"/>
        <v>#REF!</v>
      </c>
    </row>
    <row r="1756" spans="2:8" hidden="1">
      <c r="B1756" s="68" t="str">
        <f>IF(OR($D$3=JU!$F1756,$D$3=JU!$I1756),JU!B1756,"")</f>
        <v/>
      </c>
      <c r="C1756" s="6" t="str">
        <f>IF(OR($D$3=JU!$F1756,$D$3=JU!$I1756),JU!C1756,"")</f>
        <v/>
      </c>
      <c r="D1756" s="73" t="str">
        <f>IF(OR($D$3=JU!$F1756,$D$3=JU!$I1756),JU!D1756,"")</f>
        <v/>
      </c>
      <c r="E1756" s="74" t="str">
        <f>IF(OR($D$3=JU!$F1756,$D$3=JU!$I1756),JU!E1756,"")</f>
        <v/>
      </c>
      <c r="F1756" s="72">
        <f>IF($D$3=JU!F1756,JU!H1756,0)</f>
        <v>0</v>
      </c>
      <c r="G1756" s="72">
        <f>IF($D$3=JU!I1756,JU!K1756,0)</f>
        <v>0</v>
      </c>
      <c r="H1756" s="72" t="e">
        <f t="shared" si="28"/>
        <v>#REF!</v>
      </c>
    </row>
    <row r="1757" spans="2:8" hidden="1">
      <c r="B1757" s="68" t="str">
        <f>IF(OR($D$3=JU!$F1757,$D$3=JU!$I1757),JU!B1757,"")</f>
        <v/>
      </c>
      <c r="C1757" s="6" t="str">
        <f>IF(OR($D$3=JU!$F1757,$D$3=JU!$I1757),JU!C1757,"")</f>
        <v/>
      </c>
      <c r="D1757" s="73" t="str">
        <f>IF(OR($D$3=JU!$F1757,$D$3=JU!$I1757),JU!D1757,"")</f>
        <v/>
      </c>
      <c r="E1757" s="74" t="str">
        <f>IF(OR($D$3=JU!$F1757,$D$3=JU!$I1757),JU!E1757,"")</f>
        <v/>
      </c>
      <c r="F1757" s="72">
        <f>IF($D$3=JU!F1757,JU!H1757,0)</f>
        <v>0</v>
      </c>
      <c r="G1757" s="72">
        <f>IF($D$3=JU!I1757,JU!K1757,0)</f>
        <v>0</v>
      </c>
      <c r="H1757" s="72" t="e">
        <f t="shared" si="28"/>
        <v>#REF!</v>
      </c>
    </row>
    <row r="1758" spans="2:8" hidden="1">
      <c r="B1758" s="68" t="str">
        <f>IF(OR($D$3=JU!$F1758,$D$3=JU!$I1758),JU!B1758,"")</f>
        <v/>
      </c>
      <c r="C1758" s="6" t="str">
        <f>IF(OR($D$3=JU!$F1758,$D$3=JU!$I1758),JU!C1758,"")</f>
        <v/>
      </c>
      <c r="D1758" s="73" t="str">
        <f>IF(OR($D$3=JU!$F1758,$D$3=JU!$I1758),JU!D1758,"")</f>
        <v/>
      </c>
      <c r="E1758" s="74" t="str">
        <f>IF(OR($D$3=JU!$F1758,$D$3=JU!$I1758),JU!E1758,"")</f>
        <v/>
      </c>
      <c r="F1758" s="72">
        <f>IF($D$3=JU!F1758,JU!H1758,0)</f>
        <v>0</v>
      </c>
      <c r="G1758" s="72">
        <f>IF($D$3=JU!I1758,JU!K1758,0)</f>
        <v>0</v>
      </c>
      <c r="H1758" s="72" t="e">
        <f t="shared" si="28"/>
        <v>#REF!</v>
      </c>
    </row>
    <row r="1759" spans="2:8" hidden="1">
      <c r="B1759" s="68" t="str">
        <f>IF(OR($D$3=JU!$F1759,$D$3=JU!$I1759),JU!B1759,"")</f>
        <v/>
      </c>
      <c r="C1759" s="6" t="str">
        <f>IF(OR($D$3=JU!$F1759,$D$3=JU!$I1759),JU!C1759,"")</f>
        <v/>
      </c>
      <c r="D1759" s="73" t="str">
        <f>IF(OR($D$3=JU!$F1759,$D$3=JU!$I1759),JU!D1759,"")</f>
        <v/>
      </c>
      <c r="E1759" s="74" t="str">
        <f>IF(OR($D$3=JU!$F1759,$D$3=JU!$I1759),JU!E1759,"")</f>
        <v/>
      </c>
      <c r="F1759" s="72">
        <f>IF($D$3=JU!F1759,JU!H1759,0)</f>
        <v>0</v>
      </c>
      <c r="G1759" s="72">
        <f>IF($D$3=JU!I1759,JU!K1759,0)</f>
        <v>0</v>
      </c>
      <c r="H1759" s="72" t="e">
        <f t="shared" si="28"/>
        <v>#REF!</v>
      </c>
    </row>
    <row r="1760" spans="2:8" hidden="1">
      <c r="B1760" s="68" t="str">
        <f>IF(OR($D$3=JU!$F1760,$D$3=JU!$I1760),JU!B1760,"")</f>
        <v/>
      </c>
      <c r="C1760" s="6" t="str">
        <f>IF(OR($D$3=JU!$F1760,$D$3=JU!$I1760),JU!C1760,"")</f>
        <v/>
      </c>
      <c r="D1760" s="73" t="str">
        <f>IF(OR($D$3=JU!$F1760,$D$3=JU!$I1760),JU!D1760,"")</f>
        <v/>
      </c>
      <c r="E1760" s="74" t="str">
        <f>IF(OR($D$3=JU!$F1760,$D$3=JU!$I1760),JU!E1760,"")</f>
        <v/>
      </c>
      <c r="F1760" s="72">
        <f>IF($D$3=JU!F1760,JU!H1760,0)</f>
        <v>0</v>
      </c>
      <c r="G1760" s="72">
        <f>IF($D$3=JU!I1760,JU!K1760,0)</f>
        <v>0</v>
      </c>
      <c r="H1760" s="72" t="e">
        <f t="shared" si="28"/>
        <v>#REF!</v>
      </c>
    </row>
    <row r="1761" spans="2:8" hidden="1">
      <c r="B1761" s="68" t="str">
        <f>IF(OR($D$3=JU!$F1761,$D$3=JU!$I1761),JU!B1761,"")</f>
        <v/>
      </c>
      <c r="C1761" s="6" t="str">
        <f>IF(OR($D$3=JU!$F1761,$D$3=JU!$I1761),JU!C1761,"")</f>
        <v/>
      </c>
      <c r="D1761" s="73" t="str">
        <f>IF(OR($D$3=JU!$F1761,$D$3=JU!$I1761),JU!D1761,"")</f>
        <v/>
      </c>
      <c r="E1761" s="74" t="str">
        <f>IF(OR($D$3=JU!$F1761,$D$3=JU!$I1761),JU!E1761,"")</f>
        <v/>
      </c>
      <c r="F1761" s="72">
        <f>IF($D$3=JU!F1761,JU!H1761,0)</f>
        <v>0</v>
      </c>
      <c r="G1761" s="72">
        <f>IF($D$3=JU!I1761,JU!K1761,0)</f>
        <v>0</v>
      </c>
      <c r="H1761" s="72" t="e">
        <f t="shared" si="28"/>
        <v>#REF!</v>
      </c>
    </row>
    <row r="1762" spans="2:8" hidden="1">
      <c r="B1762" s="68" t="str">
        <f>IF(OR($D$3=JU!$F1762,$D$3=JU!$I1762),JU!B1762,"")</f>
        <v/>
      </c>
      <c r="C1762" s="6" t="str">
        <f>IF(OR($D$3=JU!$F1762,$D$3=JU!$I1762),JU!C1762,"")</f>
        <v/>
      </c>
      <c r="D1762" s="73" t="str">
        <f>IF(OR($D$3=JU!$F1762,$D$3=JU!$I1762),JU!D1762,"")</f>
        <v/>
      </c>
      <c r="E1762" s="74" t="str">
        <f>IF(OR($D$3=JU!$F1762,$D$3=JU!$I1762),JU!E1762,"")</f>
        <v/>
      </c>
      <c r="F1762" s="72">
        <f>IF($D$3=JU!F1762,JU!H1762,0)</f>
        <v>0</v>
      </c>
      <c r="G1762" s="72">
        <f>IF($D$3=JU!I1762,JU!K1762,0)</f>
        <v>0</v>
      </c>
      <c r="H1762" s="72" t="e">
        <f t="shared" si="28"/>
        <v>#REF!</v>
      </c>
    </row>
    <row r="1763" spans="2:8" hidden="1">
      <c r="B1763" s="68" t="str">
        <f>IF(OR($D$3=JU!$F1763,$D$3=JU!$I1763),JU!B1763,"")</f>
        <v/>
      </c>
      <c r="C1763" s="6" t="str">
        <f>IF(OR($D$3=JU!$F1763,$D$3=JU!$I1763),JU!C1763,"")</f>
        <v/>
      </c>
      <c r="D1763" s="73" t="str">
        <f>IF(OR($D$3=JU!$F1763,$D$3=JU!$I1763),JU!D1763,"")</f>
        <v/>
      </c>
      <c r="E1763" s="74" t="str">
        <f>IF(OR($D$3=JU!$F1763,$D$3=JU!$I1763),JU!E1763,"")</f>
        <v/>
      </c>
      <c r="F1763" s="72">
        <f>IF($D$3=JU!F1763,JU!H1763,0)</f>
        <v>0</v>
      </c>
      <c r="G1763" s="72">
        <f>IF($D$3=JU!I1763,JU!K1763,0)</f>
        <v>0</v>
      </c>
      <c r="H1763" s="72" t="e">
        <f t="shared" si="28"/>
        <v>#REF!</v>
      </c>
    </row>
    <row r="1764" spans="2:8" hidden="1">
      <c r="B1764" s="68" t="str">
        <f>IF(OR($D$3=JU!$F1764,$D$3=JU!$I1764),JU!B1764,"")</f>
        <v/>
      </c>
      <c r="C1764" s="6" t="str">
        <f>IF(OR($D$3=JU!$F1764,$D$3=JU!$I1764),JU!C1764,"")</f>
        <v/>
      </c>
      <c r="D1764" s="73" t="str">
        <f>IF(OR($D$3=JU!$F1764,$D$3=JU!$I1764),JU!D1764,"")</f>
        <v/>
      </c>
      <c r="E1764" s="74" t="str">
        <f>IF(OR($D$3=JU!$F1764,$D$3=JU!$I1764),JU!E1764,"")</f>
        <v/>
      </c>
      <c r="F1764" s="72">
        <f>IF($D$3=JU!F1764,JU!H1764,0)</f>
        <v>0</v>
      </c>
      <c r="G1764" s="72">
        <f>IF($D$3=JU!I1764,JU!K1764,0)</f>
        <v>0</v>
      </c>
      <c r="H1764" s="72" t="e">
        <f t="shared" si="28"/>
        <v>#REF!</v>
      </c>
    </row>
    <row r="1765" spans="2:8" hidden="1">
      <c r="B1765" s="68" t="str">
        <f>IF(OR($D$3=JU!$F1765,$D$3=JU!$I1765),JU!B1765,"")</f>
        <v/>
      </c>
      <c r="C1765" s="6" t="str">
        <f>IF(OR($D$3=JU!$F1765,$D$3=JU!$I1765),JU!C1765,"")</f>
        <v/>
      </c>
      <c r="D1765" s="73" t="str">
        <f>IF(OR($D$3=JU!$F1765,$D$3=JU!$I1765),JU!D1765,"")</f>
        <v/>
      </c>
      <c r="E1765" s="74" t="str">
        <f>IF(OR($D$3=JU!$F1765,$D$3=JU!$I1765),JU!E1765,"")</f>
        <v/>
      </c>
      <c r="F1765" s="72">
        <f>IF($D$3=JU!F1765,JU!H1765,0)</f>
        <v>0</v>
      </c>
      <c r="G1765" s="72">
        <f>IF($D$3=JU!I1765,JU!K1765,0)</f>
        <v>0</v>
      </c>
      <c r="H1765" s="72" t="e">
        <f t="shared" si="28"/>
        <v>#REF!</v>
      </c>
    </row>
    <row r="1766" spans="2:8" hidden="1">
      <c r="B1766" s="68" t="str">
        <f>IF(OR($D$3=JU!$F1766,$D$3=JU!$I1766),JU!B1766,"")</f>
        <v/>
      </c>
      <c r="C1766" s="6" t="str">
        <f>IF(OR($D$3=JU!$F1766,$D$3=JU!$I1766),JU!C1766,"")</f>
        <v/>
      </c>
      <c r="D1766" s="73" t="str">
        <f>IF(OR($D$3=JU!$F1766,$D$3=JU!$I1766),JU!D1766,"")</f>
        <v/>
      </c>
      <c r="E1766" s="74" t="str">
        <f>IF(OR($D$3=JU!$F1766,$D$3=JU!$I1766),JU!E1766,"")</f>
        <v/>
      </c>
      <c r="F1766" s="72">
        <f>IF($D$3=JU!F1766,JU!H1766,0)</f>
        <v>0</v>
      </c>
      <c r="G1766" s="72">
        <f>IF($D$3=JU!I1766,JU!K1766,0)</f>
        <v>0</v>
      </c>
      <c r="H1766" s="72" t="e">
        <f t="shared" si="28"/>
        <v>#REF!</v>
      </c>
    </row>
    <row r="1767" spans="2:8" hidden="1">
      <c r="B1767" s="68" t="str">
        <f>IF(OR($D$3=JU!$F1767,$D$3=JU!$I1767),JU!B1767,"")</f>
        <v/>
      </c>
      <c r="C1767" s="6" t="str">
        <f>IF(OR($D$3=JU!$F1767,$D$3=JU!$I1767),JU!C1767,"")</f>
        <v/>
      </c>
      <c r="D1767" s="73" t="str">
        <f>IF(OR($D$3=JU!$F1767,$D$3=JU!$I1767),JU!D1767,"")</f>
        <v/>
      </c>
      <c r="E1767" s="74" t="str">
        <f>IF(OR($D$3=JU!$F1767,$D$3=JU!$I1767),JU!E1767,"")</f>
        <v/>
      </c>
      <c r="F1767" s="72">
        <f>IF($D$3=JU!F1767,JU!H1767,0)</f>
        <v>0</v>
      </c>
      <c r="G1767" s="72">
        <f>IF($D$3=JU!I1767,JU!K1767,0)</f>
        <v>0</v>
      </c>
      <c r="H1767" s="72" t="e">
        <f t="shared" si="28"/>
        <v>#REF!</v>
      </c>
    </row>
    <row r="1768" spans="2:8" hidden="1">
      <c r="B1768" s="68" t="str">
        <f>IF(OR($D$3=JU!$F1768,$D$3=JU!$I1768),JU!B1768,"")</f>
        <v/>
      </c>
      <c r="C1768" s="6" t="str">
        <f>IF(OR($D$3=JU!$F1768,$D$3=JU!$I1768),JU!C1768,"")</f>
        <v/>
      </c>
      <c r="D1768" s="73" t="str">
        <f>IF(OR($D$3=JU!$F1768,$D$3=JU!$I1768),JU!D1768,"")</f>
        <v/>
      </c>
      <c r="E1768" s="74" t="str">
        <f>IF(OR($D$3=JU!$F1768,$D$3=JU!$I1768),JU!E1768,"")</f>
        <v/>
      </c>
      <c r="F1768" s="72">
        <f>IF($D$3=JU!F1768,JU!H1768,0)</f>
        <v>0</v>
      </c>
      <c r="G1768" s="72">
        <f>IF($D$3=JU!I1768,JU!K1768,0)</f>
        <v>0</v>
      </c>
      <c r="H1768" s="72" t="e">
        <f t="shared" si="28"/>
        <v>#REF!</v>
      </c>
    </row>
    <row r="1769" spans="2:8" hidden="1">
      <c r="B1769" s="68" t="str">
        <f>IF(OR($D$3=JU!$F1769,$D$3=JU!$I1769),JU!B1769,"")</f>
        <v/>
      </c>
      <c r="C1769" s="6" t="str">
        <f>IF(OR($D$3=JU!$F1769,$D$3=JU!$I1769),JU!C1769,"")</f>
        <v/>
      </c>
      <c r="D1769" s="73" t="str">
        <f>IF(OR($D$3=JU!$F1769,$D$3=JU!$I1769),JU!D1769,"")</f>
        <v/>
      </c>
      <c r="E1769" s="74" t="str">
        <f>IF(OR($D$3=JU!$F1769,$D$3=JU!$I1769),JU!E1769,"")</f>
        <v/>
      </c>
      <c r="F1769" s="72">
        <f>IF($D$3=JU!F1769,JU!H1769,0)</f>
        <v>0</v>
      </c>
      <c r="G1769" s="72">
        <f>IF($D$3=JU!I1769,JU!K1769,0)</f>
        <v>0</v>
      </c>
      <c r="H1769" s="72" t="e">
        <f t="shared" si="28"/>
        <v>#REF!</v>
      </c>
    </row>
    <row r="1770" spans="2:8" hidden="1">
      <c r="B1770" s="68" t="str">
        <f>IF(OR($D$3=JU!$F1770,$D$3=JU!$I1770),JU!B1770,"")</f>
        <v/>
      </c>
      <c r="C1770" s="6" t="str">
        <f>IF(OR($D$3=JU!$F1770,$D$3=JU!$I1770),JU!C1770,"")</f>
        <v/>
      </c>
      <c r="D1770" s="73" t="str">
        <f>IF(OR($D$3=JU!$F1770,$D$3=JU!$I1770),JU!D1770,"")</f>
        <v/>
      </c>
      <c r="E1770" s="74" t="str">
        <f>IF(OR($D$3=JU!$F1770,$D$3=JU!$I1770),JU!E1770,"")</f>
        <v/>
      </c>
      <c r="F1770" s="72">
        <f>IF($D$3=JU!F1770,JU!H1770,0)</f>
        <v>0</v>
      </c>
      <c r="G1770" s="72">
        <f>IF($D$3=JU!I1770,JU!K1770,0)</f>
        <v>0</v>
      </c>
      <c r="H1770" s="72" t="e">
        <f t="shared" si="28"/>
        <v>#REF!</v>
      </c>
    </row>
    <row r="1771" spans="2:8" hidden="1">
      <c r="B1771" s="68" t="str">
        <f>IF(OR($D$3=JU!$F1771,$D$3=JU!$I1771),JU!B1771,"")</f>
        <v/>
      </c>
      <c r="C1771" s="6" t="str">
        <f>IF(OR($D$3=JU!$F1771,$D$3=JU!$I1771),JU!C1771,"")</f>
        <v/>
      </c>
      <c r="D1771" s="73" t="str">
        <f>IF(OR($D$3=JU!$F1771,$D$3=JU!$I1771),JU!D1771,"")</f>
        <v/>
      </c>
      <c r="E1771" s="74" t="str">
        <f>IF(OR($D$3=JU!$F1771,$D$3=JU!$I1771),JU!E1771,"")</f>
        <v/>
      </c>
      <c r="F1771" s="72">
        <f>IF($D$3=JU!F1771,JU!H1771,0)</f>
        <v>0</v>
      </c>
      <c r="G1771" s="72">
        <f>IF($D$3=JU!I1771,JU!K1771,0)</f>
        <v>0</v>
      </c>
      <c r="H1771" s="72" t="e">
        <f t="shared" si="28"/>
        <v>#REF!</v>
      </c>
    </row>
    <row r="1772" spans="2:8" hidden="1">
      <c r="B1772" s="68" t="str">
        <f>IF(OR($D$3=JU!$F1772,$D$3=JU!$I1772),JU!B1772,"")</f>
        <v/>
      </c>
      <c r="C1772" s="6" t="str">
        <f>IF(OR($D$3=JU!$F1772,$D$3=JU!$I1772),JU!C1772,"")</f>
        <v/>
      </c>
      <c r="D1772" s="73" t="str">
        <f>IF(OR($D$3=JU!$F1772,$D$3=JU!$I1772),JU!D1772,"")</f>
        <v/>
      </c>
      <c r="E1772" s="74" t="str">
        <f>IF(OR($D$3=JU!$F1772,$D$3=JU!$I1772),JU!E1772,"")</f>
        <v/>
      </c>
      <c r="F1772" s="72">
        <f>IF($D$3=JU!F1772,JU!H1772,0)</f>
        <v>0</v>
      </c>
      <c r="G1772" s="72">
        <f>IF($D$3=JU!I1772,JU!K1772,0)</f>
        <v>0</v>
      </c>
      <c r="H1772" s="72" t="e">
        <f t="shared" si="28"/>
        <v>#REF!</v>
      </c>
    </row>
    <row r="1773" spans="2:8" hidden="1">
      <c r="B1773" s="68" t="str">
        <f>IF(OR($D$3=JU!$F1773,$D$3=JU!$I1773),JU!B1773,"")</f>
        <v/>
      </c>
      <c r="C1773" s="6" t="str">
        <f>IF(OR($D$3=JU!$F1773,$D$3=JU!$I1773),JU!C1773,"")</f>
        <v/>
      </c>
      <c r="D1773" s="73" t="str">
        <f>IF(OR($D$3=JU!$F1773,$D$3=JU!$I1773),JU!D1773,"")</f>
        <v/>
      </c>
      <c r="E1773" s="74" t="str">
        <f>IF(OR($D$3=JU!$F1773,$D$3=JU!$I1773),JU!E1773,"")</f>
        <v/>
      </c>
      <c r="F1773" s="72">
        <f>IF($D$3=JU!F1773,JU!H1773,0)</f>
        <v>0</v>
      </c>
      <c r="G1773" s="72">
        <f>IF($D$3=JU!I1773,JU!K1773,0)</f>
        <v>0</v>
      </c>
      <c r="H1773" s="72" t="e">
        <f t="shared" si="28"/>
        <v>#REF!</v>
      </c>
    </row>
    <row r="1774" spans="2:8" hidden="1">
      <c r="B1774" s="68" t="str">
        <f>IF(OR($D$3=JU!$F1774,$D$3=JU!$I1774),JU!B1774,"")</f>
        <v/>
      </c>
      <c r="C1774" s="6" t="str">
        <f>IF(OR($D$3=JU!$F1774,$D$3=JU!$I1774),JU!C1774,"")</f>
        <v/>
      </c>
      <c r="D1774" s="73" t="str">
        <f>IF(OR($D$3=JU!$F1774,$D$3=JU!$I1774),JU!D1774,"")</f>
        <v/>
      </c>
      <c r="E1774" s="74" t="str">
        <f>IF(OR($D$3=JU!$F1774,$D$3=JU!$I1774),JU!E1774,"")</f>
        <v/>
      </c>
      <c r="F1774" s="72">
        <f>IF($D$3=JU!F1774,JU!H1774,0)</f>
        <v>0</v>
      </c>
      <c r="G1774" s="72">
        <f>IF($D$3=JU!I1774,JU!K1774,0)</f>
        <v>0</v>
      </c>
      <c r="H1774" s="72" t="e">
        <f t="shared" si="28"/>
        <v>#REF!</v>
      </c>
    </row>
    <row r="1775" spans="2:8" hidden="1">
      <c r="B1775" s="68" t="str">
        <f>IF(OR($D$3=JU!$F1775,$D$3=JU!$I1775),JU!B1775,"")</f>
        <v/>
      </c>
      <c r="C1775" s="6" t="str">
        <f>IF(OR($D$3=JU!$F1775,$D$3=JU!$I1775),JU!C1775,"")</f>
        <v/>
      </c>
      <c r="D1775" s="73" t="str">
        <f>IF(OR($D$3=JU!$F1775,$D$3=JU!$I1775),JU!D1775,"")</f>
        <v/>
      </c>
      <c r="E1775" s="74" t="str">
        <f>IF(OR($D$3=JU!$F1775,$D$3=JU!$I1775),JU!E1775,"")</f>
        <v/>
      </c>
      <c r="F1775" s="72">
        <f>IF($D$3=JU!F1775,JU!H1775,0)</f>
        <v>0</v>
      </c>
      <c r="G1775" s="72">
        <f>IF($D$3=JU!I1775,JU!K1775,0)</f>
        <v>0</v>
      </c>
      <c r="H1775" s="72" t="e">
        <f t="shared" si="28"/>
        <v>#REF!</v>
      </c>
    </row>
    <row r="1776" spans="2:8" hidden="1">
      <c r="B1776" s="68" t="str">
        <f>IF(OR($D$3=JU!$F1776,$D$3=JU!$I1776),JU!B1776,"")</f>
        <v/>
      </c>
      <c r="C1776" s="6" t="str">
        <f>IF(OR($D$3=JU!$F1776,$D$3=JU!$I1776),JU!C1776,"")</f>
        <v/>
      </c>
      <c r="D1776" s="73" t="str">
        <f>IF(OR($D$3=JU!$F1776,$D$3=JU!$I1776),JU!D1776,"")</f>
        <v/>
      </c>
      <c r="E1776" s="74" t="str">
        <f>IF(OR($D$3=JU!$F1776,$D$3=JU!$I1776),JU!E1776,"")</f>
        <v/>
      </c>
      <c r="F1776" s="72">
        <f>IF($D$3=JU!F1776,JU!H1776,0)</f>
        <v>0</v>
      </c>
      <c r="G1776" s="72">
        <f>IF($D$3=JU!I1776,JU!K1776,0)</f>
        <v>0</v>
      </c>
      <c r="H1776" s="72" t="e">
        <f t="shared" si="28"/>
        <v>#REF!</v>
      </c>
    </row>
    <row r="1777" spans="2:8" hidden="1">
      <c r="B1777" s="68" t="str">
        <f>IF(OR($D$3=JU!$F1777,$D$3=JU!$I1777),JU!B1777,"")</f>
        <v/>
      </c>
      <c r="C1777" s="6" t="str">
        <f>IF(OR($D$3=JU!$F1777,$D$3=JU!$I1777),JU!C1777,"")</f>
        <v/>
      </c>
      <c r="D1777" s="73" t="str">
        <f>IF(OR($D$3=JU!$F1777,$D$3=JU!$I1777),JU!D1777,"")</f>
        <v/>
      </c>
      <c r="E1777" s="74" t="str">
        <f>IF(OR($D$3=JU!$F1777,$D$3=JU!$I1777),JU!E1777,"")</f>
        <v/>
      </c>
      <c r="F1777" s="72">
        <f>IF($D$3=JU!F1777,JU!H1777,0)</f>
        <v>0</v>
      </c>
      <c r="G1777" s="72">
        <f>IF($D$3=JU!I1777,JU!K1777,0)</f>
        <v>0</v>
      </c>
      <c r="H1777" s="72" t="e">
        <f t="shared" si="28"/>
        <v>#REF!</v>
      </c>
    </row>
    <row r="1778" spans="2:8" hidden="1">
      <c r="B1778" s="68" t="str">
        <f>IF(OR($D$3=JU!$F1778,$D$3=JU!$I1778),JU!B1778,"")</f>
        <v/>
      </c>
      <c r="C1778" s="6" t="str">
        <f>IF(OR($D$3=JU!$F1778,$D$3=JU!$I1778),JU!C1778,"")</f>
        <v/>
      </c>
      <c r="D1778" s="73" t="str">
        <f>IF(OR($D$3=JU!$F1778,$D$3=JU!$I1778),JU!D1778,"")</f>
        <v/>
      </c>
      <c r="E1778" s="74" t="str">
        <f>IF(OR($D$3=JU!$F1778,$D$3=JU!$I1778),JU!E1778,"")</f>
        <v/>
      </c>
      <c r="F1778" s="72">
        <f>IF($D$3=JU!F1778,JU!H1778,0)</f>
        <v>0</v>
      </c>
      <c r="G1778" s="72">
        <f>IF($D$3=JU!I1778,JU!K1778,0)</f>
        <v>0</v>
      </c>
      <c r="H1778" s="72" t="e">
        <f t="shared" si="28"/>
        <v>#REF!</v>
      </c>
    </row>
    <row r="1779" spans="2:8" hidden="1">
      <c r="B1779" s="68" t="str">
        <f>IF(OR($D$3=JU!$F1779,$D$3=JU!$I1779),JU!B1779,"")</f>
        <v/>
      </c>
      <c r="C1779" s="6" t="str">
        <f>IF(OR($D$3=JU!$F1779,$D$3=JU!$I1779),JU!C1779,"")</f>
        <v/>
      </c>
      <c r="D1779" s="73" t="str">
        <f>IF(OR($D$3=JU!$F1779,$D$3=JU!$I1779),JU!D1779,"")</f>
        <v/>
      </c>
      <c r="E1779" s="74" t="str">
        <f>IF(OR($D$3=JU!$F1779,$D$3=JU!$I1779),JU!E1779,"")</f>
        <v/>
      </c>
      <c r="F1779" s="72">
        <f>IF($D$3=JU!F1779,JU!H1779,0)</f>
        <v>0</v>
      </c>
      <c r="G1779" s="72">
        <f>IF($D$3=JU!I1779,JU!K1779,0)</f>
        <v>0</v>
      </c>
      <c r="H1779" s="72" t="e">
        <f t="shared" si="28"/>
        <v>#REF!</v>
      </c>
    </row>
    <row r="1780" spans="2:8" hidden="1">
      <c r="B1780" s="68" t="str">
        <f>IF(OR($D$3=JU!$F1780,$D$3=JU!$I1780),JU!B1780,"")</f>
        <v/>
      </c>
      <c r="C1780" s="6" t="str">
        <f>IF(OR($D$3=JU!$F1780,$D$3=JU!$I1780),JU!C1780,"")</f>
        <v/>
      </c>
      <c r="D1780" s="73" t="str">
        <f>IF(OR($D$3=JU!$F1780,$D$3=JU!$I1780),JU!D1780,"")</f>
        <v/>
      </c>
      <c r="E1780" s="74" t="str">
        <f>IF(OR($D$3=JU!$F1780,$D$3=JU!$I1780),JU!E1780,"")</f>
        <v/>
      </c>
      <c r="F1780" s="72">
        <f>IF($D$3=JU!F1780,JU!H1780,0)</f>
        <v>0</v>
      </c>
      <c r="G1780" s="72">
        <f>IF($D$3=JU!I1780,JU!K1780,0)</f>
        <v>0</v>
      </c>
      <c r="H1780" s="72" t="e">
        <f t="shared" si="28"/>
        <v>#REF!</v>
      </c>
    </row>
    <row r="1781" spans="2:8" hidden="1">
      <c r="B1781" s="68" t="str">
        <f>IF(OR($D$3=JU!$F1781,$D$3=JU!$I1781),JU!B1781,"")</f>
        <v/>
      </c>
      <c r="C1781" s="6" t="str">
        <f>IF(OR($D$3=JU!$F1781,$D$3=JU!$I1781),JU!C1781,"")</f>
        <v/>
      </c>
      <c r="D1781" s="73" t="str">
        <f>IF(OR($D$3=JU!$F1781,$D$3=JU!$I1781),JU!D1781,"")</f>
        <v/>
      </c>
      <c r="E1781" s="74" t="str">
        <f>IF(OR($D$3=JU!$F1781,$D$3=JU!$I1781),JU!E1781,"")</f>
        <v/>
      </c>
      <c r="F1781" s="72">
        <f>IF($D$3=JU!F1781,JU!H1781,0)</f>
        <v>0</v>
      </c>
      <c r="G1781" s="72">
        <f>IF($D$3=JU!I1781,JU!K1781,0)</f>
        <v>0</v>
      </c>
      <c r="H1781" s="72" t="e">
        <f t="shared" si="28"/>
        <v>#REF!</v>
      </c>
    </row>
    <row r="1782" spans="2:8" hidden="1">
      <c r="B1782" s="68" t="str">
        <f>IF(OR($D$3=JU!$F1782,$D$3=JU!$I1782),JU!B1782,"")</f>
        <v/>
      </c>
      <c r="C1782" s="6" t="str">
        <f>IF(OR($D$3=JU!$F1782,$D$3=JU!$I1782),JU!C1782,"")</f>
        <v/>
      </c>
      <c r="D1782" s="73" t="str">
        <f>IF(OR($D$3=JU!$F1782,$D$3=JU!$I1782),JU!D1782,"")</f>
        <v/>
      </c>
      <c r="E1782" s="74" t="str">
        <f>IF(OR($D$3=JU!$F1782,$D$3=JU!$I1782),JU!E1782,"")</f>
        <v/>
      </c>
      <c r="F1782" s="72">
        <f>IF($D$3=JU!F1782,JU!H1782,0)</f>
        <v>0</v>
      </c>
      <c r="G1782" s="72">
        <f>IF($D$3=JU!I1782,JU!K1782,0)</f>
        <v>0</v>
      </c>
      <c r="H1782" s="72" t="e">
        <f t="shared" si="28"/>
        <v>#REF!</v>
      </c>
    </row>
    <row r="1783" spans="2:8" hidden="1">
      <c r="B1783" s="68" t="str">
        <f>IF(OR($D$3=JU!$F1783,$D$3=JU!$I1783),JU!B1783,"")</f>
        <v/>
      </c>
      <c r="C1783" s="6" t="str">
        <f>IF(OR($D$3=JU!$F1783,$D$3=JU!$I1783),JU!C1783,"")</f>
        <v/>
      </c>
      <c r="D1783" s="73" t="str">
        <f>IF(OR($D$3=JU!$F1783,$D$3=JU!$I1783),JU!D1783,"")</f>
        <v/>
      </c>
      <c r="E1783" s="74" t="str">
        <f>IF(OR($D$3=JU!$F1783,$D$3=JU!$I1783),JU!E1783,"")</f>
        <v/>
      </c>
      <c r="F1783" s="72">
        <f>IF($D$3=JU!F1783,JU!H1783,0)</f>
        <v>0</v>
      </c>
      <c r="G1783" s="72">
        <f>IF($D$3=JU!I1783,JU!K1783,0)</f>
        <v>0</v>
      </c>
      <c r="H1783" s="72" t="e">
        <f t="shared" si="28"/>
        <v>#REF!</v>
      </c>
    </row>
    <row r="1784" spans="2:8" hidden="1">
      <c r="B1784" s="68" t="str">
        <f>IF(OR($D$3=JU!$F1784,$D$3=JU!$I1784),JU!B1784,"")</f>
        <v/>
      </c>
      <c r="C1784" s="6" t="str">
        <f>IF(OR($D$3=JU!$F1784,$D$3=JU!$I1784),JU!C1784,"")</f>
        <v/>
      </c>
      <c r="D1784" s="73" t="str">
        <f>IF(OR($D$3=JU!$F1784,$D$3=JU!$I1784),JU!D1784,"")</f>
        <v/>
      </c>
      <c r="E1784" s="74" t="str">
        <f>IF(OR($D$3=JU!$F1784,$D$3=JU!$I1784),JU!E1784,"")</f>
        <v/>
      </c>
      <c r="F1784" s="72">
        <f>IF($D$3=JU!F1784,JU!H1784,0)</f>
        <v>0</v>
      </c>
      <c r="G1784" s="72">
        <f>IF($D$3=JU!I1784,JU!K1784,0)</f>
        <v>0</v>
      </c>
      <c r="H1784" s="72" t="e">
        <f t="shared" si="28"/>
        <v>#REF!</v>
      </c>
    </row>
    <row r="1785" spans="2:8" hidden="1">
      <c r="B1785" s="68" t="str">
        <f>IF(OR($D$3=JU!$F1785,$D$3=JU!$I1785),JU!B1785,"")</f>
        <v/>
      </c>
      <c r="C1785" s="6" t="str">
        <f>IF(OR($D$3=JU!$F1785,$D$3=JU!$I1785),JU!C1785,"")</f>
        <v/>
      </c>
      <c r="D1785" s="73" t="str">
        <f>IF(OR($D$3=JU!$F1785,$D$3=JU!$I1785),JU!D1785,"")</f>
        <v/>
      </c>
      <c r="E1785" s="74" t="str">
        <f>IF(OR($D$3=JU!$F1785,$D$3=JU!$I1785),JU!E1785,"")</f>
        <v/>
      </c>
      <c r="F1785" s="72">
        <f>IF($D$3=JU!F1785,JU!H1785,0)</f>
        <v>0</v>
      </c>
      <c r="G1785" s="72">
        <f>IF($D$3=JU!I1785,JU!K1785,0)</f>
        <v>0</v>
      </c>
      <c r="H1785" s="72" t="e">
        <f t="shared" si="28"/>
        <v>#REF!</v>
      </c>
    </row>
    <row r="1786" spans="2:8" hidden="1">
      <c r="B1786" s="68" t="str">
        <f>IF(OR($D$3=JU!$F1786,$D$3=JU!$I1786),JU!B1786,"")</f>
        <v/>
      </c>
      <c r="C1786" s="6" t="str">
        <f>IF(OR($D$3=JU!$F1786,$D$3=JU!$I1786),JU!C1786,"")</f>
        <v/>
      </c>
      <c r="D1786" s="73" t="str">
        <f>IF(OR($D$3=JU!$F1786,$D$3=JU!$I1786),JU!D1786,"")</f>
        <v/>
      </c>
      <c r="E1786" s="74" t="str">
        <f>IF(OR($D$3=JU!$F1786,$D$3=JU!$I1786),JU!E1786,"")</f>
        <v/>
      </c>
      <c r="F1786" s="72">
        <f>IF($D$3=JU!F1786,JU!H1786,0)</f>
        <v>0</v>
      </c>
      <c r="G1786" s="72">
        <f>IF($D$3=JU!I1786,JU!K1786,0)</f>
        <v>0</v>
      </c>
      <c r="H1786" s="72" t="e">
        <f t="shared" si="28"/>
        <v>#REF!</v>
      </c>
    </row>
    <row r="1787" spans="2:8" hidden="1">
      <c r="B1787" s="68" t="str">
        <f>IF(OR($D$3=JU!$F1787,$D$3=JU!$I1787),JU!B1787,"")</f>
        <v/>
      </c>
      <c r="C1787" s="6" t="str">
        <f>IF(OR($D$3=JU!$F1787,$D$3=JU!$I1787),JU!C1787,"")</f>
        <v/>
      </c>
      <c r="D1787" s="73" t="str">
        <f>IF(OR($D$3=JU!$F1787,$D$3=JU!$I1787),JU!D1787,"")</f>
        <v/>
      </c>
      <c r="E1787" s="74" t="str">
        <f>IF(OR($D$3=JU!$F1787,$D$3=JU!$I1787),JU!E1787,"")</f>
        <v/>
      </c>
      <c r="F1787" s="72">
        <f>IF($D$3=JU!F1787,JU!H1787,0)</f>
        <v>0</v>
      </c>
      <c r="G1787" s="72">
        <f>IF($D$3=JU!I1787,JU!K1787,0)</f>
        <v>0</v>
      </c>
      <c r="H1787" s="72" t="e">
        <f t="shared" si="28"/>
        <v>#REF!</v>
      </c>
    </row>
    <row r="1788" spans="2:8" hidden="1">
      <c r="B1788" s="68" t="str">
        <f>IF(OR($D$3=JU!$F1788,$D$3=JU!$I1788),JU!B1788,"")</f>
        <v/>
      </c>
      <c r="C1788" s="6" t="str">
        <f>IF(OR($D$3=JU!$F1788,$D$3=JU!$I1788),JU!C1788,"")</f>
        <v/>
      </c>
      <c r="D1788" s="73" t="str">
        <f>IF(OR($D$3=JU!$F1788,$D$3=JU!$I1788),JU!D1788,"")</f>
        <v/>
      </c>
      <c r="E1788" s="74" t="str">
        <f>IF(OR($D$3=JU!$F1788,$D$3=JU!$I1788),JU!E1788,"")</f>
        <v/>
      </c>
      <c r="F1788" s="72">
        <f>IF($D$3=JU!F1788,JU!H1788,0)</f>
        <v>0</v>
      </c>
      <c r="G1788" s="72">
        <f>IF($D$3=JU!I1788,JU!K1788,0)</f>
        <v>0</v>
      </c>
      <c r="H1788" s="72" t="e">
        <f t="shared" si="28"/>
        <v>#REF!</v>
      </c>
    </row>
    <row r="1789" spans="2:8" hidden="1">
      <c r="B1789" s="68" t="str">
        <f>IF(OR($D$3=JU!$F1789,$D$3=JU!$I1789),JU!B1789,"")</f>
        <v/>
      </c>
      <c r="C1789" s="6" t="str">
        <f>IF(OR($D$3=JU!$F1789,$D$3=JU!$I1789),JU!C1789,"")</f>
        <v/>
      </c>
      <c r="D1789" s="73" t="str">
        <f>IF(OR($D$3=JU!$F1789,$D$3=JU!$I1789),JU!D1789,"")</f>
        <v/>
      </c>
      <c r="E1789" s="74" t="str">
        <f>IF(OR($D$3=JU!$F1789,$D$3=JU!$I1789),JU!E1789,"")</f>
        <v/>
      </c>
      <c r="F1789" s="72">
        <f>IF($D$3=JU!F1789,JU!H1789,0)</f>
        <v>0</v>
      </c>
      <c r="G1789" s="72">
        <f>IF($D$3=JU!I1789,JU!K1789,0)</f>
        <v>0</v>
      </c>
      <c r="H1789" s="72" t="e">
        <f t="shared" si="28"/>
        <v>#REF!</v>
      </c>
    </row>
    <row r="1790" spans="2:8" hidden="1">
      <c r="B1790" s="68" t="str">
        <f>IF(OR($D$3=JU!$F1790,$D$3=JU!$I1790),JU!B1790,"")</f>
        <v/>
      </c>
      <c r="C1790" s="6" t="str">
        <f>IF(OR($D$3=JU!$F1790,$D$3=JU!$I1790),JU!C1790,"")</f>
        <v/>
      </c>
      <c r="D1790" s="73" t="str">
        <f>IF(OR($D$3=JU!$F1790,$D$3=JU!$I1790),JU!D1790,"")</f>
        <v/>
      </c>
      <c r="E1790" s="74" t="str">
        <f>IF(OR($D$3=JU!$F1790,$D$3=JU!$I1790),JU!E1790,"")</f>
        <v/>
      </c>
      <c r="F1790" s="72">
        <f>IF($D$3=JU!F1790,JU!H1790,0)</f>
        <v>0</v>
      </c>
      <c r="G1790" s="72">
        <f>IF($D$3=JU!I1790,JU!K1790,0)</f>
        <v>0</v>
      </c>
      <c r="H1790" s="72" t="e">
        <f t="shared" si="28"/>
        <v>#REF!</v>
      </c>
    </row>
    <row r="1791" spans="2:8" hidden="1">
      <c r="B1791" s="68" t="str">
        <f>IF(OR($D$3=JU!$F1791,$D$3=JU!$I1791),JU!B1791,"")</f>
        <v/>
      </c>
      <c r="C1791" s="6" t="str">
        <f>IF(OR($D$3=JU!$F1791,$D$3=JU!$I1791),JU!C1791,"")</f>
        <v/>
      </c>
      <c r="D1791" s="73" t="str">
        <f>IF(OR($D$3=JU!$F1791,$D$3=JU!$I1791),JU!D1791,"")</f>
        <v/>
      </c>
      <c r="E1791" s="74" t="str">
        <f>IF(OR($D$3=JU!$F1791,$D$3=JU!$I1791),JU!E1791,"")</f>
        <v/>
      </c>
      <c r="F1791" s="72">
        <f>IF($D$3=JU!F1791,JU!H1791,0)</f>
        <v>0</v>
      </c>
      <c r="G1791" s="72">
        <f>IF($D$3=JU!I1791,JU!K1791,0)</f>
        <v>0</v>
      </c>
      <c r="H1791" s="72" t="e">
        <f t="shared" si="28"/>
        <v>#REF!</v>
      </c>
    </row>
    <row r="1792" spans="2:8" hidden="1">
      <c r="B1792" s="68" t="str">
        <f>IF(OR($D$3=JU!$F1792,$D$3=JU!$I1792),JU!B1792,"")</f>
        <v/>
      </c>
      <c r="C1792" s="6" t="str">
        <f>IF(OR($D$3=JU!$F1792,$D$3=JU!$I1792),JU!C1792,"")</f>
        <v/>
      </c>
      <c r="D1792" s="73" t="str">
        <f>IF(OR($D$3=JU!$F1792,$D$3=JU!$I1792),JU!D1792,"")</f>
        <v/>
      </c>
      <c r="E1792" s="74" t="str">
        <f>IF(OR($D$3=JU!$F1792,$D$3=JU!$I1792),JU!E1792,"")</f>
        <v/>
      </c>
      <c r="F1792" s="72">
        <f>IF($D$3=JU!F1792,JU!H1792,0)</f>
        <v>0</v>
      </c>
      <c r="G1792" s="72">
        <f>IF($D$3=JU!I1792,JU!K1792,0)</f>
        <v>0</v>
      </c>
      <c r="H1792" s="72" t="e">
        <f t="shared" si="28"/>
        <v>#REF!</v>
      </c>
    </row>
    <row r="1793" spans="2:8" hidden="1">
      <c r="B1793" s="68" t="str">
        <f>IF(OR($D$3=JU!$F1793,$D$3=JU!$I1793),JU!B1793,"")</f>
        <v/>
      </c>
      <c r="C1793" s="6" t="str">
        <f>IF(OR($D$3=JU!$F1793,$D$3=JU!$I1793),JU!C1793,"")</f>
        <v/>
      </c>
      <c r="D1793" s="73" t="str">
        <f>IF(OR($D$3=JU!$F1793,$D$3=JU!$I1793),JU!D1793,"")</f>
        <v/>
      </c>
      <c r="E1793" s="74" t="str">
        <f>IF(OR($D$3=JU!$F1793,$D$3=JU!$I1793),JU!E1793,"")</f>
        <v/>
      </c>
      <c r="F1793" s="72">
        <f>IF($D$3=JU!F1793,JU!H1793,0)</f>
        <v>0</v>
      </c>
      <c r="G1793" s="72">
        <f>IF($D$3=JU!I1793,JU!K1793,0)</f>
        <v>0</v>
      </c>
      <c r="H1793" s="72" t="e">
        <f t="shared" si="28"/>
        <v>#REF!</v>
      </c>
    </row>
    <row r="1794" spans="2:8" hidden="1">
      <c r="B1794" s="68" t="str">
        <f>IF(OR($D$3=JU!$F1794,$D$3=JU!$I1794),JU!B1794,"")</f>
        <v/>
      </c>
      <c r="C1794" s="6" t="str">
        <f>IF(OR($D$3=JU!$F1794,$D$3=JU!$I1794),JU!C1794,"")</f>
        <v/>
      </c>
      <c r="D1794" s="73" t="str">
        <f>IF(OR($D$3=JU!$F1794,$D$3=JU!$I1794),JU!D1794,"")</f>
        <v/>
      </c>
      <c r="E1794" s="74" t="str">
        <f>IF(OR($D$3=JU!$F1794,$D$3=JU!$I1794),JU!E1794,"")</f>
        <v/>
      </c>
      <c r="F1794" s="72">
        <f>IF($D$3=JU!F1794,JU!H1794,0)</f>
        <v>0</v>
      </c>
      <c r="G1794" s="72">
        <f>IF($D$3=JU!I1794,JU!K1794,0)</f>
        <v>0</v>
      </c>
      <c r="H1794" s="72" t="e">
        <f t="shared" si="28"/>
        <v>#REF!</v>
      </c>
    </row>
    <row r="1795" spans="2:8" hidden="1">
      <c r="B1795" s="68" t="str">
        <f>IF(OR($D$3=JU!$F1795,$D$3=JU!$I1795),JU!B1795,"")</f>
        <v/>
      </c>
      <c r="C1795" s="6" t="str">
        <f>IF(OR($D$3=JU!$F1795,$D$3=JU!$I1795),JU!C1795,"")</f>
        <v/>
      </c>
      <c r="D1795" s="73" t="str">
        <f>IF(OR($D$3=JU!$F1795,$D$3=JU!$I1795),JU!D1795,"")</f>
        <v/>
      </c>
      <c r="E1795" s="74" t="str">
        <f>IF(OR($D$3=JU!$F1795,$D$3=JU!$I1795),JU!E1795,"")</f>
        <v/>
      </c>
      <c r="F1795" s="72">
        <f>IF($D$3=JU!F1795,JU!H1795,0)</f>
        <v>0</v>
      </c>
      <c r="G1795" s="72">
        <f>IF($D$3=JU!I1795,JU!K1795,0)</f>
        <v>0</v>
      </c>
      <c r="H1795" s="72" t="e">
        <f t="shared" si="28"/>
        <v>#REF!</v>
      </c>
    </row>
    <row r="1796" spans="2:8" hidden="1">
      <c r="B1796" s="68" t="str">
        <f>IF(OR($D$3=JU!$F1796,$D$3=JU!$I1796),JU!B1796,"")</f>
        <v/>
      </c>
      <c r="C1796" s="6" t="str">
        <f>IF(OR($D$3=JU!$F1796,$D$3=JU!$I1796),JU!C1796,"")</f>
        <v/>
      </c>
      <c r="D1796" s="73" t="str">
        <f>IF(OR($D$3=JU!$F1796,$D$3=JU!$I1796),JU!D1796,"")</f>
        <v/>
      </c>
      <c r="E1796" s="74" t="str">
        <f>IF(OR($D$3=JU!$F1796,$D$3=JU!$I1796),JU!E1796,"")</f>
        <v/>
      </c>
      <c r="F1796" s="72">
        <f>IF($D$3=JU!F1796,JU!H1796,0)</f>
        <v>0</v>
      </c>
      <c r="G1796" s="72">
        <f>IF($D$3=JU!I1796,JU!K1796,0)</f>
        <v>0</v>
      </c>
      <c r="H1796" s="72" t="e">
        <f t="shared" si="28"/>
        <v>#REF!</v>
      </c>
    </row>
    <row r="1797" spans="2:8" hidden="1">
      <c r="B1797" s="68" t="str">
        <f>IF(OR($D$3=JU!$F1797,$D$3=JU!$I1797),JU!B1797,"")</f>
        <v/>
      </c>
      <c r="C1797" s="6" t="str">
        <f>IF(OR($D$3=JU!$F1797,$D$3=JU!$I1797),JU!C1797,"")</f>
        <v/>
      </c>
      <c r="D1797" s="73" t="str">
        <f>IF(OR($D$3=JU!$F1797,$D$3=JU!$I1797),JU!D1797,"")</f>
        <v/>
      </c>
      <c r="E1797" s="74" t="str">
        <f>IF(OR($D$3=JU!$F1797,$D$3=JU!$I1797),JU!E1797,"")</f>
        <v/>
      </c>
      <c r="F1797" s="72">
        <f>IF($D$3=JU!F1797,JU!H1797,0)</f>
        <v>0</v>
      </c>
      <c r="G1797" s="72">
        <f>IF($D$3=JU!I1797,JU!K1797,0)</f>
        <v>0</v>
      </c>
      <c r="H1797" s="72" t="e">
        <f t="shared" si="28"/>
        <v>#REF!</v>
      </c>
    </row>
    <row r="1798" spans="2:8" hidden="1">
      <c r="B1798" s="68" t="str">
        <f>IF(OR($D$3=JU!$F1798,$D$3=JU!$I1798),JU!B1798,"")</f>
        <v/>
      </c>
      <c r="C1798" s="6" t="str">
        <f>IF(OR($D$3=JU!$F1798,$D$3=JU!$I1798),JU!C1798,"")</f>
        <v/>
      </c>
      <c r="D1798" s="73" t="str">
        <f>IF(OR($D$3=JU!$F1798,$D$3=JU!$I1798),JU!D1798,"")</f>
        <v/>
      </c>
      <c r="E1798" s="74" t="str">
        <f>IF(OR($D$3=JU!$F1798,$D$3=JU!$I1798),JU!E1798,"")</f>
        <v/>
      </c>
      <c r="F1798" s="72">
        <f>IF($D$3=JU!F1798,JU!H1798,0)</f>
        <v>0</v>
      </c>
      <c r="G1798" s="72">
        <f>IF($D$3=JU!I1798,JU!K1798,0)</f>
        <v>0</v>
      </c>
      <c r="H1798" s="72" t="e">
        <f t="shared" si="28"/>
        <v>#REF!</v>
      </c>
    </row>
    <row r="1799" spans="2:8" hidden="1">
      <c r="B1799" s="68" t="str">
        <f>IF(OR($D$3=JU!$F1799,$D$3=JU!$I1799),JU!B1799,"")</f>
        <v/>
      </c>
      <c r="C1799" s="6" t="str">
        <f>IF(OR($D$3=JU!$F1799,$D$3=JU!$I1799),JU!C1799,"")</f>
        <v/>
      </c>
      <c r="D1799" s="73" t="str">
        <f>IF(OR($D$3=JU!$F1799,$D$3=JU!$I1799),JU!D1799,"")</f>
        <v/>
      </c>
      <c r="E1799" s="74" t="str">
        <f>IF(OR($D$3=JU!$F1799,$D$3=JU!$I1799),JU!E1799,"")</f>
        <v/>
      </c>
      <c r="F1799" s="72">
        <f>IF($D$3=JU!F1799,JU!H1799,0)</f>
        <v>0</v>
      </c>
      <c r="G1799" s="72">
        <f>IF($D$3=JU!I1799,JU!K1799,0)</f>
        <v>0</v>
      </c>
      <c r="H1799" s="72" t="e">
        <f t="shared" si="28"/>
        <v>#REF!</v>
      </c>
    </row>
    <row r="1800" spans="2:8" hidden="1">
      <c r="B1800" s="68" t="str">
        <f>IF(OR($D$3=JU!$F1800,$D$3=JU!$I1800),JU!B1800,"")</f>
        <v/>
      </c>
      <c r="C1800" s="6" t="str">
        <f>IF(OR($D$3=JU!$F1800,$D$3=JU!$I1800),JU!C1800,"")</f>
        <v/>
      </c>
      <c r="D1800" s="73" t="str">
        <f>IF(OR($D$3=JU!$F1800,$D$3=JU!$I1800),JU!D1800,"")</f>
        <v/>
      </c>
      <c r="E1800" s="74" t="str">
        <f>IF(OR($D$3=JU!$F1800,$D$3=JU!$I1800),JU!E1800,"")</f>
        <v/>
      </c>
      <c r="F1800" s="72">
        <f>IF($D$3=JU!F1800,JU!H1800,0)</f>
        <v>0</v>
      </c>
      <c r="G1800" s="72">
        <f>IF($D$3=JU!I1800,JU!K1800,0)</f>
        <v>0</v>
      </c>
      <c r="H1800" s="72" t="e">
        <f t="shared" si="28"/>
        <v>#REF!</v>
      </c>
    </row>
    <row r="1801" spans="2:8" hidden="1">
      <c r="B1801" s="68" t="str">
        <f>IF(OR($D$3=JU!$F1801,$D$3=JU!$I1801),JU!B1801,"")</f>
        <v/>
      </c>
      <c r="C1801" s="6" t="str">
        <f>IF(OR($D$3=JU!$F1801,$D$3=JU!$I1801),JU!C1801,"")</f>
        <v/>
      </c>
      <c r="D1801" s="73" t="str">
        <f>IF(OR($D$3=JU!$F1801,$D$3=JU!$I1801),JU!D1801,"")</f>
        <v/>
      </c>
      <c r="E1801" s="74" t="str">
        <f>IF(OR($D$3=JU!$F1801,$D$3=JU!$I1801),JU!E1801,"")</f>
        <v/>
      </c>
      <c r="F1801" s="72">
        <f>IF($D$3=JU!F1801,JU!H1801,0)</f>
        <v>0</v>
      </c>
      <c r="G1801" s="72">
        <f>IF($D$3=JU!I1801,JU!K1801,0)</f>
        <v>0</v>
      </c>
      <c r="H1801" s="72" t="e">
        <f t="shared" si="28"/>
        <v>#REF!</v>
      </c>
    </row>
    <row r="1802" spans="2:8" hidden="1">
      <c r="B1802" s="68" t="str">
        <f>IF(OR($D$3=JU!$F1802,$D$3=JU!$I1802),JU!B1802,"")</f>
        <v/>
      </c>
      <c r="C1802" s="6" t="str">
        <f>IF(OR($D$3=JU!$F1802,$D$3=JU!$I1802),JU!C1802,"")</f>
        <v/>
      </c>
      <c r="D1802" s="73" t="str">
        <f>IF(OR($D$3=JU!$F1802,$D$3=JU!$I1802),JU!D1802,"")</f>
        <v/>
      </c>
      <c r="E1802" s="74" t="str">
        <f>IF(OR($D$3=JU!$F1802,$D$3=JU!$I1802),JU!E1802,"")</f>
        <v/>
      </c>
      <c r="F1802" s="72">
        <f>IF($D$3=JU!F1802,JU!H1802,0)</f>
        <v>0</v>
      </c>
      <c r="G1802" s="72">
        <f>IF($D$3=JU!I1802,JU!K1802,0)</f>
        <v>0</v>
      </c>
      <c r="H1802" s="72" t="e">
        <f t="shared" si="28"/>
        <v>#REF!</v>
      </c>
    </row>
    <row r="1803" spans="2:8" hidden="1">
      <c r="B1803" s="68" t="str">
        <f>IF(OR($D$3=JU!$F1803,$D$3=JU!$I1803),JU!B1803,"")</f>
        <v/>
      </c>
      <c r="C1803" s="6" t="str">
        <f>IF(OR($D$3=JU!$F1803,$D$3=JU!$I1803),JU!C1803,"")</f>
        <v/>
      </c>
      <c r="D1803" s="73" t="str">
        <f>IF(OR($D$3=JU!$F1803,$D$3=JU!$I1803),JU!D1803,"")</f>
        <v/>
      </c>
      <c r="E1803" s="74" t="str">
        <f>IF(OR($D$3=JU!$F1803,$D$3=JU!$I1803),JU!E1803,"")</f>
        <v/>
      </c>
      <c r="F1803" s="72">
        <f>IF($D$3=JU!F1803,JU!H1803,0)</f>
        <v>0</v>
      </c>
      <c r="G1803" s="72">
        <f>IF($D$3=JU!I1803,JU!K1803,0)</f>
        <v>0</v>
      </c>
      <c r="H1803" s="72" t="e">
        <f t="shared" si="28"/>
        <v>#REF!</v>
      </c>
    </row>
    <row r="1804" spans="2:8" hidden="1">
      <c r="B1804" s="68" t="str">
        <f>IF(OR($D$3=JU!$F1804,$D$3=JU!$I1804),JU!B1804,"")</f>
        <v/>
      </c>
      <c r="C1804" s="6" t="str">
        <f>IF(OR($D$3=JU!$F1804,$D$3=JU!$I1804),JU!C1804,"")</f>
        <v/>
      </c>
      <c r="D1804" s="73" t="str">
        <f>IF(OR($D$3=JU!$F1804,$D$3=JU!$I1804),JU!D1804,"")</f>
        <v/>
      </c>
      <c r="E1804" s="74" t="str">
        <f>IF(OR($D$3=JU!$F1804,$D$3=JU!$I1804),JU!E1804,"")</f>
        <v/>
      </c>
      <c r="F1804" s="72">
        <f>IF($D$3=JU!F1804,JU!H1804,0)</f>
        <v>0</v>
      </c>
      <c r="G1804" s="72">
        <f>IF($D$3=JU!I1804,JU!K1804,0)</f>
        <v>0</v>
      </c>
      <c r="H1804" s="72" t="e">
        <f t="shared" si="28"/>
        <v>#REF!</v>
      </c>
    </row>
    <row r="1805" spans="2:8" hidden="1">
      <c r="B1805" s="68" t="str">
        <f>IF(OR($D$3=JU!$F1805,$D$3=JU!$I1805),JU!B1805,"")</f>
        <v/>
      </c>
      <c r="C1805" s="6" t="str">
        <f>IF(OR($D$3=JU!$F1805,$D$3=JU!$I1805),JU!C1805,"")</f>
        <v/>
      </c>
      <c r="D1805" s="73" t="str">
        <f>IF(OR($D$3=JU!$F1805,$D$3=JU!$I1805),JU!D1805,"")</f>
        <v/>
      </c>
      <c r="E1805" s="74" t="str">
        <f>IF(OR($D$3=JU!$F1805,$D$3=JU!$I1805),JU!E1805,"")</f>
        <v/>
      </c>
      <c r="F1805" s="72">
        <f>IF($D$3=JU!F1805,JU!H1805,0)</f>
        <v>0</v>
      </c>
      <c r="G1805" s="72">
        <f>IF($D$3=JU!I1805,JU!K1805,0)</f>
        <v>0</v>
      </c>
      <c r="H1805" s="72" t="e">
        <f t="shared" si="28"/>
        <v>#REF!</v>
      </c>
    </row>
    <row r="1806" spans="2:8" hidden="1">
      <c r="B1806" s="68" t="str">
        <f>IF(OR($D$3=JU!$F1806,$D$3=JU!$I1806),JU!B1806,"")</f>
        <v/>
      </c>
      <c r="C1806" s="6" t="str">
        <f>IF(OR($D$3=JU!$F1806,$D$3=JU!$I1806),JU!C1806,"")</f>
        <v/>
      </c>
      <c r="D1806" s="73" t="str">
        <f>IF(OR($D$3=JU!$F1806,$D$3=JU!$I1806),JU!D1806,"")</f>
        <v/>
      </c>
      <c r="E1806" s="74" t="str">
        <f>IF(OR($D$3=JU!$F1806,$D$3=JU!$I1806),JU!E1806,"")</f>
        <v/>
      </c>
      <c r="F1806" s="72">
        <f>IF($D$3=JU!F1806,JU!H1806,0)</f>
        <v>0</v>
      </c>
      <c r="G1806" s="72">
        <f>IF($D$3=JU!I1806,JU!K1806,0)</f>
        <v>0</v>
      </c>
      <c r="H1806" s="72" t="e">
        <f t="shared" ref="H1806:H1869" si="29">IF($H$7="DEBET",H1805+F1806-G1806,H1805+G1806-F1806)</f>
        <v>#REF!</v>
      </c>
    </row>
    <row r="1807" spans="2:8" hidden="1">
      <c r="B1807" s="68" t="str">
        <f>IF(OR($D$3=JU!$F1807,$D$3=JU!$I1807),JU!B1807,"")</f>
        <v/>
      </c>
      <c r="C1807" s="6" t="str">
        <f>IF(OR($D$3=JU!$F1807,$D$3=JU!$I1807),JU!C1807,"")</f>
        <v/>
      </c>
      <c r="D1807" s="73" t="str">
        <f>IF(OR($D$3=JU!$F1807,$D$3=JU!$I1807),JU!D1807,"")</f>
        <v/>
      </c>
      <c r="E1807" s="74" t="str">
        <f>IF(OR($D$3=JU!$F1807,$D$3=JU!$I1807),JU!E1807,"")</f>
        <v/>
      </c>
      <c r="F1807" s="72">
        <f>IF($D$3=JU!F1807,JU!H1807,0)</f>
        <v>0</v>
      </c>
      <c r="G1807" s="72">
        <f>IF($D$3=JU!I1807,JU!K1807,0)</f>
        <v>0</v>
      </c>
      <c r="H1807" s="72" t="e">
        <f t="shared" si="29"/>
        <v>#REF!</v>
      </c>
    </row>
    <row r="1808" spans="2:8" hidden="1">
      <c r="B1808" s="68" t="str">
        <f>IF(OR($D$3=JU!$F1808,$D$3=JU!$I1808),JU!B1808,"")</f>
        <v/>
      </c>
      <c r="C1808" s="6" t="str">
        <f>IF(OR($D$3=JU!$F1808,$D$3=JU!$I1808),JU!C1808,"")</f>
        <v/>
      </c>
      <c r="D1808" s="73" t="str">
        <f>IF(OR($D$3=JU!$F1808,$D$3=JU!$I1808),JU!D1808,"")</f>
        <v/>
      </c>
      <c r="E1808" s="74" t="str">
        <f>IF(OR($D$3=JU!$F1808,$D$3=JU!$I1808),JU!E1808,"")</f>
        <v/>
      </c>
      <c r="F1808" s="72">
        <f>IF($D$3=JU!F1808,JU!H1808,0)</f>
        <v>0</v>
      </c>
      <c r="G1808" s="72">
        <f>IF($D$3=JU!I1808,JU!K1808,0)</f>
        <v>0</v>
      </c>
      <c r="H1808" s="72" t="e">
        <f t="shared" si="29"/>
        <v>#REF!</v>
      </c>
    </row>
    <row r="1809" spans="2:8" hidden="1">
      <c r="B1809" s="68" t="str">
        <f>IF(OR($D$3=JU!$F1809,$D$3=JU!$I1809),JU!B1809,"")</f>
        <v/>
      </c>
      <c r="C1809" s="6" t="str">
        <f>IF(OR($D$3=JU!$F1809,$D$3=JU!$I1809),JU!C1809,"")</f>
        <v/>
      </c>
      <c r="D1809" s="73" t="str">
        <f>IF(OR($D$3=JU!$F1809,$D$3=JU!$I1809),JU!D1809,"")</f>
        <v/>
      </c>
      <c r="E1809" s="74" t="str">
        <f>IF(OR($D$3=JU!$F1809,$D$3=JU!$I1809),JU!E1809,"")</f>
        <v/>
      </c>
      <c r="F1809" s="72">
        <f>IF($D$3=JU!F1809,JU!H1809,0)</f>
        <v>0</v>
      </c>
      <c r="G1809" s="72">
        <f>IF($D$3=JU!I1809,JU!K1809,0)</f>
        <v>0</v>
      </c>
      <c r="H1809" s="72" t="e">
        <f t="shared" si="29"/>
        <v>#REF!</v>
      </c>
    </row>
    <row r="1810" spans="2:8" hidden="1">
      <c r="B1810" s="68" t="str">
        <f>IF(OR($D$3=JU!$F1810,$D$3=JU!$I1810),JU!B1810,"")</f>
        <v/>
      </c>
      <c r="C1810" s="6" t="str">
        <f>IF(OR($D$3=JU!$F1810,$D$3=JU!$I1810),JU!C1810,"")</f>
        <v/>
      </c>
      <c r="D1810" s="73" t="str">
        <f>IF(OR($D$3=JU!$F1810,$D$3=JU!$I1810),JU!D1810,"")</f>
        <v/>
      </c>
      <c r="E1810" s="74" t="str">
        <f>IF(OR($D$3=JU!$F1810,$D$3=JU!$I1810),JU!E1810,"")</f>
        <v/>
      </c>
      <c r="F1810" s="72">
        <f>IF($D$3=JU!F1810,JU!H1810,0)</f>
        <v>0</v>
      </c>
      <c r="G1810" s="72">
        <f>IF($D$3=JU!I1810,JU!K1810,0)</f>
        <v>0</v>
      </c>
      <c r="H1810" s="72" t="e">
        <f t="shared" si="29"/>
        <v>#REF!</v>
      </c>
    </row>
    <row r="1811" spans="2:8" hidden="1">
      <c r="B1811" s="68" t="str">
        <f>IF(OR($D$3=JU!$F1811,$D$3=JU!$I1811),JU!B1811,"")</f>
        <v/>
      </c>
      <c r="C1811" s="6" t="str">
        <f>IF(OR($D$3=JU!$F1811,$D$3=JU!$I1811),JU!C1811,"")</f>
        <v/>
      </c>
      <c r="D1811" s="73" t="str">
        <f>IF(OR($D$3=JU!$F1811,$D$3=JU!$I1811),JU!D1811,"")</f>
        <v/>
      </c>
      <c r="E1811" s="74" t="str">
        <f>IF(OR($D$3=JU!$F1811,$D$3=JU!$I1811),JU!E1811,"")</f>
        <v/>
      </c>
      <c r="F1811" s="72">
        <f>IF($D$3=JU!F1811,JU!H1811,0)</f>
        <v>0</v>
      </c>
      <c r="G1811" s="72">
        <f>IF($D$3=JU!I1811,JU!K1811,0)</f>
        <v>0</v>
      </c>
      <c r="H1811" s="72" t="e">
        <f t="shared" si="29"/>
        <v>#REF!</v>
      </c>
    </row>
    <row r="1812" spans="2:8" hidden="1">
      <c r="B1812" s="68" t="str">
        <f>IF(OR($D$3=JU!$F1812,$D$3=JU!$I1812),JU!B1812,"")</f>
        <v/>
      </c>
      <c r="C1812" s="6" t="str">
        <f>IF(OR($D$3=JU!$F1812,$D$3=JU!$I1812),JU!C1812,"")</f>
        <v/>
      </c>
      <c r="D1812" s="73" t="str">
        <f>IF(OR($D$3=JU!$F1812,$D$3=JU!$I1812),JU!D1812,"")</f>
        <v/>
      </c>
      <c r="E1812" s="74" t="str">
        <f>IF(OR($D$3=JU!$F1812,$D$3=JU!$I1812),JU!E1812,"")</f>
        <v/>
      </c>
      <c r="F1812" s="72">
        <f>IF($D$3=JU!F1812,JU!H1812,0)</f>
        <v>0</v>
      </c>
      <c r="G1812" s="72">
        <f>IF($D$3=JU!I1812,JU!K1812,0)</f>
        <v>0</v>
      </c>
      <c r="H1812" s="72" t="e">
        <f t="shared" si="29"/>
        <v>#REF!</v>
      </c>
    </row>
    <row r="1813" spans="2:8" hidden="1">
      <c r="B1813" s="68" t="str">
        <f>IF(OR($D$3=JU!$F1813,$D$3=JU!$I1813),JU!B1813,"")</f>
        <v/>
      </c>
      <c r="C1813" s="6" t="str">
        <f>IF(OR($D$3=JU!$F1813,$D$3=JU!$I1813),JU!C1813,"")</f>
        <v/>
      </c>
      <c r="D1813" s="73" t="str">
        <f>IF(OR($D$3=JU!$F1813,$D$3=JU!$I1813),JU!D1813,"")</f>
        <v/>
      </c>
      <c r="E1813" s="74" t="str">
        <f>IF(OR($D$3=JU!$F1813,$D$3=JU!$I1813),JU!E1813,"")</f>
        <v/>
      </c>
      <c r="F1813" s="72">
        <f>IF($D$3=JU!F1813,JU!H1813,0)</f>
        <v>0</v>
      </c>
      <c r="G1813" s="72">
        <f>IF($D$3=JU!I1813,JU!K1813,0)</f>
        <v>0</v>
      </c>
      <c r="H1813" s="72" t="e">
        <f t="shared" si="29"/>
        <v>#REF!</v>
      </c>
    </row>
    <row r="1814" spans="2:8" hidden="1">
      <c r="B1814" s="68" t="str">
        <f>IF(OR($D$3=JU!$F1814,$D$3=JU!$I1814),JU!B1814,"")</f>
        <v/>
      </c>
      <c r="C1814" s="6" t="str">
        <f>IF(OR($D$3=JU!$F1814,$D$3=JU!$I1814),JU!C1814,"")</f>
        <v/>
      </c>
      <c r="D1814" s="73" t="str">
        <f>IF(OR($D$3=JU!$F1814,$D$3=JU!$I1814),JU!D1814,"")</f>
        <v/>
      </c>
      <c r="E1814" s="74" t="str">
        <f>IF(OR($D$3=JU!$F1814,$D$3=JU!$I1814),JU!E1814,"")</f>
        <v/>
      </c>
      <c r="F1814" s="72">
        <f>IF($D$3=JU!F1814,JU!H1814,0)</f>
        <v>0</v>
      </c>
      <c r="G1814" s="72">
        <f>IF($D$3=JU!I1814,JU!K1814,0)</f>
        <v>0</v>
      </c>
      <c r="H1814" s="72" t="e">
        <f t="shared" si="29"/>
        <v>#REF!</v>
      </c>
    </row>
    <row r="1815" spans="2:8" hidden="1">
      <c r="B1815" s="68" t="str">
        <f>IF(OR($D$3=JU!$F1815,$D$3=JU!$I1815),JU!B1815,"")</f>
        <v/>
      </c>
      <c r="C1815" s="6" t="str">
        <f>IF(OR($D$3=JU!$F1815,$D$3=JU!$I1815),JU!C1815,"")</f>
        <v/>
      </c>
      <c r="D1815" s="73" t="str">
        <f>IF(OR($D$3=JU!$F1815,$D$3=JU!$I1815),JU!D1815,"")</f>
        <v/>
      </c>
      <c r="E1815" s="74" t="str">
        <f>IF(OR($D$3=JU!$F1815,$D$3=JU!$I1815),JU!E1815,"")</f>
        <v/>
      </c>
      <c r="F1815" s="72">
        <f>IF($D$3=JU!F1815,JU!H1815,0)</f>
        <v>0</v>
      </c>
      <c r="G1815" s="72">
        <f>IF($D$3=JU!I1815,JU!K1815,0)</f>
        <v>0</v>
      </c>
      <c r="H1815" s="72" t="e">
        <f t="shared" si="29"/>
        <v>#REF!</v>
      </c>
    </row>
    <row r="1816" spans="2:8" hidden="1">
      <c r="B1816" s="68" t="str">
        <f>IF(OR($D$3=JU!$F1816,$D$3=JU!$I1816),JU!B1816,"")</f>
        <v/>
      </c>
      <c r="C1816" s="6" t="str">
        <f>IF(OR($D$3=JU!$F1816,$D$3=JU!$I1816),JU!C1816,"")</f>
        <v/>
      </c>
      <c r="D1816" s="73" t="str">
        <f>IF(OR($D$3=JU!$F1816,$D$3=JU!$I1816),JU!D1816,"")</f>
        <v/>
      </c>
      <c r="E1816" s="74" t="str">
        <f>IF(OR($D$3=JU!$F1816,$D$3=JU!$I1816),JU!E1816,"")</f>
        <v/>
      </c>
      <c r="F1816" s="72">
        <f>IF($D$3=JU!F1816,JU!H1816,0)</f>
        <v>0</v>
      </c>
      <c r="G1816" s="72">
        <f>IF($D$3=JU!I1816,JU!K1816,0)</f>
        <v>0</v>
      </c>
      <c r="H1816" s="72" t="e">
        <f t="shared" si="29"/>
        <v>#REF!</v>
      </c>
    </row>
    <row r="1817" spans="2:8" hidden="1">
      <c r="B1817" s="68" t="str">
        <f>IF(OR($D$3=JU!$F1817,$D$3=JU!$I1817),JU!B1817,"")</f>
        <v/>
      </c>
      <c r="C1817" s="6" t="str">
        <f>IF(OR($D$3=JU!$F1817,$D$3=JU!$I1817),JU!C1817,"")</f>
        <v/>
      </c>
      <c r="D1817" s="73" t="str">
        <f>IF(OR($D$3=JU!$F1817,$D$3=JU!$I1817),JU!D1817,"")</f>
        <v/>
      </c>
      <c r="E1817" s="74" t="str">
        <f>IF(OR($D$3=JU!$F1817,$D$3=JU!$I1817),JU!E1817,"")</f>
        <v/>
      </c>
      <c r="F1817" s="72">
        <f>IF($D$3=JU!F1817,JU!H1817,0)</f>
        <v>0</v>
      </c>
      <c r="G1817" s="72">
        <f>IF($D$3=JU!I1817,JU!K1817,0)</f>
        <v>0</v>
      </c>
      <c r="H1817" s="72" t="e">
        <f t="shared" si="29"/>
        <v>#REF!</v>
      </c>
    </row>
    <row r="1818" spans="2:8" hidden="1">
      <c r="B1818" s="68" t="str">
        <f>IF(OR($D$3=JU!$F1818,$D$3=JU!$I1818),JU!B1818,"")</f>
        <v/>
      </c>
      <c r="C1818" s="6" t="str">
        <f>IF(OR($D$3=JU!$F1818,$D$3=JU!$I1818),JU!C1818,"")</f>
        <v/>
      </c>
      <c r="D1818" s="73" t="str">
        <f>IF(OR($D$3=JU!$F1818,$D$3=JU!$I1818),JU!D1818,"")</f>
        <v/>
      </c>
      <c r="E1818" s="74" t="str">
        <f>IF(OR($D$3=JU!$F1818,$D$3=JU!$I1818),JU!E1818,"")</f>
        <v/>
      </c>
      <c r="F1818" s="72">
        <f>IF($D$3=JU!F1818,JU!H1818,0)</f>
        <v>0</v>
      </c>
      <c r="G1818" s="72">
        <f>IF($D$3=JU!I1818,JU!K1818,0)</f>
        <v>0</v>
      </c>
      <c r="H1818" s="72" t="e">
        <f t="shared" si="29"/>
        <v>#REF!</v>
      </c>
    </row>
    <row r="1819" spans="2:8" hidden="1">
      <c r="B1819" s="68" t="str">
        <f>IF(OR($D$3=JU!$F1819,$D$3=JU!$I1819),JU!B1819,"")</f>
        <v/>
      </c>
      <c r="C1819" s="6" t="str">
        <f>IF(OR($D$3=JU!$F1819,$D$3=JU!$I1819),JU!C1819,"")</f>
        <v/>
      </c>
      <c r="D1819" s="73" t="str">
        <f>IF(OR($D$3=JU!$F1819,$D$3=JU!$I1819),JU!D1819,"")</f>
        <v/>
      </c>
      <c r="E1819" s="74" t="str">
        <f>IF(OR($D$3=JU!$F1819,$D$3=JU!$I1819),JU!E1819,"")</f>
        <v/>
      </c>
      <c r="F1819" s="72">
        <f>IF($D$3=JU!F1819,JU!H1819,0)</f>
        <v>0</v>
      </c>
      <c r="G1819" s="72">
        <f>IF($D$3=JU!I1819,JU!K1819,0)</f>
        <v>0</v>
      </c>
      <c r="H1819" s="72" t="e">
        <f t="shared" si="29"/>
        <v>#REF!</v>
      </c>
    </row>
    <row r="1820" spans="2:8" hidden="1">
      <c r="B1820" s="68" t="str">
        <f>IF(OR($D$3=JU!$F1820,$D$3=JU!$I1820),JU!B1820,"")</f>
        <v/>
      </c>
      <c r="C1820" s="6" t="str">
        <f>IF(OR($D$3=JU!$F1820,$D$3=JU!$I1820),JU!C1820,"")</f>
        <v/>
      </c>
      <c r="D1820" s="73" t="str">
        <f>IF(OR($D$3=JU!$F1820,$D$3=JU!$I1820),JU!D1820,"")</f>
        <v/>
      </c>
      <c r="E1820" s="74" t="str">
        <f>IF(OR($D$3=JU!$F1820,$D$3=JU!$I1820),JU!E1820,"")</f>
        <v/>
      </c>
      <c r="F1820" s="72">
        <f>IF($D$3=JU!F1820,JU!H1820,0)</f>
        <v>0</v>
      </c>
      <c r="G1820" s="72">
        <f>IF($D$3=JU!I1820,JU!K1820,0)</f>
        <v>0</v>
      </c>
      <c r="H1820" s="72" t="e">
        <f t="shared" si="29"/>
        <v>#REF!</v>
      </c>
    </row>
    <row r="1821" spans="2:8" hidden="1">
      <c r="B1821" s="68" t="str">
        <f>IF(OR($D$3=JU!$F1821,$D$3=JU!$I1821),JU!B1821,"")</f>
        <v/>
      </c>
      <c r="C1821" s="6" t="str">
        <f>IF(OR($D$3=JU!$F1821,$D$3=JU!$I1821),JU!C1821,"")</f>
        <v/>
      </c>
      <c r="D1821" s="73" t="str">
        <f>IF(OR($D$3=JU!$F1821,$D$3=JU!$I1821),JU!D1821,"")</f>
        <v/>
      </c>
      <c r="E1821" s="74" t="str">
        <f>IF(OR($D$3=JU!$F1821,$D$3=JU!$I1821),JU!E1821,"")</f>
        <v/>
      </c>
      <c r="F1821" s="72">
        <f>IF($D$3=JU!F1821,JU!H1821,0)</f>
        <v>0</v>
      </c>
      <c r="G1821" s="72">
        <f>IF($D$3=JU!I1821,JU!K1821,0)</f>
        <v>0</v>
      </c>
      <c r="H1821" s="72" t="e">
        <f t="shared" si="29"/>
        <v>#REF!</v>
      </c>
    </row>
    <row r="1822" spans="2:8" hidden="1">
      <c r="B1822" s="68" t="str">
        <f>IF(OR($D$3=JU!$F1822,$D$3=JU!$I1822),JU!B1822,"")</f>
        <v/>
      </c>
      <c r="C1822" s="6" t="str">
        <f>IF(OR($D$3=JU!$F1822,$D$3=JU!$I1822),JU!C1822,"")</f>
        <v/>
      </c>
      <c r="D1822" s="73" t="str">
        <f>IF(OR($D$3=JU!$F1822,$D$3=JU!$I1822),JU!D1822,"")</f>
        <v/>
      </c>
      <c r="E1822" s="74" t="str">
        <f>IF(OR($D$3=JU!$F1822,$D$3=JU!$I1822),JU!E1822,"")</f>
        <v/>
      </c>
      <c r="F1822" s="72">
        <f>IF($D$3=JU!F1822,JU!H1822,0)</f>
        <v>0</v>
      </c>
      <c r="G1822" s="72">
        <f>IF($D$3=JU!I1822,JU!K1822,0)</f>
        <v>0</v>
      </c>
      <c r="H1822" s="72" t="e">
        <f t="shared" si="29"/>
        <v>#REF!</v>
      </c>
    </row>
    <row r="1823" spans="2:8" hidden="1">
      <c r="B1823" s="68" t="str">
        <f>IF(OR($D$3=JU!$F1823,$D$3=JU!$I1823),JU!B1823,"")</f>
        <v/>
      </c>
      <c r="C1823" s="6" t="str">
        <f>IF(OR($D$3=JU!$F1823,$D$3=JU!$I1823),JU!C1823,"")</f>
        <v/>
      </c>
      <c r="D1823" s="73" t="str">
        <f>IF(OR($D$3=JU!$F1823,$D$3=JU!$I1823),JU!D1823,"")</f>
        <v/>
      </c>
      <c r="E1823" s="74" t="str">
        <f>IF(OR($D$3=JU!$F1823,$D$3=JU!$I1823),JU!E1823,"")</f>
        <v/>
      </c>
      <c r="F1823" s="72">
        <f>IF($D$3=JU!F1823,JU!H1823,0)</f>
        <v>0</v>
      </c>
      <c r="G1823" s="72">
        <f>IF($D$3=JU!I1823,JU!K1823,0)</f>
        <v>0</v>
      </c>
      <c r="H1823" s="72" t="e">
        <f t="shared" si="29"/>
        <v>#REF!</v>
      </c>
    </row>
    <row r="1824" spans="2:8" hidden="1">
      <c r="B1824" s="68" t="str">
        <f>IF(OR($D$3=JU!$F1824,$D$3=JU!$I1824),JU!B1824,"")</f>
        <v/>
      </c>
      <c r="C1824" s="6" t="str">
        <f>IF(OR($D$3=JU!$F1824,$D$3=JU!$I1824),JU!C1824,"")</f>
        <v/>
      </c>
      <c r="D1824" s="73" t="str">
        <f>IF(OR($D$3=JU!$F1824,$D$3=JU!$I1824),JU!D1824,"")</f>
        <v/>
      </c>
      <c r="E1824" s="74" t="str">
        <f>IF(OR($D$3=JU!$F1824,$D$3=JU!$I1824),JU!E1824,"")</f>
        <v/>
      </c>
      <c r="F1824" s="72">
        <f>IF($D$3=JU!F1824,JU!H1824,0)</f>
        <v>0</v>
      </c>
      <c r="G1824" s="72">
        <f>IF($D$3=JU!I1824,JU!K1824,0)</f>
        <v>0</v>
      </c>
      <c r="H1824" s="72" t="e">
        <f t="shared" si="29"/>
        <v>#REF!</v>
      </c>
    </row>
    <row r="1825" spans="2:8" hidden="1">
      <c r="B1825" s="68" t="str">
        <f>IF(OR($D$3=JU!$F1825,$D$3=JU!$I1825),JU!B1825,"")</f>
        <v/>
      </c>
      <c r="C1825" s="6" t="str">
        <f>IF(OR($D$3=JU!$F1825,$D$3=JU!$I1825),JU!C1825,"")</f>
        <v/>
      </c>
      <c r="D1825" s="73" t="str">
        <f>IF(OR($D$3=JU!$F1825,$D$3=JU!$I1825),JU!D1825,"")</f>
        <v/>
      </c>
      <c r="E1825" s="74" t="str">
        <f>IF(OR($D$3=JU!$F1825,$D$3=JU!$I1825),JU!E1825,"")</f>
        <v/>
      </c>
      <c r="F1825" s="72">
        <f>IF($D$3=JU!F1825,JU!H1825,0)</f>
        <v>0</v>
      </c>
      <c r="G1825" s="72">
        <f>IF($D$3=JU!I1825,JU!K1825,0)</f>
        <v>0</v>
      </c>
      <c r="H1825" s="72" t="e">
        <f t="shared" si="29"/>
        <v>#REF!</v>
      </c>
    </row>
    <row r="1826" spans="2:8" hidden="1">
      <c r="B1826" s="68" t="str">
        <f>IF(OR($D$3=JU!$F1826,$D$3=JU!$I1826),JU!B1826,"")</f>
        <v/>
      </c>
      <c r="C1826" s="6" t="str">
        <f>IF(OR($D$3=JU!$F1826,$D$3=JU!$I1826),JU!C1826,"")</f>
        <v/>
      </c>
      <c r="D1826" s="73" t="str">
        <f>IF(OR($D$3=JU!$F1826,$D$3=JU!$I1826),JU!D1826,"")</f>
        <v/>
      </c>
      <c r="E1826" s="74" t="str">
        <f>IF(OR($D$3=JU!$F1826,$D$3=JU!$I1826),JU!E1826,"")</f>
        <v/>
      </c>
      <c r="F1826" s="72">
        <f>IF($D$3=JU!F1826,JU!H1826,0)</f>
        <v>0</v>
      </c>
      <c r="G1826" s="72">
        <f>IF($D$3=JU!I1826,JU!K1826,0)</f>
        <v>0</v>
      </c>
      <c r="H1826" s="72" t="e">
        <f t="shared" si="29"/>
        <v>#REF!</v>
      </c>
    </row>
    <row r="1827" spans="2:8" hidden="1">
      <c r="B1827" s="68" t="str">
        <f>IF(OR($D$3=JU!$F1827,$D$3=JU!$I1827),JU!B1827,"")</f>
        <v/>
      </c>
      <c r="C1827" s="6" t="str">
        <f>IF(OR($D$3=JU!$F1827,$D$3=JU!$I1827),JU!C1827,"")</f>
        <v/>
      </c>
      <c r="D1827" s="73" t="str">
        <f>IF(OR($D$3=JU!$F1827,$D$3=JU!$I1827),JU!D1827,"")</f>
        <v/>
      </c>
      <c r="E1827" s="74" t="str">
        <f>IF(OR($D$3=JU!$F1827,$D$3=JU!$I1827),JU!E1827,"")</f>
        <v/>
      </c>
      <c r="F1827" s="72">
        <f>IF($D$3=JU!F1827,JU!H1827,0)</f>
        <v>0</v>
      </c>
      <c r="G1827" s="72">
        <f>IF($D$3=JU!I1827,JU!K1827,0)</f>
        <v>0</v>
      </c>
      <c r="H1827" s="72" t="e">
        <f t="shared" si="29"/>
        <v>#REF!</v>
      </c>
    </row>
    <row r="1828" spans="2:8" hidden="1">
      <c r="B1828" s="68" t="str">
        <f>IF(OR($D$3=JU!$F1828,$D$3=JU!$I1828),JU!B1828,"")</f>
        <v/>
      </c>
      <c r="C1828" s="6" t="str">
        <f>IF(OR($D$3=JU!$F1828,$D$3=JU!$I1828),JU!C1828,"")</f>
        <v/>
      </c>
      <c r="D1828" s="73" t="str">
        <f>IF(OR($D$3=JU!$F1828,$D$3=JU!$I1828),JU!D1828,"")</f>
        <v/>
      </c>
      <c r="E1828" s="74" t="str">
        <f>IF(OR($D$3=JU!$F1828,$D$3=JU!$I1828),JU!E1828,"")</f>
        <v/>
      </c>
      <c r="F1828" s="72">
        <f>IF($D$3=JU!F1828,JU!H1828,0)</f>
        <v>0</v>
      </c>
      <c r="G1828" s="72">
        <f>IF($D$3=JU!I1828,JU!K1828,0)</f>
        <v>0</v>
      </c>
      <c r="H1828" s="72" t="e">
        <f t="shared" si="29"/>
        <v>#REF!</v>
      </c>
    </row>
    <row r="1829" spans="2:8" hidden="1">
      <c r="B1829" s="68" t="str">
        <f>IF(OR($D$3=JU!$F1829,$D$3=JU!$I1829),JU!B1829,"")</f>
        <v/>
      </c>
      <c r="C1829" s="6" t="str">
        <f>IF(OR($D$3=JU!$F1829,$D$3=JU!$I1829),JU!C1829,"")</f>
        <v/>
      </c>
      <c r="D1829" s="73" t="str">
        <f>IF(OR($D$3=JU!$F1829,$D$3=JU!$I1829),JU!D1829,"")</f>
        <v/>
      </c>
      <c r="E1829" s="74" t="str">
        <f>IF(OR($D$3=JU!$F1829,$D$3=JU!$I1829),JU!E1829,"")</f>
        <v/>
      </c>
      <c r="F1829" s="72">
        <f>IF($D$3=JU!F1829,JU!H1829,0)</f>
        <v>0</v>
      </c>
      <c r="G1829" s="72">
        <f>IF($D$3=JU!I1829,JU!K1829,0)</f>
        <v>0</v>
      </c>
      <c r="H1829" s="72" t="e">
        <f t="shared" si="29"/>
        <v>#REF!</v>
      </c>
    </row>
    <row r="1830" spans="2:8" hidden="1">
      <c r="B1830" s="68" t="str">
        <f>IF(OR($D$3=JU!$F1830,$D$3=JU!$I1830),JU!B1830,"")</f>
        <v/>
      </c>
      <c r="C1830" s="6" t="str">
        <f>IF(OR($D$3=JU!$F1830,$D$3=JU!$I1830),JU!C1830,"")</f>
        <v/>
      </c>
      <c r="D1830" s="73" t="str">
        <f>IF(OR($D$3=JU!$F1830,$D$3=JU!$I1830),JU!D1830,"")</f>
        <v/>
      </c>
      <c r="E1830" s="74" t="str">
        <f>IF(OR($D$3=JU!$F1830,$D$3=JU!$I1830),JU!E1830,"")</f>
        <v/>
      </c>
      <c r="F1830" s="72">
        <f>IF($D$3=JU!F1830,JU!H1830,0)</f>
        <v>0</v>
      </c>
      <c r="G1830" s="72">
        <f>IF($D$3=JU!I1830,JU!K1830,0)</f>
        <v>0</v>
      </c>
      <c r="H1830" s="72" t="e">
        <f t="shared" si="29"/>
        <v>#REF!</v>
      </c>
    </row>
    <row r="1831" spans="2:8" hidden="1">
      <c r="B1831" s="68" t="str">
        <f>IF(OR($D$3=JU!$F1831,$D$3=JU!$I1831),JU!B1831,"")</f>
        <v/>
      </c>
      <c r="C1831" s="6" t="str">
        <f>IF(OR($D$3=JU!$F1831,$D$3=JU!$I1831),JU!C1831,"")</f>
        <v/>
      </c>
      <c r="D1831" s="73" t="str">
        <f>IF(OR($D$3=JU!$F1831,$D$3=JU!$I1831),JU!D1831,"")</f>
        <v/>
      </c>
      <c r="E1831" s="74" t="str">
        <f>IF(OR($D$3=JU!$F1831,$D$3=JU!$I1831),JU!E1831,"")</f>
        <v/>
      </c>
      <c r="F1831" s="72">
        <f>IF($D$3=JU!F1831,JU!H1831,0)</f>
        <v>0</v>
      </c>
      <c r="G1831" s="72">
        <f>IF($D$3=JU!I1831,JU!K1831,0)</f>
        <v>0</v>
      </c>
      <c r="H1831" s="72" t="e">
        <f t="shared" si="29"/>
        <v>#REF!</v>
      </c>
    </row>
    <row r="1832" spans="2:8" hidden="1">
      <c r="B1832" s="68" t="str">
        <f>IF(OR($D$3=JU!$F1832,$D$3=JU!$I1832),JU!B1832,"")</f>
        <v/>
      </c>
      <c r="C1832" s="6" t="str">
        <f>IF(OR($D$3=JU!$F1832,$D$3=JU!$I1832),JU!C1832,"")</f>
        <v/>
      </c>
      <c r="D1832" s="73" t="str">
        <f>IF(OR($D$3=JU!$F1832,$D$3=JU!$I1832),JU!D1832,"")</f>
        <v/>
      </c>
      <c r="E1832" s="74" t="str">
        <f>IF(OR($D$3=JU!$F1832,$D$3=JU!$I1832),JU!E1832,"")</f>
        <v/>
      </c>
      <c r="F1832" s="72">
        <f>IF($D$3=JU!F1832,JU!H1832,0)</f>
        <v>0</v>
      </c>
      <c r="G1832" s="72">
        <f>IF($D$3=JU!I1832,JU!K1832,0)</f>
        <v>0</v>
      </c>
      <c r="H1832" s="72" t="e">
        <f t="shared" si="29"/>
        <v>#REF!</v>
      </c>
    </row>
    <row r="1833" spans="2:8" hidden="1">
      <c r="B1833" s="68" t="str">
        <f>IF(OR($D$3=JU!$F1833,$D$3=JU!$I1833),JU!B1833,"")</f>
        <v/>
      </c>
      <c r="C1833" s="6" t="str">
        <f>IF(OR($D$3=JU!$F1833,$D$3=JU!$I1833),JU!C1833,"")</f>
        <v/>
      </c>
      <c r="D1833" s="73" t="str">
        <f>IF(OR($D$3=JU!$F1833,$D$3=JU!$I1833),JU!D1833,"")</f>
        <v/>
      </c>
      <c r="E1833" s="74" t="str">
        <f>IF(OR($D$3=JU!$F1833,$D$3=JU!$I1833),JU!E1833,"")</f>
        <v/>
      </c>
      <c r="F1833" s="72">
        <f>IF($D$3=JU!F1833,JU!H1833,0)</f>
        <v>0</v>
      </c>
      <c r="G1833" s="72">
        <f>IF($D$3=JU!I1833,JU!K1833,0)</f>
        <v>0</v>
      </c>
      <c r="H1833" s="72" t="e">
        <f t="shared" si="29"/>
        <v>#REF!</v>
      </c>
    </row>
    <row r="1834" spans="2:8" hidden="1">
      <c r="B1834" s="68" t="str">
        <f>IF(OR($D$3=JU!$F1834,$D$3=JU!$I1834),JU!B1834,"")</f>
        <v/>
      </c>
      <c r="C1834" s="6" t="str">
        <f>IF(OR($D$3=JU!$F1834,$D$3=JU!$I1834),JU!C1834,"")</f>
        <v/>
      </c>
      <c r="D1834" s="73" t="str">
        <f>IF(OR($D$3=JU!$F1834,$D$3=JU!$I1834),JU!D1834,"")</f>
        <v/>
      </c>
      <c r="E1834" s="74" t="str">
        <f>IF(OR($D$3=JU!$F1834,$D$3=JU!$I1834),JU!E1834,"")</f>
        <v/>
      </c>
      <c r="F1834" s="72">
        <f>IF($D$3=JU!F1834,JU!H1834,0)</f>
        <v>0</v>
      </c>
      <c r="G1834" s="72">
        <f>IF($D$3=JU!I1834,JU!K1834,0)</f>
        <v>0</v>
      </c>
      <c r="H1834" s="72" t="e">
        <f t="shared" si="29"/>
        <v>#REF!</v>
      </c>
    </row>
    <row r="1835" spans="2:8" hidden="1">
      <c r="B1835" s="68" t="str">
        <f>IF(OR($D$3=JU!$F1835,$D$3=JU!$I1835),JU!B1835,"")</f>
        <v/>
      </c>
      <c r="C1835" s="6" t="str">
        <f>IF(OR($D$3=JU!$F1835,$D$3=JU!$I1835),JU!C1835,"")</f>
        <v/>
      </c>
      <c r="D1835" s="73" t="str">
        <f>IF(OR($D$3=JU!$F1835,$D$3=JU!$I1835),JU!D1835,"")</f>
        <v/>
      </c>
      <c r="E1835" s="74" t="str">
        <f>IF(OR($D$3=JU!$F1835,$D$3=JU!$I1835),JU!E1835,"")</f>
        <v/>
      </c>
      <c r="F1835" s="72">
        <f>IF($D$3=JU!F1835,JU!H1835,0)</f>
        <v>0</v>
      </c>
      <c r="G1835" s="72">
        <f>IF($D$3=JU!I1835,JU!K1835,0)</f>
        <v>0</v>
      </c>
      <c r="H1835" s="72" t="e">
        <f t="shared" si="29"/>
        <v>#REF!</v>
      </c>
    </row>
    <row r="1836" spans="2:8" hidden="1">
      <c r="B1836" s="68" t="str">
        <f>IF(OR($D$3=JU!$F1836,$D$3=JU!$I1836),JU!B1836,"")</f>
        <v/>
      </c>
      <c r="C1836" s="6" t="str">
        <f>IF(OR($D$3=JU!$F1836,$D$3=JU!$I1836),JU!C1836,"")</f>
        <v/>
      </c>
      <c r="D1836" s="73" t="str">
        <f>IF(OR($D$3=JU!$F1836,$D$3=JU!$I1836),JU!D1836,"")</f>
        <v/>
      </c>
      <c r="E1836" s="74" t="str">
        <f>IF(OR($D$3=JU!$F1836,$D$3=JU!$I1836),JU!E1836,"")</f>
        <v/>
      </c>
      <c r="F1836" s="72">
        <f>IF($D$3=JU!F1836,JU!H1836,0)</f>
        <v>0</v>
      </c>
      <c r="G1836" s="72">
        <f>IF($D$3=JU!I1836,JU!K1836,0)</f>
        <v>0</v>
      </c>
      <c r="H1836" s="72" t="e">
        <f t="shared" si="29"/>
        <v>#REF!</v>
      </c>
    </row>
    <row r="1837" spans="2:8" hidden="1">
      <c r="B1837" s="68" t="str">
        <f>IF(OR($D$3=JU!$F1837,$D$3=JU!$I1837),JU!B1837,"")</f>
        <v/>
      </c>
      <c r="C1837" s="6" t="str">
        <f>IF(OR($D$3=JU!$F1837,$D$3=JU!$I1837),JU!C1837,"")</f>
        <v/>
      </c>
      <c r="D1837" s="73" t="str">
        <f>IF(OR($D$3=JU!$F1837,$D$3=JU!$I1837),JU!D1837,"")</f>
        <v/>
      </c>
      <c r="E1837" s="74" t="str">
        <f>IF(OR($D$3=JU!$F1837,$D$3=JU!$I1837),JU!E1837,"")</f>
        <v/>
      </c>
      <c r="F1837" s="72">
        <f>IF($D$3=JU!F1837,JU!H1837,0)</f>
        <v>0</v>
      </c>
      <c r="G1837" s="72">
        <f>IF($D$3=JU!I1837,JU!K1837,0)</f>
        <v>0</v>
      </c>
      <c r="H1837" s="72" t="e">
        <f t="shared" si="29"/>
        <v>#REF!</v>
      </c>
    </row>
    <row r="1838" spans="2:8" hidden="1">
      <c r="B1838" s="68" t="str">
        <f>IF(OR($D$3=JU!$F1838,$D$3=JU!$I1838),JU!B1838,"")</f>
        <v/>
      </c>
      <c r="C1838" s="6" t="str">
        <f>IF(OR($D$3=JU!$F1838,$D$3=JU!$I1838),JU!C1838,"")</f>
        <v/>
      </c>
      <c r="D1838" s="73" t="str">
        <f>IF(OR($D$3=JU!$F1838,$D$3=JU!$I1838),JU!D1838,"")</f>
        <v/>
      </c>
      <c r="E1838" s="74" t="str">
        <f>IF(OR($D$3=JU!$F1838,$D$3=JU!$I1838),JU!E1838,"")</f>
        <v/>
      </c>
      <c r="F1838" s="72">
        <f>IF($D$3=JU!F1838,JU!H1838,0)</f>
        <v>0</v>
      </c>
      <c r="G1838" s="72">
        <f>IF($D$3=JU!I1838,JU!K1838,0)</f>
        <v>0</v>
      </c>
      <c r="H1838" s="72" t="e">
        <f t="shared" si="29"/>
        <v>#REF!</v>
      </c>
    </row>
    <row r="1839" spans="2:8" hidden="1">
      <c r="B1839" s="68" t="str">
        <f>IF(OR($D$3=JU!$F1839,$D$3=JU!$I1839),JU!B1839,"")</f>
        <v/>
      </c>
      <c r="C1839" s="6" t="str">
        <f>IF(OR($D$3=JU!$F1839,$D$3=JU!$I1839),JU!C1839,"")</f>
        <v/>
      </c>
      <c r="D1839" s="73" t="str">
        <f>IF(OR($D$3=JU!$F1839,$D$3=JU!$I1839),JU!D1839,"")</f>
        <v/>
      </c>
      <c r="E1839" s="74" t="str">
        <f>IF(OR($D$3=JU!$F1839,$D$3=JU!$I1839),JU!E1839,"")</f>
        <v/>
      </c>
      <c r="F1839" s="72">
        <f>IF($D$3=JU!F1839,JU!H1839,0)</f>
        <v>0</v>
      </c>
      <c r="G1839" s="72">
        <f>IF($D$3=JU!I1839,JU!K1839,0)</f>
        <v>0</v>
      </c>
      <c r="H1839" s="72" t="e">
        <f t="shared" si="29"/>
        <v>#REF!</v>
      </c>
    </row>
    <row r="1840" spans="2:8" hidden="1">
      <c r="B1840" s="68" t="str">
        <f>IF(OR($D$3=JU!$F1840,$D$3=JU!$I1840),JU!B1840,"")</f>
        <v/>
      </c>
      <c r="C1840" s="6" t="str">
        <f>IF(OR($D$3=JU!$F1840,$D$3=JU!$I1840),JU!C1840,"")</f>
        <v/>
      </c>
      <c r="D1840" s="73" t="str">
        <f>IF(OR($D$3=JU!$F1840,$D$3=JU!$I1840),JU!D1840,"")</f>
        <v/>
      </c>
      <c r="E1840" s="74" t="str">
        <f>IF(OR($D$3=JU!$F1840,$D$3=JU!$I1840),JU!E1840,"")</f>
        <v/>
      </c>
      <c r="F1840" s="72">
        <f>IF($D$3=JU!F1840,JU!H1840,0)</f>
        <v>0</v>
      </c>
      <c r="G1840" s="72">
        <f>IF($D$3=JU!I1840,JU!K1840,0)</f>
        <v>0</v>
      </c>
      <c r="H1840" s="72" t="e">
        <f t="shared" si="29"/>
        <v>#REF!</v>
      </c>
    </row>
    <row r="1841" spans="2:8" hidden="1">
      <c r="B1841" s="68" t="str">
        <f>IF(OR($D$3=JU!$F1841,$D$3=JU!$I1841),JU!B1841,"")</f>
        <v/>
      </c>
      <c r="C1841" s="6" t="str">
        <f>IF(OR($D$3=JU!$F1841,$D$3=JU!$I1841),JU!C1841,"")</f>
        <v/>
      </c>
      <c r="D1841" s="73" t="str">
        <f>IF(OR($D$3=JU!$F1841,$D$3=JU!$I1841),JU!D1841,"")</f>
        <v/>
      </c>
      <c r="E1841" s="74" t="str">
        <f>IF(OR($D$3=JU!$F1841,$D$3=JU!$I1841),JU!E1841,"")</f>
        <v/>
      </c>
      <c r="F1841" s="72">
        <f>IF($D$3=JU!F1841,JU!H1841,0)</f>
        <v>0</v>
      </c>
      <c r="G1841" s="72">
        <f>IF($D$3=JU!I1841,JU!K1841,0)</f>
        <v>0</v>
      </c>
      <c r="H1841" s="72" t="e">
        <f t="shared" si="29"/>
        <v>#REF!</v>
      </c>
    </row>
    <row r="1842" spans="2:8" hidden="1">
      <c r="B1842" s="68" t="str">
        <f>IF(OR($D$3=JU!$F1842,$D$3=JU!$I1842),JU!B1842,"")</f>
        <v/>
      </c>
      <c r="C1842" s="6" t="str">
        <f>IF(OR($D$3=JU!$F1842,$D$3=JU!$I1842),JU!C1842,"")</f>
        <v/>
      </c>
      <c r="D1842" s="73" t="str">
        <f>IF(OR($D$3=JU!$F1842,$D$3=JU!$I1842),JU!D1842,"")</f>
        <v/>
      </c>
      <c r="E1842" s="74" t="str">
        <f>IF(OR($D$3=JU!$F1842,$D$3=JU!$I1842),JU!E1842,"")</f>
        <v/>
      </c>
      <c r="F1842" s="72">
        <f>IF($D$3=JU!F1842,JU!H1842,0)</f>
        <v>0</v>
      </c>
      <c r="G1842" s="72">
        <f>IF($D$3=JU!I1842,JU!K1842,0)</f>
        <v>0</v>
      </c>
      <c r="H1842" s="72" t="e">
        <f t="shared" si="29"/>
        <v>#REF!</v>
      </c>
    </row>
    <row r="1843" spans="2:8" hidden="1">
      <c r="B1843" s="68" t="str">
        <f>IF(OR($D$3=JU!$F1843,$D$3=JU!$I1843),JU!B1843,"")</f>
        <v/>
      </c>
      <c r="C1843" s="6" t="str">
        <f>IF(OR($D$3=JU!$F1843,$D$3=JU!$I1843),JU!C1843,"")</f>
        <v/>
      </c>
      <c r="D1843" s="73" t="str">
        <f>IF(OR($D$3=JU!$F1843,$D$3=JU!$I1843),JU!D1843,"")</f>
        <v/>
      </c>
      <c r="E1843" s="74" t="str">
        <f>IF(OR($D$3=JU!$F1843,$D$3=JU!$I1843),JU!E1843,"")</f>
        <v/>
      </c>
      <c r="F1843" s="72">
        <f>IF($D$3=JU!F1843,JU!H1843,0)</f>
        <v>0</v>
      </c>
      <c r="G1843" s="72">
        <f>IF($D$3=JU!I1843,JU!K1843,0)</f>
        <v>0</v>
      </c>
      <c r="H1843" s="72" t="e">
        <f t="shared" si="29"/>
        <v>#REF!</v>
      </c>
    </row>
    <row r="1844" spans="2:8" hidden="1">
      <c r="B1844" s="68" t="str">
        <f>IF(OR($D$3=JU!$F1844,$D$3=JU!$I1844),JU!B1844,"")</f>
        <v/>
      </c>
      <c r="C1844" s="6" t="str">
        <f>IF(OR($D$3=JU!$F1844,$D$3=JU!$I1844),JU!C1844,"")</f>
        <v/>
      </c>
      <c r="D1844" s="73" t="str">
        <f>IF(OR($D$3=JU!$F1844,$D$3=JU!$I1844),JU!D1844,"")</f>
        <v/>
      </c>
      <c r="E1844" s="74" t="str">
        <f>IF(OR($D$3=JU!$F1844,$D$3=JU!$I1844),JU!E1844,"")</f>
        <v/>
      </c>
      <c r="F1844" s="72">
        <f>IF($D$3=JU!F1844,JU!H1844,0)</f>
        <v>0</v>
      </c>
      <c r="G1844" s="72">
        <f>IF($D$3=JU!I1844,JU!K1844,0)</f>
        <v>0</v>
      </c>
      <c r="H1844" s="72" t="e">
        <f t="shared" si="29"/>
        <v>#REF!</v>
      </c>
    </row>
    <row r="1845" spans="2:8" hidden="1">
      <c r="B1845" s="68" t="str">
        <f>IF(OR($D$3=JU!$F1845,$D$3=JU!$I1845),JU!B1845,"")</f>
        <v/>
      </c>
      <c r="C1845" s="6" t="str">
        <f>IF(OR($D$3=JU!$F1845,$D$3=JU!$I1845),JU!C1845,"")</f>
        <v/>
      </c>
      <c r="D1845" s="73" t="str">
        <f>IF(OR($D$3=JU!$F1845,$D$3=JU!$I1845),JU!D1845,"")</f>
        <v/>
      </c>
      <c r="E1845" s="74" t="str">
        <f>IF(OR($D$3=JU!$F1845,$D$3=JU!$I1845),JU!E1845,"")</f>
        <v/>
      </c>
      <c r="F1845" s="72">
        <f>IF($D$3=JU!F1845,JU!H1845,0)</f>
        <v>0</v>
      </c>
      <c r="G1845" s="72">
        <f>IF($D$3=JU!I1845,JU!K1845,0)</f>
        <v>0</v>
      </c>
      <c r="H1845" s="72" t="e">
        <f t="shared" si="29"/>
        <v>#REF!</v>
      </c>
    </row>
    <row r="1846" spans="2:8" hidden="1">
      <c r="B1846" s="68" t="str">
        <f>IF(OR($D$3=JU!$F1846,$D$3=JU!$I1846),JU!B1846,"")</f>
        <v/>
      </c>
      <c r="C1846" s="6" t="str">
        <f>IF(OR($D$3=JU!$F1846,$D$3=JU!$I1846),JU!C1846,"")</f>
        <v/>
      </c>
      <c r="D1846" s="73" t="str">
        <f>IF(OR($D$3=JU!$F1846,$D$3=JU!$I1846),JU!D1846,"")</f>
        <v/>
      </c>
      <c r="E1846" s="74" t="str">
        <f>IF(OR($D$3=JU!$F1846,$D$3=JU!$I1846),JU!E1846,"")</f>
        <v/>
      </c>
      <c r="F1846" s="72">
        <f>IF($D$3=JU!F1846,JU!H1846,0)</f>
        <v>0</v>
      </c>
      <c r="G1846" s="72">
        <f>IF($D$3=JU!I1846,JU!K1846,0)</f>
        <v>0</v>
      </c>
      <c r="H1846" s="72" t="e">
        <f t="shared" si="29"/>
        <v>#REF!</v>
      </c>
    </row>
    <row r="1847" spans="2:8" hidden="1">
      <c r="B1847" s="68" t="str">
        <f>IF(OR($D$3=JU!$F1847,$D$3=JU!$I1847),JU!B1847,"")</f>
        <v/>
      </c>
      <c r="C1847" s="6" t="str">
        <f>IF(OR($D$3=JU!$F1847,$D$3=JU!$I1847),JU!C1847,"")</f>
        <v/>
      </c>
      <c r="D1847" s="73" t="str">
        <f>IF(OR($D$3=JU!$F1847,$D$3=JU!$I1847),JU!D1847,"")</f>
        <v/>
      </c>
      <c r="E1847" s="74" t="str">
        <f>IF(OR($D$3=JU!$F1847,$D$3=JU!$I1847),JU!E1847,"")</f>
        <v/>
      </c>
      <c r="F1847" s="72">
        <f>IF($D$3=JU!F1847,JU!H1847,0)</f>
        <v>0</v>
      </c>
      <c r="G1847" s="72">
        <f>IF($D$3=JU!I1847,JU!K1847,0)</f>
        <v>0</v>
      </c>
      <c r="H1847" s="72" t="e">
        <f t="shared" si="29"/>
        <v>#REF!</v>
      </c>
    </row>
    <row r="1848" spans="2:8" hidden="1">
      <c r="B1848" s="68" t="str">
        <f>IF(OR($D$3=JU!$F1848,$D$3=JU!$I1848),JU!B1848,"")</f>
        <v/>
      </c>
      <c r="C1848" s="6" t="str">
        <f>IF(OR($D$3=JU!$F1848,$D$3=JU!$I1848),JU!C1848,"")</f>
        <v/>
      </c>
      <c r="D1848" s="73" t="str">
        <f>IF(OR($D$3=JU!$F1848,$D$3=JU!$I1848),JU!D1848,"")</f>
        <v/>
      </c>
      <c r="E1848" s="74" t="str">
        <f>IF(OR($D$3=JU!$F1848,$D$3=JU!$I1848),JU!E1848,"")</f>
        <v/>
      </c>
      <c r="F1848" s="72">
        <f>IF($D$3=JU!F1848,JU!H1848,0)</f>
        <v>0</v>
      </c>
      <c r="G1848" s="72">
        <f>IF($D$3=JU!I1848,JU!K1848,0)</f>
        <v>0</v>
      </c>
      <c r="H1848" s="72" t="e">
        <f t="shared" si="29"/>
        <v>#REF!</v>
      </c>
    </row>
    <row r="1849" spans="2:8" hidden="1">
      <c r="B1849" s="68" t="str">
        <f>IF(OR($D$3=JU!$F1849,$D$3=JU!$I1849),JU!B1849,"")</f>
        <v/>
      </c>
      <c r="C1849" s="6" t="str">
        <f>IF(OR($D$3=JU!$F1849,$D$3=JU!$I1849),JU!C1849,"")</f>
        <v/>
      </c>
      <c r="D1849" s="73" t="str">
        <f>IF(OR($D$3=JU!$F1849,$D$3=JU!$I1849),JU!D1849,"")</f>
        <v/>
      </c>
      <c r="E1849" s="74" t="str">
        <f>IF(OR($D$3=JU!$F1849,$D$3=JU!$I1849),JU!E1849,"")</f>
        <v/>
      </c>
      <c r="F1849" s="72">
        <f>IF($D$3=JU!F1849,JU!H1849,0)</f>
        <v>0</v>
      </c>
      <c r="G1849" s="72">
        <f>IF($D$3=JU!I1849,JU!K1849,0)</f>
        <v>0</v>
      </c>
      <c r="H1849" s="72" t="e">
        <f t="shared" si="29"/>
        <v>#REF!</v>
      </c>
    </row>
    <row r="1850" spans="2:8" hidden="1">
      <c r="B1850" s="68" t="str">
        <f>IF(OR($D$3=JU!$F1850,$D$3=JU!$I1850),JU!B1850,"")</f>
        <v/>
      </c>
      <c r="C1850" s="6" t="str">
        <f>IF(OR($D$3=JU!$F1850,$D$3=JU!$I1850),JU!C1850,"")</f>
        <v/>
      </c>
      <c r="D1850" s="73" t="str">
        <f>IF(OR($D$3=JU!$F1850,$D$3=JU!$I1850),JU!D1850,"")</f>
        <v/>
      </c>
      <c r="E1850" s="74" t="str">
        <f>IF(OR($D$3=JU!$F1850,$D$3=JU!$I1850),JU!E1850,"")</f>
        <v/>
      </c>
      <c r="F1850" s="72">
        <f>IF($D$3=JU!F1850,JU!H1850,0)</f>
        <v>0</v>
      </c>
      <c r="G1850" s="72">
        <f>IF($D$3=JU!I1850,JU!K1850,0)</f>
        <v>0</v>
      </c>
      <c r="H1850" s="72" t="e">
        <f t="shared" si="29"/>
        <v>#REF!</v>
      </c>
    </row>
    <row r="1851" spans="2:8" hidden="1">
      <c r="B1851" s="68" t="str">
        <f>IF(OR($D$3=JU!$F1851,$D$3=JU!$I1851),JU!B1851,"")</f>
        <v/>
      </c>
      <c r="C1851" s="6" t="str">
        <f>IF(OR($D$3=JU!$F1851,$D$3=JU!$I1851),JU!C1851,"")</f>
        <v/>
      </c>
      <c r="D1851" s="73" t="str">
        <f>IF(OR($D$3=JU!$F1851,$D$3=JU!$I1851),JU!D1851,"")</f>
        <v/>
      </c>
      <c r="E1851" s="74" t="str">
        <f>IF(OR($D$3=JU!$F1851,$D$3=JU!$I1851),JU!E1851,"")</f>
        <v/>
      </c>
      <c r="F1851" s="72">
        <f>IF($D$3=JU!F1851,JU!H1851,0)</f>
        <v>0</v>
      </c>
      <c r="G1851" s="72">
        <f>IF($D$3=JU!I1851,JU!K1851,0)</f>
        <v>0</v>
      </c>
      <c r="H1851" s="72" t="e">
        <f t="shared" si="29"/>
        <v>#REF!</v>
      </c>
    </row>
    <row r="1852" spans="2:8" hidden="1">
      <c r="B1852" s="68" t="str">
        <f>IF(OR($D$3=JU!$F1852,$D$3=JU!$I1852),JU!B1852,"")</f>
        <v/>
      </c>
      <c r="C1852" s="6" t="str">
        <f>IF(OR($D$3=JU!$F1852,$D$3=JU!$I1852),JU!C1852,"")</f>
        <v/>
      </c>
      <c r="D1852" s="73" t="str">
        <f>IF(OR($D$3=JU!$F1852,$D$3=JU!$I1852),JU!D1852,"")</f>
        <v/>
      </c>
      <c r="E1852" s="74" t="str">
        <f>IF(OR($D$3=JU!$F1852,$D$3=JU!$I1852),JU!E1852,"")</f>
        <v/>
      </c>
      <c r="F1852" s="72">
        <f>IF($D$3=JU!F1852,JU!H1852,0)</f>
        <v>0</v>
      </c>
      <c r="G1852" s="72">
        <f>IF($D$3=JU!I1852,JU!K1852,0)</f>
        <v>0</v>
      </c>
      <c r="H1852" s="72" t="e">
        <f t="shared" si="29"/>
        <v>#REF!</v>
      </c>
    </row>
    <row r="1853" spans="2:8" hidden="1">
      <c r="B1853" s="68" t="str">
        <f>IF(OR($D$3=JU!$F1853,$D$3=JU!$I1853),JU!B1853,"")</f>
        <v/>
      </c>
      <c r="C1853" s="6" t="str">
        <f>IF(OR($D$3=JU!$F1853,$D$3=JU!$I1853),JU!C1853,"")</f>
        <v/>
      </c>
      <c r="D1853" s="73" t="str">
        <f>IF(OR($D$3=JU!$F1853,$D$3=JU!$I1853),JU!D1853,"")</f>
        <v/>
      </c>
      <c r="E1853" s="74" t="str">
        <f>IF(OR($D$3=JU!$F1853,$D$3=JU!$I1853),JU!E1853,"")</f>
        <v/>
      </c>
      <c r="F1853" s="72">
        <f>IF($D$3=JU!F1853,JU!H1853,0)</f>
        <v>0</v>
      </c>
      <c r="G1853" s="72">
        <f>IF($D$3=JU!I1853,JU!K1853,0)</f>
        <v>0</v>
      </c>
      <c r="H1853" s="72" t="e">
        <f t="shared" si="29"/>
        <v>#REF!</v>
      </c>
    </row>
    <row r="1854" spans="2:8" hidden="1">
      <c r="B1854" s="68" t="str">
        <f>IF(OR($D$3=JU!$F1854,$D$3=JU!$I1854),JU!B1854,"")</f>
        <v/>
      </c>
      <c r="C1854" s="6" t="str">
        <f>IF(OR($D$3=JU!$F1854,$D$3=JU!$I1854),JU!C1854,"")</f>
        <v/>
      </c>
      <c r="D1854" s="73" t="str">
        <f>IF(OR($D$3=JU!$F1854,$D$3=JU!$I1854),JU!D1854,"")</f>
        <v/>
      </c>
      <c r="E1854" s="74" t="str">
        <f>IF(OR($D$3=JU!$F1854,$D$3=JU!$I1854),JU!E1854,"")</f>
        <v/>
      </c>
      <c r="F1854" s="72">
        <f>IF($D$3=JU!F1854,JU!H1854,0)</f>
        <v>0</v>
      </c>
      <c r="G1854" s="72">
        <f>IF($D$3=JU!I1854,JU!K1854,0)</f>
        <v>0</v>
      </c>
      <c r="H1854" s="72" t="e">
        <f t="shared" si="29"/>
        <v>#REF!</v>
      </c>
    </row>
    <row r="1855" spans="2:8" hidden="1">
      <c r="B1855" s="68" t="str">
        <f>IF(OR($D$3=JU!$F1855,$D$3=JU!$I1855),JU!B1855,"")</f>
        <v/>
      </c>
      <c r="C1855" s="6" t="str">
        <f>IF(OR($D$3=JU!$F1855,$D$3=JU!$I1855),JU!C1855,"")</f>
        <v/>
      </c>
      <c r="D1855" s="73" t="str">
        <f>IF(OR($D$3=JU!$F1855,$D$3=JU!$I1855),JU!D1855,"")</f>
        <v/>
      </c>
      <c r="E1855" s="74" t="str">
        <f>IF(OR($D$3=JU!$F1855,$D$3=JU!$I1855),JU!E1855,"")</f>
        <v/>
      </c>
      <c r="F1855" s="72">
        <f>IF($D$3=JU!F1855,JU!H1855,0)</f>
        <v>0</v>
      </c>
      <c r="G1855" s="72">
        <f>IF($D$3=JU!I1855,JU!K1855,0)</f>
        <v>0</v>
      </c>
      <c r="H1855" s="72" t="e">
        <f t="shared" si="29"/>
        <v>#REF!</v>
      </c>
    </row>
    <row r="1856" spans="2:8" hidden="1">
      <c r="B1856" s="68" t="str">
        <f>IF(OR($D$3=JU!$F1856,$D$3=JU!$I1856),JU!B1856,"")</f>
        <v/>
      </c>
      <c r="C1856" s="6" t="str">
        <f>IF(OR($D$3=JU!$F1856,$D$3=JU!$I1856),JU!C1856,"")</f>
        <v/>
      </c>
      <c r="D1856" s="73" t="str">
        <f>IF(OR($D$3=JU!$F1856,$D$3=JU!$I1856),JU!D1856,"")</f>
        <v/>
      </c>
      <c r="E1856" s="74" t="str">
        <f>IF(OR($D$3=JU!$F1856,$D$3=JU!$I1856),JU!E1856,"")</f>
        <v/>
      </c>
      <c r="F1856" s="72">
        <f>IF($D$3=JU!F1856,JU!H1856,0)</f>
        <v>0</v>
      </c>
      <c r="G1856" s="72">
        <f>IF($D$3=JU!I1856,JU!K1856,0)</f>
        <v>0</v>
      </c>
      <c r="H1856" s="72" t="e">
        <f t="shared" si="29"/>
        <v>#REF!</v>
      </c>
    </row>
    <row r="1857" spans="2:8" hidden="1">
      <c r="B1857" s="68" t="str">
        <f>IF(OR($D$3=JU!$F1857,$D$3=JU!$I1857),JU!B1857,"")</f>
        <v/>
      </c>
      <c r="C1857" s="6" t="str">
        <f>IF(OR($D$3=JU!$F1857,$D$3=JU!$I1857),JU!C1857,"")</f>
        <v/>
      </c>
      <c r="D1857" s="73" t="str">
        <f>IF(OR($D$3=JU!$F1857,$D$3=JU!$I1857),JU!D1857,"")</f>
        <v/>
      </c>
      <c r="E1857" s="74" t="str">
        <f>IF(OR($D$3=JU!$F1857,$D$3=JU!$I1857),JU!E1857,"")</f>
        <v/>
      </c>
      <c r="F1857" s="72">
        <f>IF($D$3=JU!F1857,JU!H1857,0)</f>
        <v>0</v>
      </c>
      <c r="G1857" s="72">
        <f>IF($D$3=JU!I1857,JU!K1857,0)</f>
        <v>0</v>
      </c>
      <c r="H1857" s="72" t="e">
        <f t="shared" si="29"/>
        <v>#REF!</v>
      </c>
    </row>
    <row r="1858" spans="2:8" hidden="1">
      <c r="B1858" s="68" t="str">
        <f>IF(OR($D$3=JU!$F1858,$D$3=JU!$I1858),JU!B1858,"")</f>
        <v/>
      </c>
      <c r="C1858" s="6" t="str">
        <f>IF(OR($D$3=JU!$F1858,$D$3=JU!$I1858),JU!C1858,"")</f>
        <v/>
      </c>
      <c r="D1858" s="73" t="str">
        <f>IF(OR($D$3=JU!$F1858,$D$3=JU!$I1858),JU!D1858,"")</f>
        <v/>
      </c>
      <c r="E1858" s="74" t="str">
        <f>IF(OR($D$3=JU!$F1858,$D$3=JU!$I1858),JU!E1858,"")</f>
        <v/>
      </c>
      <c r="F1858" s="72">
        <f>IF($D$3=JU!F1858,JU!H1858,0)</f>
        <v>0</v>
      </c>
      <c r="G1858" s="72">
        <f>IF($D$3=JU!I1858,JU!K1858,0)</f>
        <v>0</v>
      </c>
      <c r="H1858" s="72" t="e">
        <f t="shared" si="29"/>
        <v>#REF!</v>
      </c>
    </row>
    <row r="1859" spans="2:8" hidden="1">
      <c r="B1859" s="68" t="str">
        <f>IF(OR($D$3=JU!$F1859,$D$3=JU!$I1859),JU!B1859,"")</f>
        <v/>
      </c>
      <c r="C1859" s="6" t="str">
        <f>IF(OR($D$3=JU!$F1859,$D$3=JU!$I1859),JU!C1859,"")</f>
        <v/>
      </c>
      <c r="D1859" s="73" t="str">
        <f>IF(OR($D$3=JU!$F1859,$D$3=JU!$I1859),JU!D1859,"")</f>
        <v/>
      </c>
      <c r="E1859" s="74" t="str">
        <f>IF(OR($D$3=JU!$F1859,$D$3=JU!$I1859),JU!E1859,"")</f>
        <v/>
      </c>
      <c r="F1859" s="72">
        <f>IF($D$3=JU!F1859,JU!H1859,0)</f>
        <v>0</v>
      </c>
      <c r="G1859" s="72">
        <f>IF($D$3=JU!I1859,JU!K1859,0)</f>
        <v>0</v>
      </c>
      <c r="H1859" s="72" t="e">
        <f t="shared" si="29"/>
        <v>#REF!</v>
      </c>
    </row>
    <row r="1860" spans="2:8" hidden="1">
      <c r="B1860" s="68" t="str">
        <f>IF(OR($D$3=JU!$F1860,$D$3=JU!$I1860),JU!B1860,"")</f>
        <v/>
      </c>
      <c r="C1860" s="6" t="str">
        <f>IF(OR($D$3=JU!$F1860,$D$3=JU!$I1860),JU!C1860,"")</f>
        <v/>
      </c>
      <c r="D1860" s="73" t="str">
        <f>IF(OR($D$3=JU!$F1860,$D$3=JU!$I1860),JU!D1860,"")</f>
        <v/>
      </c>
      <c r="E1860" s="74" t="str">
        <f>IF(OR($D$3=JU!$F1860,$D$3=JU!$I1860),JU!E1860,"")</f>
        <v/>
      </c>
      <c r="F1860" s="72">
        <f>IF($D$3=JU!F1860,JU!H1860,0)</f>
        <v>0</v>
      </c>
      <c r="G1860" s="72">
        <f>IF($D$3=JU!I1860,JU!K1860,0)</f>
        <v>0</v>
      </c>
      <c r="H1860" s="72" t="e">
        <f t="shared" si="29"/>
        <v>#REF!</v>
      </c>
    </row>
    <row r="1861" spans="2:8" hidden="1">
      <c r="B1861" s="68" t="str">
        <f>IF(OR($D$3=JU!$F1861,$D$3=JU!$I1861),JU!B1861,"")</f>
        <v/>
      </c>
      <c r="C1861" s="6" t="str">
        <f>IF(OR($D$3=JU!$F1861,$D$3=JU!$I1861),JU!C1861,"")</f>
        <v/>
      </c>
      <c r="D1861" s="73" t="str">
        <f>IF(OR($D$3=JU!$F1861,$D$3=JU!$I1861),JU!D1861,"")</f>
        <v/>
      </c>
      <c r="E1861" s="74" t="str">
        <f>IF(OR($D$3=JU!$F1861,$D$3=JU!$I1861),JU!E1861,"")</f>
        <v/>
      </c>
      <c r="F1861" s="72">
        <f>IF($D$3=JU!F1861,JU!H1861,0)</f>
        <v>0</v>
      </c>
      <c r="G1861" s="72">
        <f>IF($D$3=JU!I1861,JU!K1861,0)</f>
        <v>0</v>
      </c>
      <c r="H1861" s="72" t="e">
        <f t="shared" si="29"/>
        <v>#REF!</v>
      </c>
    </row>
    <row r="1862" spans="2:8" hidden="1">
      <c r="B1862" s="68" t="str">
        <f>IF(OR($D$3=JU!$F1862,$D$3=JU!$I1862),JU!B1862,"")</f>
        <v/>
      </c>
      <c r="C1862" s="6" t="str">
        <f>IF(OR($D$3=JU!$F1862,$D$3=JU!$I1862),JU!C1862,"")</f>
        <v/>
      </c>
      <c r="D1862" s="73" t="str">
        <f>IF(OR($D$3=JU!$F1862,$D$3=JU!$I1862),JU!D1862,"")</f>
        <v/>
      </c>
      <c r="E1862" s="74" t="str">
        <f>IF(OR($D$3=JU!$F1862,$D$3=JU!$I1862),JU!E1862,"")</f>
        <v/>
      </c>
      <c r="F1862" s="72">
        <f>IF($D$3=JU!F1862,JU!H1862,0)</f>
        <v>0</v>
      </c>
      <c r="G1862" s="72">
        <f>IF($D$3=JU!I1862,JU!K1862,0)</f>
        <v>0</v>
      </c>
      <c r="H1862" s="72" t="e">
        <f t="shared" si="29"/>
        <v>#REF!</v>
      </c>
    </row>
    <row r="1863" spans="2:8" hidden="1">
      <c r="B1863" s="68" t="str">
        <f>IF(OR($D$3=JU!$F1863,$D$3=JU!$I1863),JU!B1863,"")</f>
        <v/>
      </c>
      <c r="C1863" s="6" t="str">
        <f>IF(OR($D$3=JU!$F1863,$D$3=JU!$I1863),JU!C1863,"")</f>
        <v/>
      </c>
      <c r="D1863" s="73" t="str">
        <f>IF(OR($D$3=JU!$F1863,$D$3=JU!$I1863),JU!D1863,"")</f>
        <v/>
      </c>
      <c r="E1863" s="74" t="str">
        <f>IF(OR($D$3=JU!$F1863,$D$3=JU!$I1863),JU!E1863,"")</f>
        <v/>
      </c>
      <c r="F1863" s="72">
        <f>IF($D$3=JU!F1863,JU!H1863,0)</f>
        <v>0</v>
      </c>
      <c r="G1863" s="72">
        <f>IF($D$3=JU!I1863,JU!K1863,0)</f>
        <v>0</v>
      </c>
      <c r="H1863" s="72" t="e">
        <f t="shared" si="29"/>
        <v>#REF!</v>
      </c>
    </row>
    <row r="1864" spans="2:8" hidden="1">
      <c r="B1864" s="68" t="str">
        <f>IF(OR($D$3=JU!$F1864,$D$3=JU!$I1864),JU!B1864,"")</f>
        <v/>
      </c>
      <c r="C1864" s="6" t="str">
        <f>IF(OR($D$3=JU!$F1864,$D$3=JU!$I1864),JU!C1864,"")</f>
        <v/>
      </c>
      <c r="D1864" s="73" t="str">
        <f>IF(OR($D$3=JU!$F1864,$D$3=JU!$I1864),JU!D1864,"")</f>
        <v/>
      </c>
      <c r="E1864" s="74" t="str">
        <f>IF(OR($D$3=JU!$F1864,$D$3=JU!$I1864),JU!E1864,"")</f>
        <v/>
      </c>
      <c r="F1864" s="72">
        <f>IF($D$3=JU!F1864,JU!H1864,0)</f>
        <v>0</v>
      </c>
      <c r="G1864" s="72">
        <f>IF($D$3=JU!I1864,JU!K1864,0)</f>
        <v>0</v>
      </c>
      <c r="H1864" s="72" t="e">
        <f t="shared" si="29"/>
        <v>#REF!</v>
      </c>
    </row>
    <row r="1865" spans="2:8" hidden="1">
      <c r="B1865" s="68" t="str">
        <f>IF(OR($D$3=JU!$F1865,$D$3=JU!$I1865),JU!B1865,"")</f>
        <v/>
      </c>
      <c r="C1865" s="6" t="str">
        <f>IF(OR($D$3=JU!$F1865,$D$3=JU!$I1865),JU!C1865,"")</f>
        <v/>
      </c>
      <c r="D1865" s="73" t="str">
        <f>IF(OR($D$3=JU!$F1865,$D$3=JU!$I1865),JU!D1865,"")</f>
        <v/>
      </c>
      <c r="E1865" s="74" t="str">
        <f>IF(OR($D$3=JU!$F1865,$D$3=JU!$I1865),JU!E1865,"")</f>
        <v/>
      </c>
      <c r="F1865" s="72">
        <f>IF($D$3=JU!F1865,JU!H1865,0)</f>
        <v>0</v>
      </c>
      <c r="G1865" s="72">
        <f>IF($D$3=JU!I1865,JU!K1865,0)</f>
        <v>0</v>
      </c>
      <c r="H1865" s="72" t="e">
        <f t="shared" si="29"/>
        <v>#REF!</v>
      </c>
    </row>
    <row r="1866" spans="2:8" hidden="1">
      <c r="B1866" s="68" t="str">
        <f>IF(OR($D$3=JU!$F1866,$D$3=JU!$I1866),JU!B1866,"")</f>
        <v/>
      </c>
      <c r="C1866" s="6" t="str">
        <f>IF(OR($D$3=JU!$F1866,$D$3=JU!$I1866),JU!C1866,"")</f>
        <v/>
      </c>
      <c r="D1866" s="73" t="str">
        <f>IF(OR($D$3=JU!$F1866,$D$3=JU!$I1866),JU!D1866,"")</f>
        <v/>
      </c>
      <c r="E1866" s="74" t="str">
        <f>IF(OR($D$3=JU!$F1866,$D$3=JU!$I1866),JU!E1866,"")</f>
        <v/>
      </c>
      <c r="F1866" s="72">
        <f>IF($D$3=JU!F1866,JU!H1866,0)</f>
        <v>0</v>
      </c>
      <c r="G1866" s="72">
        <f>IF($D$3=JU!I1866,JU!K1866,0)</f>
        <v>0</v>
      </c>
      <c r="H1866" s="72" t="e">
        <f t="shared" si="29"/>
        <v>#REF!</v>
      </c>
    </row>
    <row r="1867" spans="2:8" hidden="1">
      <c r="B1867" s="68" t="str">
        <f>IF(OR($D$3=JU!$F1867,$D$3=JU!$I1867),JU!B1867,"")</f>
        <v/>
      </c>
      <c r="C1867" s="6" t="str">
        <f>IF(OR($D$3=JU!$F1867,$D$3=JU!$I1867),JU!C1867,"")</f>
        <v/>
      </c>
      <c r="D1867" s="73" t="str">
        <f>IF(OR($D$3=JU!$F1867,$D$3=JU!$I1867),JU!D1867,"")</f>
        <v/>
      </c>
      <c r="E1867" s="74" t="str">
        <f>IF(OR($D$3=JU!$F1867,$D$3=JU!$I1867),JU!E1867,"")</f>
        <v/>
      </c>
      <c r="F1867" s="72">
        <f>IF($D$3=JU!F1867,JU!H1867,0)</f>
        <v>0</v>
      </c>
      <c r="G1867" s="72">
        <f>IF($D$3=JU!I1867,JU!K1867,0)</f>
        <v>0</v>
      </c>
      <c r="H1867" s="72" t="e">
        <f t="shared" si="29"/>
        <v>#REF!</v>
      </c>
    </row>
    <row r="1868" spans="2:8" hidden="1">
      <c r="B1868" s="68" t="str">
        <f>IF(OR($D$3=JU!$F1868,$D$3=JU!$I1868),JU!B1868,"")</f>
        <v/>
      </c>
      <c r="C1868" s="6" t="str">
        <f>IF(OR($D$3=JU!$F1868,$D$3=JU!$I1868),JU!C1868,"")</f>
        <v/>
      </c>
      <c r="D1868" s="73" t="str">
        <f>IF(OR($D$3=JU!$F1868,$D$3=JU!$I1868),JU!D1868,"")</f>
        <v/>
      </c>
      <c r="E1868" s="74" t="str">
        <f>IF(OR($D$3=JU!$F1868,$D$3=JU!$I1868),JU!E1868,"")</f>
        <v/>
      </c>
      <c r="F1868" s="72">
        <f>IF($D$3=JU!F1868,JU!H1868,0)</f>
        <v>0</v>
      </c>
      <c r="G1868" s="72">
        <f>IF($D$3=JU!I1868,JU!K1868,0)</f>
        <v>0</v>
      </c>
      <c r="H1868" s="72" t="e">
        <f t="shared" si="29"/>
        <v>#REF!</v>
      </c>
    </row>
    <row r="1869" spans="2:8" hidden="1">
      <c r="B1869" s="68" t="str">
        <f>IF(OR($D$3=JU!$F1869,$D$3=JU!$I1869),JU!B1869,"")</f>
        <v/>
      </c>
      <c r="C1869" s="6" t="str">
        <f>IF(OR($D$3=JU!$F1869,$D$3=JU!$I1869),JU!C1869,"")</f>
        <v/>
      </c>
      <c r="D1869" s="73" t="str">
        <f>IF(OR($D$3=JU!$F1869,$D$3=JU!$I1869),JU!D1869,"")</f>
        <v/>
      </c>
      <c r="E1869" s="74" t="str">
        <f>IF(OR($D$3=JU!$F1869,$D$3=JU!$I1869),JU!E1869,"")</f>
        <v/>
      </c>
      <c r="F1869" s="72">
        <f>IF($D$3=JU!F1869,JU!H1869,0)</f>
        <v>0</v>
      </c>
      <c r="G1869" s="72">
        <f>IF($D$3=JU!I1869,JU!K1869,0)</f>
        <v>0</v>
      </c>
      <c r="H1869" s="72" t="e">
        <f t="shared" si="29"/>
        <v>#REF!</v>
      </c>
    </row>
    <row r="1870" spans="2:8" hidden="1">
      <c r="B1870" s="68" t="str">
        <f>IF(OR($D$3=JU!$F1870,$D$3=JU!$I1870),JU!B1870,"")</f>
        <v/>
      </c>
      <c r="C1870" s="6" t="str">
        <f>IF(OR($D$3=JU!$F1870,$D$3=JU!$I1870),JU!C1870,"")</f>
        <v/>
      </c>
      <c r="D1870" s="73" t="str">
        <f>IF(OR($D$3=JU!$F1870,$D$3=JU!$I1870),JU!D1870,"")</f>
        <v/>
      </c>
      <c r="E1870" s="74" t="str">
        <f>IF(OR($D$3=JU!$F1870,$D$3=JU!$I1870),JU!E1870,"")</f>
        <v/>
      </c>
      <c r="F1870" s="72">
        <f>IF($D$3=JU!F1870,JU!H1870,0)</f>
        <v>0</v>
      </c>
      <c r="G1870" s="72">
        <f>IF($D$3=JU!I1870,JU!K1870,0)</f>
        <v>0</v>
      </c>
      <c r="H1870" s="72" t="e">
        <f t="shared" ref="H1870:H1933" si="30">IF($H$7="DEBET",H1869+F1870-G1870,H1869+G1870-F1870)</f>
        <v>#REF!</v>
      </c>
    </row>
    <row r="1871" spans="2:8" hidden="1">
      <c r="B1871" s="68" t="str">
        <f>IF(OR($D$3=JU!$F1871,$D$3=JU!$I1871),JU!B1871,"")</f>
        <v/>
      </c>
      <c r="C1871" s="6" t="str">
        <f>IF(OR($D$3=JU!$F1871,$D$3=JU!$I1871),JU!C1871,"")</f>
        <v/>
      </c>
      <c r="D1871" s="73" t="str">
        <f>IF(OR($D$3=JU!$F1871,$D$3=JU!$I1871),JU!D1871,"")</f>
        <v/>
      </c>
      <c r="E1871" s="74" t="str">
        <f>IF(OR($D$3=JU!$F1871,$D$3=JU!$I1871),JU!E1871,"")</f>
        <v/>
      </c>
      <c r="F1871" s="72">
        <f>IF($D$3=JU!F1871,JU!H1871,0)</f>
        <v>0</v>
      </c>
      <c r="G1871" s="72">
        <f>IF($D$3=JU!I1871,JU!K1871,0)</f>
        <v>0</v>
      </c>
      <c r="H1871" s="72" t="e">
        <f t="shared" si="30"/>
        <v>#REF!</v>
      </c>
    </row>
    <row r="1872" spans="2:8" hidden="1">
      <c r="B1872" s="68" t="str">
        <f>IF(OR($D$3=JU!$F1872,$D$3=JU!$I1872),JU!B1872,"")</f>
        <v/>
      </c>
      <c r="C1872" s="6" t="str">
        <f>IF(OR($D$3=JU!$F1872,$D$3=JU!$I1872),JU!C1872,"")</f>
        <v/>
      </c>
      <c r="D1872" s="73" t="str">
        <f>IF(OR($D$3=JU!$F1872,$D$3=JU!$I1872),JU!D1872,"")</f>
        <v/>
      </c>
      <c r="E1872" s="74" t="str">
        <f>IF(OR($D$3=JU!$F1872,$D$3=JU!$I1872),JU!E1872,"")</f>
        <v/>
      </c>
      <c r="F1872" s="72">
        <f>IF($D$3=JU!F1872,JU!H1872,0)</f>
        <v>0</v>
      </c>
      <c r="G1872" s="72">
        <f>IF($D$3=JU!I1872,JU!K1872,0)</f>
        <v>0</v>
      </c>
      <c r="H1872" s="72" t="e">
        <f t="shared" si="30"/>
        <v>#REF!</v>
      </c>
    </row>
    <row r="1873" spans="2:8" hidden="1">
      <c r="B1873" s="68" t="str">
        <f>IF(OR($D$3=JU!$F1873,$D$3=JU!$I1873),JU!B1873,"")</f>
        <v/>
      </c>
      <c r="C1873" s="6" t="str">
        <f>IF(OR($D$3=JU!$F1873,$D$3=JU!$I1873),JU!C1873,"")</f>
        <v/>
      </c>
      <c r="D1873" s="73" t="str">
        <f>IF(OR($D$3=JU!$F1873,$D$3=JU!$I1873),JU!D1873,"")</f>
        <v/>
      </c>
      <c r="E1873" s="74" t="str">
        <f>IF(OR($D$3=JU!$F1873,$D$3=JU!$I1873),JU!E1873,"")</f>
        <v/>
      </c>
      <c r="F1873" s="72">
        <f>IF($D$3=JU!F1873,JU!H1873,0)</f>
        <v>0</v>
      </c>
      <c r="G1873" s="72">
        <f>IF($D$3=JU!I1873,JU!K1873,0)</f>
        <v>0</v>
      </c>
      <c r="H1873" s="72" t="e">
        <f t="shared" si="30"/>
        <v>#REF!</v>
      </c>
    </row>
    <row r="1874" spans="2:8" hidden="1">
      <c r="B1874" s="68" t="str">
        <f>IF(OR($D$3=JU!$F1874,$D$3=JU!$I1874),JU!B1874,"")</f>
        <v/>
      </c>
      <c r="C1874" s="6" t="str">
        <f>IF(OR($D$3=JU!$F1874,$D$3=JU!$I1874),JU!C1874,"")</f>
        <v/>
      </c>
      <c r="D1874" s="73" t="str">
        <f>IF(OR($D$3=JU!$F1874,$D$3=JU!$I1874),JU!D1874,"")</f>
        <v/>
      </c>
      <c r="E1874" s="74" t="str">
        <f>IF(OR($D$3=JU!$F1874,$D$3=JU!$I1874),JU!E1874,"")</f>
        <v/>
      </c>
      <c r="F1874" s="72">
        <f>IF($D$3=JU!F1874,JU!H1874,0)</f>
        <v>0</v>
      </c>
      <c r="G1874" s="72">
        <f>IF($D$3=JU!I1874,JU!K1874,0)</f>
        <v>0</v>
      </c>
      <c r="H1874" s="72" t="e">
        <f t="shared" si="30"/>
        <v>#REF!</v>
      </c>
    </row>
    <row r="1875" spans="2:8" hidden="1">
      <c r="B1875" s="68" t="str">
        <f>IF(OR($D$3=JU!$F1875,$D$3=JU!$I1875),JU!B1875,"")</f>
        <v/>
      </c>
      <c r="C1875" s="6" t="str">
        <f>IF(OR($D$3=JU!$F1875,$D$3=JU!$I1875),JU!C1875,"")</f>
        <v/>
      </c>
      <c r="D1875" s="73" t="str">
        <f>IF(OR($D$3=JU!$F1875,$D$3=JU!$I1875),JU!D1875,"")</f>
        <v/>
      </c>
      <c r="E1875" s="74" t="str">
        <f>IF(OR($D$3=JU!$F1875,$D$3=JU!$I1875),JU!E1875,"")</f>
        <v/>
      </c>
      <c r="F1875" s="72">
        <f>IF($D$3=JU!F1875,JU!H1875,0)</f>
        <v>0</v>
      </c>
      <c r="G1875" s="72">
        <f>IF($D$3=JU!I1875,JU!K1875,0)</f>
        <v>0</v>
      </c>
      <c r="H1875" s="72" t="e">
        <f t="shared" si="30"/>
        <v>#REF!</v>
      </c>
    </row>
    <row r="1876" spans="2:8" hidden="1">
      <c r="B1876" s="68" t="str">
        <f>IF(OR($D$3=JU!$F1876,$D$3=JU!$I1876),JU!B1876,"")</f>
        <v/>
      </c>
      <c r="C1876" s="6" t="str">
        <f>IF(OR($D$3=JU!$F1876,$D$3=JU!$I1876),JU!C1876,"")</f>
        <v/>
      </c>
      <c r="D1876" s="73" t="str">
        <f>IF(OR($D$3=JU!$F1876,$D$3=JU!$I1876),JU!D1876,"")</f>
        <v/>
      </c>
      <c r="E1876" s="74" t="str">
        <f>IF(OR($D$3=JU!$F1876,$D$3=JU!$I1876),JU!E1876,"")</f>
        <v/>
      </c>
      <c r="F1876" s="72">
        <f>IF($D$3=JU!F1876,JU!H1876,0)</f>
        <v>0</v>
      </c>
      <c r="G1876" s="72">
        <f>IF($D$3=JU!I1876,JU!K1876,0)</f>
        <v>0</v>
      </c>
      <c r="H1876" s="72" t="e">
        <f t="shared" si="30"/>
        <v>#REF!</v>
      </c>
    </row>
    <row r="1877" spans="2:8" hidden="1">
      <c r="B1877" s="68" t="str">
        <f>IF(OR($D$3=JU!$F1877,$D$3=JU!$I1877),JU!B1877,"")</f>
        <v/>
      </c>
      <c r="C1877" s="6" t="str">
        <f>IF(OR($D$3=JU!$F1877,$D$3=JU!$I1877),JU!C1877,"")</f>
        <v/>
      </c>
      <c r="D1877" s="73" t="str">
        <f>IF(OR($D$3=JU!$F1877,$D$3=JU!$I1877),JU!D1877,"")</f>
        <v/>
      </c>
      <c r="E1877" s="74" t="str">
        <f>IF(OR($D$3=JU!$F1877,$D$3=JU!$I1877),JU!E1877,"")</f>
        <v/>
      </c>
      <c r="F1877" s="72">
        <f>IF($D$3=JU!F1877,JU!H1877,0)</f>
        <v>0</v>
      </c>
      <c r="G1877" s="72">
        <f>IF($D$3=JU!I1877,JU!K1877,0)</f>
        <v>0</v>
      </c>
      <c r="H1877" s="72" t="e">
        <f t="shared" si="30"/>
        <v>#REF!</v>
      </c>
    </row>
    <row r="1878" spans="2:8" hidden="1">
      <c r="B1878" s="68" t="str">
        <f>IF(OR($D$3=JU!$F1878,$D$3=JU!$I1878),JU!B1878,"")</f>
        <v/>
      </c>
      <c r="C1878" s="6" t="str">
        <f>IF(OR($D$3=JU!$F1878,$D$3=JU!$I1878),JU!C1878,"")</f>
        <v/>
      </c>
      <c r="D1878" s="73" t="str">
        <f>IF(OR($D$3=JU!$F1878,$D$3=JU!$I1878),JU!D1878,"")</f>
        <v/>
      </c>
      <c r="E1878" s="74" t="str">
        <f>IF(OR($D$3=JU!$F1878,$D$3=JU!$I1878),JU!E1878,"")</f>
        <v/>
      </c>
      <c r="F1878" s="72">
        <f>IF($D$3=JU!F1878,JU!H1878,0)</f>
        <v>0</v>
      </c>
      <c r="G1878" s="72">
        <f>IF($D$3=JU!I1878,JU!K1878,0)</f>
        <v>0</v>
      </c>
      <c r="H1878" s="72" t="e">
        <f t="shared" si="30"/>
        <v>#REF!</v>
      </c>
    </row>
    <row r="1879" spans="2:8" hidden="1">
      <c r="B1879" s="68" t="str">
        <f>IF(OR($D$3=JU!$F1879,$D$3=JU!$I1879),JU!B1879,"")</f>
        <v/>
      </c>
      <c r="C1879" s="6" t="str">
        <f>IF(OR($D$3=JU!$F1879,$D$3=JU!$I1879),JU!C1879,"")</f>
        <v/>
      </c>
      <c r="D1879" s="73" t="str">
        <f>IF(OR($D$3=JU!$F1879,$D$3=JU!$I1879),JU!D1879,"")</f>
        <v/>
      </c>
      <c r="E1879" s="74" t="str">
        <f>IF(OR($D$3=JU!$F1879,$D$3=JU!$I1879),JU!E1879,"")</f>
        <v/>
      </c>
      <c r="F1879" s="72">
        <f>IF($D$3=JU!F1879,JU!H1879,0)</f>
        <v>0</v>
      </c>
      <c r="G1879" s="72">
        <f>IF($D$3=JU!I1879,JU!K1879,0)</f>
        <v>0</v>
      </c>
      <c r="H1879" s="72" t="e">
        <f t="shared" si="30"/>
        <v>#REF!</v>
      </c>
    </row>
    <row r="1880" spans="2:8" hidden="1">
      <c r="B1880" s="68" t="str">
        <f>IF(OR($D$3=JU!$F1880,$D$3=JU!$I1880),JU!B1880,"")</f>
        <v/>
      </c>
      <c r="C1880" s="6" t="str">
        <f>IF(OR($D$3=JU!$F1880,$D$3=JU!$I1880),JU!C1880,"")</f>
        <v/>
      </c>
      <c r="D1880" s="73" t="str">
        <f>IF(OR($D$3=JU!$F1880,$D$3=JU!$I1880),JU!D1880,"")</f>
        <v/>
      </c>
      <c r="E1880" s="74" t="str">
        <f>IF(OR($D$3=JU!$F1880,$D$3=JU!$I1880),JU!E1880,"")</f>
        <v/>
      </c>
      <c r="F1880" s="72">
        <f>IF($D$3=JU!F1880,JU!H1880,0)</f>
        <v>0</v>
      </c>
      <c r="G1880" s="72">
        <f>IF($D$3=JU!I1880,JU!K1880,0)</f>
        <v>0</v>
      </c>
      <c r="H1880" s="72" t="e">
        <f t="shared" si="30"/>
        <v>#REF!</v>
      </c>
    </row>
    <row r="1881" spans="2:8" hidden="1">
      <c r="B1881" s="68" t="str">
        <f>IF(OR($D$3=JU!$F1881,$D$3=JU!$I1881),JU!B1881,"")</f>
        <v/>
      </c>
      <c r="C1881" s="6" t="str">
        <f>IF(OR($D$3=JU!$F1881,$D$3=JU!$I1881),JU!C1881,"")</f>
        <v/>
      </c>
      <c r="D1881" s="73" t="str">
        <f>IF(OR($D$3=JU!$F1881,$D$3=JU!$I1881),JU!D1881,"")</f>
        <v/>
      </c>
      <c r="E1881" s="74" t="str">
        <f>IF(OR($D$3=JU!$F1881,$D$3=JU!$I1881),JU!E1881,"")</f>
        <v/>
      </c>
      <c r="F1881" s="72">
        <f>IF($D$3=JU!F1881,JU!H1881,0)</f>
        <v>0</v>
      </c>
      <c r="G1881" s="72">
        <f>IF($D$3=JU!I1881,JU!K1881,0)</f>
        <v>0</v>
      </c>
      <c r="H1881" s="72" t="e">
        <f t="shared" si="30"/>
        <v>#REF!</v>
      </c>
    </row>
    <row r="1882" spans="2:8" hidden="1">
      <c r="B1882" s="68" t="str">
        <f>IF(OR($D$3=JU!$F1882,$D$3=JU!$I1882),JU!B1882,"")</f>
        <v/>
      </c>
      <c r="C1882" s="6" t="str">
        <f>IF(OR($D$3=JU!$F1882,$D$3=JU!$I1882),JU!C1882,"")</f>
        <v/>
      </c>
      <c r="D1882" s="73" t="str">
        <f>IF(OR($D$3=JU!$F1882,$D$3=JU!$I1882),JU!D1882,"")</f>
        <v/>
      </c>
      <c r="E1882" s="74" t="str">
        <f>IF(OR($D$3=JU!$F1882,$D$3=JU!$I1882),JU!E1882,"")</f>
        <v/>
      </c>
      <c r="F1882" s="72">
        <f>IF($D$3=JU!F1882,JU!H1882,0)</f>
        <v>0</v>
      </c>
      <c r="G1882" s="72">
        <f>IF($D$3=JU!I1882,JU!K1882,0)</f>
        <v>0</v>
      </c>
      <c r="H1882" s="72" t="e">
        <f t="shared" si="30"/>
        <v>#REF!</v>
      </c>
    </row>
    <row r="1883" spans="2:8" hidden="1">
      <c r="B1883" s="68" t="str">
        <f>IF(OR($D$3=JU!$F1883,$D$3=JU!$I1883),JU!B1883,"")</f>
        <v/>
      </c>
      <c r="C1883" s="6" t="str">
        <f>IF(OR($D$3=JU!$F1883,$D$3=JU!$I1883),JU!C1883,"")</f>
        <v/>
      </c>
      <c r="D1883" s="73" t="str">
        <f>IF(OR($D$3=JU!$F1883,$D$3=JU!$I1883),JU!D1883,"")</f>
        <v/>
      </c>
      <c r="E1883" s="74" t="str">
        <f>IF(OR($D$3=JU!$F1883,$D$3=JU!$I1883),JU!E1883,"")</f>
        <v/>
      </c>
      <c r="F1883" s="72">
        <f>IF($D$3=JU!F1883,JU!H1883,0)</f>
        <v>0</v>
      </c>
      <c r="G1883" s="72">
        <f>IF($D$3=JU!I1883,JU!K1883,0)</f>
        <v>0</v>
      </c>
      <c r="H1883" s="72" t="e">
        <f t="shared" si="30"/>
        <v>#REF!</v>
      </c>
    </row>
    <row r="1884" spans="2:8" hidden="1">
      <c r="B1884" s="68" t="str">
        <f>IF(OR($D$3=JU!$F1884,$D$3=JU!$I1884),JU!B1884,"")</f>
        <v/>
      </c>
      <c r="C1884" s="6" t="str">
        <f>IF(OR($D$3=JU!$F1884,$D$3=JU!$I1884),JU!C1884,"")</f>
        <v/>
      </c>
      <c r="D1884" s="73" t="str">
        <f>IF(OR($D$3=JU!$F1884,$D$3=JU!$I1884),JU!D1884,"")</f>
        <v/>
      </c>
      <c r="E1884" s="74" t="str">
        <f>IF(OR($D$3=JU!$F1884,$D$3=JU!$I1884),JU!E1884,"")</f>
        <v/>
      </c>
      <c r="F1884" s="72">
        <f>IF($D$3=JU!F1884,JU!H1884,0)</f>
        <v>0</v>
      </c>
      <c r="G1884" s="72">
        <f>IF($D$3=JU!I1884,JU!K1884,0)</f>
        <v>0</v>
      </c>
      <c r="H1884" s="72" t="e">
        <f t="shared" si="30"/>
        <v>#REF!</v>
      </c>
    </row>
    <row r="1885" spans="2:8" hidden="1">
      <c r="B1885" s="68" t="str">
        <f>IF(OR($D$3=JU!$F1885,$D$3=JU!$I1885),JU!B1885,"")</f>
        <v/>
      </c>
      <c r="C1885" s="6" t="str">
        <f>IF(OR($D$3=JU!$F1885,$D$3=JU!$I1885),JU!C1885,"")</f>
        <v/>
      </c>
      <c r="D1885" s="73" t="str">
        <f>IF(OR($D$3=JU!$F1885,$D$3=JU!$I1885),JU!D1885,"")</f>
        <v/>
      </c>
      <c r="E1885" s="74" t="str">
        <f>IF(OR($D$3=JU!$F1885,$D$3=JU!$I1885),JU!E1885,"")</f>
        <v/>
      </c>
      <c r="F1885" s="72">
        <f>IF($D$3=JU!F1885,JU!H1885,0)</f>
        <v>0</v>
      </c>
      <c r="G1885" s="72">
        <f>IF($D$3=JU!I1885,JU!K1885,0)</f>
        <v>0</v>
      </c>
      <c r="H1885" s="72" t="e">
        <f t="shared" si="30"/>
        <v>#REF!</v>
      </c>
    </row>
    <row r="1886" spans="2:8" hidden="1">
      <c r="B1886" s="68" t="str">
        <f>IF(OR($D$3=JU!$F1886,$D$3=JU!$I1886),JU!B1886,"")</f>
        <v/>
      </c>
      <c r="C1886" s="6" t="str">
        <f>IF(OR($D$3=JU!$F1886,$D$3=JU!$I1886),JU!C1886,"")</f>
        <v/>
      </c>
      <c r="D1886" s="73" t="str">
        <f>IF(OR($D$3=JU!$F1886,$D$3=JU!$I1886),JU!D1886,"")</f>
        <v/>
      </c>
      <c r="E1886" s="74" t="str">
        <f>IF(OR($D$3=JU!$F1886,$D$3=JU!$I1886),JU!E1886,"")</f>
        <v/>
      </c>
      <c r="F1886" s="72">
        <f>IF($D$3=JU!F1886,JU!H1886,0)</f>
        <v>0</v>
      </c>
      <c r="G1886" s="72">
        <f>IF($D$3=JU!I1886,JU!K1886,0)</f>
        <v>0</v>
      </c>
      <c r="H1886" s="72" t="e">
        <f t="shared" si="30"/>
        <v>#REF!</v>
      </c>
    </row>
    <row r="1887" spans="2:8" hidden="1">
      <c r="B1887" s="68" t="str">
        <f>IF(OR($D$3=JU!$F1887,$D$3=JU!$I1887),JU!B1887,"")</f>
        <v/>
      </c>
      <c r="C1887" s="6" t="str">
        <f>IF(OR($D$3=JU!$F1887,$D$3=JU!$I1887),JU!C1887,"")</f>
        <v/>
      </c>
      <c r="D1887" s="73" t="str">
        <f>IF(OR($D$3=JU!$F1887,$D$3=JU!$I1887),JU!D1887,"")</f>
        <v/>
      </c>
      <c r="E1887" s="74" t="str">
        <f>IF(OR($D$3=JU!$F1887,$D$3=JU!$I1887),JU!E1887,"")</f>
        <v/>
      </c>
      <c r="F1887" s="72">
        <f>IF($D$3=JU!F1887,JU!H1887,0)</f>
        <v>0</v>
      </c>
      <c r="G1887" s="72">
        <f>IF($D$3=JU!I1887,JU!K1887,0)</f>
        <v>0</v>
      </c>
      <c r="H1887" s="72" t="e">
        <f t="shared" si="30"/>
        <v>#REF!</v>
      </c>
    </row>
    <row r="1888" spans="2:8" hidden="1">
      <c r="B1888" s="68" t="str">
        <f>IF(OR($D$3=JU!$F1888,$D$3=JU!$I1888),JU!B1888,"")</f>
        <v/>
      </c>
      <c r="C1888" s="6" t="str">
        <f>IF(OR($D$3=JU!$F1888,$D$3=JU!$I1888),JU!C1888,"")</f>
        <v/>
      </c>
      <c r="D1888" s="73" t="str">
        <f>IF(OR($D$3=JU!$F1888,$D$3=JU!$I1888),JU!D1888,"")</f>
        <v/>
      </c>
      <c r="E1888" s="74" t="str">
        <f>IF(OR($D$3=JU!$F1888,$D$3=JU!$I1888),JU!E1888,"")</f>
        <v/>
      </c>
      <c r="F1888" s="72">
        <f>IF($D$3=JU!F1888,JU!H1888,0)</f>
        <v>0</v>
      </c>
      <c r="G1888" s="72">
        <f>IF($D$3=JU!I1888,JU!K1888,0)</f>
        <v>0</v>
      </c>
      <c r="H1888" s="72" t="e">
        <f t="shared" si="30"/>
        <v>#REF!</v>
      </c>
    </row>
    <row r="1889" spans="2:8" hidden="1">
      <c r="B1889" s="68" t="str">
        <f>IF(OR($D$3=JU!$F1889,$D$3=JU!$I1889),JU!B1889,"")</f>
        <v/>
      </c>
      <c r="C1889" s="6" t="str">
        <f>IF(OR($D$3=JU!$F1889,$D$3=JU!$I1889),JU!C1889,"")</f>
        <v/>
      </c>
      <c r="D1889" s="73" t="str">
        <f>IF(OR($D$3=JU!$F1889,$D$3=JU!$I1889),JU!D1889,"")</f>
        <v/>
      </c>
      <c r="E1889" s="74" t="str">
        <f>IF(OR($D$3=JU!$F1889,$D$3=JU!$I1889),JU!E1889,"")</f>
        <v/>
      </c>
      <c r="F1889" s="72">
        <f>IF($D$3=JU!F1889,JU!H1889,0)</f>
        <v>0</v>
      </c>
      <c r="G1889" s="72">
        <f>IF($D$3=JU!I1889,JU!K1889,0)</f>
        <v>0</v>
      </c>
      <c r="H1889" s="72" t="e">
        <f t="shared" si="30"/>
        <v>#REF!</v>
      </c>
    </row>
    <row r="1890" spans="2:8" hidden="1">
      <c r="B1890" s="68" t="str">
        <f>IF(OR($D$3=JU!$F1890,$D$3=JU!$I1890),JU!B1890,"")</f>
        <v/>
      </c>
      <c r="C1890" s="6" t="str">
        <f>IF(OR($D$3=JU!$F1890,$D$3=JU!$I1890),JU!C1890,"")</f>
        <v/>
      </c>
      <c r="D1890" s="73" t="str">
        <f>IF(OR($D$3=JU!$F1890,$D$3=JU!$I1890),JU!D1890,"")</f>
        <v/>
      </c>
      <c r="E1890" s="74" t="str">
        <f>IF(OR($D$3=JU!$F1890,$D$3=JU!$I1890),JU!E1890,"")</f>
        <v/>
      </c>
      <c r="F1890" s="72">
        <f>IF($D$3=JU!F1890,JU!H1890,0)</f>
        <v>0</v>
      </c>
      <c r="G1890" s="72">
        <f>IF($D$3=JU!I1890,JU!K1890,0)</f>
        <v>0</v>
      </c>
      <c r="H1890" s="72" t="e">
        <f t="shared" si="30"/>
        <v>#REF!</v>
      </c>
    </row>
    <row r="1891" spans="2:8" hidden="1">
      <c r="B1891" s="68" t="str">
        <f>IF(OR($D$3=JU!$F1891,$D$3=JU!$I1891),JU!B1891,"")</f>
        <v/>
      </c>
      <c r="C1891" s="6" t="str">
        <f>IF(OR($D$3=JU!$F1891,$D$3=JU!$I1891),JU!C1891,"")</f>
        <v/>
      </c>
      <c r="D1891" s="73" t="str">
        <f>IF(OR($D$3=JU!$F1891,$D$3=JU!$I1891),JU!D1891,"")</f>
        <v/>
      </c>
      <c r="E1891" s="74" t="str">
        <f>IF(OR($D$3=JU!$F1891,$D$3=JU!$I1891),JU!E1891,"")</f>
        <v/>
      </c>
      <c r="F1891" s="72">
        <f>IF($D$3=JU!F1891,JU!H1891,0)</f>
        <v>0</v>
      </c>
      <c r="G1891" s="72">
        <f>IF($D$3=JU!I1891,JU!K1891,0)</f>
        <v>0</v>
      </c>
      <c r="H1891" s="72" t="e">
        <f t="shared" si="30"/>
        <v>#REF!</v>
      </c>
    </row>
    <row r="1892" spans="2:8" hidden="1">
      <c r="B1892" s="68" t="str">
        <f>IF(OR($D$3=JU!$F1892,$D$3=JU!$I1892),JU!B1892,"")</f>
        <v/>
      </c>
      <c r="C1892" s="6" t="str">
        <f>IF(OR($D$3=JU!$F1892,$D$3=JU!$I1892),JU!C1892,"")</f>
        <v/>
      </c>
      <c r="D1892" s="73" t="str">
        <f>IF(OR($D$3=JU!$F1892,$D$3=JU!$I1892),JU!D1892,"")</f>
        <v/>
      </c>
      <c r="E1892" s="74" t="str">
        <f>IF(OR($D$3=JU!$F1892,$D$3=JU!$I1892),JU!E1892,"")</f>
        <v/>
      </c>
      <c r="F1892" s="72">
        <f>IF($D$3=JU!F1892,JU!H1892,0)</f>
        <v>0</v>
      </c>
      <c r="G1892" s="72">
        <f>IF($D$3=JU!I1892,JU!K1892,0)</f>
        <v>0</v>
      </c>
      <c r="H1892" s="72" t="e">
        <f t="shared" si="30"/>
        <v>#REF!</v>
      </c>
    </row>
    <row r="1893" spans="2:8" hidden="1">
      <c r="B1893" s="68" t="str">
        <f>IF(OR($D$3=JU!$F1893,$D$3=JU!$I1893),JU!B1893,"")</f>
        <v/>
      </c>
      <c r="C1893" s="6" t="str">
        <f>IF(OR($D$3=JU!$F1893,$D$3=JU!$I1893),JU!C1893,"")</f>
        <v/>
      </c>
      <c r="D1893" s="73" t="str">
        <f>IF(OR($D$3=JU!$F1893,$D$3=JU!$I1893),JU!D1893,"")</f>
        <v/>
      </c>
      <c r="E1893" s="74" t="str">
        <f>IF(OR($D$3=JU!$F1893,$D$3=JU!$I1893),JU!E1893,"")</f>
        <v/>
      </c>
      <c r="F1893" s="72">
        <f>IF($D$3=JU!F1893,JU!H1893,0)</f>
        <v>0</v>
      </c>
      <c r="G1893" s="72">
        <f>IF($D$3=JU!I1893,JU!K1893,0)</f>
        <v>0</v>
      </c>
      <c r="H1893" s="72" t="e">
        <f t="shared" si="30"/>
        <v>#REF!</v>
      </c>
    </row>
    <row r="1894" spans="2:8" hidden="1">
      <c r="B1894" s="68" t="str">
        <f>IF(OR($D$3=JU!$F1894,$D$3=JU!$I1894),JU!B1894,"")</f>
        <v/>
      </c>
      <c r="C1894" s="6" t="str">
        <f>IF(OR($D$3=JU!$F1894,$D$3=JU!$I1894),JU!C1894,"")</f>
        <v/>
      </c>
      <c r="D1894" s="73" t="str">
        <f>IF(OR($D$3=JU!$F1894,$D$3=JU!$I1894),JU!D1894,"")</f>
        <v/>
      </c>
      <c r="E1894" s="74" t="str">
        <f>IF(OR($D$3=JU!$F1894,$D$3=JU!$I1894),JU!E1894,"")</f>
        <v/>
      </c>
      <c r="F1894" s="72">
        <f>IF($D$3=JU!F1894,JU!H1894,0)</f>
        <v>0</v>
      </c>
      <c r="G1894" s="72">
        <f>IF($D$3=JU!I1894,JU!K1894,0)</f>
        <v>0</v>
      </c>
      <c r="H1894" s="72" t="e">
        <f t="shared" si="30"/>
        <v>#REF!</v>
      </c>
    </row>
    <row r="1895" spans="2:8" hidden="1">
      <c r="B1895" s="68" t="str">
        <f>IF(OR($D$3=JU!$F1895,$D$3=JU!$I1895),JU!B1895,"")</f>
        <v/>
      </c>
      <c r="C1895" s="6" t="str">
        <f>IF(OR($D$3=JU!$F1895,$D$3=JU!$I1895),JU!C1895,"")</f>
        <v/>
      </c>
      <c r="D1895" s="73" t="str">
        <f>IF(OR($D$3=JU!$F1895,$D$3=JU!$I1895),JU!D1895,"")</f>
        <v/>
      </c>
      <c r="E1895" s="74" t="str">
        <f>IF(OR($D$3=JU!$F1895,$D$3=JU!$I1895),JU!E1895,"")</f>
        <v/>
      </c>
      <c r="F1895" s="72">
        <f>IF($D$3=JU!F1895,JU!H1895,0)</f>
        <v>0</v>
      </c>
      <c r="G1895" s="72">
        <f>IF($D$3=JU!I1895,JU!K1895,0)</f>
        <v>0</v>
      </c>
      <c r="H1895" s="72" t="e">
        <f t="shared" si="30"/>
        <v>#REF!</v>
      </c>
    </row>
    <row r="1896" spans="2:8" hidden="1">
      <c r="B1896" s="68" t="str">
        <f>IF(OR($D$3=JU!$F1896,$D$3=JU!$I1896),JU!B1896,"")</f>
        <v/>
      </c>
      <c r="C1896" s="6" t="str">
        <f>IF(OR($D$3=JU!$F1896,$D$3=JU!$I1896),JU!C1896,"")</f>
        <v/>
      </c>
      <c r="D1896" s="73" t="str">
        <f>IF(OR($D$3=JU!$F1896,$D$3=JU!$I1896),JU!D1896,"")</f>
        <v/>
      </c>
      <c r="E1896" s="74" t="str">
        <f>IF(OR($D$3=JU!$F1896,$D$3=JU!$I1896),JU!E1896,"")</f>
        <v/>
      </c>
      <c r="F1896" s="72">
        <f>IF($D$3=JU!F1896,JU!H1896,0)</f>
        <v>0</v>
      </c>
      <c r="G1896" s="72">
        <f>IF($D$3=JU!I1896,JU!K1896,0)</f>
        <v>0</v>
      </c>
      <c r="H1896" s="72" t="e">
        <f t="shared" si="30"/>
        <v>#REF!</v>
      </c>
    </row>
    <row r="1897" spans="2:8" hidden="1">
      <c r="B1897" s="68" t="str">
        <f>IF(OR($D$3=JU!$F1897,$D$3=JU!$I1897),JU!B1897,"")</f>
        <v/>
      </c>
      <c r="C1897" s="6" t="str">
        <f>IF(OR($D$3=JU!$F1897,$D$3=JU!$I1897),JU!C1897,"")</f>
        <v/>
      </c>
      <c r="D1897" s="73" t="str">
        <f>IF(OR($D$3=JU!$F1897,$D$3=JU!$I1897),JU!D1897,"")</f>
        <v/>
      </c>
      <c r="E1897" s="74" t="str">
        <f>IF(OR($D$3=JU!$F1897,$D$3=JU!$I1897),JU!E1897,"")</f>
        <v/>
      </c>
      <c r="F1897" s="72">
        <f>IF($D$3=JU!F1897,JU!H1897,0)</f>
        <v>0</v>
      </c>
      <c r="G1897" s="72">
        <f>IF($D$3=JU!I1897,JU!K1897,0)</f>
        <v>0</v>
      </c>
      <c r="H1897" s="72" t="e">
        <f t="shared" si="30"/>
        <v>#REF!</v>
      </c>
    </row>
    <row r="1898" spans="2:8" hidden="1">
      <c r="B1898" s="68" t="str">
        <f>IF(OR($D$3=JU!$F1898,$D$3=JU!$I1898),JU!B1898,"")</f>
        <v/>
      </c>
      <c r="C1898" s="6" t="str">
        <f>IF(OR($D$3=JU!$F1898,$D$3=JU!$I1898),JU!C1898,"")</f>
        <v/>
      </c>
      <c r="D1898" s="73" t="str">
        <f>IF(OR($D$3=JU!$F1898,$D$3=JU!$I1898),JU!D1898,"")</f>
        <v/>
      </c>
      <c r="E1898" s="74" t="str">
        <f>IF(OR($D$3=JU!$F1898,$D$3=JU!$I1898),JU!E1898,"")</f>
        <v/>
      </c>
      <c r="F1898" s="72">
        <f>IF($D$3=JU!F1898,JU!H1898,0)</f>
        <v>0</v>
      </c>
      <c r="G1898" s="72">
        <f>IF($D$3=JU!I1898,JU!K1898,0)</f>
        <v>0</v>
      </c>
      <c r="H1898" s="72" t="e">
        <f t="shared" si="30"/>
        <v>#REF!</v>
      </c>
    </row>
    <row r="1899" spans="2:8" hidden="1">
      <c r="B1899" s="68" t="str">
        <f>IF(OR($D$3=JU!$F1899,$D$3=JU!$I1899),JU!B1899,"")</f>
        <v/>
      </c>
      <c r="C1899" s="6" t="str">
        <f>IF(OR($D$3=JU!$F1899,$D$3=JU!$I1899),JU!C1899,"")</f>
        <v/>
      </c>
      <c r="D1899" s="73" t="str">
        <f>IF(OR($D$3=JU!$F1899,$D$3=JU!$I1899),JU!D1899,"")</f>
        <v/>
      </c>
      <c r="E1899" s="74" t="str">
        <f>IF(OR($D$3=JU!$F1899,$D$3=JU!$I1899),JU!E1899,"")</f>
        <v/>
      </c>
      <c r="F1899" s="72">
        <f>IF($D$3=JU!F1899,JU!H1899,0)</f>
        <v>0</v>
      </c>
      <c r="G1899" s="72">
        <f>IF($D$3=JU!I1899,JU!K1899,0)</f>
        <v>0</v>
      </c>
      <c r="H1899" s="72" t="e">
        <f t="shared" si="30"/>
        <v>#REF!</v>
      </c>
    </row>
    <row r="1900" spans="2:8" hidden="1">
      <c r="B1900" s="68" t="str">
        <f>IF(OR($D$3=JU!$F1900,$D$3=JU!$I1900),JU!B1900,"")</f>
        <v/>
      </c>
      <c r="C1900" s="6" t="str">
        <f>IF(OR($D$3=JU!$F1900,$D$3=JU!$I1900),JU!C1900,"")</f>
        <v/>
      </c>
      <c r="D1900" s="73" t="str">
        <f>IF(OR($D$3=JU!$F1900,$D$3=JU!$I1900),JU!D1900,"")</f>
        <v/>
      </c>
      <c r="E1900" s="74" t="str">
        <f>IF(OR($D$3=JU!$F1900,$D$3=JU!$I1900),JU!E1900,"")</f>
        <v/>
      </c>
      <c r="F1900" s="72">
        <f>IF($D$3=JU!F1900,JU!H1900,0)</f>
        <v>0</v>
      </c>
      <c r="G1900" s="72">
        <f>IF($D$3=JU!I1900,JU!K1900,0)</f>
        <v>0</v>
      </c>
      <c r="H1900" s="72" t="e">
        <f t="shared" si="30"/>
        <v>#REF!</v>
      </c>
    </row>
    <row r="1901" spans="2:8" hidden="1">
      <c r="B1901" s="68" t="str">
        <f>IF(OR($D$3=JU!$F1901,$D$3=JU!$I1901),JU!B1901,"")</f>
        <v/>
      </c>
      <c r="C1901" s="6" t="str">
        <f>IF(OR($D$3=JU!$F1901,$D$3=JU!$I1901),JU!C1901,"")</f>
        <v/>
      </c>
      <c r="D1901" s="73" t="str">
        <f>IF(OR($D$3=JU!$F1901,$D$3=JU!$I1901),JU!D1901,"")</f>
        <v/>
      </c>
      <c r="E1901" s="74" t="str">
        <f>IF(OR($D$3=JU!$F1901,$D$3=JU!$I1901),JU!E1901,"")</f>
        <v/>
      </c>
      <c r="F1901" s="72">
        <f>IF($D$3=JU!F1901,JU!H1901,0)</f>
        <v>0</v>
      </c>
      <c r="G1901" s="72">
        <f>IF($D$3=JU!I1901,JU!K1901,0)</f>
        <v>0</v>
      </c>
      <c r="H1901" s="72" t="e">
        <f t="shared" si="30"/>
        <v>#REF!</v>
      </c>
    </row>
    <row r="1902" spans="2:8" hidden="1">
      <c r="B1902" s="68" t="str">
        <f>IF(OR($D$3=JU!$F1902,$D$3=JU!$I1902),JU!B1902,"")</f>
        <v/>
      </c>
      <c r="C1902" s="6" t="str">
        <f>IF(OR($D$3=JU!$F1902,$D$3=JU!$I1902),JU!C1902,"")</f>
        <v/>
      </c>
      <c r="D1902" s="73" t="str">
        <f>IF(OR($D$3=JU!$F1902,$D$3=JU!$I1902),JU!D1902,"")</f>
        <v/>
      </c>
      <c r="E1902" s="74" t="str">
        <f>IF(OR($D$3=JU!$F1902,$D$3=JU!$I1902),JU!E1902,"")</f>
        <v/>
      </c>
      <c r="F1902" s="72">
        <f>IF($D$3=JU!F1902,JU!H1902,0)</f>
        <v>0</v>
      </c>
      <c r="G1902" s="72">
        <f>IF($D$3=JU!I1902,JU!K1902,0)</f>
        <v>0</v>
      </c>
      <c r="H1902" s="72" t="e">
        <f t="shared" si="30"/>
        <v>#REF!</v>
      </c>
    </row>
    <row r="1903" spans="2:8" hidden="1">
      <c r="B1903" s="68" t="str">
        <f>IF(OR($D$3=JU!$F1903,$D$3=JU!$I1903),JU!B1903,"")</f>
        <v/>
      </c>
      <c r="C1903" s="6" t="str">
        <f>IF(OR($D$3=JU!$F1903,$D$3=JU!$I1903),JU!C1903,"")</f>
        <v/>
      </c>
      <c r="D1903" s="73" t="str">
        <f>IF(OR($D$3=JU!$F1903,$D$3=JU!$I1903),JU!D1903,"")</f>
        <v/>
      </c>
      <c r="E1903" s="74" t="str">
        <f>IF(OR($D$3=JU!$F1903,$D$3=JU!$I1903),JU!E1903,"")</f>
        <v/>
      </c>
      <c r="F1903" s="72">
        <f>IF($D$3=JU!F1903,JU!H1903,0)</f>
        <v>0</v>
      </c>
      <c r="G1903" s="72">
        <f>IF($D$3=JU!I1903,JU!K1903,0)</f>
        <v>0</v>
      </c>
      <c r="H1903" s="72" t="e">
        <f t="shared" si="30"/>
        <v>#REF!</v>
      </c>
    </row>
    <row r="1904" spans="2:8" hidden="1">
      <c r="B1904" s="68" t="str">
        <f>IF(OR($D$3=JU!$F1904,$D$3=JU!$I1904),JU!B1904,"")</f>
        <v/>
      </c>
      <c r="C1904" s="6" t="str">
        <f>IF(OR($D$3=JU!$F1904,$D$3=JU!$I1904),JU!C1904,"")</f>
        <v/>
      </c>
      <c r="D1904" s="73" t="str">
        <f>IF(OR($D$3=JU!$F1904,$D$3=JU!$I1904),JU!D1904,"")</f>
        <v/>
      </c>
      <c r="E1904" s="74" t="str">
        <f>IF(OR($D$3=JU!$F1904,$D$3=JU!$I1904),JU!E1904,"")</f>
        <v/>
      </c>
      <c r="F1904" s="72">
        <f>IF($D$3=JU!F1904,JU!H1904,0)</f>
        <v>0</v>
      </c>
      <c r="G1904" s="72">
        <f>IF($D$3=JU!I1904,JU!K1904,0)</f>
        <v>0</v>
      </c>
      <c r="H1904" s="72" t="e">
        <f t="shared" si="30"/>
        <v>#REF!</v>
      </c>
    </row>
    <row r="1905" spans="2:8" hidden="1">
      <c r="B1905" s="68" t="str">
        <f>IF(OR($D$3=JU!$F1905,$D$3=JU!$I1905),JU!B1905,"")</f>
        <v/>
      </c>
      <c r="C1905" s="6" t="str">
        <f>IF(OR($D$3=JU!$F1905,$D$3=JU!$I1905),JU!C1905,"")</f>
        <v/>
      </c>
      <c r="D1905" s="73" t="str">
        <f>IF(OR($D$3=JU!$F1905,$D$3=JU!$I1905),JU!D1905,"")</f>
        <v/>
      </c>
      <c r="E1905" s="74" t="str">
        <f>IF(OR($D$3=JU!$F1905,$D$3=JU!$I1905),JU!E1905,"")</f>
        <v/>
      </c>
      <c r="F1905" s="72">
        <f>IF($D$3=JU!F1905,JU!H1905,0)</f>
        <v>0</v>
      </c>
      <c r="G1905" s="72">
        <f>IF($D$3=JU!I1905,JU!K1905,0)</f>
        <v>0</v>
      </c>
      <c r="H1905" s="72" t="e">
        <f t="shared" si="30"/>
        <v>#REF!</v>
      </c>
    </row>
    <row r="1906" spans="2:8" hidden="1">
      <c r="B1906" s="68" t="str">
        <f>IF(OR($D$3=JU!$F1906,$D$3=JU!$I1906),JU!B1906,"")</f>
        <v/>
      </c>
      <c r="C1906" s="6" t="str">
        <f>IF(OR($D$3=JU!$F1906,$D$3=JU!$I1906),JU!C1906,"")</f>
        <v/>
      </c>
      <c r="D1906" s="73" t="str">
        <f>IF(OR($D$3=JU!$F1906,$D$3=JU!$I1906),JU!D1906,"")</f>
        <v/>
      </c>
      <c r="E1906" s="74" t="str">
        <f>IF(OR($D$3=JU!$F1906,$D$3=JU!$I1906),JU!E1906,"")</f>
        <v/>
      </c>
      <c r="F1906" s="72">
        <f>IF($D$3=JU!F1906,JU!H1906,0)</f>
        <v>0</v>
      </c>
      <c r="G1906" s="72">
        <f>IF($D$3=JU!I1906,JU!K1906,0)</f>
        <v>0</v>
      </c>
      <c r="H1906" s="72" t="e">
        <f t="shared" si="30"/>
        <v>#REF!</v>
      </c>
    </row>
    <row r="1907" spans="2:8" hidden="1">
      <c r="B1907" s="68" t="str">
        <f>IF(OR($D$3=JU!$F1907,$D$3=JU!$I1907),JU!B1907,"")</f>
        <v/>
      </c>
      <c r="C1907" s="6" t="str">
        <f>IF(OR($D$3=JU!$F1907,$D$3=JU!$I1907),JU!C1907,"")</f>
        <v/>
      </c>
      <c r="D1907" s="73" t="str">
        <f>IF(OR($D$3=JU!$F1907,$D$3=JU!$I1907),JU!D1907,"")</f>
        <v/>
      </c>
      <c r="E1907" s="74" t="str">
        <f>IF(OR($D$3=JU!$F1907,$D$3=JU!$I1907),JU!E1907,"")</f>
        <v/>
      </c>
      <c r="F1907" s="72">
        <f>IF($D$3=JU!F1907,JU!H1907,0)</f>
        <v>0</v>
      </c>
      <c r="G1907" s="72">
        <f>IF($D$3=JU!I1907,JU!K1907,0)</f>
        <v>0</v>
      </c>
      <c r="H1907" s="72" t="e">
        <f t="shared" si="30"/>
        <v>#REF!</v>
      </c>
    </row>
    <row r="1908" spans="2:8" hidden="1">
      <c r="B1908" s="68" t="str">
        <f>IF(OR($D$3=JU!$F1908,$D$3=JU!$I1908),JU!B1908,"")</f>
        <v/>
      </c>
      <c r="C1908" s="6" t="str">
        <f>IF(OR($D$3=JU!$F1908,$D$3=JU!$I1908),JU!C1908,"")</f>
        <v/>
      </c>
      <c r="D1908" s="73" t="str">
        <f>IF(OR($D$3=JU!$F1908,$D$3=JU!$I1908),JU!D1908,"")</f>
        <v/>
      </c>
      <c r="E1908" s="74" t="str">
        <f>IF(OR($D$3=JU!$F1908,$D$3=JU!$I1908),JU!E1908,"")</f>
        <v/>
      </c>
      <c r="F1908" s="72">
        <f>IF($D$3=JU!F1908,JU!H1908,0)</f>
        <v>0</v>
      </c>
      <c r="G1908" s="72">
        <f>IF($D$3=JU!I1908,JU!K1908,0)</f>
        <v>0</v>
      </c>
      <c r="H1908" s="72" t="e">
        <f t="shared" si="30"/>
        <v>#REF!</v>
      </c>
    </row>
    <row r="1909" spans="2:8" hidden="1">
      <c r="B1909" s="68" t="str">
        <f>IF(OR($D$3=JU!$F1909,$D$3=JU!$I1909),JU!B1909,"")</f>
        <v/>
      </c>
      <c r="C1909" s="6" t="str">
        <f>IF(OR($D$3=JU!$F1909,$D$3=JU!$I1909),JU!C1909,"")</f>
        <v/>
      </c>
      <c r="D1909" s="73" t="str">
        <f>IF(OR($D$3=JU!$F1909,$D$3=JU!$I1909),JU!D1909,"")</f>
        <v/>
      </c>
      <c r="E1909" s="74" t="str">
        <f>IF(OR($D$3=JU!$F1909,$D$3=JU!$I1909),JU!E1909,"")</f>
        <v/>
      </c>
      <c r="F1909" s="72">
        <f>IF($D$3=JU!F1909,JU!H1909,0)</f>
        <v>0</v>
      </c>
      <c r="G1909" s="72">
        <f>IF($D$3=JU!I1909,JU!K1909,0)</f>
        <v>0</v>
      </c>
      <c r="H1909" s="72" t="e">
        <f t="shared" si="30"/>
        <v>#REF!</v>
      </c>
    </row>
    <row r="1910" spans="2:8" hidden="1">
      <c r="B1910" s="68" t="str">
        <f>IF(OR($D$3=JU!$F1910,$D$3=JU!$I1910),JU!B1910,"")</f>
        <v/>
      </c>
      <c r="C1910" s="6" t="str">
        <f>IF(OR($D$3=JU!$F1910,$D$3=JU!$I1910),JU!C1910,"")</f>
        <v/>
      </c>
      <c r="D1910" s="73" t="str">
        <f>IF(OR($D$3=JU!$F1910,$D$3=JU!$I1910),JU!D1910,"")</f>
        <v/>
      </c>
      <c r="E1910" s="74" t="str">
        <f>IF(OR($D$3=JU!$F1910,$D$3=JU!$I1910),JU!E1910,"")</f>
        <v/>
      </c>
      <c r="F1910" s="72">
        <f>IF($D$3=JU!F1910,JU!H1910,0)</f>
        <v>0</v>
      </c>
      <c r="G1910" s="72">
        <f>IF($D$3=JU!I1910,JU!K1910,0)</f>
        <v>0</v>
      </c>
      <c r="H1910" s="72" t="e">
        <f t="shared" si="30"/>
        <v>#REF!</v>
      </c>
    </row>
    <row r="1911" spans="2:8" hidden="1">
      <c r="B1911" s="68" t="str">
        <f>IF(OR($D$3=JU!$F1911,$D$3=JU!$I1911),JU!B1911,"")</f>
        <v/>
      </c>
      <c r="C1911" s="6" t="str">
        <f>IF(OR($D$3=JU!$F1911,$D$3=JU!$I1911),JU!C1911,"")</f>
        <v/>
      </c>
      <c r="D1911" s="73" t="str">
        <f>IF(OR($D$3=JU!$F1911,$D$3=JU!$I1911),JU!D1911,"")</f>
        <v/>
      </c>
      <c r="E1911" s="74" t="str">
        <f>IF(OR($D$3=JU!$F1911,$D$3=JU!$I1911),JU!E1911,"")</f>
        <v/>
      </c>
      <c r="F1911" s="72">
        <f>IF($D$3=JU!F1911,JU!H1911,0)</f>
        <v>0</v>
      </c>
      <c r="G1911" s="72">
        <f>IF($D$3=JU!I1911,JU!K1911,0)</f>
        <v>0</v>
      </c>
      <c r="H1911" s="72" t="e">
        <f t="shared" si="30"/>
        <v>#REF!</v>
      </c>
    </row>
    <row r="1912" spans="2:8" hidden="1">
      <c r="B1912" s="68" t="str">
        <f>IF(OR($D$3=JU!$F1912,$D$3=JU!$I1912),JU!B1912,"")</f>
        <v/>
      </c>
      <c r="C1912" s="6" t="str">
        <f>IF(OR($D$3=JU!$F1912,$D$3=JU!$I1912),JU!C1912,"")</f>
        <v/>
      </c>
      <c r="D1912" s="73" t="str">
        <f>IF(OR($D$3=JU!$F1912,$D$3=JU!$I1912),JU!D1912,"")</f>
        <v/>
      </c>
      <c r="E1912" s="74" t="str">
        <f>IF(OR($D$3=JU!$F1912,$D$3=JU!$I1912),JU!E1912,"")</f>
        <v/>
      </c>
      <c r="F1912" s="72">
        <f>IF($D$3=JU!F1912,JU!H1912,0)</f>
        <v>0</v>
      </c>
      <c r="G1912" s="72">
        <f>IF($D$3=JU!I1912,JU!K1912,0)</f>
        <v>0</v>
      </c>
      <c r="H1912" s="72" t="e">
        <f t="shared" si="30"/>
        <v>#REF!</v>
      </c>
    </row>
    <row r="1913" spans="2:8" hidden="1">
      <c r="B1913" s="68" t="str">
        <f>IF(OR($D$3=JU!$F1913,$D$3=JU!$I1913),JU!B1913,"")</f>
        <v/>
      </c>
      <c r="C1913" s="6" t="str">
        <f>IF(OR($D$3=JU!$F1913,$D$3=JU!$I1913),JU!C1913,"")</f>
        <v/>
      </c>
      <c r="D1913" s="73" t="str">
        <f>IF(OR($D$3=JU!$F1913,$D$3=JU!$I1913),JU!D1913,"")</f>
        <v/>
      </c>
      <c r="E1913" s="74" t="str">
        <f>IF(OR($D$3=JU!$F1913,$D$3=JU!$I1913),JU!E1913,"")</f>
        <v/>
      </c>
      <c r="F1913" s="72">
        <f>IF($D$3=JU!F1913,JU!H1913,0)</f>
        <v>0</v>
      </c>
      <c r="G1913" s="72">
        <f>IF($D$3=JU!I1913,JU!K1913,0)</f>
        <v>0</v>
      </c>
      <c r="H1913" s="72" t="e">
        <f t="shared" si="30"/>
        <v>#REF!</v>
      </c>
    </row>
    <row r="1914" spans="2:8" hidden="1">
      <c r="B1914" s="68" t="str">
        <f>IF(OR($D$3=JU!$F1914,$D$3=JU!$I1914),JU!B1914,"")</f>
        <v/>
      </c>
      <c r="C1914" s="6" t="str">
        <f>IF(OR($D$3=JU!$F1914,$D$3=JU!$I1914),JU!C1914,"")</f>
        <v/>
      </c>
      <c r="D1914" s="73" t="str">
        <f>IF(OR($D$3=JU!$F1914,$D$3=JU!$I1914),JU!D1914,"")</f>
        <v/>
      </c>
      <c r="E1914" s="74" t="str">
        <f>IF(OR($D$3=JU!$F1914,$D$3=JU!$I1914),JU!E1914,"")</f>
        <v/>
      </c>
      <c r="F1914" s="72">
        <f>IF($D$3=JU!F1914,JU!H1914,0)</f>
        <v>0</v>
      </c>
      <c r="G1914" s="72">
        <f>IF($D$3=JU!I1914,JU!K1914,0)</f>
        <v>0</v>
      </c>
      <c r="H1914" s="72" t="e">
        <f t="shared" si="30"/>
        <v>#REF!</v>
      </c>
    </row>
    <row r="1915" spans="2:8" hidden="1">
      <c r="B1915" s="68" t="str">
        <f>IF(OR($D$3=JU!$F1915,$D$3=JU!$I1915),JU!B1915,"")</f>
        <v/>
      </c>
      <c r="C1915" s="6" t="str">
        <f>IF(OR($D$3=JU!$F1915,$D$3=JU!$I1915),JU!C1915,"")</f>
        <v/>
      </c>
      <c r="D1915" s="73" t="str">
        <f>IF(OR($D$3=JU!$F1915,$D$3=JU!$I1915),JU!D1915,"")</f>
        <v/>
      </c>
      <c r="E1915" s="74" t="str">
        <f>IF(OR($D$3=JU!$F1915,$D$3=JU!$I1915),JU!E1915,"")</f>
        <v/>
      </c>
      <c r="F1915" s="72">
        <f>IF($D$3=JU!F1915,JU!H1915,0)</f>
        <v>0</v>
      </c>
      <c r="G1915" s="72">
        <f>IF($D$3=JU!I1915,JU!K1915,0)</f>
        <v>0</v>
      </c>
      <c r="H1915" s="72" t="e">
        <f t="shared" si="30"/>
        <v>#REF!</v>
      </c>
    </row>
    <row r="1916" spans="2:8" hidden="1">
      <c r="B1916" s="68" t="str">
        <f>IF(OR($D$3=JU!$F1916,$D$3=JU!$I1916),JU!B1916,"")</f>
        <v/>
      </c>
      <c r="C1916" s="6" t="str">
        <f>IF(OR($D$3=JU!$F1916,$D$3=JU!$I1916),JU!C1916,"")</f>
        <v/>
      </c>
      <c r="D1916" s="73" t="str">
        <f>IF(OR($D$3=JU!$F1916,$D$3=JU!$I1916),JU!D1916,"")</f>
        <v/>
      </c>
      <c r="E1916" s="74" t="str">
        <f>IF(OR($D$3=JU!$F1916,$D$3=JU!$I1916),JU!E1916,"")</f>
        <v/>
      </c>
      <c r="F1916" s="72">
        <f>IF($D$3=JU!F1916,JU!H1916,0)</f>
        <v>0</v>
      </c>
      <c r="G1916" s="72">
        <f>IF($D$3=JU!I1916,JU!K1916,0)</f>
        <v>0</v>
      </c>
      <c r="H1916" s="72" t="e">
        <f t="shared" si="30"/>
        <v>#REF!</v>
      </c>
    </row>
    <row r="1917" spans="2:8" hidden="1">
      <c r="B1917" s="68" t="str">
        <f>IF(OR($D$3=JU!$F1917,$D$3=JU!$I1917),JU!B1917,"")</f>
        <v/>
      </c>
      <c r="C1917" s="6" t="str">
        <f>IF(OR($D$3=JU!$F1917,$D$3=JU!$I1917),JU!C1917,"")</f>
        <v/>
      </c>
      <c r="D1917" s="73" t="str">
        <f>IF(OR($D$3=JU!$F1917,$D$3=JU!$I1917),JU!D1917,"")</f>
        <v/>
      </c>
      <c r="E1917" s="74" t="str">
        <f>IF(OR($D$3=JU!$F1917,$D$3=JU!$I1917),JU!E1917,"")</f>
        <v/>
      </c>
      <c r="F1917" s="72">
        <f>IF($D$3=JU!F1917,JU!H1917,0)</f>
        <v>0</v>
      </c>
      <c r="G1917" s="72">
        <f>IF($D$3=JU!I1917,JU!K1917,0)</f>
        <v>0</v>
      </c>
      <c r="H1917" s="72" t="e">
        <f t="shared" si="30"/>
        <v>#REF!</v>
      </c>
    </row>
    <row r="1918" spans="2:8" hidden="1">
      <c r="B1918" s="68" t="str">
        <f>IF(OR($D$3=JU!$F1918,$D$3=JU!$I1918),JU!B1918,"")</f>
        <v/>
      </c>
      <c r="C1918" s="6" t="str">
        <f>IF(OR($D$3=JU!$F1918,$D$3=JU!$I1918),JU!C1918,"")</f>
        <v/>
      </c>
      <c r="D1918" s="73" t="str">
        <f>IF(OR($D$3=JU!$F1918,$D$3=JU!$I1918),JU!D1918,"")</f>
        <v/>
      </c>
      <c r="E1918" s="74" t="str">
        <f>IF(OR($D$3=JU!$F1918,$D$3=JU!$I1918),JU!E1918,"")</f>
        <v/>
      </c>
      <c r="F1918" s="72">
        <f>IF($D$3=JU!F1918,JU!H1918,0)</f>
        <v>0</v>
      </c>
      <c r="G1918" s="72">
        <f>IF($D$3=JU!I1918,JU!K1918,0)</f>
        <v>0</v>
      </c>
      <c r="H1918" s="72" t="e">
        <f t="shared" si="30"/>
        <v>#REF!</v>
      </c>
    </row>
    <row r="1919" spans="2:8" hidden="1">
      <c r="B1919" s="68" t="str">
        <f>IF(OR($D$3=JU!$F1919,$D$3=JU!$I1919),JU!B1919,"")</f>
        <v/>
      </c>
      <c r="C1919" s="6" t="str">
        <f>IF(OR($D$3=JU!$F1919,$D$3=JU!$I1919),JU!C1919,"")</f>
        <v/>
      </c>
      <c r="D1919" s="73" t="str">
        <f>IF(OR($D$3=JU!$F1919,$D$3=JU!$I1919),JU!D1919,"")</f>
        <v/>
      </c>
      <c r="E1919" s="74" t="str">
        <f>IF(OR($D$3=JU!$F1919,$D$3=JU!$I1919),JU!E1919,"")</f>
        <v/>
      </c>
      <c r="F1919" s="72">
        <f>IF($D$3=JU!F1919,JU!H1919,0)</f>
        <v>0</v>
      </c>
      <c r="G1919" s="72">
        <f>IF($D$3=JU!I1919,JU!K1919,0)</f>
        <v>0</v>
      </c>
      <c r="H1919" s="72" t="e">
        <f t="shared" si="30"/>
        <v>#REF!</v>
      </c>
    </row>
    <row r="1920" spans="2:8" hidden="1">
      <c r="B1920" s="68" t="str">
        <f>IF(OR($D$3=JU!$F1920,$D$3=JU!$I1920),JU!B1920,"")</f>
        <v/>
      </c>
      <c r="C1920" s="6" t="str">
        <f>IF(OR($D$3=JU!$F1920,$D$3=JU!$I1920),JU!C1920,"")</f>
        <v/>
      </c>
      <c r="D1920" s="73" t="str">
        <f>IF(OR($D$3=JU!$F1920,$D$3=JU!$I1920),JU!D1920,"")</f>
        <v/>
      </c>
      <c r="E1920" s="74" t="str">
        <f>IF(OR($D$3=JU!$F1920,$D$3=JU!$I1920),JU!E1920,"")</f>
        <v/>
      </c>
      <c r="F1920" s="72">
        <f>IF($D$3=JU!F1920,JU!H1920,0)</f>
        <v>0</v>
      </c>
      <c r="G1920" s="72">
        <f>IF($D$3=JU!I1920,JU!K1920,0)</f>
        <v>0</v>
      </c>
      <c r="H1920" s="72" t="e">
        <f t="shared" si="30"/>
        <v>#REF!</v>
      </c>
    </row>
    <row r="1921" spans="2:8" hidden="1">
      <c r="B1921" s="68" t="str">
        <f>IF(OR($D$3=JU!$F1921,$D$3=JU!$I1921),JU!B1921,"")</f>
        <v/>
      </c>
      <c r="C1921" s="6" t="str">
        <f>IF(OR($D$3=JU!$F1921,$D$3=JU!$I1921),JU!C1921,"")</f>
        <v/>
      </c>
      <c r="D1921" s="73" t="str">
        <f>IF(OR($D$3=JU!$F1921,$D$3=JU!$I1921),JU!D1921,"")</f>
        <v/>
      </c>
      <c r="E1921" s="74" t="str">
        <f>IF(OR($D$3=JU!$F1921,$D$3=JU!$I1921),JU!E1921,"")</f>
        <v/>
      </c>
      <c r="F1921" s="72">
        <f>IF($D$3=JU!F1921,JU!H1921,0)</f>
        <v>0</v>
      </c>
      <c r="G1921" s="72">
        <f>IF($D$3=JU!I1921,JU!K1921,0)</f>
        <v>0</v>
      </c>
      <c r="H1921" s="72" t="e">
        <f t="shared" si="30"/>
        <v>#REF!</v>
      </c>
    </row>
    <row r="1922" spans="2:8" hidden="1">
      <c r="B1922" s="68" t="str">
        <f>IF(OR($D$3=JU!$F1922,$D$3=JU!$I1922),JU!B1922,"")</f>
        <v/>
      </c>
      <c r="C1922" s="6" t="str">
        <f>IF(OR($D$3=JU!$F1922,$D$3=JU!$I1922),JU!C1922,"")</f>
        <v/>
      </c>
      <c r="D1922" s="73" t="str">
        <f>IF(OR($D$3=JU!$F1922,$D$3=JU!$I1922),JU!D1922,"")</f>
        <v/>
      </c>
      <c r="E1922" s="74" t="str">
        <f>IF(OR($D$3=JU!$F1922,$D$3=JU!$I1922),JU!E1922,"")</f>
        <v/>
      </c>
      <c r="F1922" s="72">
        <f>IF($D$3=JU!F1922,JU!H1922,0)</f>
        <v>0</v>
      </c>
      <c r="G1922" s="72">
        <f>IF($D$3=JU!I1922,JU!K1922,0)</f>
        <v>0</v>
      </c>
      <c r="H1922" s="72" t="e">
        <f t="shared" si="30"/>
        <v>#REF!</v>
      </c>
    </row>
    <row r="1923" spans="2:8" hidden="1">
      <c r="B1923" s="68" t="str">
        <f>IF(OR($D$3=JU!$F1923,$D$3=JU!$I1923),JU!B1923,"")</f>
        <v/>
      </c>
      <c r="C1923" s="6" t="str">
        <f>IF(OR($D$3=JU!$F1923,$D$3=JU!$I1923),JU!C1923,"")</f>
        <v/>
      </c>
      <c r="D1923" s="73" t="str">
        <f>IF(OR($D$3=JU!$F1923,$D$3=JU!$I1923),JU!D1923,"")</f>
        <v/>
      </c>
      <c r="E1923" s="74" t="str">
        <f>IF(OR($D$3=JU!$F1923,$D$3=JU!$I1923),JU!E1923,"")</f>
        <v/>
      </c>
      <c r="F1923" s="72">
        <f>IF($D$3=JU!F1923,JU!H1923,0)</f>
        <v>0</v>
      </c>
      <c r="G1923" s="72">
        <f>IF($D$3=JU!I1923,JU!K1923,0)</f>
        <v>0</v>
      </c>
      <c r="H1923" s="72" t="e">
        <f t="shared" si="30"/>
        <v>#REF!</v>
      </c>
    </row>
    <row r="1924" spans="2:8" hidden="1">
      <c r="B1924" s="68" t="str">
        <f>IF(OR($D$3=JU!$F1924,$D$3=JU!$I1924),JU!B1924,"")</f>
        <v/>
      </c>
      <c r="C1924" s="6" t="str">
        <f>IF(OR($D$3=JU!$F1924,$D$3=JU!$I1924),JU!C1924,"")</f>
        <v/>
      </c>
      <c r="D1924" s="73" t="str">
        <f>IF(OR($D$3=JU!$F1924,$D$3=JU!$I1924),JU!D1924,"")</f>
        <v/>
      </c>
      <c r="E1924" s="74" t="str">
        <f>IF(OR($D$3=JU!$F1924,$D$3=JU!$I1924),JU!E1924,"")</f>
        <v/>
      </c>
      <c r="F1924" s="72">
        <f>IF($D$3=JU!F1924,JU!H1924,0)</f>
        <v>0</v>
      </c>
      <c r="G1924" s="72">
        <f>IF($D$3=JU!I1924,JU!K1924,0)</f>
        <v>0</v>
      </c>
      <c r="H1924" s="72" t="e">
        <f t="shared" si="30"/>
        <v>#REF!</v>
      </c>
    </row>
    <row r="1925" spans="2:8" hidden="1">
      <c r="B1925" s="68" t="str">
        <f>IF(OR($D$3=JU!$F1925,$D$3=JU!$I1925),JU!B1925,"")</f>
        <v/>
      </c>
      <c r="C1925" s="6" t="str">
        <f>IF(OR($D$3=JU!$F1925,$D$3=JU!$I1925),JU!C1925,"")</f>
        <v/>
      </c>
      <c r="D1925" s="73" t="str">
        <f>IF(OR($D$3=JU!$F1925,$D$3=JU!$I1925),JU!D1925,"")</f>
        <v/>
      </c>
      <c r="E1925" s="74" t="str">
        <f>IF(OR($D$3=JU!$F1925,$D$3=JU!$I1925),JU!E1925,"")</f>
        <v/>
      </c>
      <c r="F1925" s="72">
        <f>IF($D$3=JU!F1925,JU!H1925,0)</f>
        <v>0</v>
      </c>
      <c r="G1925" s="72">
        <f>IF($D$3=JU!I1925,JU!K1925,0)</f>
        <v>0</v>
      </c>
      <c r="H1925" s="72" t="e">
        <f t="shared" si="30"/>
        <v>#REF!</v>
      </c>
    </row>
    <row r="1926" spans="2:8" hidden="1">
      <c r="B1926" s="68" t="str">
        <f>IF(OR($D$3=JU!$F1926,$D$3=JU!$I1926),JU!B1926,"")</f>
        <v/>
      </c>
      <c r="C1926" s="6" t="str">
        <f>IF(OR($D$3=JU!$F1926,$D$3=JU!$I1926),JU!C1926,"")</f>
        <v/>
      </c>
      <c r="D1926" s="73" t="str">
        <f>IF(OR($D$3=JU!$F1926,$D$3=JU!$I1926),JU!D1926,"")</f>
        <v/>
      </c>
      <c r="E1926" s="74" t="str">
        <f>IF(OR($D$3=JU!$F1926,$D$3=JU!$I1926),JU!E1926,"")</f>
        <v/>
      </c>
      <c r="F1926" s="72">
        <f>IF($D$3=JU!F1926,JU!H1926,0)</f>
        <v>0</v>
      </c>
      <c r="G1926" s="72">
        <f>IF($D$3=JU!I1926,JU!K1926,0)</f>
        <v>0</v>
      </c>
      <c r="H1926" s="72" t="e">
        <f t="shared" si="30"/>
        <v>#REF!</v>
      </c>
    </row>
    <row r="1927" spans="2:8" hidden="1">
      <c r="B1927" s="68" t="str">
        <f>IF(OR($D$3=JU!$F1927,$D$3=JU!$I1927),JU!B1927,"")</f>
        <v/>
      </c>
      <c r="C1927" s="6" t="str">
        <f>IF(OR($D$3=JU!$F1927,$D$3=JU!$I1927),JU!C1927,"")</f>
        <v/>
      </c>
      <c r="D1927" s="73" t="str">
        <f>IF(OR($D$3=JU!$F1927,$D$3=JU!$I1927),JU!D1927,"")</f>
        <v/>
      </c>
      <c r="E1927" s="74" t="str">
        <f>IF(OR($D$3=JU!$F1927,$D$3=JU!$I1927),JU!E1927,"")</f>
        <v/>
      </c>
      <c r="F1927" s="72">
        <f>IF($D$3=JU!F1927,JU!H1927,0)</f>
        <v>0</v>
      </c>
      <c r="G1927" s="72">
        <f>IF($D$3=JU!I1927,JU!K1927,0)</f>
        <v>0</v>
      </c>
      <c r="H1927" s="72" t="e">
        <f t="shared" si="30"/>
        <v>#REF!</v>
      </c>
    </row>
    <row r="1928" spans="2:8" hidden="1">
      <c r="B1928" s="68" t="str">
        <f>IF(OR($D$3=JU!$F1928,$D$3=JU!$I1928),JU!B1928,"")</f>
        <v/>
      </c>
      <c r="C1928" s="6" t="str">
        <f>IF(OR($D$3=JU!$F1928,$D$3=JU!$I1928),JU!C1928,"")</f>
        <v/>
      </c>
      <c r="D1928" s="73" t="str">
        <f>IF(OR($D$3=JU!$F1928,$D$3=JU!$I1928),JU!D1928,"")</f>
        <v/>
      </c>
      <c r="E1928" s="74" t="str">
        <f>IF(OR($D$3=JU!$F1928,$D$3=JU!$I1928),JU!E1928,"")</f>
        <v/>
      </c>
      <c r="F1928" s="72">
        <f>IF($D$3=JU!F1928,JU!H1928,0)</f>
        <v>0</v>
      </c>
      <c r="G1928" s="72">
        <f>IF($D$3=JU!I1928,JU!K1928,0)</f>
        <v>0</v>
      </c>
      <c r="H1928" s="72" t="e">
        <f t="shared" si="30"/>
        <v>#REF!</v>
      </c>
    </row>
    <row r="1929" spans="2:8" hidden="1">
      <c r="B1929" s="68" t="str">
        <f>IF(OR($D$3=JU!$F1929,$D$3=JU!$I1929),JU!B1929,"")</f>
        <v/>
      </c>
      <c r="C1929" s="6" t="str">
        <f>IF(OR($D$3=JU!$F1929,$D$3=JU!$I1929),JU!C1929,"")</f>
        <v/>
      </c>
      <c r="D1929" s="73" t="str">
        <f>IF(OR($D$3=JU!$F1929,$D$3=JU!$I1929),JU!D1929,"")</f>
        <v/>
      </c>
      <c r="E1929" s="74" t="str">
        <f>IF(OR($D$3=JU!$F1929,$D$3=JU!$I1929),JU!E1929,"")</f>
        <v/>
      </c>
      <c r="F1929" s="72">
        <f>IF($D$3=JU!F1929,JU!H1929,0)</f>
        <v>0</v>
      </c>
      <c r="G1929" s="72">
        <f>IF($D$3=JU!I1929,JU!K1929,0)</f>
        <v>0</v>
      </c>
      <c r="H1929" s="72" t="e">
        <f t="shared" si="30"/>
        <v>#REF!</v>
      </c>
    </row>
    <row r="1930" spans="2:8" hidden="1">
      <c r="B1930" s="68" t="str">
        <f>IF(OR($D$3=JU!$F1930,$D$3=JU!$I1930),JU!B1930,"")</f>
        <v/>
      </c>
      <c r="C1930" s="6" t="str">
        <f>IF(OR($D$3=JU!$F1930,$D$3=JU!$I1930),JU!C1930,"")</f>
        <v/>
      </c>
      <c r="D1930" s="73" t="str">
        <f>IF(OR($D$3=JU!$F1930,$D$3=JU!$I1930),JU!D1930,"")</f>
        <v/>
      </c>
      <c r="E1930" s="74" t="str">
        <f>IF(OR($D$3=JU!$F1930,$D$3=JU!$I1930),JU!E1930,"")</f>
        <v/>
      </c>
      <c r="F1930" s="72">
        <f>IF($D$3=JU!F1930,JU!H1930,0)</f>
        <v>0</v>
      </c>
      <c r="G1930" s="72">
        <f>IF($D$3=JU!I1930,JU!K1930,0)</f>
        <v>0</v>
      </c>
      <c r="H1930" s="72" t="e">
        <f t="shared" si="30"/>
        <v>#REF!</v>
      </c>
    </row>
    <row r="1931" spans="2:8" hidden="1">
      <c r="B1931" s="68" t="str">
        <f>IF(OR($D$3=JU!$F1931,$D$3=JU!$I1931),JU!B1931,"")</f>
        <v/>
      </c>
      <c r="C1931" s="6" t="str">
        <f>IF(OR($D$3=JU!$F1931,$D$3=JU!$I1931),JU!C1931,"")</f>
        <v/>
      </c>
      <c r="D1931" s="73" t="str">
        <f>IF(OR($D$3=JU!$F1931,$D$3=JU!$I1931),JU!D1931,"")</f>
        <v/>
      </c>
      <c r="E1931" s="74" t="str">
        <f>IF(OR($D$3=JU!$F1931,$D$3=JU!$I1931),JU!E1931,"")</f>
        <v/>
      </c>
      <c r="F1931" s="72">
        <f>IF($D$3=JU!F1931,JU!H1931,0)</f>
        <v>0</v>
      </c>
      <c r="G1931" s="72">
        <f>IF($D$3=JU!I1931,JU!K1931,0)</f>
        <v>0</v>
      </c>
      <c r="H1931" s="72" t="e">
        <f t="shared" si="30"/>
        <v>#REF!</v>
      </c>
    </row>
    <row r="1932" spans="2:8" hidden="1">
      <c r="B1932" s="68" t="str">
        <f>IF(OR($D$3=JU!$F1932,$D$3=JU!$I1932),JU!B1932,"")</f>
        <v/>
      </c>
      <c r="C1932" s="6" t="str">
        <f>IF(OR($D$3=JU!$F1932,$D$3=JU!$I1932),JU!C1932,"")</f>
        <v/>
      </c>
      <c r="D1932" s="73" t="str">
        <f>IF(OR($D$3=JU!$F1932,$D$3=JU!$I1932),JU!D1932,"")</f>
        <v/>
      </c>
      <c r="E1932" s="74" t="str">
        <f>IF(OR($D$3=JU!$F1932,$D$3=JU!$I1932),JU!E1932,"")</f>
        <v/>
      </c>
      <c r="F1932" s="72">
        <f>IF($D$3=JU!F1932,JU!H1932,0)</f>
        <v>0</v>
      </c>
      <c r="G1932" s="72">
        <f>IF($D$3=JU!I1932,JU!K1932,0)</f>
        <v>0</v>
      </c>
      <c r="H1932" s="72" t="e">
        <f t="shared" si="30"/>
        <v>#REF!</v>
      </c>
    </row>
    <row r="1933" spans="2:8" hidden="1">
      <c r="B1933" s="68" t="str">
        <f>IF(OR($D$3=JU!$F1933,$D$3=JU!$I1933),JU!B1933,"")</f>
        <v/>
      </c>
      <c r="C1933" s="6" t="str">
        <f>IF(OR($D$3=JU!$F1933,$D$3=JU!$I1933),JU!C1933,"")</f>
        <v/>
      </c>
      <c r="D1933" s="73" t="str">
        <f>IF(OR($D$3=JU!$F1933,$D$3=JU!$I1933),JU!D1933,"")</f>
        <v/>
      </c>
      <c r="E1933" s="74" t="str">
        <f>IF(OR($D$3=JU!$F1933,$D$3=JU!$I1933),JU!E1933,"")</f>
        <v/>
      </c>
      <c r="F1933" s="72">
        <f>IF($D$3=JU!F1933,JU!H1933,0)</f>
        <v>0</v>
      </c>
      <c r="G1933" s="72">
        <f>IF($D$3=JU!I1933,JU!K1933,0)</f>
        <v>0</v>
      </c>
      <c r="H1933" s="72" t="e">
        <f t="shared" si="30"/>
        <v>#REF!</v>
      </c>
    </row>
    <row r="1934" spans="2:8" hidden="1">
      <c r="B1934" s="68" t="str">
        <f>IF(OR($D$3=JU!$F1934,$D$3=JU!$I1934),JU!B1934,"")</f>
        <v/>
      </c>
      <c r="C1934" s="6" t="str">
        <f>IF(OR($D$3=JU!$F1934,$D$3=JU!$I1934),JU!C1934,"")</f>
        <v/>
      </c>
      <c r="D1934" s="73" t="str">
        <f>IF(OR($D$3=JU!$F1934,$D$3=JU!$I1934),JU!D1934,"")</f>
        <v/>
      </c>
      <c r="E1934" s="74" t="str">
        <f>IF(OR($D$3=JU!$F1934,$D$3=JU!$I1934),JU!E1934,"")</f>
        <v/>
      </c>
      <c r="F1934" s="72">
        <f>IF($D$3=JU!F1934,JU!H1934,0)</f>
        <v>0</v>
      </c>
      <c r="G1934" s="72">
        <f>IF($D$3=JU!I1934,JU!K1934,0)</f>
        <v>0</v>
      </c>
      <c r="H1934" s="72" t="e">
        <f t="shared" ref="H1934:H1997" si="31">IF($H$7="DEBET",H1933+F1934-G1934,H1933+G1934-F1934)</f>
        <v>#REF!</v>
      </c>
    </row>
    <row r="1935" spans="2:8" hidden="1">
      <c r="B1935" s="68" t="str">
        <f>IF(OR($D$3=JU!$F1935,$D$3=JU!$I1935),JU!B1935,"")</f>
        <v/>
      </c>
      <c r="C1935" s="6" t="str">
        <f>IF(OR($D$3=JU!$F1935,$D$3=JU!$I1935),JU!C1935,"")</f>
        <v/>
      </c>
      <c r="D1935" s="73" t="str">
        <f>IF(OR($D$3=JU!$F1935,$D$3=JU!$I1935),JU!D1935,"")</f>
        <v/>
      </c>
      <c r="E1935" s="74" t="str">
        <f>IF(OR($D$3=JU!$F1935,$D$3=JU!$I1935),JU!E1935,"")</f>
        <v/>
      </c>
      <c r="F1935" s="72">
        <f>IF($D$3=JU!F1935,JU!H1935,0)</f>
        <v>0</v>
      </c>
      <c r="G1935" s="72">
        <f>IF($D$3=JU!I1935,JU!K1935,0)</f>
        <v>0</v>
      </c>
      <c r="H1935" s="72" t="e">
        <f t="shared" si="31"/>
        <v>#REF!</v>
      </c>
    </row>
    <row r="1936" spans="2:8" hidden="1">
      <c r="B1936" s="68" t="str">
        <f>IF(OR($D$3=JU!$F1936,$D$3=JU!$I1936),JU!B1936,"")</f>
        <v/>
      </c>
      <c r="C1936" s="6" t="str">
        <f>IF(OR($D$3=JU!$F1936,$D$3=JU!$I1936),JU!C1936,"")</f>
        <v/>
      </c>
      <c r="D1936" s="73" t="str">
        <f>IF(OR($D$3=JU!$F1936,$D$3=JU!$I1936),JU!D1936,"")</f>
        <v/>
      </c>
      <c r="E1936" s="74" t="str">
        <f>IF(OR($D$3=JU!$F1936,$D$3=JU!$I1936),JU!E1936,"")</f>
        <v/>
      </c>
      <c r="F1936" s="72">
        <f>IF($D$3=JU!F1936,JU!H1936,0)</f>
        <v>0</v>
      </c>
      <c r="G1936" s="72">
        <f>IF($D$3=JU!I1936,JU!K1936,0)</f>
        <v>0</v>
      </c>
      <c r="H1936" s="72" t="e">
        <f t="shared" si="31"/>
        <v>#REF!</v>
      </c>
    </row>
    <row r="1937" spans="2:8" hidden="1">
      <c r="B1937" s="68" t="str">
        <f>IF(OR($D$3=JU!$F1937,$D$3=JU!$I1937),JU!B1937,"")</f>
        <v/>
      </c>
      <c r="C1937" s="6" t="str">
        <f>IF(OR($D$3=JU!$F1937,$D$3=JU!$I1937),JU!C1937,"")</f>
        <v/>
      </c>
      <c r="D1937" s="73" t="str">
        <f>IF(OR($D$3=JU!$F1937,$D$3=JU!$I1937),JU!D1937,"")</f>
        <v/>
      </c>
      <c r="E1937" s="74" t="str">
        <f>IF(OR($D$3=JU!$F1937,$D$3=JU!$I1937),JU!E1937,"")</f>
        <v/>
      </c>
      <c r="F1937" s="72">
        <f>IF($D$3=JU!F1937,JU!H1937,0)</f>
        <v>0</v>
      </c>
      <c r="G1937" s="72">
        <f>IF($D$3=JU!I1937,JU!K1937,0)</f>
        <v>0</v>
      </c>
      <c r="H1937" s="72" t="e">
        <f t="shared" si="31"/>
        <v>#REF!</v>
      </c>
    </row>
    <row r="1938" spans="2:8" hidden="1">
      <c r="B1938" s="68" t="str">
        <f>IF(OR($D$3=JU!$F1938,$D$3=JU!$I1938),JU!B1938,"")</f>
        <v/>
      </c>
      <c r="C1938" s="6" t="str">
        <f>IF(OR($D$3=JU!$F1938,$D$3=JU!$I1938),JU!C1938,"")</f>
        <v/>
      </c>
      <c r="D1938" s="73" t="str">
        <f>IF(OR($D$3=JU!$F1938,$D$3=JU!$I1938),JU!D1938,"")</f>
        <v/>
      </c>
      <c r="E1938" s="74" t="str">
        <f>IF(OR($D$3=JU!$F1938,$D$3=JU!$I1938),JU!E1938,"")</f>
        <v/>
      </c>
      <c r="F1938" s="72">
        <f>IF($D$3=JU!F1938,JU!H1938,0)</f>
        <v>0</v>
      </c>
      <c r="G1938" s="72">
        <f>IF($D$3=JU!I1938,JU!K1938,0)</f>
        <v>0</v>
      </c>
      <c r="H1938" s="72" t="e">
        <f t="shared" si="31"/>
        <v>#REF!</v>
      </c>
    </row>
    <row r="1939" spans="2:8" hidden="1">
      <c r="B1939" s="68" t="str">
        <f>IF(OR($D$3=JU!$F1939,$D$3=JU!$I1939),JU!B1939,"")</f>
        <v/>
      </c>
      <c r="C1939" s="6" t="str">
        <f>IF(OR($D$3=JU!$F1939,$D$3=JU!$I1939),JU!C1939,"")</f>
        <v/>
      </c>
      <c r="D1939" s="73" t="str">
        <f>IF(OR($D$3=JU!$F1939,$D$3=JU!$I1939),JU!D1939,"")</f>
        <v/>
      </c>
      <c r="E1939" s="74" t="str">
        <f>IF(OR($D$3=JU!$F1939,$D$3=JU!$I1939),JU!E1939,"")</f>
        <v/>
      </c>
      <c r="F1939" s="72">
        <f>IF($D$3=JU!F1939,JU!H1939,0)</f>
        <v>0</v>
      </c>
      <c r="G1939" s="72">
        <f>IF($D$3=JU!I1939,JU!K1939,0)</f>
        <v>0</v>
      </c>
      <c r="H1939" s="72" t="e">
        <f t="shared" si="31"/>
        <v>#REF!</v>
      </c>
    </row>
    <row r="1940" spans="2:8" hidden="1">
      <c r="B1940" s="68" t="str">
        <f>IF(OR($D$3=JU!$F1940,$D$3=JU!$I1940),JU!B1940,"")</f>
        <v/>
      </c>
      <c r="C1940" s="6" t="str">
        <f>IF(OR($D$3=JU!$F1940,$D$3=JU!$I1940),JU!C1940,"")</f>
        <v/>
      </c>
      <c r="D1940" s="73" t="str">
        <f>IF(OR($D$3=JU!$F1940,$D$3=JU!$I1940),JU!D1940,"")</f>
        <v/>
      </c>
      <c r="E1940" s="74" t="str">
        <f>IF(OR($D$3=JU!$F1940,$D$3=JU!$I1940),JU!E1940,"")</f>
        <v/>
      </c>
      <c r="F1940" s="72">
        <f>IF($D$3=JU!F1940,JU!H1940,0)</f>
        <v>0</v>
      </c>
      <c r="G1940" s="72">
        <f>IF($D$3=JU!I1940,JU!K1940,0)</f>
        <v>0</v>
      </c>
      <c r="H1940" s="72" t="e">
        <f t="shared" si="31"/>
        <v>#REF!</v>
      </c>
    </row>
    <row r="1941" spans="2:8" hidden="1">
      <c r="B1941" s="68" t="str">
        <f>IF(OR($D$3=JU!$F1941,$D$3=JU!$I1941),JU!B1941,"")</f>
        <v/>
      </c>
      <c r="C1941" s="6" t="str">
        <f>IF(OR($D$3=JU!$F1941,$D$3=JU!$I1941),JU!C1941,"")</f>
        <v/>
      </c>
      <c r="D1941" s="73" t="str">
        <f>IF(OR($D$3=JU!$F1941,$D$3=JU!$I1941),JU!D1941,"")</f>
        <v/>
      </c>
      <c r="E1941" s="74" t="str">
        <f>IF(OR($D$3=JU!$F1941,$D$3=JU!$I1941),JU!E1941,"")</f>
        <v/>
      </c>
      <c r="F1941" s="72">
        <f>IF($D$3=JU!F1941,JU!H1941,0)</f>
        <v>0</v>
      </c>
      <c r="G1941" s="72">
        <f>IF($D$3=JU!I1941,JU!K1941,0)</f>
        <v>0</v>
      </c>
      <c r="H1941" s="72" t="e">
        <f t="shared" si="31"/>
        <v>#REF!</v>
      </c>
    </row>
    <row r="1942" spans="2:8" hidden="1">
      <c r="B1942" s="68" t="str">
        <f>IF(OR($D$3=JU!$F1942,$D$3=JU!$I1942),JU!B1942,"")</f>
        <v/>
      </c>
      <c r="C1942" s="6" t="str">
        <f>IF(OR($D$3=JU!$F1942,$D$3=JU!$I1942),JU!C1942,"")</f>
        <v/>
      </c>
      <c r="D1942" s="73" t="str">
        <f>IF(OR($D$3=JU!$F1942,$D$3=JU!$I1942),JU!D1942,"")</f>
        <v/>
      </c>
      <c r="E1942" s="74" t="str">
        <f>IF(OR($D$3=JU!$F1942,$D$3=JU!$I1942),JU!E1942,"")</f>
        <v/>
      </c>
      <c r="F1942" s="72">
        <f>IF($D$3=JU!F1942,JU!H1942,0)</f>
        <v>0</v>
      </c>
      <c r="G1942" s="72">
        <f>IF($D$3=JU!I1942,JU!K1942,0)</f>
        <v>0</v>
      </c>
      <c r="H1942" s="72" t="e">
        <f t="shared" si="31"/>
        <v>#REF!</v>
      </c>
    </row>
    <row r="1943" spans="2:8" hidden="1">
      <c r="B1943" s="68" t="str">
        <f>IF(OR($D$3=JU!$F1943,$D$3=JU!$I1943),JU!B1943,"")</f>
        <v/>
      </c>
      <c r="C1943" s="6" t="str">
        <f>IF(OR($D$3=JU!$F1943,$D$3=JU!$I1943),JU!C1943,"")</f>
        <v/>
      </c>
      <c r="D1943" s="73" t="str">
        <f>IF(OR($D$3=JU!$F1943,$D$3=JU!$I1943),JU!D1943,"")</f>
        <v/>
      </c>
      <c r="E1943" s="74" t="str">
        <f>IF(OR($D$3=JU!$F1943,$D$3=JU!$I1943),JU!E1943,"")</f>
        <v/>
      </c>
      <c r="F1943" s="72">
        <f>IF($D$3=JU!F1943,JU!H1943,0)</f>
        <v>0</v>
      </c>
      <c r="G1943" s="72">
        <f>IF($D$3=JU!I1943,JU!K1943,0)</f>
        <v>0</v>
      </c>
      <c r="H1943" s="72" t="e">
        <f t="shared" si="31"/>
        <v>#REF!</v>
      </c>
    </row>
    <row r="1944" spans="2:8" hidden="1">
      <c r="B1944" s="68" t="str">
        <f>IF(OR($D$3=JU!$F1944,$D$3=JU!$I1944),JU!B1944,"")</f>
        <v/>
      </c>
      <c r="C1944" s="6" t="str">
        <f>IF(OR($D$3=JU!$F1944,$D$3=JU!$I1944),JU!C1944,"")</f>
        <v/>
      </c>
      <c r="D1944" s="73" t="str">
        <f>IF(OR($D$3=JU!$F1944,$D$3=JU!$I1944),JU!D1944,"")</f>
        <v/>
      </c>
      <c r="E1944" s="74" t="str">
        <f>IF(OR($D$3=JU!$F1944,$D$3=JU!$I1944),JU!E1944,"")</f>
        <v/>
      </c>
      <c r="F1944" s="72">
        <f>IF($D$3=JU!F1944,JU!H1944,0)</f>
        <v>0</v>
      </c>
      <c r="G1944" s="72">
        <f>IF($D$3=JU!I1944,JU!K1944,0)</f>
        <v>0</v>
      </c>
      <c r="H1944" s="72" t="e">
        <f t="shared" si="31"/>
        <v>#REF!</v>
      </c>
    </row>
    <row r="1945" spans="2:8" hidden="1">
      <c r="B1945" s="68" t="str">
        <f>IF(OR($D$3=JU!$F1945,$D$3=JU!$I1945),JU!B1945,"")</f>
        <v/>
      </c>
      <c r="C1945" s="6" t="str">
        <f>IF(OR($D$3=JU!$F1945,$D$3=JU!$I1945),JU!C1945,"")</f>
        <v/>
      </c>
      <c r="D1945" s="73" t="str">
        <f>IF(OR($D$3=JU!$F1945,$D$3=JU!$I1945),JU!D1945,"")</f>
        <v/>
      </c>
      <c r="E1945" s="74" t="str">
        <f>IF(OR($D$3=JU!$F1945,$D$3=JU!$I1945),JU!E1945,"")</f>
        <v/>
      </c>
      <c r="F1945" s="72">
        <f>IF($D$3=JU!F1945,JU!H1945,0)</f>
        <v>0</v>
      </c>
      <c r="G1945" s="72">
        <f>IF($D$3=JU!I1945,JU!K1945,0)</f>
        <v>0</v>
      </c>
      <c r="H1945" s="72" t="e">
        <f t="shared" si="31"/>
        <v>#REF!</v>
      </c>
    </row>
    <row r="1946" spans="2:8" hidden="1">
      <c r="B1946" s="68" t="str">
        <f>IF(OR($D$3=JU!$F1946,$D$3=JU!$I1946),JU!B1946,"")</f>
        <v/>
      </c>
      <c r="C1946" s="6" t="str">
        <f>IF(OR($D$3=JU!$F1946,$D$3=JU!$I1946),JU!C1946,"")</f>
        <v/>
      </c>
      <c r="D1946" s="73" t="str">
        <f>IF(OR($D$3=JU!$F1946,$D$3=JU!$I1946),JU!D1946,"")</f>
        <v/>
      </c>
      <c r="E1946" s="74" t="str">
        <f>IF(OR($D$3=JU!$F1946,$D$3=JU!$I1946),JU!E1946,"")</f>
        <v/>
      </c>
      <c r="F1946" s="72">
        <f>IF($D$3=JU!F1946,JU!H1946,0)</f>
        <v>0</v>
      </c>
      <c r="G1946" s="72">
        <f>IF($D$3=JU!I1946,JU!K1946,0)</f>
        <v>0</v>
      </c>
      <c r="H1946" s="72" t="e">
        <f t="shared" si="31"/>
        <v>#REF!</v>
      </c>
    </row>
    <row r="1947" spans="2:8" hidden="1">
      <c r="B1947" s="68" t="str">
        <f>IF(OR($D$3=JU!$F1947,$D$3=JU!$I1947),JU!B1947,"")</f>
        <v/>
      </c>
      <c r="C1947" s="6" t="str">
        <f>IF(OR($D$3=JU!$F1947,$D$3=JU!$I1947),JU!C1947,"")</f>
        <v/>
      </c>
      <c r="D1947" s="73" t="str">
        <f>IF(OR($D$3=JU!$F1947,$D$3=JU!$I1947),JU!D1947,"")</f>
        <v/>
      </c>
      <c r="E1947" s="74" t="str">
        <f>IF(OR($D$3=JU!$F1947,$D$3=JU!$I1947),JU!E1947,"")</f>
        <v/>
      </c>
      <c r="F1947" s="72">
        <f>IF($D$3=JU!F1947,JU!H1947,0)</f>
        <v>0</v>
      </c>
      <c r="G1947" s="72">
        <f>IF($D$3=JU!I1947,JU!K1947,0)</f>
        <v>0</v>
      </c>
      <c r="H1947" s="72" t="e">
        <f t="shared" si="31"/>
        <v>#REF!</v>
      </c>
    </row>
    <row r="1948" spans="2:8" hidden="1">
      <c r="B1948" s="68" t="str">
        <f>IF(OR($D$3=JU!$F1948,$D$3=JU!$I1948),JU!B1948,"")</f>
        <v/>
      </c>
      <c r="C1948" s="6" t="str">
        <f>IF(OR($D$3=JU!$F1948,$D$3=JU!$I1948),JU!C1948,"")</f>
        <v/>
      </c>
      <c r="D1948" s="73" t="str">
        <f>IF(OR($D$3=JU!$F1948,$D$3=JU!$I1948),JU!D1948,"")</f>
        <v/>
      </c>
      <c r="E1948" s="74" t="str">
        <f>IF(OR($D$3=JU!$F1948,$D$3=JU!$I1948),JU!E1948,"")</f>
        <v/>
      </c>
      <c r="F1948" s="72">
        <f>IF($D$3=JU!F1948,JU!H1948,0)</f>
        <v>0</v>
      </c>
      <c r="G1948" s="72">
        <f>IF($D$3=JU!I1948,JU!K1948,0)</f>
        <v>0</v>
      </c>
      <c r="H1948" s="72" t="e">
        <f t="shared" si="31"/>
        <v>#REF!</v>
      </c>
    </row>
    <row r="1949" spans="2:8" hidden="1">
      <c r="B1949" s="68" t="str">
        <f>IF(OR($D$3=JU!$F1949,$D$3=JU!$I1949),JU!B1949,"")</f>
        <v/>
      </c>
      <c r="C1949" s="6" t="str">
        <f>IF(OR($D$3=JU!$F1949,$D$3=JU!$I1949),JU!C1949,"")</f>
        <v/>
      </c>
      <c r="D1949" s="73" t="str">
        <f>IF(OR($D$3=JU!$F1949,$D$3=JU!$I1949),JU!D1949,"")</f>
        <v/>
      </c>
      <c r="E1949" s="74" t="str">
        <f>IF(OR($D$3=JU!$F1949,$D$3=JU!$I1949),JU!E1949,"")</f>
        <v/>
      </c>
      <c r="F1949" s="72">
        <f>IF($D$3=JU!F1949,JU!H1949,0)</f>
        <v>0</v>
      </c>
      <c r="G1949" s="72">
        <f>IF($D$3=JU!I1949,JU!K1949,0)</f>
        <v>0</v>
      </c>
      <c r="H1949" s="72" t="e">
        <f t="shared" si="31"/>
        <v>#REF!</v>
      </c>
    </row>
    <row r="1950" spans="2:8" hidden="1">
      <c r="B1950" s="68" t="str">
        <f>IF(OR($D$3=JU!$F1950,$D$3=JU!$I1950),JU!B1950,"")</f>
        <v/>
      </c>
      <c r="C1950" s="6" t="str">
        <f>IF(OR($D$3=JU!$F1950,$D$3=JU!$I1950),JU!C1950,"")</f>
        <v/>
      </c>
      <c r="D1950" s="73" t="str">
        <f>IF(OR($D$3=JU!$F1950,$D$3=JU!$I1950),JU!D1950,"")</f>
        <v/>
      </c>
      <c r="E1950" s="74" t="str">
        <f>IF(OR($D$3=JU!$F1950,$D$3=JU!$I1950),JU!E1950,"")</f>
        <v/>
      </c>
      <c r="F1950" s="72">
        <f>IF($D$3=JU!F1950,JU!H1950,0)</f>
        <v>0</v>
      </c>
      <c r="G1950" s="72">
        <f>IF($D$3=JU!I1950,JU!K1950,0)</f>
        <v>0</v>
      </c>
      <c r="H1950" s="72" t="e">
        <f t="shared" si="31"/>
        <v>#REF!</v>
      </c>
    </row>
    <row r="1951" spans="2:8" hidden="1">
      <c r="B1951" s="68" t="str">
        <f>IF(OR($D$3=JU!$F1951,$D$3=JU!$I1951),JU!B1951,"")</f>
        <v/>
      </c>
      <c r="C1951" s="6" t="str">
        <f>IF(OR($D$3=JU!$F1951,$D$3=JU!$I1951),JU!C1951,"")</f>
        <v/>
      </c>
      <c r="D1951" s="73" t="str">
        <f>IF(OR($D$3=JU!$F1951,$D$3=JU!$I1951),JU!D1951,"")</f>
        <v/>
      </c>
      <c r="E1951" s="74" t="str">
        <f>IF(OR($D$3=JU!$F1951,$D$3=JU!$I1951),JU!E1951,"")</f>
        <v/>
      </c>
      <c r="F1951" s="72">
        <f>IF($D$3=JU!F1951,JU!H1951,0)</f>
        <v>0</v>
      </c>
      <c r="G1951" s="72">
        <f>IF($D$3=JU!I1951,JU!K1951,0)</f>
        <v>0</v>
      </c>
      <c r="H1951" s="72" t="e">
        <f t="shared" si="31"/>
        <v>#REF!</v>
      </c>
    </row>
    <row r="1952" spans="2:8" hidden="1">
      <c r="B1952" s="68" t="str">
        <f>IF(OR($D$3=JU!$F1952,$D$3=JU!$I1952),JU!B1952,"")</f>
        <v/>
      </c>
      <c r="C1952" s="6" t="str">
        <f>IF(OR($D$3=JU!$F1952,$D$3=JU!$I1952),JU!C1952,"")</f>
        <v/>
      </c>
      <c r="D1952" s="73" t="str">
        <f>IF(OR($D$3=JU!$F1952,$D$3=JU!$I1952),JU!D1952,"")</f>
        <v/>
      </c>
      <c r="E1952" s="74" t="str">
        <f>IF(OR($D$3=JU!$F1952,$D$3=JU!$I1952),JU!E1952,"")</f>
        <v/>
      </c>
      <c r="F1952" s="72">
        <f>IF($D$3=JU!F1952,JU!H1952,0)</f>
        <v>0</v>
      </c>
      <c r="G1952" s="72">
        <f>IF($D$3=JU!I1952,JU!K1952,0)</f>
        <v>0</v>
      </c>
      <c r="H1952" s="72" t="e">
        <f t="shared" si="31"/>
        <v>#REF!</v>
      </c>
    </row>
    <row r="1953" spans="2:8" hidden="1">
      <c r="B1953" s="68" t="str">
        <f>IF(OR($D$3=JU!$F1953,$D$3=JU!$I1953),JU!B1953,"")</f>
        <v/>
      </c>
      <c r="C1953" s="6" t="str">
        <f>IF(OR($D$3=JU!$F1953,$D$3=JU!$I1953),JU!C1953,"")</f>
        <v/>
      </c>
      <c r="D1953" s="73" t="str">
        <f>IF(OR($D$3=JU!$F1953,$D$3=JU!$I1953),JU!D1953,"")</f>
        <v/>
      </c>
      <c r="E1953" s="74" t="str">
        <f>IF(OR($D$3=JU!$F1953,$D$3=JU!$I1953),JU!E1953,"")</f>
        <v/>
      </c>
      <c r="F1953" s="72">
        <f>IF($D$3=JU!F1953,JU!H1953,0)</f>
        <v>0</v>
      </c>
      <c r="G1953" s="72">
        <f>IF($D$3=JU!I1953,JU!K1953,0)</f>
        <v>0</v>
      </c>
      <c r="H1953" s="72" t="e">
        <f t="shared" si="31"/>
        <v>#REF!</v>
      </c>
    </row>
    <row r="1954" spans="2:8" hidden="1">
      <c r="B1954" s="68" t="str">
        <f>IF(OR($D$3=JU!$F1954,$D$3=JU!$I1954),JU!B1954,"")</f>
        <v/>
      </c>
      <c r="C1954" s="6" t="str">
        <f>IF(OR($D$3=JU!$F1954,$D$3=JU!$I1954),JU!C1954,"")</f>
        <v/>
      </c>
      <c r="D1954" s="73" t="str">
        <f>IF(OR($D$3=JU!$F1954,$D$3=JU!$I1954),JU!D1954,"")</f>
        <v/>
      </c>
      <c r="E1954" s="74" t="str">
        <f>IF(OR($D$3=JU!$F1954,$D$3=JU!$I1954),JU!E1954,"")</f>
        <v/>
      </c>
      <c r="F1954" s="72">
        <f>IF($D$3=JU!F1954,JU!H1954,0)</f>
        <v>0</v>
      </c>
      <c r="G1954" s="72">
        <f>IF($D$3=JU!I1954,JU!K1954,0)</f>
        <v>0</v>
      </c>
      <c r="H1954" s="72" t="e">
        <f t="shared" si="31"/>
        <v>#REF!</v>
      </c>
    </row>
    <row r="1955" spans="2:8" hidden="1">
      <c r="B1955" s="68" t="str">
        <f>IF(OR($D$3=JU!$F1955,$D$3=JU!$I1955),JU!B1955,"")</f>
        <v/>
      </c>
      <c r="C1955" s="6" t="str">
        <f>IF(OR($D$3=JU!$F1955,$D$3=JU!$I1955),JU!C1955,"")</f>
        <v/>
      </c>
      <c r="D1955" s="73" t="str">
        <f>IF(OR($D$3=JU!$F1955,$D$3=JU!$I1955),JU!D1955,"")</f>
        <v/>
      </c>
      <c r="E1955" s="74" t="str">
        <f>IF(OR($D$3=JU!$F1955,$D$3=JU!$I1955),JU!E1955,"")</f>
        <v/>
      </c>
      <c r="F1955" s="72">
        <f>IF($D$3=JU!F1955,JU!H1955,0)</f>
        <v>0</v>
      </c>
      <c r="G1955" s="72">
        <f>IF($D$3=JU!I1955,JU!K1955,0)</f>
        <v>0</v>
      </c>
      <c r="H1955" s="72" t="e">
        <f t="shared" si="31"/>
        <v>#REF!</v>
      </c>
    </row>
    <row r="1956" spans="2:8" hidden="1">
      <c r="B1956" s="68" t="str">
        <f>IF(OR($D$3=JU!$F1956,$D$3=JU!$I1956),JU!B1956,"")</f>
        <v/>
      </c>
      <c r="C1956" s="6" t="str">
        <f>IF(OR($D$3=JU!$F1956,$D$3=JU!$I1956),JU!C1956,"")</f>
        <v/>
      </c>
      <c r="D1956" s="73" t="str">
        <f>IF(OR($D$3=JU!$F1956,$D$3=JU!$I1956),JU!D1956,"")</f>
        <v/>
      </c>
      <c r="E1956" s="74" t="str">
        <f>IF(OR($D$3=JU!$F1956,$D$3=JU!$I1956),JU!E1956,"")</f>
        <v/>
      </c>
      <c r="F1956" s="72">
        <f>IF($D$3=JU!F1956,JU!H1956,0)</f>
        <v>0</v>
      </c>
      <c r="G1956" s="72">
        <f>IF($D$3=JU!I1956,JU!K1956,0)</f>
        <v>0</v>
      </c>
      <c r="H1956" s="72" t="e">
        <f t="shared" si="31"/>
        <v>#REF!</v>
      </c>
    </row>
    <row r="1957" spans="2:8" hidden="1">
      <c r="B1957" s="68" t="str">
        <f>IF(OR($D$3=JU!$F1957,$D$3=JU!$I1957),JU!B1957,"")</f>
        <v/>
      </c>
      <c r="C1957" s="6" t="str">
        <f>IF(OR($D$3=JU!$F1957,$D$3=JU!$I1957),JU!C1957,"")</f>
        <v/>
      </c>
      <c r="D1957" s="73" t="str">
        <f>IF(OR($D$3=JU!$F1957,$D$3=JU!$I1957),JU!D1957,"")</f>
        <v/>
      </c>
      <c r="E1957" s="74" t="str">
        <f>IF(OR($D$3=JU!$F1957,$D$3=JU!$I1957),JU!E1957,"")</f>
        <v/>
      </c>
      <c r="F1957" s="72">
        <f>IF($D$3=JU!F1957,JU!H1957,0)</f>
        <v>0</v>
      </c>
      <c r="G1957" s="72">
        <f>IF($D$3=JU!I1957,JU!K1957,0)</f>
        <v>0</v>
      </c>
      <c r="H1957" s="72" t="e">
        <f t="shared" si="31"/>
        <v>#REF!</v>
      </c>
    </row>
    <row r="1958" spans="2:8" hidden="1">
      <c r="B1958" s="68" t="str">
        <f>IF(OR($D$3=JU!$F1958,$D$3=JU!$I1958),JU!B1958,"")</f>
        <v/>
      </c>
      <c r="C1958" s="6" t="str">
        <f>IF(OR($D$3=JU!$F1958,$D$3=JU!$I1958),JU!C1958,"")</f>
        <v/>
      </c>
      <c r="D1958" s="73" t="str">
        <f>IF(OR($D$3=JU!$F1958,$D$3=JU!$I1958),JU!D1958,"")</f>
        <v/>
      </c>
      <c r="E1958" s="74" t="str">
        <f>IF(OR($D$3=JU!$F1958,$D$3=JU!$I1958),JU!E1958,"")</f>
        <v/>
      </c>
      <c r="F1958" s="72">
        <f>IF($D$3=JU!F1958,JU!H1958,0)</f>
        <v>0</v>
      </c>
      <c r="G1958" s="72">
        <f>IF($D$3=JU!I1958,JU!K1958,0)</f>
        <v>0</v>
      </c>
      <c r="H1958" s="72" t="e">
        <f t="shared" si="31"/>
        <v>#REF!</v>
      </c>
    </row>
    <row r="1959" spans="2:8" hidden="1">
      <c r="B1959" s="68" t="str">
        <f>IF(OR($D$3=JU!$F1959,$D$3=JU!$I1959),JU!B1959,"")</f>
        <v/>
      </c>
      <c r="C1959" s="6" t="str">
        <f>IF(OR($D$3=JU!$F1959,$D$3=JU!$I1959),JU!C1959,"")</f>
        <v/>
      </c>
      <c r="D1959" s="73" t="str">
        <f>IF(OR($D$3=JU!$F1959,$D$3=JU!$I1959),JU!D1959,"")</f>
        <v/>
      </c>
      <c r="E1959" s="74" t="str">
        <f>IF(OR($D$3=JU!$F1959,$D$3=JU!$I1959),JU!E1959,"")</f>
        <v/>
      </c>
      <c r="F1959" s="72">
        <f>IF($D$3=JU!F1959,JU!H1959,0)</f>
        <v>0</v>
      </c>
      <c r="G1959" s="72">
        <f>IF($D$3=JU!I1959,JU!K1959,0)</f>
        <v>0</v>
      </c>
      <c r="H1959" s="72" t="e">
        <f t="shared" si="31"/>
        <v>#REF!</v>
      </c>
    </row>
    <row r="1960" spans="2:8" hidden="1">
      <c r="B1960" s="68" t="str">
        <f>IF(OR($D$3=JU!$F1960,$D$3=JU!$I1960),JU!B1960,"")</f>
        <v/>
      </c>
      <c r="C1960" s="6" t="str">
        <f>IF(OR($D$3=JU!$F1960,$D$3=JU!$I1960),JU!C1960,"")</f>
        <v/>
      </c>
      <c r="D1960" s="73" t="str">
        <f>IF(OR($D$3=JU!$F1960,$D$3=JU!$I1960),JU!D1960,"")</f>
        <v/>
      </c>
      <c r="E1960" s="74" t="str">
        <f>IF(OR($D$3=JU!$F1960,$D$3=JU!$I1960),JU!E1960,"")</f>
        <v/>
      </c>
      <c r="F1960" s="72">
        <f>IF($D$3=JU!F1960,JU!H1960,0)</f>
        <v>0</v>
      </c>
      <c r="G1960" s="72">
        <f>IF($D$3=JU!I1960,JU!K1960,0)</f>
        <v>0</v>
      </c>
      <c r="H1960" s="72" t="e">
        <f t="shared" si="31"/>
        <v>#REF!</v>
      </c>
    </row>
    <row r="1961" spans="2:8" hidden="1">
      <c r="B1961" s="68" t="str">
        <f>IF(OR($D$3=JU!$F1961,$D$3=JU!$I1961),JU!B1961,"")</f>
        <v/>
      </c>
      <c r="C1961" s="6" t="str">
        <f>IF(OR($D$3=JU!$F1961,$D$3=JU!$I1961),JU!C1961,"")</f>
        <v/>
      </c>
      <c r="D1961" s="73" t="str">
        <f>IF(OR($D$3=JU!$F1961,$D$3=JU!$I1961),JU!D1961,"")</f>
        <v/>
      </c>
      <c r="E1961" s="74" t="str">
        <f>IF(OR($D$3=JU!$F1961,$D$3=JU!$I1961),JU!E1961,"")</f>
        <v/>
      </c>
      <c r="F1961" s="72">
        <f>IF($D$3=JU!F1961,JU!H1961,0)</f>
        <v>0</v>
      </c>
      <c r="G1961" s="72">
        <f>IF($D$3=JU!I1961,JU!K1961,0)</f>
        <v>0</v>
      </c>
      <c r="H1961" s="72" t="e">
        <f t="shared" si="31"/>
        <v>#REF!</v>
      </c>
    </row>
    <row r="1962" spans="2:8" hidden="1">
      <c r="B1962" s="68" t="str">
        <f>IF(OR($D$3=JU!$F1962,$D$3=JU!$I1962),JU!B1962,"")</f>
        <v/>
      </c>
      <c r="C1962" s="6" t="str">
        <f>IF(OR($D$3=JU!$F1962,$D$3=JU!$I1962),JU!C1962,"")</f>
        <v/>
      </c>
      <c r="D1962" s="73" t="str">
        <f>IF(OR($D$3=JU!$F1962,$D$3=JU!$I1962),JU!D1962,"")</f>
        <v/>
      </c>
      <c r="E1962" s="74" t="str">
        <f>IF(OR($D$3=JU!$F1962,$D$3=JU!$I1962),JU!E1962,"")</f>
        <v/>
      </c>
      <c r="F1962" s="72">
        <f>IF($D$3=JU!F1962,JU!H1962,0)</f>
        <v>0</v>
      </c>
      <c r="G1962" s="72">
        <f>IF($D$3=JU!I1962,JU!K1962,0)</f>
        <v>0</v>
      </c>
      <c r="H1962" s="72" t="e">
        <f t="shared" si="31"/>
        <v>#REF!</v>
      </c>
    </row>
    <row r="1963" spans="2:8" hidden="1">
      <c r="B1963" s="68" t="str">
        <f>IF(OR($D$3=JU!$F1963,$D$3=JU!$I1963),JU!B1963,"")</f>
        <v/>
      </c>
      <c r="C1963" s="6" t="str">
        <f>IF(OR($D$3=JU!$F1963,$D$3=JU!$I1963),JU!C1963,"")</f>
        <v/>
      </c>
      <c r="D1963" s="73" t="str">
        <f>IF(OR($D$3=JU!$F1963,$D$3=JU!$I1963),JU!D1963,"")</f>
        <v/>
      </c>
      <c r="E1963" s="74" t="str">
        <f>IF(OR($D$3=JU!$F1963,$D$3=JU!$I1963),JU!E1963,"")</f>
        <v/>
      </c>
      <c r="F1963" s="72">
        <f>IF($D$3=JU!F1963,JU!H1963,0)</f>
        <v>0</v>
      </c>
      <c r="G1963" s="72">
        <f>IF($D$3=JU!I1963,JU!K1963,0)</f>
        <v>0</v>
      </c>
      <c r="H1963" s="72" t="e">
        <f t="shared" si="31"/>
        <v>#REF!</v>
      </c>
    </row>
    <row r="1964" spans="2:8" hidden="1">
      <c r="B1964" s="68" t="str">
        <f>IF(OR($D$3=JU!$F1964,$D$3=JU!$I1964),JU!B1964,"")</f>
        <v/>
      </c>
      <c r="C1964" s="6" t="str">
        <f>IF(OR($D$3=JU!$F1964,$D$3=JU!$I1964),JU!C1964,"")</f>
        <v/>
      </c>
      <c r="D1964" s="73" t="str">
        <f>IF(OR($D$3=JU!$F1964,$D$3=JU!$I1964),JU!D1964,"")</f>
        <v/>
      </c>
      <c r="E1964" s="74" t="str">
        <f>IF(OR($D$3=JU!$F1964,$D$3=JU!$I1964),JU!E1964,"")</f>
        <v/>
      </c>
      <c r="F1964" s="72">
        <f>IF($D$3=JU!F1964,JU!H1964,0)</f>
        <v>0</v>
      </c>
      <c r="G1964" s="72">
        <f>IF($D$3=JU!I1964,JU!K1964,0)</f>
        <v>0</v>
      </c>
      <c r="H1964" s="72" t="e">
        <f t="shared" si="31"/>
        <v>#REF!</v>
      </c>
    </row>
    <row r="1965" spans="2:8" hidden="1">
      <c r="B1965" s="68" t="str">
        <f>IF(OR($D$3=JU!$F1965,$D$3=JU!$I1965),JU!B1965,"")</f>
        <v/>
      </c>
      <c r="C1965" s="6" t="str">
        <f>IF(OR($D$3=JU!$F1965,$D$3=JU!$I1965),JU!C1965,"")</f>
        <v/>
      </c>
      <c r="D1965" s="73" t="str">
        <f>IF(OR($D$3=JU!$F1965,$D$3=JU!$I1965),JU!D1965,"")</f>
        <v/>
      </c>
      <c r="E1965" s="74" t="str">
        <f>IF(OR($D$3=JU!$F1965,$D$3=JU!$I1965),JU!E1965,"")</f>
        <v/>
      </c>
      <c r="F1965" s="72">
        <f>IF($D$3=JU!F1965,JU!H1965,0)</f>
        <v>0</v>
      </c>
      <c r="G1965" s="72">
        <f>IF($D$3=JU!I1965,JU!K1965,0)</f>
        <v>0</v>
      </c>
      <c r="H1965" s="72" t="e">
        <f t="shared" si="31"/>
        <v>#REF!</v>
      </c>
    </row>
    <row r="1966" spans="2:8" hidden="1">
      <c r="B1966" s="68" t="str">
        <f>IF(OR($D$3=JU!$F1966,$D$3=JU!$I1966),JU!B1966,"")</f>
        <v/>
      </c>
      <c r="C1966" s="6" t="str">
        <f>IF(OR($D$3=JU!$F1966,$D$3=JU!$I1966),JU!C1966,"")</f>
        <v/>
      </c>
      <c r="D1966" s="73" t="str">
        <f>IF(OR($D$3=JU!$F1966,$D$3=JU!$I1966),JU!D1966,"")</f>
        <v/>
      </c>
      <c r="E1966" s="74" t="str">
        <f>IF(OR($D$3=JU!$F1966,$D$3=JU!$I1966),JU!E1966,"")</f>
        <v/>
      </c>
      <c r="F1966" s="72">
        <f>IF($D$3=JU!F1966,JU!H1966,0)</f>
        <v>0</v>
      </c>
      <c r="G1966" s="72">
        <f>IF($D$3=JU!I1966,JU!K1966,0)</f>
        <v>0</v>
      </c>
      <c r="H1966" s="72" t="e">
        <f t="shared" si="31"/>
        <v>#REF!</v>
      </c>
    </row>
    <row r="1967" spans="2:8" hidden="1">
      <c r="B1967" s="68" t="str">
        <f>IF(OR($D$3=JU!$F1967,$D$3=JU!$I1967),JU!B1967,"")</f>
        <v/>
      </c>
      <c r="C1967" s="6" t="str">
        <f>IF(OR($D$3=JU!$F1967,$D$3=JU!$I1967),JU!C1967,"")</f>
        <v/>
      </c>
      <c r="D1967" s="73" t="str">
        <f>IF(OR($D$3=JU!$F1967,$D$3=JU!$I1967),JU!D1967,"")</f>
        <v/>
      </c>
      <c r="E1967" s="74" t="str">
        <f>IF(OR($D$3=JU!$F1967,$D$3=JU!$I1967),JU!E1967,"")</f>
        <v/>
      </c>
      <c r="F1967" s="72">
        <f>IF($D$3=JU!F1967,JU!H1967,0)</f>
        <v>0</v>
      </c>
      <c r="G1967" s="72">
        <f>IF($D$3=JU!I1967,JU!K1967,0)</f>
        <v>0</v>
      </c>
      <c r="H1967" s="72" t="e">
        <f t="shared" si="31"/>
        <v>#REF!</v>
      </c>
    </row>
    <row r="1968" spans="2:8" hidden="1">
      <c r="B1968" s="68" t="str">
        <f>IF(OR($D$3=JU!$F1968,$D$3=JU!$I1968),JU!B1968,"")</f>
        <v/>
      </c>
      <c r="C1968" s="6" t="str">
        <f>IF(OR($D$3=JU!$F1968,$D$3=JU!$I1968),JU!C1968,"")</f>
        <v/>
      </c>
      <c r="D1968" s="73" t="str">
        <f>IF(OR($D$3=JU!$F1968,$D$3=JU!$I1968),JU!D1968,"")</f>
        <v/>
      </c>
      <c r="E1968" s="74" t="str">
        <f>IF(OR($D$3=JU!$F1968,$D$3=JU!$I1968),JU!E1968,"")</f>
        <v/>
      </c>
      <c r="F1968" s="72">
        <f>IF($D$3=JU!F1968,JU!H1968,0)</f>
        <v>0</v>
      </c>
      <c r="G1968" s="72">
        <f>IF($D$3=JU!I1968,JU!K1968,0)</f>
        <v>0</v>
      </c>
      <c r="H1968" s="72" t="e">
        <f t="shared" si="31"/>
        <v>#REF!</v>
      </c>
    </row>
    <row r="1969" spans="2:8" hidden="1">
      <c r="B1969" s="68" t="str">
        <f>IF(OR($D$3=JU!$F1969,$D$3=JU!$I1969),JU!B1969,"")</f>
        <v/>
      </c>
      <c r="C1969" s="6" t="str">
        <f>IF(OR($D$3=JU!$F1969,$D$3=JU!$I1969),JU!C1969,"")</f>
        <v/>
      </c>
      <c r="D1969" s="73" t="str">
        <f>IF(OR($D$3=JU!$F1969,$D$3=JU!$I1969),JU!D1969,"")</f>
        <v/>
      </c>
      <c r="E1969" s="74" t="str">
        <f>IF(OR($D$3=JU!$F1969,$D$3=JU!$I1969),JU!E1969,"")</f>
        <v/>
      </c>
      <c r="F1969" s="72">
        <f>IF($D$3=JU!F1969,JU!H1969,0)</f>
        <v>0</v>
      </c>
      <c r="G1969" s="72">
        <f>IF($D$3=JU!I1969,JU!K1969,0)</f>
        <v>0</v>
      </c>
      <c r="H1969" s="72" t="e">
        <f t="shared" si="31"/>
        <v>#REF!</v>
      </c>
    </row>
    <row r="1970" spans="2:8" hidden="1">
      <c r="B1970" s="68" t="str">
        <f>IF(OR($D$3=JU!$F1970,$D$3=JU!$I1970),JU!B1970,"")</f>
        <v/>
      </c>
      <c r="C1970" s="6" t="str">
        <f>IF(OR($D$3=JU!$F1970,$D$3=JU!$I1970),JU!C1970,"")</f>
        <v/>
      </c>
      <c r="D1970" s="73" t="str">
        <f>IF(OR($D$3=JU!$F1970,$D$3=JU!$I1970),JU!D1970,"")</f>
        <v/>
      </c>
      <c r="E1970" s="74" t="str">
        <f>IF(OR($D$3=JU!$F1970,$D$3=JU!$I1970),JU!E1970,"")</f>
        <v/>
      </c>
      <c r="F1970" s="72">
        <f>IF($D$3=JU!F1970,JU!H1970,0)</f>
        <v>0</v>
      </c>
      <c r="G1970" s="72">
        <f>IF($D$3=JU!I1970,JU!K1970,0)</f>
        <v>0</v>
      </c>
      <c r="H1970" s="72" t="e">
        <f t="shared" si="31"/>
        <v>#REF!</v>
      </c>
    </row>
    <row r="1971" spans="2:8" hidden="1">
      <c r="B1971" s="68" t="str">
        <f>IF(OR($D$3=JU!$F1971,$D$3=JU!$I1971),JU!B1971,"")</f>
        <v/>
      </c>
      <c r="C1971" s="6" t="str">
        <f>IF(OR($D$3=JU!$F1971,$D$3=JU!$I1971),JU!C1971,"")</f>
        <v/>
      </c>
      <c r="D1971" s="73" t="str">
        <f>IF(OR($D$3=JU!$F1971,$D$3=JU!$I1971),JU!D1971,"")</f>
        <v/>
      </c>
      <c r="E1971" s="74" t="str">
        <f>IF(OR($D$3=JU!$F1971,$D$3=JU!$I1971),JU!E1971,"")</f>
        <v/>
      </c>
      <c r="F1971" s="72">
        <f>IF($D$3=JU!F1971,JU!H1971,0)</f>
        <v>0</v>
      </c>
      <c r="G1971" s="72">
        <f>IF($D$3=JU!I1971,JU!K1971,0)</f>
        <v>0</v>
      </c>
      <c r="H1971" s="72" t="e">
        <f t="shared" si="31"/>
        <v>#REF!</v>
      </c>
    </row>
    <row r="1972" spans="2:8" hidden="1">
      <c r="B1972" s="68" t="str">
        <f>IF(OR($D$3=JU!$F1972,$D$3=JU!$I1972),JU!B1972,"")</f>
        <v/>
      </c>
      <c r="C1972" s="6" t="str">
        <f>IF(OR($D$3=JU!$F1972,$D$3=JU!$I1972),JU!C1972,"")</f>
        <v/>
      </c>
      <c r="D1972" s="73" t="str">
        <f>IF(OR($D$3=JU!$F1972,$D$3=JU!$I1972),JU!D1972,"")</f>
        <v/>
      </c>
      <c r="E1972" s="74" t="str">
        <f>IF(OR($D$3=JU!$F1972,$D$3=JU!$I1972),JU!E1972,"")</f>
        <v/>
      </c>
      <c r="F1972" s="72">
        <f>IF($D$3=JU!F1972,JU!H1972,0)</f>
        <v>0</v>
      </c>
      <c r="G1972" s="72">
        <f>IF($D$3=JU!I1972,JU!K1972,0)</f>
        <v>0</v>
      </c>
      <c r="H1972" s="72" t="e">
        <f t="shared" si="31"/>
        <v>#REF!</v>
      </c>
    </row>
    <row r="1973" spans="2:8" hidden="1">
      <c r="B1973" s="68" t="str">
        <f>IF(OR($D$3=JU!$F1973,$D$3=JU!$I1973),JU!B1973,"")</f>
        <v/>
      </c>
      <c r="C1973" s="6" t="str">
        <f>IF(OR($D$3=JU!$F1973,$D$3=JU!$I1973),JU!C1973,"")</f>
        <v/>
      </c>
      <c r="D1973" s="73" t="str">
        <f>IF(OR($D$3=JU!$F1973,$D$3=JU!$I1973),JU!D1973,"")</f>
        <v/>
      </c>
      <c r="E1973" s="74" t="str">
        <f>IF(OR($D$3=JU!$F1973,$D$3=JU!$I1973),JU!E1973,"")</f>
        <v/>
      </c>
      <c r="F1973" s="72">
        <f>IF($D$3=JU!F1973,JU!H1973,0)</f>
        <v>0</v>
      </c>
      <c r="G1973" s="72">
        <f>IF($D$3=JU!I1973,JU!K1973,0)</f>
        <v>0</v>
      </c>
      <c r="H1973" s="72" t="e">
        <f t="shared" si="31"/>
        <v>#REF!</v>
      </c>
    </row>
    <row r="1974" spans="2:8" hidden="1">
      <c r="B1974" s="68" t="str">
        <f>IF(OR($D$3=JU!$F1974,$D$3=JU!$I1974),JU!B1974,"")</f>
        <v/>
      </c>
      <c r="C1974" s="6" t="str">
        <f>IF(OR($D$3=JU!$F1974,$D$3=JU!$I1974),JU!C1974,"")</f>
        <v/>
      </c>
      <c r="D1974" s="73" t="str">
        <f>IF(OR($D$3=JU!$F1974,$D$3=JU!$I1974),JU!D1974,"")</f>
        <v/>
      </c>
      <c r="E1974" s="74" t="str">
        <f>IF(OR($D$3=JU!$F1974,$D$3=JU!$I1974),JU!E1974,"")</f>
        <v/>
      </c>
      <c r="F1974" s="72">
        <f>IF($D$3=JU!F1974,JU!H1974,0)</f>
        <v>0</v>
      </c>
      <c r="G1974" s="72">
        <f>IF($D$3=JU!I1974,JU!K1974,0)</f>
        <v>0</v>
      </c>
      <c r="H1974" s="72" t="e">
        <f t="shared" si="31"/>
        <v>#REF!</v>
      </c>
    </row>
    <row r="1975" spans="2:8" hidden="1">
      <c r="B1975" s="68" t="str">
        <f>IF(OR($D$3=JU!$F1975,$D$3=JU!$I1975),JU!B1975,"")</f>
        <v/>
      </c>
      <c r="C1975" s="6" t="str">
        <f>IF(OR($D$3=JU!$F1975,$D$3=JU!$I1975),JU!C1975,"")</f>
        <v/>
      </c>
      <c r="D1975" s="73" t="str">
        <f>IF(OR($D$3=JU!$F1975,$D$3=JU!$I1975),JU!D1975,"")</f>
        <v/>
      </c>
      <c r="E1975" s="74" t="str">
        <f>IF(OR($D$3=JU!$F1975,$D$3=JU!$I1975),JU!E1975,"")</f>
        <v/>
      </c>
      <c r="F1975" s="72">
        <f>IF($D$3=JU!F1975,JU!H1975,0)</f>
        <v>0</v>
      </c>
      <c r="G1975" s="72">
        <f>IF($D$3=JU!I1975,JU!K1975,0)</f>
        <v>0</v>
      </c>
      <c r="H1975" s="72" t="e">
        <f t="shared" si="31"/>
        <v>#REF!</v>
      </c>
    </row>
    <row r="1976" spans="2:8" hidden="1">
      <c r="B1976" s="68" t="str">
        <f>IF(OR($D$3=JU!$F1976,$D$3=JU!$I1976),JU!B1976,"")</f>
        <v/>
      </c>
      <c r="C1976" s="6" t="str">
        <f>IF(OR($D$3=JU!$F1976,$D$3=JU!$I1976),JU!C1976,"")</f>
        <v/>
      </c>
      <c r="D1976" s="73" t="str">
        <f>IF(OR($D$3=JU!$F1976,$D$3=JU!$I1976),JU!D1976,"")</f>
        <v/>
      </c>
      <c r="E1976" s="74" t="str">
        <f>IF(OR($D$3=JU!$F1976,$D$3=JU!$I1976),JU!E1976,"")</f>
        <v/>
      </c>
      <c r="F1976" s="72">
        <f>IF($D$3=JU!F1976,JU!H1976,0)</f>
        <v>0</v>
      </c>
      <c r="G1976" s="72">
        <f>IF($D$3=JU!I1976,JU!K1976,0)</f>
        <v>0</v>
      </c>
      <c r="H1976" s="72" t="e">
        <f t="shared" si="31"/>
        <v>#REF!</v>
      </c>
    </row>
    <row r="1977" spans="2:8" hidden="1">
      <c r="B1977" s="68" t="str">
        <f>IF(OR($D$3=JU!$F1977,$D$3=JU!$I1977),JU!B1977,"")</f>
        <v/>
      </c>
      <c r="C1977" s="6" t="str">
        <f>IF(OR($D$3=JU!$F1977,$D$3=JU!$I1977),JU!C1977,"")</f>
        <v/>
      </c>
      <c r="D1977" s="73" t="str">
        <f>IF(OR($D$3=JU!$F1977,$D$3=JU!$I1977),JU!D1977,"")</f>
        <v/>
      </c>
      <c r="E1977" s="74" t="str">
        <f>IF(OR($D$3=JU!$F1977,$D$3=JU!$I1977),JU!E1977,"")</f>
        <v/>
      </c>
      <c r="F1977" s="72">
        <f>IF($D$3=JU!F1977,JU!H1977,0)</f>
        <v>0</v>
      </c>
      <c r="G1977" s="72">
        <f>IF($D$3=JU!I1977,JU!K1977,0)</f>
        <v>0</v>
      </c>
      <c r="H1977" s="72" t="e">
        <f t="shared" si="31"/>
        <v>#REF!</v>
      </c>
    </row>
    <row r="1978" spans="2:8" hidden="1">
      <c r="B1978" s="68" t="str">
        <f>IF(OR($D$3=JU!$F1978,$D$3=JU!$I1978),JU!B1978,"")</f>
        <v/>
      </c>
      <c r="C1978" s="6" t="str">
        <f>IF(OR($D$3=JU!$F1978,$D$3=JU!$I1978),JU!C1978,"")</f>
        <v/>
      </c>
      <c r="D1978" s="73" t="str">
        <f>IF(OR($D$3=JU!$F1978,$D$3=JU!$I1978),JU!D1978,"")</f>
        <v/>
      </c>
      <c r="E1978" s="74" t="str">
        <f>IF(OR($D$3=JU!$F1978,$D$3=JU!$I1978),JU!E1978,"")</f>
        <v/>
      </c>
      <c r="F1978" s="72">
        <f>IF($D$3=JU!F1978,JU!H1978,0)</f>
        <v>0</v>
      </c>
      <c r="G1978" s="72">
        <f>IF($D$3=JU!I1978,JU!K1978,0)</f>
        <v>0</v>
      </c>
      <c r="H1978" s="72" t="e">
        <f t="shared" si="31"/>
        <v>#REF!</v>
      </c>
    </row>
    <row r="1979" spans="2:8" hidden="1">
      <c r="B1979" s="68" t="str">
        <f>IF(OR($D$3=JU!$F1979,$D$3=JU!$I1979),JU!B1979,"")</f>
        <v/>
      </c>
      <c r="C1979" s="6" t="str">
        <f>IF(OR($D$3=JU!$F1979,$D$3=JU!$I1979),JU!C1979,"")</f>
        <v/>
      </c>
      <c r="D1979" s="73" t="str">
        <f>IF(OR($D$3=JU!$F1979,$D$3=JU!$I1979),JU!D1979,"")</f>
        <v/>
      </c>
      <c r="E1979" s="74" t="str">
        <f>IF(OR($D$3=JU!$F1979,$D$3=JU!$I1979),JU!E1979,"")</f>
        <v/>
      </c>
      <c r="F1979" s="72">
        <f>IF($D$3=JU!F1979,JU!H1979,0)</f>
        <v>0</v>
      </c>
      <c r="G1979" s="72">
        <f>IF($D$3=JU!I1979,JU!K1979,0)</f>
        <v>0</v>
      </c>
      <c r="H1979" s="72" t="e">
        <f t="shared" si="31"/>
        <v>#REF!</v>
      </c>
    </row>
    <row r="1980" spans="2:8" hidden="1">
      <c r="B1980" s="68" t="str">
        <f>IF(OR($D$3=JU!$F1980,$D$3=JU!$I1980),JU!B1980,"")</f>
        <v/>
      </c>
      <c r="C1980" s="6" t="str">
        <f>IF(OR($D$3=JU!$F1980,$D$3=JU!$I1980),JU!C1980,"")</f>
        <v/>
      </c>
      <c r="D1980" s="73" t="str">
        <f>IF(OR($D$3=JU!$F1980,$D$3=JU!$I1980),JU!D1980,"")</f>
        <v/>
      </c>
      <c r="E1980" s="74" t="str">
        <f>IF(OR($D$3=JU!$F1980,$D$3=JU!$I1980),JU!E1980,"")</f>
        <v/>
      </c>
      <c r="F1980" s="72">
        <f>IF($D$3=JU!F1980,JU!H1980,0)</f>
        <v>0</v>
      </c>
      <c r="G1980" s="72">
        <f>IF($D$3=JU!I1980,JU!K1980,0)</f>
        <v>0</v>
      </c>
      <c r="H1980" s="72" t="e">
        <f t="shared" si="31"/>
        <v>#REF!</v>
      </c>
    </row>
    <row r="1981" spans="2:8" hidden="1">
      <c r="B1981" s="68" t="str">
        <f>IF(OR($D$3=JU!$F1981,$D$3=JU!$I1981),JU!B1981,"")</f>
        <v/>
      </c>
      <c r="C1981" s="6" t="str">
        <f>IF(OR($D$3=JU!$F1981,$D$3=JU!$I1981),JU!C1981,"")</f>
        <v/>
      </c>
      <c r="D1981" s="73" t="str">
        <f>IF(OR($D$3=JU!$F1981,$D$3=JU!$I1981),JU!D1981,"")</f>
        <v/>
      </c>
      <c r="E1981" s="74" t="str">
        <f>IF(OR($D$3=JU!$F1981,$D$3=JU!$I1981),JU!E1981,"")</f>
        <v/>
      </c>
      <c r="F1981" s="72">
        <f>IF($D$3=JU!F1981,JU!H1981,0)</f>
        <v>0</v>
      </c>
      <c r="G1981" s="72">
        <f>IF($D$3=JU!I1981,JU!K1981,0)</f>
        <v>0</v>
      </c>
      <c r="H1981" s="72" t="e">
        <f t="shared" si="31"/>
        <v>#REF!</v>
      </c>
    </row>
    <row r="1982" spans="2:8" hidden="1">
      <c r="B1982" s="68" t="str">
        <f>IF(OR($D$3=JU!$F1982,$D$3=JU!$I1982),JU!B1982,"")</f>
        <v/>
      </c>
      <c r="C1982" s="6" t="str">
        <f>IF(OR($D$3=JU!$F1982,$D$3=JU!$I1982),JU!C1982,"")</f>
        <v/>
      </c>
      <c r="D1982" s="73" t="str">
        <f>IF(OR($D$3=JU!$F1982,$D$3=JU!$I1982),JU!D1982,"")</f>
        <v/>
      </c>
      <c r="E1982" s="74" t="str">
        <f>IF(OR($D$3=JU!$F1982,$D$3=JU!$I1982),JU!E1982,"")</f>
        <v/>
      </c>
      <c r="F1982" s="72">
        <f>IF($D$3=JU!F1982,JU!H1982,0)</f>
        <v>0</v>
      </c>
      <c r="G1982" s="72">
        <f>IF($D$3=JU!I1982,JU!K1982,0)</f>
        <v>0</v>
      </c>
      <c r="H1982" s="72" t="e">
        <f t="shared" si="31"/>
        <v>#REF!</v>
      </c>
    </row>
    <row r="1983" spans="2:8" hidden="1">
      <c r="B1983" s="68" t="str">
        <f>IF(OR($D$3=JU!$F1983,$D$3=JU!$I1983),JU!B1983,"")</f>
        <v/>
      </c>
      <c r="C1983" s="6" t="str">
        <f>IF(OR($D$3=JU!$F1983,$D$3=JU!$I1983),JU!C1983,"")</f>
        <v/>
      </c>
      <c r="D1983" s="73" t="str">
        <f>IF(OR($D$3=JU!$F1983,$D$3=JU!$I1983),JU!D1983,"")</f>
        <v/>
      </c>
      <c r="E1983" s="74" t="str">
        <f>IF(OR($D$3=JU!$F1983,$D$3=JU!$I1983),JU!E1983,"")</f>
        <v/>
      </c>
      <c r="F1983" s="72">
        <f>IF($D$3=JU!F1983,JU!H1983,0)</f>
        <v>0</v>
      </c>
      <c r="G1983" s="72">
        <f>IF($D$3=JU!I1983,JU!K1983,0)</f>
        <v>0</v>
      </c>
      <c r="H1983" s="72" t="e">
        <f t="shared" si="31"/>
        <v>#REF!</v>
      </c>
    </row>
    <row r="1984" spans="2:8" hidden="1">
      <c r="B1984" s="68" t="str">
        <f>IF(OR($D$3=JU!$F1984,$D$3=JU!$I1984),JU!B1984,"")</f>
        <v/>
      </c>
      <c r="C1984" s="6" t="str">
        <f>IF(OR($D$3=JU!$F1984,$D$3=JU!$I1984),JU!C1984,"")</f>
        <v/>
      </c>
      <c r="D1984" s="73" t="str">
        <f>IF(OR($D$3=JU!$F1984,$D$3=JU!$I1984),JU!D1984,"")</f>
        <v/>
      </c>
      <c r="E1984" s="74" t="str">
        <f>IF(OR($D$3=JU!$F1984,$D$3=JU!$I1984),JU!E1984,"")</f>
        <v/>
      </c>
      <c r="F1984" s="72">
        <f>IF($D$3=JU!F1984,JU!H1984,0)</f>
        <v>0</v>
      </c>
      <c r="G1984" s="72">
        <f>IF($D$3=JU!I1984,JU!K1984,0)</f>
        <v>0</v>
      </c>
      <c r="H1984" s="72" t="e">
        <f t="shared" si="31"/>
        <v>#REF!</v>
      </c>
    </row>
    <row r="1985" spans="2:8" hidden="1">
      <c r="B1985" s="68" t="str">
        <f>IF(OR($D$3=JU!$F1985,$D$3=JU!$I1985),JU!B1985,"")</f>
        <v/>
      </c>
      <c r="C1985" s="6" t="str">
        <f>IF(OR($D$3=JU!$F1985,$D$3=JU!$I1985),JU!C1985,"")</f>
        <v/>
      </c>
      <c r="D1985" s="73" t="str">
        <f>IF(OR($D$3=JU!$F1985,$D$3=JU!$I1985),JU!D1985,"")</f>
        <v/>
      </c>
      <c r="E1985" s="74" t="str">
        <f>IF(OR($D$3=JU!$F1985,$D$3=JU!$I1985),JU!E1985,"")</f>
        <v/>
      </c>
      <c r="F1985" s="72">
        <f>IF($D$3=JU!F1985,JU!H1985,0)</f>
        <v>0</v>
      </c>
      <c r="G1985" s="72">
        <f>IF($D$3=JU!I1985,JU!K1985,0)</f>
        <v>0</v>
      </c>
      <c r="H1985" s="72" t="e">
        <f t="shared" si="31"/>
        <v>#REF!</v>
      </c>
    </row>
    <row r="1986" spans="2:8" hidden="1">
      <c r="B1986" s="68" t="str">
        <f>IF(OR($D$3=JU!$F1986,$D$3=JU!$I1986),JU!B1986,"")</f>
        <v/>
      </c>
      <c r="C1986" s="6" t="str">
        <f>IF(OR($D$3=JU!$F1986,$D$3=JU!$I1986),JU!C1986,"")</f>
        <v/>
      </c>
      <c r="D1986" s="73" t="str">
        <f>IF(OR($D$3=JU!$F1986,$D$3=JU!$I1986),JU!D1986,"")</f>
        <v/>
      </c>
      <c r="E1986" s="74" t="str">
        <f>IF(OR($D$3=JU!$F1986,$D$3=JU!$I1986),JU!E1986,"")</f>
        <v/>
      </c>
      <c r="F1986" s="72">
        <f>IF($D$3=JU!F1986,JU!H1986,0)</f>
        <v>0</v>
      </c>
      <c r="G1986" s="72">
        <f>IF($D$3=JU!I1986,JU!K1986,0)</f>
        <v>0</v>
      </c>
      <c r="H1986" s="72" t="e">
        <f t="shared" si="31"/>
        <v>#REF!</v>
      </c>
    </row>
    <row r="1987" spans="2:8" hidden="1">
      <c r="B1987" s="68" t="str">
        <f>IF(OR($D$3=JU!$F1987,$D$3=JU!$I1987),JU!B1987,"")</f>
        <v/>
      </c>
      <c r="C1987" s="6" t="str">
        <f>IF(OR($D$3=JU!$F1987,$D$3=JU!$I1987),JU!C1987,"")</f>
        <v/>
      </c>
      <c r="D1987" s="73" t="str">
        <f>IF(OR($D$3=JU!$F1987,$D$3=JU!$I1987),JU!D1987,"")</f>
        <v/>
      </c>
      <c r="E1987" s="74" t="str">
        <f>IF(OR($D$3=JU!$F1987,$D$3=JU!$I1987),JU!E1987,"")</f>
        <v/>
      </c>
      <c r="F1987" s="72">
        <f>IF($D$3=JU!F1987,JU!H1987,0)</f>
        <v>0</v>
      </c>
      <c r="G1987" s="72">
        <f>IF($D$3=JU!I1987,JU!K1987,0)</f>
        <v>0</v>
      </c>
      <c r="H1987" s="72" t="e">
        <f t="shared" si="31"/>
        <v>#REF!</v>
      </c>
    </row>
    <row r="1988" spans="2:8" hidden="1">
      <c r="B1988" s="68" t="str">
        <f>IF(OR($D$3=JU!$F1988,$D$3=JU!$I1988),JU!B1988,"")</f>
        <v/>
      </c>
      <c r="C1988" s="6" t="str">
        <f>IF(OR($D$3=JU!$F1988,$D$3=JU!$I1988),JU!C1988,"")</f>
        <v/>
      </c>
      <c r="D1988" s="73" t="str">
        <f>IF(OR($D$3=JU!$F1988,$D$3=JU!$I1988),JU!D1988,"")</f>
        <v/>
      </c>
      <c r="E1988" s="74" t="str">
        <f>IF(OR($D$3=JU!$F1988,$D$3=JU!$I1988),JU!E1988,"")</f>
        <v/>
      </c>
      <c r="F1988" s="72">
        <f>IF($D$3=JU!F1988,JU!H1988,0)</f>
        <v>0</v>
      </c>
      <c r="G1988" s="72">
        <f>IF($D$3=JU!I1988,JU!K1988,0)</f>
        <v>0</v>
      </c>
      <c r="H1988" s="72" t="e">
        <f t="shared" si="31"/>
        <v>#REF!</v>
      </c>
    </row>
    <row r="1989" spans="2:8" hidden="1">
      <c r="B1989" s="68" t="str">
        <f>IF(OR($D$3=JU!$F1989,$D$3=JU!$I1989),JU!B1989,"")</f>
        <v/>
      </c>
      <c r="C1989" s="6" t="str">
        <f>IF(OR($D$3=JU!$F1989,$D$3=JU!$I1989),JU!C1989,"")</f>
        <v/>
      </c>
      <c r="D1989" s="73" t="str">
        <f>IF(OR($D$3=JU!$F1989,$D$3=JU!$I1989),JU!D1989,"")</f>
        <v/>
      </c>
      <c r="E1989" s="74" t="str">
        <f>IF(OR($D$3=JU!$F1989,$D$3=JU!$I1989),JU!E1989,"")</f>
        <v/>
      </c>
      <c r="F1989" s="72">
        <f>IF($D$3=JU!F1989,JU!H1989,0)</f>
        <v>0</v>
      </c>
      <c r="G1989" s="72">
        <f>IF($D$3=JU!I1989,JU!K1989,0)</f>
        <v>0</v>
      </c>
      <c r="H1989" s="72" t="e">
        <f t="shared" si="31"/>
        <v>#REF!</v>
      </c>
    </row>
    <row r="1990" spans="2:8" hidden="1">
      <c r="B1990" s="68" t="str">
        <f>IF(OR($D$3=JU!$F1990,$D$3=JU!$I1990),JU!B1990,"")</f>
        <v/>
      </c>
      <c r="C1990" s="6" t="str">
        <f>IF(OR($D$3=JU!$F1990,$D$3=JU!$I1990),JU!C1990,"")</f>
        <v/>
      </c>
      <c r="D1990" s="73" t="str">
        <f>IF(OR($D$3=JU!$F1990,$D$3=JU!$I1990),JU!D1990,"")</f>
        <v/>
      </c>
      <c r="E1990" s="74" t="str">
        <f>IF(OR($D$3=JU!$F1990,$D$3=JU!$I1990),JU!E1990,"")</f>
        <v/>
      </c>
      <c r="F1990" s="72">
        <f>IF($D$3=JU!F1990,JU!H1990,0)</f>
        <v>0</v>
      </c>
      <c r="G1990" s="72">
        <f>IF($D$3=JU!I1990,JU!K1990,0)</f>
        <v>0</v>
      </c>
      <c r="H1990" s="72" t="e">
        <f t="shared" si="31"/>
        <v>#REF!</v>
      </c>
    </row>
    <row r="1991" spans="2:8" hidden="1">
      <c r="B1991" s="68" t="str">
        <f>IF(OR($D$3=JU!$F1991,$D$3=JU!$I1991),JU!B1991,"")</f>
        <v/>
      </c>
      <c r="C1991" s="6" t="str">
        <f>IF(OR($D$3=JU!$F1991,$D$3=JU!$I1991),JU!C1991,"")</f>
        <v/>
      </c>
      <c r="D1991" s="73" t="str">
        <f>IF(OR($D$3=JU!$F1991,$D$3=JU!$I1991),JU!D1991,"")</f>
        <v/>
      </c>
      <c r="E1991" s="74" t="str">
        <f>IF(OR($D$3=JU!$F1991,$D$3=JU!$I1991),JU!E1991,"")</f>
        <v/>
      </c>
      <c r="F1991" s="72">
        <f>IF($D$3=JU!F1991,JU!H1991,0)</f>
        <v>0</v>
      </c>
      <c r="G1991" s="72">
        <f>IF($D$3=JU!I1991,JU!K1991,0)</f>
        <v>0</v>
      </c>
      <c r="H1991" s="72" t="e">
        <f t="shared" si="31"/>
        <v>#REF!</v>
      </c>
    </row>
    <row r="1992" spans="2:8" hidden="1">
      <c r="B1992" s="68" t="str">
        <f>IF(OR($D$3=JU!$F1992,$D$3=JU!$I1992),JU!B1992,"")</f>
        <v/>
      </c>
      <c r="C1992" s="6" t="str">
        <f>IF(OR($D$3=JU!$F1992,$D$3=JU!$I1992),JU!C1992,"")</f>
        <v/>
      </c>
      <c r="D1992" s="73" t="str">
        <f>IF(OR($D$3=JU!$F1992,$D$3=JU!$I1992),JU!D1992,"")</f>
        <v/>
      </c>
      <c r="E1992" s="74" t="str">
        <f>IF(OR($D$3=JU!$F1992,$D$3=JU!$I1992),JU!E1992,"")</f>
        <v/>
      </c>
      <c r="F1992" s="72">
        <f>IF($D$3=JU!F1992,JU!H1992,0)</f>
        <v>0</v>
      </c>
      <c r="G1992" s="72">
        <f>IF($D$3=JU!I1992,JU!K1992,0)</f>
        <v>0</v>
      </c>
      <c r="H1992" s="72" t="e">
        <f t="shared" si="31"/>
        <v>#REF!</v>
      </c>
    </row>
    <row r="1993" spans="2:8" hidden="1">
      <c r="B1993" s="68" t="str">
        <f>IF(OR($D$3=JU!$F1993,$D$3=JU!$I1993),JU!B1993,"")</f>
        <v/>
      </c>
      <c r="C1993" s="6" t="str">
        <f>IF(OR($D$3=JU!$F1993,$D$3=JU!$I1993),JU!C1993,"")</f>
        <v/>
      </c>
      <c r="D1993" s="73" t="str">
        <f>IF(OR($D$3=JU!$F1993,$D$3=JU!$I1993),JU!D1993,"")</f>
        <v/>
      </c>
      <c r="E1993" s="74" t="str">
        <f>IF(OR($D$3=JU!$F1993,$D$3=JU!$I1993),JU!E1993,"")</f>
        <v/>
      </c>
      <c r="F1993" s="72">
        <f>IF($D$3=JU!F1993,JU!H1993,0)</f>
        <v>0</v>
      </c>
      <c r="G1993" s="72">
        <f>IF($D$3=JU!I1993,JU!K1993,0)</f>
        <v>0</v>
      </c>
      <c r="H1993" s="72" t="e">
        <f t="shared" si="31"/>
        <v>#REF!</v>
      </c>
    </row>
    <row r="1994" spans="2:8" hidden="1">
      <c r="B1994" s="68" t="str">
        <f>IF(OR($D$3=JU!$F1994,$D$3=JU!$I1994),JU!B1994,"")</f>
        <v/>
      </c>
      <c r="C1994" s="6" t="str">
        <f>IF(OR($D$3=JU!$F1994,$D$3=JU!$I1994),JU!C1994,"")</f>
        <v/>
      </c>
      <c r="D1994" s="73" t="str">
        <f>IF(OR($D$3=JU!$F1994,$D$3=JU!$I1994),JU!D1994,"")</f>
        <v/>
      </c>
      <c r="E1994" s="74" t="str">
        <f>IF(OR($D$3=JU!$F1994,$D$3=JU!$I1994),JU!E1994,"")</f>
        <v/>
      </c>
      <c r="F1994" s="72">
        <f>IF($D$3=JU!F1994,JU!H1994,0)</f>
        <v>0</v>
      </c>
      <c r="G1994" s="72">
        <f>IF($D$3=JU!I1994,JU!K1994,0)</f>
        <v>0</v>
      </c>
      <c r="H1994" s="72" t="e">
        <f t="shared" si="31"/>
        <v>#REF!</v>
      </c>
    </row>
    <row r="1995" spans="2:8" hidden="1">
      <c r="B1995" s="68" t="str">
        <f>IF(OR($D$3=JU!$F1995,$D$3=JU!$I1995),JU!B1995,"")</f>
        <v/>
      </c>
      <c r="C1995" s="6" t="str">
        <f>IF(OR($D$3=JU!$F1995,$D$3=JU!$I1995),JU!C1995,"")</f>
        <v/>
      </c>
      <c r="D1995" s="73" t="str">
        <f>IF(OR($D$3=JU!$F1995,$D$3=JU!$I1995),JU!D1995,"")</f>
        <v/>
      </c>
      <c r="E1995" s="74" t="str">
        <f>IF(OR($D$3=JU!$F1995,$D$3=JU!$I1995),JU!E1995,"")</f>
        <v/>
      </c>
      <c r="F1995" s="72">
        <f>IF($D$3=JU!F1995,JU!H1995,0)</f>
        <v>0</v>
      </c>
      <c r="G1995" s="72">
        <f>IF($D$3=JU!I1995,JU!K1995,0)</f>
        <v>0</v>
      </c>
      <c r="H1995" s="72" t="e">
        <f t="shared" si="31"/>
        <v>#REF!</v>
      </c>
    </row>
    <row r="1996" spans="2:8" hidden="1">
      <c r="B1996" s="68" t="str">
        <f>IF(OR($D$3=JU!$F1996,$D$3=JU!$I1996),JU!B1996,"")</f>
        <v/>
      </c>
      <c r="C1996" s="6" t="str">
        <f>IF(OR($D$3=JU!$F1996,$D$3=JU!$I1996),JU!C1996,"")</f>
        <v/>
      </c>
      <c r="D1996" s="73" t="str">
        <f>IF(OR($D$3=JU!$F1996,$D$3=JU!$I1996),JU!D1996,"")</f>
        <v/>
      </c>
      <c r="E1996" s="74" t="str">
        <f>IF(OR($D$3=JU!$F1996,$D$3=JU!$I1996),JU!E1996,"")</f>
        <v/>
      </c>
      <c r="F1996" s="72">
        <f>IF($D$3=JU!F1996,JU!H1996,0)</f>
        <v>0</v>
      </c>
      <c r="G1996" s="72">
        <f>IF($D$3=JU!I1996,JU!K1996,0)</f>
        <v>0</v>
      </c>
      <c r="H1996" s="72" t="e">
        <f t="shared" si="31"/>
        <v>#REF!</v>
      </c>
    </row>
    <row r="1997" spans="2:8" hidden="1">
      <c r="B1997" s="68" t="str">
        <f>IF(OR($D$3=JU!$F1997,$D$3=JU!$I1997),JU!B1997,"")</f>
        <v/>
      </c>
      <c r="C1997" s="6" t="str">
        <f>IF(OR($D$3=JU!$F1997,$D$3=JU!$I1997),JU!C1997,"")</f>
        <v/>
      </c>
      <c r="D1997" s="73" t="str">
        <f>IF(OR($D$3=JU!$F1997,$D$3=JU!$I1997),JU!D1997,"")</f>
        <v/>
      </c>
      <c r="E1997" s="74" t="str">
        <f>IF(OR($D$3=JU!$F1997,$D$3=JU!$I1997),JU!E1997,"")</f>
        <v/>
      </c>
      <c r="F1997" s="72">
        <f>IF($D$3=JU!F1997,JU!H1997,0)</f>
        <v>0</v>
      </c>
      <c r="G1997" s="72">
        <f>IF($D$3=JU!I1997,JU!K1997,0)</f>
        <v>0</v>
      </c>
      <c r="H1997" s="72" t="e">
        <f t="shared" si="31"/>
        <v>#REF!</v>
      </c>
    </row>
    <row r="1998" spans="2:8" hidden="1">
      <c r="B1998" s="68" t="str">
        <f>IF(OR($D$3=JU!$F1998,$D$3=JU!$I1998),JU!B1998,"")</f>
        <v/>
      </c>
      <c r="C1998" s="6" t="str">
        <f>IF(OR($D$3=JU!$F1998,$D$3=JU!$I1998),JU!C1998,"")</f>
        <v/>
      </c>
      <c r="D1998" s="73" t="str">
        <f>IF(OR($D$3=JU!$F1998,$D$3=JU!$I1998),JU!D1998,"")</f>
        <v/>
      </c>
      <c r="E1998" s="74" t="str">
        <f>IF(OR($D$3=JU!$F1998,$D$3=JU!$I1998),JU!E1998,"")</f>
        <v/>
      </c>
      <c r="F1998" s="72">
        <f>IF($D$3=JU!F1998,JU!H1998,0)</f>
        <v>0</v>
      </c>
      <c r="G1998" s="72">
        <f>IF($D$3=JU!I1998,JU!K1998,0)</f>
        <v>0</v>
      </c>
      <c r="H1998" s="72" t="e">
        <f t="shared" ref="H1998:H2061" si="32">IF($H$7="DEBET",H1997+F1998-G1998,H1997+G1998-F1998)</f>
        <v>#REF!</v>
      </c>
    </row>
    <row r="1999" spans="2:8" hidden="1">
      <c r="B1999" s="68" t="str">
        <f>IF(OR($D$3=JU!$F1999,$D$3=JU!$I1999),JU!B1999,"")</f>
        <v/>
      </c>
      <c r="C1999" s="6" t="str">
        <f>IF(OR($D$3=JU!$F1999,$D$3=JU!$I1999),JU!C1999,"")</f>
        <v/>
      </c>
      <c r="D1999" s="73" t="str">
        <f>IF(OR($D$3=JU!$F1999,$D$3=JU!$I1999),JU!D1999,"")</f>
        <v/>
      </c>
      <c r="E1999" s="74" t="str">
        <f>IF(OR($D$3=JU!$F1999,$D$3=JU!$I1999),JU!E1999,"")</f>
        <v/>
      </c>
      <c r="F1999" s="72">
        <f>IF($D$3=JU!F1999,JU!H1999,0)</f>
        <v>0</v>
      </c>
      <c r="G1999" s="72">
        <f>IF($D$3=JU!I1999,JU!K1999,0)</f>
        <v>0</v>
      </c>
      <c r="H1999" s="72" t="e">
        <f t="shared" si="32"/>
        <v>#REF!</v>
      </c>
    </row>
    <row r="2000" spans="2:8" hidden="1">
      <c r="B2000" s="68" t="str">
        <f>IF(OR($D$3=JU!$F2000,$D$3=JU!$I2000),JU!B2000,"")</f>
        <v/>
      </c>
      <c r="C2000" s="6" t="str">
        <f>IF(OR($D$3=JU!$F2000,$D$3=JU!$I2000),JU!C2000,"")</f>
        <v/>
      </c>
      <c r="D2000" s="73" t="str">
        <f>IF(OR($D$3=JU!$F2000,$D$3=JU!$I2000),JU!D2000,"")</f>
        <v/>
      </c>
      <c r="E2000" s="74" t="str">
        <f>IF(OR($D$3=JU!$F2000,$D$3=JU!$I2000),JU!E2000,"")</f>
        <v/>
      </c>
      <c r="F2000" s="72">
        <f>IF($D$3=JU!F2000,JU!H2000,0)</f>
        <v>0</v>
      </c>
      <c r="G2000" s="72">
        <f>IF($D$3=JU!I2000,JU!K2000,0)</f>
        <v>0</v>
      </c>
      <c r="H2000" s="72" t="e">
        <f t="shared" si="32"/>
        <v>#REF!</v>
      </c>
    </row>
    <row r="2001" spans="2:8" hidden="1">
      <c r="B2001" s="68" t="str">
        <f>IF(OR($D$3=JU!$F2001,$D$3=JU!$I2001),JU!B2001,"")</f>
        <v/>
      </c>
      <c r="C2001" s="6" t="str">
        <f>IF(OR($D$3=JU!$F2001,$D$3=JU!$I2001),JU!C2001,"")</f>
        <v/>
      </c>
      <c r="D2001" s="73" t="str">
        <f>IF(OR($D$3=JU!$F2001,$D$3=JU!$I2001),JU!D2001,"")</f>
        <v/>
      </c>
      <c r="E2001" s="74" t="str">
        <f>IF(OR($D$3=JU!$F2001,$D$3=JU!$I2001),JU!E2001,"")</f>
        <v/>
      </c>
      <c r="F2001" s="72">
        <f>IF($D$3=JU!F2001,JU!H2001,0)</f>
        <v>0</v>
      </c>
      <c r="G2001" s="72">
        <f>IF($D$3=JU!I2001,JU!K2001,0)</f>
        <v>0</v>
      </c>
      <c r="H2001" s="72" t="e">
        <f t="shared" si="32"/>
        <v>#REF!</v>
      </c>
    </row>
    <row r="2002" spans="2:8" hidden="1">
      <c r="B2002" s="68" t="str">
        <f>IF(OR($D$3=JU!$F2002,$D$3=JU!$I2002),JU!B2002,"")</f>
        <v/>
      </c>
      <c r="C2002" s="6" t="str">
        <f>IF(OR($D$3=JU!$F2002,$D$3=JU!$I2002),JU!C2002,"")</f>
        <v/>
      </c>
      <c r="D2002" s="73" t="str">
        <f>IF(OR($D$3=JU!$F2002,$D$3=JU!$I2002),JU!D2002,"")</f>
        <v/>
      </c>
      <c r="E2002" s="74" t="str">
        <f>IF(OR($D$3=JU!$F2002,$D$3=JU!$I2002),JU!E2002,"")</f>
        <v/>
      </c>
      <c r="F2002" s="72">
        <f>IF($D$3=JU!F2002,JU!H2002,0)</f>
        <v>0</v>
      </c>
      <c r="G2002" s="72">
        <f>IF($D$3=JU!I2002,JU!K2002,0)</f>
        <v>0</v>
      </c>
      <c r="H2002" s="72" t="e">
        <f t="shared" si="32"/>
        <v>#REF!</v>
      </c>
    </row>
    <row r="2003" spans="2:8" hidden="1">
      <c r="B2003" s="68" t="str">
        <f>IF(OR($D$3=JU!$F2003,$D$3=JU!$I2003),JU!B2003,"")</f>
        <v/>
      </c>
      <c r="C2003" s="6" t="str">
        <f>IF(OR($D$3=JU!$F2003,$D$3=JU!$I2003),JU!C2003,"")</f>
        <v/>
      </c>
      <c r="D2003" s="73" t="str">
        <f>IF(OR($D$3=JU!$F2003,$D$3=JU!$I2003),JU!D2003,"")</f>
        <v/>
      </c>
      <c r="E2003" s="74" t="str">
        <f>IF(OR($D$3=JU!$F2003,$D$3=JU!$I2003),JU!E2003,"")</f>
        <v/>
      </c>
      <c r="F2003" s="72">
        <f>IF($D$3=JU!F2003,JU!H2003,0)</f>
        <v>0</v>
      </c>
      <c r="G2003" s="72">
        <f>IF($D$3=JU!I2003,JU!K2003,0)</f>
        <v>0</v>
      </c>
      <c r="H2003" s="72" t="e">
        <f t="shared" si="32"/>
        <v>#REF!</v>
      </c>
    </row>
    <row r="2004" spans="2:8" hidden="1">
      <c r="B2004" s="68" t="str">
        <f>IF(OR($D$3=JU!$F2004,$D$3=JU!$I2004),JU!B2004,"")</f>
        <v/>
      </c>
      <c r="C2004" s="6" t="str">
        <f>IF(OR($D$3=JU!$F2004,$D$3=JU!$I2004),JU!C2004,"")</f>
        <v/>
      </c>
      <c r="D2004" s="73" t="str">
        <f>IF(OR($D$3=JU!$F2004,$D$3=JU!$I2004),JU!D2004,"")</f>
        <v/>
      </c>
      <c r="E2004" s="74" t="str">
        <f>IF(OR($D$3=JU!$F2004,$D$3=JU!$I2004),JU!E2004,"")</f>
        <v/>
      </c>
      <c r="F2004" s="72">
        <f>IF($D$3=JU!F2004,JU!H2004,0)</f>
        <v>0</v>
      </c>
      <c r="G2004" s="72">
        <f>IF($D$3=JU!I2004,JU!K2004,0)</f>
        <v>0</v>
      </c>
      <c r="H2004" s="72" t="e">
        <f t="shared" si="32"/>
        <v>#REF!</v>
      </c>
    </row>
    <row r="2005" spans="2:8" hidden="1">
      <c r="B2005" s="68" t="str">
        <f>IF(OR($D$3=JU!$F2005,$D$3=JU!$I2005),JU!B2005,"")</f>
        <v/>
      </c>
      <c r="C2005" s="6" t="str">
        <f>IF(OR($D$3=JU!$F2005,$D$3=JU!$I2005),JU!C2005,"")</f>
        <v/>
      </c>
      <c r="D2005" s="73" t="str">
        <f>IF(OR($D$3=JU!$F2005,$D$3=JU!$I2005),JU!D2005,"")</f>
        <v/>
      </c>
      <c r="E2005" s="74" t="str">
        <f>IF(OR($D$3=JU!$F2005,$D$3=JU!$I2005),JU!E2005,"")</f>
        <v/>
      </c>
      <c r="F2005" s="72">
        <f>IF($D$3=JU!F2005,JU!H2005,0)</f>
        <v>0</v>
      </c>
      <c r="G2005" s="72">
        <f>IF($D$3=JU!I2005,JU!K2005,0)</f>
        <v>0</v>
      </c>
      <c r="H2005" s="72" t="e">
        <f t="shared" si="32"/>
        <v>#REF!</v>
      </c>
    </row>
    <row r="2006" spans="2:8" hidden="1">
      <c r="B2006" s="68" t="str">
        <f>IF(OR($D$3=JU!$F2006,$D$3=JU!$I2006),JU!B2006,"")</f>
        <v/>
      </c>
      <c r="C2006" s="6" t="str">
        <f>IF(OR($D$3=JU!$F2006,$D$3=JU!$I2006),JU!C2006,"")</f>
        <v/>
      </c>
      <c r="D2006" s="73" t="str">
        <f>IF(OR($D$3=JU!$F2006,$D$3=JU!$I2006),JU!D2006,"")</f>
        <v/>
      </c>
      <c r="E2006" s="74" t="str">
        <f>IF(OR($D$3=JU!$F2006,$D$3=JU!$I2006),JU!E2006,"")</f>
        <v/>
      </c>
      <c r="F2006" s="72">
        <f>IF($D$3=JU!F2006,JU!H2006,0)</f>
        <v>0</v>
      </c>
      <c r="G2006" s="72">
        <f>IF($D$3=JU!I2006,JU!K2006,0)</f>
        <v>0</v>
      </c>
      <c r="H2006" s="72" t="e">
        <f t="shared" si="32"/>
        <v>#REF!</v>
      </c>
    </row>
    <row r="2007" spans="2:8" hidden="1">
      <c r="B2007" s="68" t="str">
        <f>IF(OR($D$3=JU!$F2007,$D$3=JU!$I2007),JU!B2007,"")</f>
        <v/>
      </c>
      <c r="C2007" s="6" t="str">
        <f>IF(OR($D$3=JU!$F2007,$D$3=JU!$I2007),JU!C2007,"")</f>
        <v/>
      </c>
      <c r="D2007" s="73" t="str">
        <f>IF(OR($D$3=JU!$F2007,$D$3=JU!$I2007),JU!D2007,"")</f>
        <v/>
      </c>
      <c r="E2007" s="74" t="str">
        <f>IF(OR($D$3=JU!$F2007,$D$3=JU!$I2007),JU!E2007,"")</f>
        <v/>
      </c>
      <c r="F2007" s="72">
        <f>IF($D$3=JU!F2007,JU!H2007,0)</f>
        <v>0</v>
      </c>
      <c r="G2007" s="72">
        <f>IF($D$3=JU!I2007,JU!K2007,0)</f>
        <v>0</v>
      </c>
      <c r="H2007" s="72" t="e">
        <f t="shared" si="32"/>
        <v>#REF!</v>
      </c>
    </row>
    <row r="2008" spans="2:8" hidden="1">
      <c r="B2008" s="68" t="str">
        <f>IF(OR($D$3=JU!$F2008,$D$3=JU!$I2008),JU!B2008,"")</f>
        <v/>
      </c>
      <c r="C2008" s="6" t="str">
        <f>IF(OR($D$3=JU!$F2008,$D$3=JU!$I2008),JU!C2008,"")</f>
        <v/>
      </c>
      <c r="D2008" s="73" t="str">
        <f>IF(OR($D$3=JU!$F2008,$D$3=JU!$I2008),JU!D2008,"")</f>
        <v/>
      </c>
      <c r="E2008" s="74" t="str">
        <f>IF(OR($D$3=JU!$F2008,$D$3=JU!$I2008),JU!E2008,"")</f>
        <v/>
      </c>
      <c r="F2008" s="72">
        <f>IF($D$3=JU!F2008,JU!H2008,0)</f>
        <v>0</v>
      </c>
      <c r="G2008" s="72">
        <f>IF($D$3=JU!I2008,JU!K2008,0)</f>
        <v>0</v>
      </c>
      <c r="H2008" s="72" t="e">
        <f t="shared" si="32"/>
        <v>#REF!</v>
      </c>
    </row>
    <row r="2009" spans="2:8" hidden="1">
      <c r="B2009" s="68" t="str">
        <f>IF(OR($D$3=JU!$F2009,$D$3=JU!$I2009),JU!B2009,"")</f>
        <v/>
      </c>
      <c r="C2009" s="6" t="str">
        <f>IF(OR($D$3=JU!$F2009,$D$3=JU!$I2009),JU!C2009,"")</f>
        <v/>
      </c>
      <c r="D2009" s="73" t="str">
        <f>IF(OR($D$3=JU!$F2009,$D$3=JU!$I2009),JU!D2009,"")</f>
        <v/>
      </c>
      <c r="E2009" s="74" t="str">
        <f>IF(OR($D$3=JU!$F2009,$D$3=JU!$I2009),JU!E2009,"")</f>
        <v/>
      </c>
      <c r="F2009" s="72">
        <f>IF($D$3=JU!F2009,JU!H2009,0)</f>
        <v>0</v>
      </c>
      <c r="G2009" s="72">
        <f>IF($D$3=JU!I2009,JU!K2009,0)</f>
        <v>0</v>
      </c>
      <c r="H2009" s="72" t="e">
        <f t="shared" si="32"/>
        <v>#REF!</v>
      </c>
    </row>
    <row r="2010" spans="2:8" hidden="1">
      <c r="B2010" s="68" t="str">
        <f>IF(OR($D$3=JU!$F2010,$D$3=JU!$I2010),JU!B2010,"")</f>
        <v/>
      </c>
      <c r="C2010" s="6" t="str">
        <f>IF(OR($D$3=JU!$F2010,$D$3=JU!$I2010),JU!C2010,"")</f>
        <v/>
      </c>
      <c r="D2010" s="73" t="str">
        <f>IF(OR($D$3=JU!$F2010,$D$3=JU!$I2010),JU!D2010,"")</f>
        <v/>
      </c>
      <c r="E2010" s="74" t="str">
        <f>IF(OR($D$3=JU!$F2010,$D$3=JU!$I2010),JU!E2010,"")</f>
        <v/>
      </c>
      <c r="F2010" s="72">
        <f>IF($D$3=JU!F2010,JU!H2010,0)</f>
        <v>0</v>
      </c>
      <c r="G2010" s="72">
        <f>IF($D$3=JU!I2010,JU!K2010,0)</f>
        <v>0</v>
      </c>
      <c r="H2010" s="72" t="e">
        <f t="shared" si="32"/>
        <v>#REF!</v>
      </c>
    </row>
    <row r="2011" spans="2:8" hidden="1">
      <c r="B2011" s="68" t="str">
        <f>IF(OR($D$3=JU!$F2011,$D$3=JU!$I2011),JU!B2011,"")</f>
        <v/>
      </c>
      <c r="C2011" s="6" t="str">
        <f>IF(OR($D$3=JU!$F2011,$D$3=JU!$I2011),JU!C2011,"")</f>
        <v/>
      </c>
      <c r="D2011" s="73" t="str">
        <f>IF(OR($D$3=JU!$F2011,$D$3=JU!$I2011),JU!D2011,"")</f>
        <v/>
      </c>
      <c r="E2011" s="74" t="str">
        <f>IF(OR($D$3=JU!$F2011,$D$3=JU!$I2011),JU!E2011,"")</f>
        <v/>
      </c>
      <c r="F2011" s="72">
        <f>IF($D$3=JU!F2011,JU!H2011,0)</f>
        <v>0</v>
      </c>
      <c r="G2011" s="72">
        <f>IF($D$3=JU!I2011,JU!K2011,0)</f>
        <v>0</v>
      </c>
      <c r="H2011" s="72" t="e">
        <f t="shared" si="32"/>
        <v>#REF!</v>
      </c>
    </row>
    <row r="2012" spans="2:8" hidden="1">
      <c r="B2012" s="68" t="str">
        <f>IF(OR($D$3=JU!$F2012,$D$3=JU!$I2012),JU!B2012,"")</f>
        <v/>
      </c>
      <c r="C2012" s="6" t="str">
        <f>IF(OR($D$3=JU!$F2012,$D$3=JU!$I2012),JU!C2012,"")</f>
        <v/>
      </c>
      <c r="D2012" s="73" t="str">
        <f>IF(OR($D$3=JU!$F2012,$D$3=JU!$I2012),JU!D2012,"")</f>
        <v/>
      </c>
      <c r="E2012" s="74" t="str">
        <f>IF(OR($D$3=JU!$F2012,$D$3=JU!$I2012),JU!E2012,"")</f>
        <v/>
      </c>
      <c r="F2012" s="72">
        <f>IF($D$3=JU!F2012,JU!H2012,0)</f>
        <v>0</v>
      </c>
      <c r="G2012" s="72">
        <f>IF($D$3=JU!I2012,JU!K2012,0)</f>
        <v>0</v>
      </c>
      <c r="H2012" s="72" t="e">
        <f t="shared" si="32"/>
        <v>#REF!</v>
      </c>
    </row>
    <row r="2013" spans="2:8" hidden="1">
      <c r="B2013" s="68" t="str">
        <f>IF(OR($D$3=JU!$F2013,$D$3=JU!$I2013),JU!B2013,"")</f>
        <v/>
      </c>
      <c r="C2013" s="6" t="str">
        <f>IF(OR($D$3=JU!$F2013,$D$3=JU!$I2013),JU!C2013,"")</f>
        <v/>
      </c>
      <c r="D2013" s="73" t="str">
        <f>IF(OR($D$3=JU!$F2013,$D$3=JU!$I2013),JU!D2013,"")</f>
        <v/>
      </c>
      <c r="E2013" s="74" t="str">
        <f>IF(OR($D$3=JU!$F2013,$D$3=JU!$I2013),JU!E2013,"")</f>
        <v/>
      </c>
      <c r="F2013" s="72">
        <f>IF($D$3=JU!F2013,JU!H2013,0)</f>
        <v>0</v>
      </c>
      <c r="G2013" s="72">
        <f>IF($D$3=JU!I2013,JU!K2013,0)</f>
        <v>0</v>
      </c>
      <c r="H2013" s="72" t="e">
        <f t="shared" si="32"/>
        <v>#REF!</v>
      </c>
    </row>
    <row r="2014" spans="2:8" hidden="1">
      <c r="B2014" s="68" t="str">
        <f>IF(OR($D$3=JU!$F2014,$D$3=JU!$I2014),JU!B2014,"")</f>
        <v/>
      </c>
      <c r="C2014" s="6" t="str">
        <f>IF(OR($D$3=JU!$F2014,$D$3=JU!$I2014),JU!C2014,"")</f>
        <v/>
      </c>
      <c r="D2014" s="73" t="str">
        <f>IF(OR($D$3=JU!$F2014,$D$3=JU!$I2014),JU!D2014,"")</f>
        <v/>
      </c>
      <c r="E2014" s="74" t="str">
        <f>IF(OR($D$3=JU!$F2014,$D$3=JU!$I2014),JU!E2014,"")</f>
        <v/>
      </c>
      <c r="F2014" s="72">
        <f>IF($D$3=JU!F2014,JU!H2014,0)</f>
        <v>0</v>
      </c>
      <c r="G2014" s="72">
        <f>IF($D$3=JU!I2014,JU!K2014,0)</f>
        <v>0</v>
      </c>
      <c r="H2014" s="72" t="e">
        <f t="shared" si="32"/>
        <v>#REF!</v>
      </c>
    </row>
    <row r="2015" spans="2:8" hidden="1">
      <c r="B2015" s="68" t="str">
        <f>IF(OR($D$3=JU!$F2015,$D$3=JU!$I2015),JU!B2015,"")</f>
        <v/>
      </c>
      <c r="C2015" s="6" t="str">
        <f>IF(OR($D$3=JU!$F2015,$D$3=JU!$I2015),JU!C2015,"")</f>
        <v/>
      </c>
      <c r="D2015" s="73" t="str">
        <f>IF(OR($D$3=JU!$F2015,$D$3=JU!$I2015),JU!D2015,"")</f>
        <v/>
      </c>
      <c r="E2015" s="74" t="str">
        <f>IF(OR($D$3=JU!$F2015,$D$3=JU!$I2015),JU!E2015,"")</f>
        <v/>
      </c>
      <c r="F2015" s="72">
        <f>IF($D$3=JU!F2015,JU!H2015,0)</f>
        <v>0</v>
      </c>
      <c r="G2015" s="72">
        <f>IF($D$3=JU!I2015,JU!K2015,0)</f>
        <v>0</v>
      </c>
      <c r="H2015" s="72" t="e">
        <f t="shared" si="32"/>
        <v>#REF!</v>
      </c>
    </row>
    <row r="2016" spans="2:8" hidden="1">
      <c r="B2016" s="68" t="str">
        <f>IF(OR($D$3=JU!$F2016,$D$3=JU!$I2016),JU!B2016,"")</f>
        <v/>
      </c>
      <c r="C2016" s="6" t="str">
        <f>IF(OR($D$3=JU!$F2016,$D$3=JU!$I2016),JU!C2016,"")</f>
        <v/>
      </c>
      <c r="D2016" s="73" t="str">
        <f>IF(OR($D$3=JU!$F2016,$D$3=JU!$I2016),JU!D2016,"")</f>
        <v/>
      </c>
      <c r="E2016" s="74" t="str">
        <f>IF(OR($D$3=JU!$F2016,$D$3=JU!$I2016),JU!E2016,"")</f>
        <v/>
      </c>
      <c r="F2016" s="72">
        <f>IF($D$3=JU!F2016,JU!H2016,0)</f>
        <v>0</v>
      </c>
      <c r="G2016" s="72">
        <f>IF($D$3=JU!I2016,JU!K2016,0)</f>
        <v>0</v>
      </c>
      <c r="H2016" s="72" t="e">
        <f t="shared" si="32"/>
        <v>#REF!</v>
      </c>
    </row>
    <row r="2017" spans="2:8" hidden="1">
      <c r="B2017" s="68" t="str">
        <f>IF(OR($D$3=JU!$F2017,$D$3=JU!$I2017),JU!B2017,"")</f>
        <v/>
      </c>
      <c r="C2017" s="6" t="str">
        <f>IF(OR($D$3=JU!$F2017,$D$3=JU!$I2017),JU!C2017,"")</f>
        <v/>
      </c>
      <c r="D2017" s="73" t="str">
        <f>IF(OR($D$3=JU!$F2017,$D$3=JU!$I2017),JU!D2017,"")</f>
        <v/>
      </c>
      <c r="E2017" s="74" t="str">
        <f>IF(OR($D$3=JU!$F2017,$D$3=JU!$I2017),JU!E2017,"")</f>
        <v/>
      </c>
      <c r="F2017" s="72">
        <f>IF($D$3=JU!F2017,JU!H2017,0)</f>
        <v>0</v>
      </c>
      <c r="G2017" s="72">
        <f>IF($D$3=JU!I2017,JU!K2017,0)</f>
        <v>0</v>
      </c>
      <c r="H2017" s="72" t="e">
        <f t="shared" si="32"/>
        <v>#REF!</v>
      </c>
    </row>
    <row r="2018" spans="2:8" hidden="1">
      <c r="B2018" s="68" t="str">
        <f>IF(OR($D$3=JU!$F2018,$D$3=JU!$I2018),JU!B2018,"")</f>
        <v/>
      </c>
      <c r="C2018" s="6" t="str">
        <f>IF(OR($D$3=JU!$F2018,$D$3=JU!$I2018),JU!C2018,"")</f>
        <v/>
      </c>
      <c r="D2018" s="73" t="str">
        <f>IF(OR($D$3=JU!$F2018,$D$3=JU!$I2018),JU!D2018,"")</f>
        <v/>
      </c>
      <c r="E2018" s="74" t="str">
        <f>IF(OR($D$3=JU!$F2018,$D$3=JU!$I2018),JU!E2018,"")</f>
        <v/>
      </c>
      <c r="F2018" s="72">
        <f>IF($D$3=JU!F2018,JU!H2018,0)</f>
        <v>0</v>
      </c>
      <c r="G2018" s="72">
        <f>IF($D$3=JU!I2018,JU!K2018,0)</f>
        <v>0</v>
      </c>
      <c r="H2018" s="72" t="e">
        <f t="shared" si="32"/>
        <v>#REF!</v>
      </c>
    </row>
    <row r="2019" spans="2:8" hidden="1">
      <c r="B2019" s="68" t="str">
        <f>IF(OR($D$3=JU!$F2019,$D$3=JU!$I2019),JU!B2019,"")</f>
        <v/>
      </c>
      <c r="C2019" s="6" t="str">
        <f>IF(OR($D$3=JU!$F2019,$D$3=JU!$I2019),JU!C2019,"")</f>
        <v/>
      </c>
      <c r="D2019" s="73" t="str">
        <f>IF(OR($D$3=JU!$F2019,$D$3=JU!$I2019),JU!D2019,"")</f>
        <v/>
      </c>
      <c r="E2019" s="74" t="str">
        <f>IF(OR($D$3=JU!$F2019,$D$3=JU!$I2019),JU!E2019,"")</f>
        <v/>
      </c>
      <c r="F2019" s="72">
        <f>IF($D$3=JU!F2019,JU!H2019,0)</f>
        <v>0</v>
      </c>
      <c r="G2019" s="72">
        <f>IF($D$3=JU!I2019,JU!K2019,0)</f>
        <v>0</v>
      </c>
      <c r="H2019" s="72" t="e">
        <f t="shared" si="32"/>
        <v>#REF!</v>
      </c>
    </row>
    <row r="2020" spans="2:8" hidden="1">
      <c r="B2020" s="68" t="str">
        <f>IF(OR($D$3=JU!$F2020,$D$3=JU!$I2020),JU!B2020,"")</f>
        <v/>
      </c>
      <c r="C2020" s="6" t="str">
        <f>IF(OR($D$3=JU!$F2020,$D$3=JU!$I2020),JU!C2020,"")</f>
        <v/>
      </c>
      <c r="D2020" s="73" t="str">
        <f>IF(OR($D$3=JU!$F2020,$D$3=JU!$I2020),JU!D2020,"")</f>
        <v/>
      </c>
      <c r="E2020" s="74" t="str">
        <f>IF(OR($D$3=JU!$F2020,$D$3=JU!$I2020),JU!E2020,"")</f>
        <v/>
      </c>
      <c r="F2020" s="72">
        <f>IF($D$3=JU!F2020,JU!H2020,0)</f>
        <v>0</v>
      </c>
      <c r="G2020" s="72">
        <f>IF($D$3=JU!I2020,JU!K2020,0)</f>
        <v>0</v>
      </c>
      <c r="H2020" s="72" t="e">
        <f t="shared" si="32"/>
        <v>#REF!</v>
      </c>
    </row>
    <row r="2021" spans="2:8" hidden="1">
      <c r="B2021" s="68" t="str">
        <f>IF(OR($D$3=JU!$F2021,$D$3=JU!$I2021),JU!B2021,"")</f>
        <v/>
      </c>
      <c r="C2021" s="6" t="str">
        <f>IF(OR($D$3=JU!$F2021,$D$3=JU!$I2021),JU!C2021,"")</f>
        <v/>
      </c>
      <c r="D2021" s="73" t="str">
        <f>IF(OR($D$3=JU!$F2021,$D$3=JU!$I2021),JU!D2021,"")</f>
        <v/>
      </c>
      <c r="E2021" s="74" t="str">
        <f>IF(OR($D$3=JU!$F2021,$D$3=JU!$I2021),JU!E2021,"")</f>
        <v/>
      </c>
      <c r="F2021" s="72">
        <f>IF($D$3=JU!F2021,JU!H2021,0)</f>
        <v>0</v>
      </c>
      <c r="G2021" s="72">
        <f>IF($D$3=JU!I2021,JU!K2021,0)</f>
        <v>0</v>
      </c>
      <c r="H2021" s="72" t="e">
        <f t="shared" si="32"/>
        <v>#REF!</v>
      </c>
    </row>
    <row r="2022" spans="2:8" hidden="1">
      <c r="B2022" s="68" t="str">
        <f>IF(OR($D$3=JU!$F2022,$D$3=JU!$I2022),JU!B2022,"")</f>
        <v/>
      </c>
      <c r="C2022" s="6" t="str">
        <f>IF(OR($D$3=JU!$F2022,$D$3=JU!$I2022),JU!C2022,"")</f>
        <v/>
      </c>
      <c r="D2022" s="73" t="str">
        <f>IF(OR($D$3=JU!$F2022,$D$3=JU!$I2022),JU!D2022,"")</f>
        <v/>
      </c>
      <c r="E2022" s="74" t="str">
        <f>IF(OR($D$3=JU!$F2022,$D$3=JU!$I2022),JU!E2022,"")</f>
        <v/>
      </c>
      <c r="F2022" s="72">
        <f>IF($D$3=JU!F2022,JU!H2022,0)</f>
        <v>0</v>
      </c>
      <c r="G2022" s="72">
        <f>IF($D$3=JU!I2022,JU!K2022,0)</f>
        <v>0</v>
      </c>
      <c r="H2022" s="72" t="e">
        <f t="shared" si="32"/>
        <v>#REF!</v>
      </c>
    </row>
    <row r="2023" spans="2:8" hidden="1">
      <c r="B2023" s="68" t="str">
        <f>IF(OR($D$3=JU!$F2023,$D$3=JU!$I2023),JU!B2023,"")</f>
        <v/>
      </c>
      <c r="C2023" s="6" t="str">
        <f>IF(OR($D$3=JU!$F2023,$D$3=JU!$I2023),JU!C2023,"")</f>
        <v/>
      </c>
      <c r="D2023" s="73" t="str">
        <f>IF(OR($D$3=JU!$F2023,$D$3=JU!$I2023),JU!D2023,"")</f>
        <v/>
      </c>
      <c r="E2023" s="74" t="str">
        <f>IF(OR($D$3=JU!$F2023,$D$3=JU!$I2023),JU!E2023,"")</f>
        <v/>
      </c>
      <c r="F2023" s="72">
        <f>IF($D$3=JU!F2023,JU!H2023,0)</f>
        <v>0</v>
      </c>
      <c r="G2023" s="72">
        <f>IF($D$3=JU!I2023,JU!K2023,0)</f>
        <v>0</v>
      </c>
      <c r="H2023" s="72" t="e">
        <f t="shared" si="32"/>
        <v>#REF!</v>
      </c>
    </row>
    <row r="2024" spans="2:8" hidden="1">
      <c r="B2024" s="68" t="str">
        <f>IF(OR($D$3=JU!$F2024,$D$3=JU!$I2024),JU!B2024,"")</f>
        <v/>
      </c>
      <c r="C2024" s="6" t="str">
        <f>IF(OR($D$3=JU!$F2024,$D$3=JU!$I2024),JU!C2024,"")</f>
        <v/>
      </c>
      <c r="D2024" s="73" t="str">
        <f>IF(OR($D$3=JU!$F2024,$D$3=JU!$I2024),JU!D2024,"")</f>
        <v/>
      </c>
      <c r="E2024" s="74" t="str">
        <f>IF(OR($D$3=JU!$F2024,$D$3=JU!$I2024),JU!E2024,"")</f>
        <v/>
      </c>
      <c r="F2024" s="72">
        <f>IF($D$3=JU!F2024,JU!H2024,0)</f>
        <v>0</v>
      </c>
      <c r="G2024" s="72">
        <f>IF($D$3=JU!I2024,JU!K2024,0)</f>
        <v>0</v>
      </c>
      <c r="H2024" s="72" t="e">
        <f t="shared" si="32"/>
        <v>#REF!</v>
      </c>
    </row>
    <row r="2025" spans="2:8" hidden="1">
      <c r="B2025" s="68" t="str">
        <f>IF(OR($D$3=JU!$F2025,$D$3=JU!$I2025),JU!B2025,"")</f>
        <v/>
      </c>
      <c r="C2025" s="6" t="str">
        <f>IF(OR($D$3=JU!$F2025,$D$3=JU!$I2025),JU!C2025,"")</f>
        <v/>
      </c>
      <c r="D2025" s="73" t="str">
        <f>IF(OR($D$3=JU!$F2025,$D$3=JU!$I2025),JU!D2025,"")</f>
        <v/>
      </c>
      <c r="E2025" s="74" t="str">
        <f>IF(OR($D$3=JU!$F2025,$D$3=JU!$I2025),JU!E2025,"")</f>
        <v/>
      </c>
      <c r="F2025" s="72">
        <f>IF($D$3=JU!F2025,JU!H2025,0)</f>
        <v>0</v>
      </c>
      <c r="G2025" s="72">
        <f>IF($D$3=JU!I2025,JU!K2025,0)</f>
        <v>0</v>
      </c>
      <c r="H2025" s="72" t="e">
        <f t="shared" si="32"/>
        <v>#REF!</v>
      </c>
    </row>
    <row r="2026" spans="2:8" hidden="1">
      <c r="B2026" s="68" t="str">
        <f>IF(OR($D$3=JU!$F2026,$D$3=JU!$I2026),JU!B2026,"")</f>
        <v/>
      </c>
      <c r="C2026" s="6" t="str">
        <f>IF(OR($D$3=JU!$F2026,$D$3=JU!$I2026),JU!C2026,"")</f>
        <v/>
      </c>
      <c r="D2026" s="73" t="str">
        <f>IF(OR($D$3=JU!$F2026,$D$3=JU!$I2026),JU!D2026,"")</f>
        <v/>
      </c>
      <c r="E2026" s="74" t="str">
        <f>IF(OR($D$3=JU!$F2026,$D$3=JU!$I2026),JU!E2026,"")</f>
        <v/>
      </c>
      <c r="F2026" s="72">
        <f>IF($D$3=JU!F2026,JU!H2026,0)</f>
        <v>0</v>
      </c>
      <c r="G2026" s="72">
        <f>IF($D$3=JU!I2026,JU!K2026,0)</f>
        <v>0</v>
      </c>
      <c r="H2026" s="72" t="e">
        <f t="shared" si="32"/>
        <v>#REF!</v>
      </c>
    </row>
    <row r="2027" spans="2:8" hidden="1">
      <c r="B2027" s="68" t="str">
        <f>IF(OR($D$3=JU!$F2027,$D$3=JU!$I2027),JU!B2027,"")</f>
        <v/>
      </c>
      <c r="C2027" s="6" t="str">
        <f>IF(OR($D$3=JU!$F2027,$D$3=JU!$I2027),JU!C2027,"")</f>
        <v/>
      </c>
      <c r="D2027" s="73" t="str">
        <f>IF(OR($D$3=JU!$F2027,$D$3=JU!$I2027),JU!D2027,"")</f>
        <v/>
      </c>
      <c r="E2027" s="74" t="str">
        <f>IF(OR($D$3=JU!$F2027,$D$3=JU!$I2027),JU!E2027,"")</f>
        <v/>
      </c>
      <c r="F2027" s="72">
        <f>IF($D$3=JU!F2027,JU!H2027,0)</f>
        <v>0</v>
      </c>
      <c r="G2027" s="72">
        <f>IF($D$3=JU!I2027,JU!K2027,0)</f>
        <v>0</v>
      </c>
      <c r="H2027" s="72" t="e">
        <f t="shared" si="32"/>
        <v>#REF!</v>
      </c>
    </row>
    <row r="2028" spans="2:8" hidden="1">
      <c r="B2028" s="68" t="str">
        <f>IF(OR($D$3=JU!$F2028,$D$3=JU!$I2028),JU!B2028,"")</f>
        <v/>
      </c>
      <c r="C2028" s="6" t="str">
        <f>IF(OR($D$3=JU!$F2028,$D$3=JU!$I2028),JU!C2028,"")</f>
        <v/>
      </c>
      <c r="D2028" s="73" t="str">
        <f>IF(OR($D$3=JU!$F2028,$D$3=JU!$I2028),JU!D2028,"")</f>
        <v/>
      </c>
      <c r="E2028" s="74" t="str">
        <f>IF(OR($D$3=JU!$F2028,$D$3=JU!$I2028),JU!E2028,"")</f>
        <v/>
      </c>
      <c r="F2028" s="72">
        <f>IF($D$3=JU!F2028,JU!H2028,0)</f>
        <v>0</v>
      </c>
      <c r="G2028" s="72">
        <f>IF($D$3=JU!I2028,JU!K2028,0)</f>
        <v>0</v>
      </c>
      <c r="H2028" s="72" t="e">
        <f t="shared" si="32"/>
        <v>#REF!</v>
      </c>
    </row>
    <row r="2029" spans="2:8" hidden="1">
      <c r="B2029" s="68" t="str">
        <f>IF(OR($D$3=JU!$F2029,$D$3=JU!$I2029),JU!B2029,"")</f>
        <v/>
      </c>
      <c r="C2029" s="6" t="str">
        <f>IF(OR($D$3=JU!$F2029,$D$3=JU!$I2029),JU!C2029,"")</f>
        <v/>
      </c>
      <c r="D2029" s="73" t="str">
        <f>IF(OR($D$3=JU!$F2029,$D$3=JU!$I2029),JU!D2029,"")</f>
        <v/>
      </c>
      <c r="E2029" s="74" t="str">
        <f>IF(OR($D$3=JU!$F2029,$D$3=JU!$I2029),JU!E2029,"")</f>
        <v/>
      </c>
      <c r="F2029" s="72">
        <f>IF($D$3=JU!F2029,JU!H2029,0)</f>
        <v>0</v>
      </c>
      <c r="G2029" s="72">
        <f>IF($D$3=JU!I2029,JU!K2029,0)</f>
        <v>0</v>
      </c>
      <c r="H2029" s="72" t="e">
        <f t="shared" si="32"/>
        <v>#REF!</v>
      </c>
    </row>
    <row r="2030" spans="2:8" hidden="1">
      <c r="B2030" s="68" t="str">
        <f>IF(OR($D$3=JU!$F2030,$D$3=JU!$I2030),JU!B2030,"")</f>
        <v/>
      </c>
      <c r="C2030" s="6" t="str">
        <f>IF(OR($D$3=JU!$F2030,$D$3=JU!$I2030),JU!C2030,"")</f>
        <v/>
      </c>
      <c r="D2030" s="73" t="str">
        <f>IF(OR($D$3=JU!$F2030,$D$3=JU!$I2030),JU!D2030,"")</f>
        <v/>
      </c>
      <c r="E2030" s="74" t="str">
        <f>IF(OR($D$3=JU!$F2030,$D$3=JU!$I2030),JU!E2030,"")</f>
        <v/>
      </c>
      <c r="F2030" s="72">
        <f>IF($D$3=JU!F2030,JU!H2030,0)</f>
        <v>0</v>
      </c>
      <c r="G2030" s="72">
        <f>IF($D$3=JU!I2030,JU!K2030,0)</f>
        <v>0</v>
      </c>
      <c r="H2030" s="72" t="e">
        <f t="shared" si="32"/>
        <v>#REF!</v>
      </c>
    </row>
    <row r="2031" spans="2:8" hidden="1">
      <c r="B2031" s="68" t="str">
        <f>IF(OR($D$3=JU!$F2031,$D$3=JU!$I2031),JU!B2031,"")</f>
        <v/>
      </c>
      <c r="C2031" s="6" t="str">
        <f>IF(OR($D$3=JU!$F2031,$D$3=JU!$I2031),JU!C2031,"")</f>
        <v/>
      </c>
      <c r="D2031" s="73" t="str">
        <f>IF(OR($D$3=JU!$F2031,$D$3=JU!$I2031),JU!D2031,"")</f>
        <v/>
      </c>
      <c r="E2031" s="74" t="str">
        <f>IF(OR($D$3=JU!$F2031,$D$3=JU!$I2031),JU!E2031,"")</f>
        <v/>
      </c>
      <c r="F2031" s="72">
        <f>IF($D$3=JU!F2031,JU!H2031,0)</f>
        <v>0</v>
      </c>
      <c r="G2031" s="72">
        <f>IF($D$3=JU!I2031,JU!K2031,0)</f>
        <v>0</v>
      </c>
      <c r="H2031" s="72" t="e">
        <f t="shared" si="32"/>
        <v>#REF!</v>
      </c>
    </row>
    <row r="2032" spans="2:8" hidden="1">
      <c r="B2032" s="68" t="str">
        <f>IF(OR($D$3=JU!$F2032,$D$3=JU!$I2032),JU!B2032,"")</f>
        <v/>
      </c>
      <c r="C2032" s="6" t="str">
        <f>IF(OR($D$3=JU!$F2032,$D$3=JU!$I2032),JU!C2032,"")</f>
        <v/>
      </c>
      <c r="D2032" s="73" t="str">
        <f>IF(OR($D$3=JU!$F2032,$D$3=JU!$I2032),JU!D2032,"")</f>
        <v/>
      </c>
      <c r="E2032" s="74" t="str">
        <f>IF(OR($D$3=JU!$F2032,$D$3=JU!$I2032),JU!E2032,"")</f>
        <v/>
      </c>
      <c r="F2032" s="72">
        <f>IF($D$3=JU!F2032,JU!H2032,0)</f>
        <v>0</v>
      </c>
      <c r="G2032" s="72">
        <f>IF($D$3=JU!I2032,JU!K2032,0)</f>
        <v>0</v>
      </c>
      <c r="H2032" s="72" t="e">
        <f t="shared" si="32"/>
        <v>#REF!</v>
      </c>
    </row>
    <row r="2033" spans="2:8" hidden="1">
      <c r="B2033" s="68" t="str">
        <f>IF(OR($D$3=JU!$F2033,$D$3=JU!$I2033),JU!B2033,"")</f>
        <v/>
      </c>
      <c r="C2033" s="6" t="str">
        <f>IF(OR($D$3=JU!$F2033,$D$3=JU!$I2033),JU!C2033,"")</f>
        <v/>
      </c>
      <c r="D2033" s="73" t="str">
        <f>IF(OR($D$3=JU!$F2033,$D$3=JU!$I2033),JU!D2033,"")</f>
        <v/>
      </c>
      <c r="E2033" s="74" t="str">
        <f>IF(OR($D$3=JU!$F2033,$D$3=JU!$I2033),JU!E2033,"")</f>
        <v/>
      </c>
      <c r="F2033" s="72">
        <f>IF($D$3=JU!F2033,JU!H2033,0)</f>
        <v>0</v>
      </c>
      <c r="G2033" s="72">
        <f>IF($D$3=JU!I2033,JU!K2033,0)</f>
        <v>0</v>
      </c>
      <c r="H2033" s="72" t="e">
        <f t="shared" si="32"/>
        <v>#REF!</v>
      </c>
    </row>
    <row r="2034" spans="2:8" hidden="1">
      <c r="B2034" s="68" t="str">
        <f>IF(OR($D$3=JU!$F2034,$D$3=JU!$I2034),JU!B2034,"")</f>
        <v/>
      </c>
      <c r="C2034" s="6" t="str">
        <f>IF(OR($D$3=JU!$F2034,$D$3=JU!$I2034),JU!C2034,"")</f>
        <v/>
      </c>
      <c r="D2034" s="73" t="str">
        <f>IF(OR($D$3=JU!$F2034,$D$3=JU!$I2034),JU!D2034,"")</f>
        <v/>
      </c>
      <c r="E2034" s="74" t="str">
        <f>IF(OR($D$3=JU!$F2034,$D$3=JU!$I2034),JU!E2034,"")</f>
        <v/>
      </c>
      <c r="F2034" s="72">
        <f>IF($D$3=JU!F2034,JU!H2034,0)</f>
        <v>0</v>
      </c>
      <c r="G2034" s="72">
        <f>IF($D$3=JU!I2034,JU!K2034,0)</f>
        <v>0</v>
      </c>
      <c r="H2034" s="72" t="e">
        <f t="shared" si="32"/>
        <v>#REF!</v>
      </c>
    </row>
    <row r="2035" spans="2:8" hidden="1">
      <c r="B2035" s="68" t="str">
        <f>IF(OR($D$3=JU!$F2035,$D$3=JU!$I2035),JU!B2035,"")</f>
        <v/>
      </c>
      <c r="C2035" s="6" t="str">
        <f>IF(OR($D$3=JU!$F2035,$D$3=JU!$I2035),JU!C2035,"")</f>
        <v/>
      </c>
      <c r="D2035" s="73" t="str">
        <f>IF(OR($D$3=JU!$F2035,$D$3=JU!$I2035),JU!D2035,"")</f>
        <v/>
      </c>
      <c r="E2035" s="74" t="str">
        <f>IF(OR($D$3=JU!$F2035,$D$3=JU!$I2035),JU!E2035,"")</f>
        <v/>
      </c>
      <c r="F2035" s="72">
        <f>IF($D$3=JU!F2035,JU!H2035,0)</f>
        <v>0</v>
      </c>
      <c r="G2035" s="72">
        <f>IF($D$3=JU!I2035,JU!K2035,0)</f>
        <v>0</v>
      </c>
      <c r="H2035" s="72" t="e">
        <f t="shared" si="32"/>
        <v>#REF!</v>
      </c>
    </row>
    <row r="2036" spans="2:8" hidden="1">
      <c r="B2036" s="68" t="str">
        <f>IF(OR($D$3=JU!$F2036,$D$3=JU!$I2036),JU!B2036,"")</f>
        <v/>
      </c>
      <c r="C2036" s="6" t="str">
        <f>IF(OR($D$3=JU!$F2036,$D$3=JU!$I2036),JU!C2036,"")</f>
        <v/>
      </c>
      <c r="D2036" s="73" t="str">
        <f>IF(OR($D$3=JU!$F2036,$D$3=JU!$I2036),JU!D2036,"")</f>
        <v/>
      </c>
      <c r="E2036" s="74" t="str">
        <f>IF(OR($D$3=JU!$F2036,$D$3=JU!$I2036),JU!E2036,"")</f>
        <v/>
      </c>
      <c r="F2036" s="72">
        <f>IF($D$3=JU!F2036,JU!H2036,0)</f>
        <v>0</v>
      </c>
      <c r="G2036" s="72">
        <f>IF($D$3=JU!I2036,JU!K2036,0)</f>
        <v>0</v>
      </c>
      <c r="H2036" s="72" t="e">
        <f t="shared" si="32"/>
        <v>#REF!</v>
      </c>
    </row>
    <row r="2037" spans="2:8" hidden="1">
      <c r="B2037" s="68" t="str">
        <f>IF(OR($D$3=JU!$F2037,$D$3=JU!$I2037),JU!B2037,"")</f>
        <v/>
      </c>
      <c r="C2037" s="6" t="str">
        <f>IF(OR($D$3=JU!$F2037,$D$3=JU!$I2037),JU!C2037,"")</f>
        <v/>
      </c>
      <c r="D2037" s="73" t="str">
        <f>IF(OR($D$3=JU!$F2037,$D$3=JU!$I2037),JU!D2037,"")</f>
        <v/>
      </c>
      <c r="E2037" s="74" t="str">
        <f>IF(OR($D$3=JU!$F2037,$D$3=JU!$I2037),JU!E2037,"")</f>
        <v/>
      </c>
      <c r="F2037" s="72">
        <f>IF($D$3=JU!F2037,JU!H2037,0)</f>
        <v>0</v>
      </c>
      <c r="G2037" s="72">
        <f>IF($D$3=JU!I2037,JU!K2037,0)</f>
        <v>0</v>
      </c>
      <c r="H2037" s="72" t="e">
        <f t="shared" si="32"/>
        <v>#REF!</v>
      </c>
    </row>
    <row r="2038" spans="2:8" hidden="1">
      <c r="B2038" s="68" t="str">
        <f>IF(OR($D$3=JU!$F2038,$D$3=JU!$I2038),JU!B2038,"")</f>
        <v/>
      </c>
      <c r="C2038" s="6" t="str">
        <f>IF(OR($D$3=JU!$F2038,$D$3=JU!$I2038),JU!C2038,"")</f>
        <v/>
      </c>
      <c r="D2038" s="73" t="str">
        <f>IF(OR($D$3=JU!$F2038,$D$3=JU!$I2038),JU!D2038,"")</f>
        <v/>
      </c>
      <c r="E2038" s="74" t="str">
        <f>IF(OR($D$3=JU!$F2038,$D$3=JU!$I2038),JU!E2038,"")</f>
        <v/>
      </c>
      <c r="F2038" s="72">
        <f>IF($D$3=JU!F2038,JU!H2038,0)</f>
        <v>0</v>
      </c>
      <c r="G2038" s="72">
        <f>IF($D$3=JU!I2038,JU!K2038,0)</f>
        <v>0</v>
      </c>
      <c r="H2038" s="72" t="e">
        <f t="shared" si="32"/>
        <v>#REF!</v>
      </c>
    </row>
    <row r="2039" spans="2:8" hidden="1">
      <c r="B2039" s="68" t="str">
        <f>IF(OR($D$3=JU!$F2039,$D$3=JU!$I2039),JU!B2039,"")</f>
        <v/>
      </c>
      <c r="C2039" s="6" t="str">
        <f>IF(OR($D$3=JU!$F2039,$D$3=JU!$I2039),JU!C2039,"")</f>
        <v/>
      </c>
      <c r="D2039" s="73" t="str">
        <f>IF(OR($D$3=JU!$F2039,$D$3=JU!$I2039),JU!D2039,"")</f>
        <v/>
      </c>
      <c r="E2039" s="74" t="str">
        <f>IF(OR($D$3=JU!$F2039,$D$3=JU!$I2039),JU!E2039,"")</f>
        <v/>
      </c>
      <c r="F2039" s="72">
        <f>IF($D$3=JU!F2039,JU!H2039,0)</f>
        <v>0</v>
      </c>
      <c r="G2039" s="72">
        <f>IF($D$3=JU!I2039,JU!K2039,0)</f>
        <v>0</v>
      </c>
      <c r="H2039" s="72" t="e">
        <f t="shared" si="32"/>
        <v>#REF!</v>
      </c>
    </row>
    <row r="2040" spans="2:8" hidden="1">
      <c r="B2040" s="68" t="str">
        <f>IF(OR($D$3=JU!$F2040,$D$3=JU!$I2040),JU!B2040,"")</f>
        <v/>
      </c>
      <c r="C2040" s="6" t="str">
        <f>IF(OR($D$3=JU!$F2040,$D$3=JU!$I2040),JU!C2040,"")</f>
        <v/>
      </c>
      <c r="D2040" s="73" t="str">
        <f>IF(OR($D$3=JU!$F2040,$D$3=JU!$I2040),JU!D2040,"")</f>
        <v/>
      </c>
      <c r="E2040" s="74" t="str">
        <f>IF(OR($D$3=JU!$F2040,$D$3=JU!$I2040),JU!E2040,"")</f>
        <v/>
      </c>
      <c r="F2040" s="72">
        <f>IF($D$3=JU!F2040,JU!H2040,0)</f>
        <v>0</v>
      </c>
      <c r="G2040" s="72">
        <f>IF($D$3=JU!I2040,JU!K2040,0)</f>
        <v>0</v>
      </c>
      <c r="H2040" s="72" t="e">
        <f t="shared" si="32"/>
        <v>#REF!</v>
      </c>
    </row>
    <row r="2041" spans="2:8" hidden="1">
      <c r="B2041" s="68" t="str">
        <f>IF(OR($D$3=JU!$F2041,$D$3=JU!$I2041),JU!B2041,"")</f>
        <v/>
      </c>
      <c r="C2041" s="6" t="str">
        <f>IF(OR($D$3=JU!$F2041,$D$3=JU!$I2041),JU!C2041,"")</f>
        <v/>
      </c>
      <c r="D2041" s="73" t="str">
        <f>IF(OR($D$3=JU!$F2041,$D$3=JU!$I2041),JU!D2041,"")</f>
        <v/>
      </c>
      <c r="E2041" s="74" t="str">
        <f>IF(OR($D$3=JU!$F2041,$D$3=JU!$I2041),JU!E2041,"")</f>
        <v/>
      </c>
      <c r="F2041" s="72">
        <f>IF($D$3=JU!F2041,JU!H2041,0)</f>
        <v>0</v>
      </c>
      <c r="G2041" s="72">
        <f>IF($D$3=JU!I2041,JU!K2041,0)</f>
        <v>0</v>
      </c>
      <c r="H2041" s="72" t="e">
        <f t="shared" si="32"/>
        <v>#REF!</v>
      </c>
    </row>
    <row r="2042" spans="2:8" hidden="1">
      <c r="B2042" s="68" t="str">
        <f>IF(OR($D$3=JU!$F2042,$D$3=JU!$I2042),JU!B2042,"")</f>
        <v/>
      </c>
      <c r="C2042" s="6" t="str">
        <f>IF(OR($D$3=JU!$F2042,$D$3=JU!$I2042),JU!C2042,"")</f>
        <v/>
      </c>
      <c r="D2042" s="73" t="str">
        <f>IF(OR($D$3=JU!$F2042,$D$3=JU!$I2042),JU!D2042,"")</f>
        <v/>
      </c>
      <c r="E2042" s="74" t="str">
        <f>IF(OR($D$3=JU!$F2042,$D$3=JU!$I2042),JU!E2042,"")</f>
        <v/>
      </c>
      <c r="F2042" s="72">
        <f>IF($D$3=JU!F2042,JU!H2042,0)</f>
        <v>0</v>
      </c>
      <c r="G2042" s="72">
        <f>IF($D$3=JU!I2042,JU!K2042,0)</f>
        <v>0</v>
      </c>
      <c r="H2042" s="72" t="e">
        <f t="shared" si="32"/>
        <v>#REF!</v>
      </c>
    </row>
    <row r="2043" spans="2:8" hidden="1">
      <c r="B2043" s="68" t="str">
        <f>IF(OR($D$3=JU!$F2043,$D$3=JU!$I2043),JU!B2043,"")</f>
        <v/>
      </c>
      <c r="C2043" s="6" t="str">
        <f>IF(OR($D$3=JU!$F2043,$D$3=JU!$I2043),JU!C2043,"")</f>
        <v/>
      </c>
      <c r="D2043" s="73" t="str">
        <f>IF(OR($D$3=JU!$F2043,$D$3=JU!$I2043),JU!D2043,"")</f>
        <v/>
      </c>
      <c r="E2043" s="74" t="str">
        <f>IF(OR($D$3=JU!$F2043,$D$3=JU!$I2043),JU!E2043,"")</f>
        <v/>
      </c>
      <c r="F2043" s="72">
        <f>IF($D$3=JU!F2043,JU!H2043,0)</f>
        <v>0</v>
      </c>
      <c r="G2043" s="72">
        <f>IF($D$3=JU!I2043,JU!K2043,0)</f>
        <v>0</v>
      </c>
      <c r="H2043" s="72" t="e">
        <f t="shared" si="32"/>
        <v>#REF!</v>
      </c>
    </row>
    <row r="2044" spans="2:8" hidden="1">
      <c r="B2044" s="68" t="str">
        <f>IF(OR($D$3=JU!$F2044,$D$3=JU!$I2044),JU!B2044,"")</f>
        <v/>
      </c>
      <c r="C2044" s="6" t="str">
        <f>IF(OR($D$3=JU!$F2044,$D$3=JU!$I2044),JU!C2044,"")</f>
        <v/>
      </c>
      <c r="D2044" s="73" t="str">
        <f>IF(OR($D$3=JU!$F2044,$D$3=JU!$I2044),JU!D2044,"")</f>
        <v/>
      </c>
      <c r="E2044" s="74" t="str">
        <f>IF(OR($D$3=JU!$F2044,$D$3=JU!$I2044),JU!E2044,"")</f>
        <v/>
      </c>
      <c r="F2044" s="72">
        <f>IF($D$3=JU!F2044,JU!H2044,0)</f>
        <v>0</v>
      </c>
      <c r="G2044" s="72">
        <f>IF($D$3=JU!I2044,JU!K2044,0)</f>
        <v>0</v>
      </c>
      <c r="H2044" s="72" t="e">
        <f t="shared" si="32"/>
        <v>#REF!</v>
      </c>
    </row>
    <row r="2045" spans="2:8" hidden="1">
      <c r="B2045" s="68" t="str">
        <f>IF(OR($D$3=JU!$F2045,$D$3=JU!$I2045),JU!B2045,"")</f>
        <v/>
      </c>
      <c r="C2045" s="6" t="str">
        <f>IF(OR($D$3=JU!$F2045,$D$3=JU!$I2045),JU!C2045,"")</f>
        <v/>
      </c>
      <c r="D2045" s="73" t="str">
        <f>IF(OR($D$3=JU!$F2045,$D$3=JU!$I2045),JU!D2045,"")</f>
        <v/>
      </c>
      <c r="E2045" s="74" t="str">
        <f>IF(OR($D$3=JU!$F2045,$D$3=JU!$I2045),JU!E2045,"")</f>
        <v/>
      </c>
      <c r="F2045" s="72">
        <f>IF($D$3=JU!F2045,JU!H2045,0)</f>
        <v>0</v>
      </c>
      <c r="G2045" s="72">
        <f>IF($D$3=JU!I2045,JU!K2045,0)</f>
        <v>0</v>
      </c>
      <c r="H2045" s="72" t="e">
        <f t="shared" si="32"/>
        <v>#REF!</v>
      </c>
    </row>
    <row r="2046" spans="2:8" hidden="1">
      <c r="B2046" s="68" t="str">
        <f>IF(OR($D$3=JU!$F2046,$D$3=JU!$I2046),JU!B2046,"")</f>
        <v/>
      </c>
      <c r="C2046" s="6" t="str">
        <f>IF(OR($D$3=JU!$F2046,$D$3=JU!$I2046),JU!C2046,"")</f>
        <v/>
      </c>
      <c r="D2046" s="73" t="str">
        <f>IF(OR($D$3=JU!$F2046,$D$3=JU!$I2046),JU!D2046,"")</f>
        <v/>
      </c>
      <c r="E2046" s="74" t="str">
        <f>IF(OR($D$3=JU!$F2046,$D$3=JU!$I2046),JU!E2046,"")</f>
        <v/>
      </c>
      <c r="F2046" s="72">
        <f>IF($D$3=JU!F2046,JU!H2046,0)</f>
        <v>0</v>
      </c>
      <c r="G2046" s="72">
        <f>IF($D$3=JU!I2046,JU!K2046,0)</f>
        <v>0</v>
      </c>
      <c r="H2046" s="72" t="e">
        <f t="shared" si="32"/>
        <v>#REF!</v>
      </c>
    </row>
    <row r="2047" spans="2:8" hidden="1">
      <c r="B2047" s="68" t="str">
        <f>IF(OR($D$3=JU!$F2047,$D$3=JU!$I2047),JU!B2047,"")</f>
        <v/>
      </c>
      <c r="C2047" s="6" t="str">
        <f>IF(OR($D$3=JU!$F2047,$D$3=JU!$I2047),JU!C2047,"")</f>
        <v/>
      </c>
      <c r="D2047" s="73" t="str">
        <f>IF(OR($D$3=JU!$F2047,$D$3=JU!$I2047),JU!D2047,"")</f>
        <v/>
      </c>
      <c r="E2047" s="74" t="str">
        <f>IF(OR($D$3=JU!$F2047,$D$3=JU!$I2047),JU!E2047,"")</f>
        <v/>
      </c>
      <c r="F2047" s="72">
        <f>IF($D$3=JU!F2047,JU!H2047,0)</f>
        <v>0</v>
      </c>
      <c r="G2047" s="72">
        <f>IF($D$3=JU!I2047,JU!K2047,0)</f>
        <v>0</v>
      </c>
      <c r="H2047" s="72" t="e">
        <f t="shared" si="32"/>
        <v>#REF!</v>
      </c>
    </row>
    <row r="2048" spans="2:8" hidden="1">
      <c r="B2048" s="68" t="str">
        <f>IF(OR($D$3=JU!$F2048,$D$3=JU!$I2048),JU!B2048,"")</f>
        <v/>
      </c>
      <c r="C2048" s="6" t="str">
        <f>IF(OR($D$3=JU!$F2048,$D$3=JU!$I2048),JU!C2048,"")</f>
        <v/>
      </c>
      <c r="D2048" s="73" t="str">
        <f>IF(OR($D$3=JU!$F2048,$D$3=JU!$I2048),JU!D2048,"")</f>
        <v/>
      </c>
      <c r="E2048" s="74" t="str">
        <f>IF(OR($D$3=JU!$F2048,$D$3=JU!$I2048),JU!E2048,"")</f>
        <v/>
      </c>
      <c r="F2048" s="72">
        <f>IF($D$3=JU!F2048,JU!H2048,0)</f>
        <v>0</v>
      </c>
      <c r="G2048" s="72">
        <f>IF($D$3=JU!I2048,JU!K2048,0)</f>
        <v>0</v>
      </c>
      <c r="H2048" s="72" t="e">
        <f t="shared" si="32"/>
        <v>#REF!</v>
      </c>
    </row>
    <row r="2049" spans="2:8" hidden="1">
      <c r="B2049" s="68" t="str">
        <f>IF(OR($D$3=JU!$F2049,$D$3=JU!$I2049),JU!B2049,"")</f>
        <v/>
      </c>
      <c r="C2049" s="6" t="str">
        <f>IF(OR($D$3=JU!$F2049,$D$3=JU!$I2049),JU!C2049,"")</f>
        <v/>
      </c>
      <c r="D2049" s="73" t="str">
        <f>IF(OR($D$3=JU!$F2049,$D$3=JU!$I2049),JU!D2049,"")</f>
        <v/>
      </c>
      <c r="E2049" s="74" t="str">
        <f>IF(OR($D$3=JU!$F2049,$D$3=JU!$I2049),JU!E2049,"")</f>
        <v/>
      </c>
      <c r="F2049" s="72">
        <f>IF($D$3=JU!F2049,JU!H2049,0)</f>
        <v>0</v>
      </c>
      <c r="G2049" s="72">
        <f>IF($D$3=JU!I2049,JU!K2049,0)</f>
        <v>0</v>
      </c>
      <c r="H2049" s="72" t="e">
        <f t="shared" si="32"/>
        <v>#REF!</v>
      </c>
    </row>
    <row r="2050" spans="2:8" hidden="1">
      <c r="B2050" s="68" t="str">
        <f>IF(OR($D$3=JU!$F2050,$D$3=JU!$I2050),JU!B2050,"")</f>
        <v/>
      </c>
      <c r="C2050" s="6" t="str">
        <f>IF(OR($D$3=JU!$F2050,$D$3=JU!$I2050),JU!C2050,"")</f>
        <v/>
      </c>
      <c r="D2050" s="73" t="str">
        <f>IF(OR($D$3=JU!$F2050,$D$3=JU!$I2050),JU!D2050,"")</f>
        <v/>
      </c>
      <c r="E2050" s="74" t="str">
        <f>IF(OR($D$3=JU!$F2050,$D$3=JU!$I2050),JU!E2050,"")</f>
        <v/>
      </c>
      <c r="F2050" s="72">
        <f>IF($D$3=JU!F2050,JU!H2050,0)</f>
        <v>0</v>
      </c>
      <c r="G2050" s="72">
        <f>IF($D$3=JU!I2050,JU!K2050,0)</f>
        <v>0</v>
      </c>
      <c r="H2050" s="72" t="e">
        <f t="shared" si="32"/>
        <v>#REF!</v>
      </c>
    </row>
    <row r="2051" spans="2:8" hidden="1">
      <c r="B2051" s="68" t="str">
        <f>IF(OR($D$3=JU!$F2051,$D$3=JU!$I2051),JU!B2051,"")</f>
        <v/>
      </c>
      <c r="C2051" s="6" t="str">
        <f>IF(OR($D$3=JU!$F2051,$D$3=JU!$I2051),JU!C2051,"")</f>
        <v/>
      </c>
      <c r="D2051" s="73" t="str">
        <f>IF(OR($D$3=JU!$F2051,$D$3=JU!$I2051),JU!D2051,"")</f>
        <v/>
      </c>
      <c r="E2051" s="74" t="str">
        <f>IF(OR($D$3=JU!$F2051,$D$3=JU!$I2051),JU!E2051,"")</f>
        <v/>
      </c>
      <c r="F2051" s="72">
        <f>IF($D$3=JU!F2051,JU!H2051,0)</f>
        <v>0</v>
      </c>
      <c r="G2051" s="72">
        <f>IF($D$3=JU!I2051,JU!K2051,0)</f>
        <v>0</v>
      </c>
      <c r="H2051" s="72" t="e">
        <f t="shared" si="32"/>
        <v>#REF!</v>
      </c>
    </row>
    <row r="2052" spans="2:8" hidden="1">
      <c r="B2052" s="68" t="str">
        <f>IF(OR($D$3=JU!$F2052,$D$3=JU!$I2052),JU!B2052,"")</f>
        <v/>
      </c>
      <c r="C2052" s="6" t="str">
        <f>IF(OR($D$3=JU!$F2052,$D$3=JU!$I2052),JU!C2052,"")</f>
        <v/>
      </c>
      <c r="D2052" s="73" t="str">
        <f>IF(OR($D$3=JU!$F2052,$D$3=JU!$I2052),JU!D2052,"")</f>
        <v/>
      </c>
      <c r="E2052" s="74" t="str">
        <f>IF(OR($D$3=JU!$F2052,$D$3=JU!$I2052),JU!E2052,"")</f>
        <v/>
      </c>
      <c r="F2052" s="72">
        <f>IF($D$3=JU!F2052,JU!H2052,0)</f>
        <v>0</v>
      </c>
      <c r="G2052" s="72">
        <f>IF($D$3=JU!I2052,JU!K2052,0)</f>
        <v>0</v>
      </c>
      <c r="H2052" s="72" t="e">
        <f t="shared" si="32"/>
        <v>#REF!</v>
      </c>
    </row>
    <row r="2053" spans="2:8" hidden="1">
      <c r="B2053" s="68" t="str">
        <f>IF(OR($D$3=JU!$F2053,$D$3=JU!$I2053),JU!B2053,"")</f>
        <v/>
      </c>
      <c r="C2053" s="6" t="str">
        <f>IF(OR($D$3=JU!$F2053,$D$3=JU!$I2053),JU!C2053,"")</f>
        <v/>
      </c>
      <c r="D2053" s="73" t="str">
        <f>IF(OR($D$3=JU!$F2053,$D$3=JU!$I2053),JU!D2053,"")</f>
        <v/>
      </c>
      <c r="E2053" s="74" t="str">
        <f>IF(OR($D$3=JU!$F2053,$D$3=JU!$I2053),JU!E2053,"")</f>
        <v/>
      </c>
      <c r="F2053" s="72">
        <f>IF($D$3=JU!F2053,JU!H2053,0)</f>
        <v>0</v>
      </c>
      <c r="G2053" s="72">
        <f>IF($D$3=JU!I2053,JU!K2053,0)</f>
        <v>0</v>
      </c>
      <c r="H2053" s="72" t="e">
        <f t="shared" si="32"/>
        <v>#REF!</v>
      </c>
    </row>
    <row r="2054" spans="2:8" hidden="1">
      <c r="B2054" s="68" t="str">
        <f>IF(OR($D$3=JU!$F2054,$D$3=JU!$I2054),JU!B2054,"")</f>
        <v/>
      </c>
      <c r="C2054" s="6" t="str">
        <f>IF(OR($D$3=JU!$F2054,$D$3=JU!$I2054),JU!C2054,"")</f>
        <v/>
      </c>
      <c r="D2054" s="73" t="str">
        <f>IF(OR($D$3=JU!$F2054,$D$3=JU!$I2054),JU!D2054,"")</f>
        <v/>
      </c>
      <c r="E2054" s="74" t="str">
        <f>IF(OR($D$3=JU!$F2054,$D$3=JU!$I2054),JU!E2054,"")</f>
        <v/>
      </c>
      <c r="F2054" s="72">
        <f>IF($D$3=JU!F2054,JU!H2054,0)</f>
        <v>0</v>
      </c>
      <c r="G2054" s="72">
        <f>IF($D$3=JU!I2054,JU!K2054,0)</f>
        <v>0</v>
      </c>
      <c r="H2054" s="72" t="e">
        <f t="shared" si="32"/>
        <v>#REF!</v>
      </c>
    </row>
    <row r="2055" spans="2:8" hidden="1">
      <c r="B2055" s="68" t="str">
        <f>IF(OR($D$3=JU!$F2055,$D$3=JU!$I2055),JU!B2055,"")</f>
        <v/>
      </c>
      <c r="C2055" s="6" t="str">
        <f>IF(OR($D$3=JU!$F2055,$D$3=JU!$I2055),JU!C2055,"")</f>
        <v/>
      </c>
      <c r="D2055" s="73" t="str">
        <f>IF(OR($D$3=JU!$F2055,$D$3=JU!$I2055),JU!D2055,"")</f>
        <v/>
      </c>
      <c r="E2055" s="74" t="str">
        <f>IF(OR($D$3=JU!$F2055,$D$3=JU!$I2055),JU!E2055,"")</f>
        <v/>
      </c>
      <c r="F2055" s="72">
        <f>IF($D$3=JU!F2055,JU!H2055,0)</f>
        <v>0</v>
      </c>
      <c r="G2055" s="72">
        <f>IF($D$3=JU!I2055,JU!K2055,0)</f>
        <v>0</v>
      </c>
      <c r="H2055" s="72" t="e">
        <f t="shared" si="32"/>
        <v>#REF!</v>
      </c>
    </row>
    <row r="2056" spans="2:8" hidden="1">
      <c r="B2056" s="68" t="str">
        <f>IF(OR($D$3=JU!$F2056,$D$3=JU!$I2056),JU!B2056,"")</f>
        <v/>
      </c>
      <c r="C2056" s="6" t="str">
        <f>IF(OR($D$3=JU!$F2056,$D$3=JU!$I2056),JU!C2056,"")</f>
        <v/>
      </c>
      <c r="D2056" s="73" t="str">
        <f>IF(OR($D$3=JU!$F2056,$D$3=JU!$I2056),JU!D2056,"")</f>
        <v/>
      </c>
      <c r="E2056" s="74" t="str">
        <f>IF(OR($D$3=JU!$F2056,$D$3=JU!$I2056),JU!E2056,"")</f>
        <v/>
      </c>
      <c r="F2056" s="72">
        <f>IF($D$3=JU!F2056,JU!H2056,0)</f>
        <v>0</v>
      </c>
      <c r="G2056" s="72">
        <f>IF($D$3=JU!I2056,JU!K2056,0)</f>
        <v>0</v>
      </c>
      <c r="H2056" s="72" t="e">
        <f t="shared" si="32"/>
        <v>#REF!</v>
      </c>
    </row>
    <row r="2057" spans="2:8" hidden="1">
      <c r="B2057" s="68" t="str">
        <f>IF(OR($D$3=JU!$F2057,$D$3=JU!$I2057),JU!B2057,"")</f>
        <v/>
      </c>
      <c r="C2057" s="6" t="str">
        <f>IF(OR($D$3=JU!$F2057,$D$3=JU!$I2057),JU!C2057,"")</f>
        <v/>
      </c>
      <c r="D2057" s="73" t="str">
        <f>IF(OR($D$3=JU!$F2057,$D$3=JU!$I2057),JU!D2057,"")</f>
        <v/>
      </c>
      <c r="E2057" s="74" t="str">
        <f>IF(OR($D$3=JU!$F2057,$D$3=JU!$I2057),JU!E2057,"")</f>
        <v/>
      </c>
      <c r="F2057" s="72">
        <f>IF($D$3=JU!F2057,JU!H2057,0)</f>
        <v>0</v>
      </c>
      <c r="G2057" s="72">
        <f>IF($D$3=JU!I2057,JU!K2057,0)</f>
        <v>0</v>
      </c>
      <c r="H2057" s="72" t="e">
        <f t="shared" si="32"/>
        <v>#REF!</v>
      </c>
    </row>
    <row r="2058" spans="2:8" hidden="1">
      <c r="B2058" s="68" t="str">
        <f>IF(OR($D$3=JU!$F2058,$D$3=JU!$I2058),JU!B2058,"")</f>
        <v/>
      </c>
      <c r="C2058" s="6" t="str">
        <f>IF(OR($D$3=JU!$F2058,$D$3=JU!$I2058),JU!C2058,"")</f>
        <v/>
      </c>
      <c r="D2058" s="73" t="str">
        <f>IF(OR($D$3=JU!$F2058,$D$3=JU!$I2058),JU!D2058,"")</f>
        <v/>
      </c>
      <c r="E2058" s="74" t="str">
        <f>IF(OR($D$3=JU!$F2058,$D$3=JU!$I2058),JU!E2058,"")</f>
        <v/>
      </c>
      <c r="F2058" s="72">
        <f>IF($D$3=JU!F2058,JU!H2058,0)</f>
        <v>0</v>
      </c>
      <c r="G2058" s="72">
        <f>IF($D$3=JU!I2058,JU!K2058,0)</f>
        <v>0</v>
      </c>
      <c r="H2058" s="72" t="e">
        <f t="shared" si="32"/>
        <v>#REF!</v>
      </c>
    </row>
    <row r="2059" spans="2:8" hidden="1">
      <c r="B2059" s="68" t="str">
        <f>IF(OR($D$3=JU!$F2059,$D$3=JU!$I2059),JU!B2059,"")</f>
        <v/>
      </c>
      <c r="C2059" s="6" t="str">
        <f>IF(OR($D$3=JU!$F2059,$D$3=JU!$I2059),JU!C2059,"")</f>
        <v/>
      </c>
      <c r="D2059" s="73" t="str">
        <f>IF(OR($D$3=JU!$F2059,$D$3=JU!$I2059),JU!D2059,"")</f>
        <v/>
      </c>
      <c r="E2059" s="74" t="str">
        <f>IF(OR($D$3=JU!$F2059,$D$3=JU!$I2059),JU!E2059,"")</f>
        <v/>
      </c>
      <c r="F2059" s="72">
        <f>IF($D$3=JU!F2059,JU!H2059,0)</f>
        <v>0</v>
      </c>
      <c r="G2059" s="72">
        <f>IF($D$3=JU!I2059,JU!K2059,0)</f>
        <v>0</v>
      </c>
      <c r="H2059" s="72" t="e">
        <f t="shared" si="32"/>
        <v>#REF!</v>
      </c>
    </row>
    <row r="2060" spans="2:8" hidden="1">
      <c r="B2060" s="68" t="str">
        <f>IF(OR($D$3=JU!$F2060,$D$3=JU!$I2060),JU!B2060,"")</f>
        <v/>
      </c>
      <c r="C2060" s="6" t="str">
        <f>IF(OR($D$3=JU!$F2060,$D$3=JU!$I2060),JU!C2060,"")</f>
        <v/>
      </c>
      <c r="D2060" s="73" t="str">
        <f>IF(OR($D$3=JU!$F2060,$D$3=JU!$I2060),JU!D2060,"")</f>
        <v/>
      </c>
      <c r="E2060" s="74" t="str">
        <f>IF(OR($D$3=JU!$F2060,$D$3=JU!$I2060),JU!E2060,"")</f>
        <v/>
      </c>
      <c r="F2060" s="72">
        <f>IF($D$3=JU!F2060,JU!H2060,0)</f>
        <v>0</v>
      </c>
      <c r="G2060" s="72">
        <f>IF($D$3=JU!I2060,JU!K2060,0)</f>
        <v>0</v>
      </c>
      <c r="H2060" s="72" t="e">
        <f t="shared" si="32"/>
        <v>#REF!</v>
      </c>
    </row>
    <row r="2061" spans="2:8" hidden="1">
      <c r="B2061" s="68" t="str">
        <f>IF(OR($D$3=JU!$F2061,$D$3=JU!$I2061),JU!B2061,"")</f>
        <v/>
      </c>
      <c r="C2061" s="6" t="str">
        <f>IF(OR($D$3=JU!$F2061,$D$3=JU!$I2061),JU!C2061,"")</f>
        <v/>
      </c>
      <c r="D2061" s="73" t="str">
        <f>IF(OR($D$3=JU!$F2061,$D$3=JU!$I2061),JU!D2061,"")</f>
        <v/>
      </c>
      <c r="E2061" s="74" t="str">
        <f>IF(OR($D$3=JU!$F2061,$D$3=JU!$I2061),JU!E2061,"")</f>
        <v/>
      </c>
      <c r="F2061" s="72">
        <f>IF($D$3=JU!F2061,JU!H2061,0)</f>
        <v>0</v>
      </c>
      <c r="G2061" s="72">
        <f>IF($D$3=JU!I2061,JU!K2061,0)</f>
        <v>0</v>
      </c>
      <c r="H2061" s="72" t="e">
        <f t="shared" si="32"/>
        <v>#REF!</v>
      </c>
    </row>
    <row r="2062" spans="2:8" hidden="1">
      <c r="B2062" s="68" t="str">
        <f>IF(OR($D$3=JU!$F2062,$D$3=JU!$I2062),JU!B2062,"")</f>
        <v/>
      </c>
      <c r="C2062" s="6" t="str">
        <f>IF(OR($D$3=JU!$F2062,$D$3=JU!$I2062),JU!C2062,"")</f>
        <v/>
      </c>
      <c r="D2062" s="73" t="str">
        <f>IF(OR($D$3=JU!$F2062,$D$3=JU!$I2062),JU!D2062,"")</f>
        <v/>
      </c>
      <c r="E2062" s="74" t="str">
        <f>IF(OR($D$3=JU!$F2062,$D$3=JU!$I2062),JU!E2062,"")</f>
        <v/>
      </c>
      <c r="F2062" s="72">
        <f>IF($D$3=JU!F2062,JU!H2062,0)</f>
        <v>0</v>
      </c>
      <c r="G2062" s="72">
        <f>IF($D$3=JU!I2062,JU!K2062,0)</f>
        <v>0</v>
      </c>
      <c r="H2062" s="72" t="e">
        <f t="shared" ref="H2062:H2125" si="33">IF($H$7="DEBET",H2061+F2062-G2062,H2061+G2062-F2062)</f>
        <v>#REF!</v>
      </c>
    </row>
    <row r="2063" spans="2:8" hidden="1">
      <c r="B2063" s="68" t="str">
        <f>IF(OR($D$3=JU!$F2063,$D$3=JU!$I2063),JU!B2063,"")</f>
        <v/>
      </c>
      <c r="C2063" s="6" t="str">
        <f>IF(OR($D$3=JU!$F2063,$D$3=JU!$I2063),JU!C2063,"")</f>
        <v/>
      </c>
      <c r="D2063" s="73" t="str">
        <f>IF(OR($D$3=JU!$F2063,$D$3=JU!$I2063),JU!D2063,"")</f>
        <v/>
      </c>
      <c r="E2063" s="74" t="str">
        <f>IF(OR($D$3=JU!$F2063,$D$3=JU!$I2063),JU!E2063,"")</f>
        <v/>
      </c>
      <c r="F2063" s="72">
        <f>IF($D$3=JU!F2063,JU!H2063,0)</f>
        <v>0</v>
      </c>
      <c r="G2063" s="72">
        <f>IF($D$3=JU!I2063,JU!K2063,0)</f>
        <v>0</v>
      </c>
      <c r="H2063" s="72" t="e">
        <f t="shared" si="33"/>
        <v>#REF!</v>
      </c>
    </row>
    <row r="2064" spans="2:8" hidden="1">
      <c r="B2064" s="68" t="str">
        <f>IF(OR($D$3=JU!$F2064,$D$3=JU!$I2064),JU!B2064,"")</f>
        <v/>
      </c>
      <c r="C2064" s="6" t="str">
        <f>IF(OR($D$3=JU!$F2064,$D$3=JU!$I2064),JU!C2064,"")</f>
        <v/>
      </c>
      <c r="D2064" s="73" t="str">
        <f>IF(OR($D$3=JU!$F2064,$D$3=JU!$I2064),JU!D2064,"")</f>
        <v/>
      </c>
      <c r="E2064" s="74" t="str">
        <f>IF(OR($D$3=JU!$F2064,$D$3=JU!$I2064),JU!E2064,"")</f>
        <v/>
      </c>
      <c r="F2064" s="72">
        <f>IF($D$3=JU!F2064,JU!H2064,0)</f>
        <v>0</v>
      </c>
      <c r="G2064" s="72">
        <f>IF($D$3=JU!I2064,JU!K2064,0)</f>
        <v>0</v>
      </c>
      <c r="H2064" s="72" t="e">
        <f t="shared" si="33"/>
        <v>#REF!</v>
      </c>
    </row>
    <row r="2065" spans="2:8" hidden="1">
      <c r="B2065" s="68" t="str">
        <f>IF(OR($D$3=JU!$F2065,$D$3=JU!$I2065),JU!B2065,"")</f>
        <v/>
      </c>
      <c r="C2065" s="6" t="str">
        <f>IF(OR($D$3=JU!$F2065,$D$3=JU!$I2065),JU!C2065,"")</f>
        <v/>
      </c>
      <c r="D2065" s="73" t="str">
        <f>IF(OR($D$3=JU!$F2065,$D$3=JU!$I2065),JU!D2065,"")</f>
        <v/>
      </c>
      <c r="E2065" s="74" t="str">
        <f>IF(OR($D$3=JU!$F2065,$D$3=JU!$I2065),JU!E2065,"")</f>
        <v/>
      </c>
      <c r="F2065" s="72">
        <f>IF($D$3=JU!F2065,JU!H2065,0)</f>
        <v>0</v>
      </c>
      <c r="G2065" s="72">
        <f>IF($D$3=JU!I2065,JU!K2065,0)</f>
        <v>0</v>
      </c>
      <c r="H2065" s="72" t="e">
        <f t="shared" si="33"/>
        <v>#REF!</v>
      </c>
    </row>
    <row r="2066" spans="2:8" hidden="1">
      <c r="B2066" s="68" t="str">
        <f>IF(OR($D$3=JU!$F2066,$D$3=JU!$I2066),JU!B2066,"")</f>
        <v/>
      </c>
      <c r="C2066" s="6" t="str">
        <f>IF(OR($D$3=JU!$F2066,$D$3=JU!$I2066),JU!C2066,"")</f>
        <v/>
      </c>
      <c r="D2066" s="73" t="str">
        <f>IF(OR($D$3=JU!$F2066,$D$3=JU!$I2066),JU!D2066,"")</f>
        <v/>
      </c>
      <c r="E2066" s="74" t="str">
        <f>IF(OR($D$3=JU!$F2066,$D$3=JU!$I2066),JU!E2066,"")</f>
        <v/>
      </c>
      <c r="F2066" s="72">
        <f>IF($D$3=JU!F2066,JU!H2066,0)</f>
        <v>0</v>
      </c>
      <c r="G2066" s="72">
        <f>IF($D$3=JU!I2066,JU!K2066,0)</f>
        <v>0</v>
      </c>
      <c r="H2066" s="72" t="e">
        <f t="shared" si="33"/>
        <v>#REF!</v>
      </c>
    </row>
    <row r="2067" spans="2:8" hidden="1">
      <c r="B2067" s="68" t="str">
        <f>IF(OR($D$3=JU!$F2067,$D$3=JU!$I2067),JU!B2067,"")</f>
        <v/>
      </c>
      <c r="C2067" s="6" t="str">
        <f>IF(OR($D$3=JU!$F2067,$D$3=JU!$I2067),JU!C2067,"")</f>
        <v/>
      </c>
      <c r="D2067" s="73" t="str">
        <f>IF(OR($D$3=JU!$F2067,$D$3=JU!$I2067),JU!D2067,"")</f>
        <v/>
      </c>
      <c r="E2067" s="74" t="str">
        <f>IF(OR($D$3=JU!$F2067,$D$3=JU!$I2067),JU!E2067,"")</f>
        <v/>
      </c>
      <c r="F2067" s="72">
        <f>IF($D$3=JU!F2067,JU!H2067,0)</f>
        <v>0</v>
      </c>
      <c r="G2067" s="72">
        <f>IF($D$3=JU!I2067,JU!K2067,0)</f>
        <v>0</v>
      </c>
      <c r="H2067" s="72" t="e">
        <f t="shared" si="33"/>
        <v>#REF!</v>
      </c>
    </row>
    <row r="2068" spans="2:8" hidden="1">
      <c r="B2068" s="68" t="str">
        <f>IF(OR($D$3=JU!$F2068,$D$3=JU!$I2068),JU!B2068,"")</f>
        <v/>
      </c>
      <c r="C2068" s="6" t="str">
        <f>IF(OR($D$3=JU!$F2068,$D$3=JU!$I2068),JU!C2068,"")</f>
        <v/>
      </c>
      <c r="D2068" s="73" t="str">
        <f>IF(OR($D$3=JU!$F2068,$D$3=JU!$I2068),JU!D2068,"")</f>
        <v/>
      </c>
      <c r="E2068" s="74" t="str">
        <f>IF(OR($D$3=JU!$F2068,$D$3=JU!$I2068),JU!E2068,"")</f>
        <v/>
      </c>
      <c r="F2068" s="72">
        <f>IF($D$3=JU!F2068,JU!H2068,0)</f>
        <v>0</v>
      </c>
      <c r="G2068" s="72">
        <f>IF($D$3=JU!I2068,JU!K2068,0)</f>
        <v>0</v>
      </c>
      <c r="H2068" s="72" t="e">
        <f t="shared" si="33"/>
        <v>#REF!</v>
      </c>
    </row>
    <row r="2069" spans="2:8" hidden="1">
      <c r="B2069" s="68" t="str">
        <f>IF(OR($D$3=JU!$F2069,$D$3=JU!$I2069),JU!B2069,"")</f>
        <v/>
      </c>
      <c r="C2069" s="6" t="str">
        <f>IF(OR($D$3=JU!$F2069,$D$3=JU!$I2069),JU!C2069,"")</f>
        <v/>
      </c>
      <c r="D2069" s="73" t="str">
        <f>IF(OR($D$3=JU!$F2069,$D$3=JU!$I2069),JU!D2069,"")</f>
        <v/>
      </c>
      <c r="E2069" s="74" t="str">
        <f>IF(OR($D$3=JU!$F2069,$D$3=JU!$I2069),JU!E2069,"")</f>
        <v/>
      </c>
      <c r="F2069" s="72">
        <f>IF($D$3=JU!F2069,JU!H2069,0)</f>
        <v>0</v>
      </c>
      <c r="G2069" s="72">
        <f>IF($D$3=JU!I2069,JU!K2069,0)</f>
        <v>0</v>
      </c>
      <c r="H2069" s="72" t="e">
        <f t="shared" si="33"/>
        <v>#REF!</v>
      </c>
    </row>
    <row r="2070" spans="2:8" hidden="1">
      <c r="B2070" s="68" t="str">
        <f>IF(OR($D$3=JU!$F2070,$D$3=JU!$I2070),JU!B2070,"")</f>
        <v/>
      </c>
      <c r="C2070" s="6" t="str">
        <f>IF(OR($D$3=JU!$F2070,$D$3=JU!$I2070),JU!C2070,"")</f>
        <v/>
      </c>
      <c r="D2070" s="73" t="str">
        <f>IF(OR($D$3=JU!$F2070,$D$3=JU!$I2070),JU!D2070,"")</f>
        <v/>
      </c>
      <c r="E2070" s="74" t="str">
        <f>IF(OR($D$3=JU!$F2070,$D$3=JU!$I2070),JU!E2070,"")</f>
        <v/>
      </c>
      <c r="F2070" s="72">
        <f>IF($D$3=JU!F2070,JU!H2070,0)</f>
        <v>0</v>
      </c>
      <c r="G2070" s="72">
        <f>IF($D$3=JU!I2070,JU!K2070,0)</f>
        <v>0</v>
      </c>
      <c r="H2070" s="72" t="e">
        <f t="shared" si="33"/>
        <v>#REF!</v>
      </c>
    </row>
    <row r="2071" spans="2:8" hidden="1">
      <c r="B2071" s="68" t="str">
        <f>IF(OR($D$3=JU!$F2071,$D$3=JU!$I2071),JU!B2071,"")</f>
        <v/>
      </c>
      <c r="C2071" s="6" t="str">
        <f>IF(OR($D$3=JU!$F2071,$D$3=JU!$I2071),JU!C2071,"")</f>
        <v/>
      </c>
      <c r="D2071" s="73" t="str">
        <f>IF(OR($D$3=JU!$F2071,$D$3=JU!$I2071),JU!D2071,"")</f>
        <v/>
      </c>
      <c r="E2071" s="74" t="str">
        <f>IF(OR($D$3=JU!$F2071,$D$3=JU!$I2071),JU!E2071,"")</f>
        <v/>
      </c>
      <c r="F2071" s="72">
        <f>IF($D$3=JU!F2071,JU!H2071,0)</f>
        <v>0</v>
      </c>
      <c r="G2071" s="72">
        <f>IF($D$3=JU!I2071,JU!K2071,0)</f>
        <v>0</v>
      </c>
      <c r="H2071" s="72" t="e">
        <f t="shared" si="33"/>
        <v>#REF!</v>
      </c>
    </row>
    <row r="2072" spans="2:8" hidden="1">
      <c r="B2072" s="68" t="str">
        <f>IF(OR($D$3=JU!$F2072,$D$3=JU!$I2072),JU!B2072,"")</f>
        <v/>
      </c>
      <c r="C2072" s="6" t="str">
        <f>IF(OR($D$3=JU!$F2072,$D$3=JU!$I2072),JU!C2072,"")</f>
        <v/>
      </c>
      <c r="D2072" s="73" t="str">
        <f>IF(OR($D$3=JU!$F2072,$D$3=JU!$I2072),JU!D2072,"")</f>
        <v/>
      </c>
      <c r="E2072" s="74" t="str">
        <f>IF(OR($D$3=JU!$F2072,$D$3=JU!$I2072),JU!E2072,"")</f>
        <v/>
      </c>
      <c r="F2072" s="72">
        <f>IF($D$3=JU!F2072,JU!H2072,0)</f>
        <v>0</v>
      </c>
      <c r="G2072" s="72">
        <f>IF($D$3=JU!I2072,JU!K2072,0)</f>
        <v>0</v>
      </c>
      <c r="H2072" s="72" t="e">
        <f t="shared" si="33"/>
        <v>#REF!</v>
      </c>
    </row>
    <row r="2073" spans="2:8" hidden="1">
      <c r="B2073" s="68" t="str">
        <f>IF(OR($D$3=JU!$F2073,$D$3=JU!$I2073),JU!B2073,"")</f>
        <v/>
      </c>
      <c r="C2073" s="6" t="str">
        <f>IF(OR($D$3=JU!$F2073,$D$3=JU!$I2073),JU!C2073,"")</f>
        <v/>
      </c>
      <c r="D2073" s="73" t="str">
        <f>IF(OR($D$3=JU!$F2073,$D$3=JU!$I2073),JU!D2073,"")</f>
        <v/>
      </c>
      <c r="E2073" s="74" t="str">
        <f>IF(OR($D$3=JU!$F2073,$D$3=JU!$I2073),JU!E2073,"")</f>
        <v/>
      </c>
      <c r="F2073" s="72">
        <f>IF($D$3=JU!F2073,JU!H2073,0)</f>
        <v>0</v>
      </c>
      <c r="G2073" s="72">
        <f>IF($D$3=JU!I2073,JU!K2073,0)</f>
        <v>0</v>
      </c>
      <c r="H2073" s="72" t="e">
        <f t="shared" si="33"/>
        <v>#REF!</v>
      </c>
    </row>
    <row r="2074" spans="2:8" hidden="1">
      <c r="B2074" s="68" t="str">
        <f>IF(OR($D$3=JU!$F2074,$D$3=JU!$I2074),JU!B2074,"")</f>
        <v/>
      </c>
      <c r="C2074" s="6" t="str">
        <f>IF(OR($D$3=JU!$F2074,$D$3=JU!$I2074),JU!C2074,"")</f>
        <v/>
      </c>
      <c r="D2074" s="73" t="str">
        <f>IF(OR($D$3=JU!$F2074,$D$3=JU!$I2074),JU!D2074,"")</f>
        <v/>
      </c>
      <c r="E2074" s="74" t="str">
        <f>IF(OR($D$3=JU!$F2074,$D$3=JU!$I2074),JU!E2074,"")</f>
        <v/>
      </c>
      <c r="F2074" s="72">
        <f>IF($D$3=JU!F2074,JU!H2074,0)</f>
        <v>0</v>
      </c>
      <c r="G2074" s="72">
        <f>IF($D$3=JU!I2074,JU!K2074,0)</f>
        <v>0</v>
      </c>
      <c r="H2074" s="72" t="e">
        <f t="shared" si="33"/>
        <v>#REF!</v>
      </c>
    </row>
    <row r="2075" spans="2:8" hidden="1">
      <c r="B2075" s="68" t="str">
        <f>IF(OR($D$3=JU!$F2075,$D$3=JU!$I2075),JU!B2075,"")</f>
        <v/>
      </c>
      <c r="C2075" s="6" t="str">
        <f>IF(OR($D$3=JU!$F2075,$D$3=JU!$I2075),JU!C2075,"")</f>
        <v/>
      </c>
      <c r="D2075" s="73" t="str">
        <f>IF(OR($D$3=JU!$F2075,$D$3=JU!$I2075),JU!D2075,"")</f>
        <v/>
      </c>
      <c r="E2075" s="74" t="str">
        <f>IF(OR($D$3=JU!$F2075,$D$3=JU!$I2075),JU!E2075,"")</f>
        <v/>
      </c>
      <c r="F2075" s="72">
        <f>IF($D$3=JU!F2075,JU!H2075,0)</f>
        <v>0</v>
      </c>
      <c r="G2075" s="72">
        <f>IF($D$3=JU!I2075,JU!K2075,0)</f>
        <v>0</v>
      </c>
      <c r="H2075" s="72" t="e">
        <f t="shared" si="33"/>
        <v>#REF!</v>
      </c>
    </row>
    <row r="2076" spans="2:8" hidden="1">
      <c r="B2076" s="68" t="str">
        <f>IF(OR($D$3=JU!$F2076,$D$3=JU!$I2076),JU!B2076,"")</f>
        <v/>
      </c>
      <c r="C2076" s="6" t="str">
        <f>IF(OR($D$3=JU!$F2076,$D$3=JU!$I2076),JU!C2076,"")</f>
        <v/>
      </c>
      <c r="D2076" s="73" t="str">
        <f>IF(OR($D$3=JU!$F2076,$D$3=JU!$I2076),JU!D2076,"")</f>
        <v/>
      </c>
      <c r="E2076" s="74" t="str">
        <f>IF(OR($D$3=JU!$F2076,$D$3=JU!$I2076),JU!E2076,"")</f>
        <v/>
      </c>
      <c r="F2076" s="72">
        <f>IF($D$3=JU!F2076,JU!H2076,0)</f>
        <v>0</v>
      </c>
      <c r="G2076" s="72">
        <f>IF($D$3=JU!I2076,JU!K2076,0)</f>
        <v>0</v>
      </c>
      <c r="H2076" s="72" t="e">
        <f t="shared" si="33"/>
        <v>#REF!</v>
      </c>
    </row>
    <row r="2077" spans="2:8" hidden="1">
      <c r="B2077" s="68" t="str">
        <f>IF(OR($D$3=JU!$F2077,$D$3=JU!$I2077),JU!B2077,"")</f>
        <v/>
      </c>
      <c r="C2077" s="6" t="str">
        <f>IF(OR($D$3=JU!$F2077,$D$3=JU!$I2077),JU!C2077,"")</f>
        <v/>
      </c>
      <c r="D2077" s="73" t="str">
        <f>IF(OR($D$3=JU!$F2077,$D$3=JU!$I2077),JU!D2077,"")</f>
        <v/>
      </c>
      <c r="E2077" s="74" t="str">
        <f>IF(OR($D$3=JU!$F2077,$D$3=JU!$I2077),JU!E2077,"")</f>
        <v/>
      </c>
      <c r="F2077" s="72">
        <f>IF($D$3=JU!F2077,JU!H2077,0)</f>
        <v>0</v>
      </c>
      <c r="G2077" s="72">
        <f>IF($D$3=JU!I2077,JU!K2077,0)</f>
        <v>0</v>
      </c>
      <c r="H2077" s="72" t="e">
        <f t="shared" si="33"/>
        <v>#REF!</v>
      </c>
    </row>
    <row r="2078" spans="2:8" hidden="1">
      <c r="B2078" s="68" t="str">
        <f>IF(OR($D$3=JU!$F2078,$D$3=JU!$I2078),JU!B2078,"")</f>
        <v/>
      </c>
      <c r="C2078" s="6" t="str">
        <f>IF(OR($D$3=JU!$F2078,$D$3=JU!$I2078),JU!C2078,"")</f>
        <v/>
      </c>
      <c r="D2078" s="73" t="str">
        <f>IF(OR($D$3=JU!$F2078,$D$3=JU!$I2078),JU!D2078,"")</f>
        <v/>
      </c>
      <c r="E2078" s="74" t="str">
        <f>IF(OR($D$3=JU!$F2078,$D$3=JU!$I2078),JU!E2078,"")</f>
        <v/>
      </c>
      <c r="F2078" s="72">
        <f>IF($D$3=JU!F2078,JU!H2078,0)</f>
        <v>0</v>
      </c>
      <c r="G2078" s="72">
        <f>IF($D$3=JU!I2078,JU!K2078,0)</f>
        <v>0</v>
      </c>
      <c r="H2078" s="72" t="e">
        <f t="shared" si="33"/>
        <v>#REF!</v>
      </c>
    </row>
    <row r="2079" spans="2:8" hidden="1">
      <c r="B2079" s="68" t="str">
        <f>IF(OR($D$3=JU!$F2079,$D$3=JU!$I2079),JU!B2079,"")</f>
        <v/>
      </c>
      <c r="C2079" s="6" t="str">
        <f>IF(OR($D$3=JU!$F2079,$D$3=JU!$I2079),JU!C2079,"")</f>
        <v/>
      </c>
      <c r="D2079" s="73" t="str">
        <f>IF(OR($D$3=JU!$F2079,$D$3=JU!$I2079),JU!D2079,"")</f>
        <v/>
      </c>
      <c r="E2079" s="74" t="str">
        <f>IF(OR($D$3=JU!$F2079,$D$3=JU!$I2079),JU!E2079,"")</f>
        <v/>
      </c>
      <c r="F2079" s="72">
        <f>IF($D$3=JU!F2079,JU!H2079,0)</f>
        <v>0</v>
      </c>
      <c r="G2079" s="72">
        <f>IF($D$3=JU!I2079,JU!K2079,0)</f>
        <v>0</v>
      </c>
      <c r="H2079" s="72" t="e">
        <f t="shared" si="33"/>
        <v>#REF!</v>
      </c>
    </row>
    <row r="2080" spans="2:8" hidden="1">
      <c r="B2080" s="68" t="str">
        <f>IF(OR($D$3=JU!$F2080,$D$3=JU!$I2080),JU!B2080,"")</f>
        <v/>
      </c>
      <c r="C2080" s="6" t="str">
        <f>IF(OR($D$3=JU!$F2080,$D$3=JU!$I2080),JU!C2080,"")</f>
        <v/>
      </c>
      <c r="D2080" s="73" t="str">
        <f>IF(OR($D$3=JU!$F2080,$D$3=JU!$I2080),JU!D2080,"")</f>
        <v/>
      </c>
      <c r="E2080" s="74" t="str">
        <f>IF(OR($D$3=JU!$F2080,$D$3=JU!$I2080),JU!E2080,"")</f>
        <v/>
      </c>
      <c r="F2080" s="72">
        <f>IF($D$3=JU!F2080,JU!H2080,0)</f>
        <v>0</v>
      </c>
      <c r="G2080" s="72">
        <f>IF($D$3=JU!I2080,JU!K2080,0)</f>
        <v>0</v>
      </c>
      <c r="H2080" s="72" t="e">
        <f t="shared" si="33"/>
        <v>#REF!</v>
      </c>
    </row>
    <row r="2081" spans="2:8" hidden="1">
      <c r="B2081" s="68" t="str">
        <f>IF(OR($D$3=JU!$F2081,$D$3=JU!$I2081),JU!B2081,"")</f>
        <v/>
      </c>
      <c r="C2081" s="6" t="str">
        <f>IF(OR($D$3=JU!$F2081,$D$3=JU!$I2081),JU!C2081,"")</f>
        <v/>
      </c>
      <c r="D2081" s="73" t="str">
        <f>IF(OR($D$3=JU!$F2081,$D$3=JU!$I2081),JU!D2081,"")</f>
        <v/>
      </c>
      <c r="E2081" s="74" t="str">
        <f>IF(OR($D$3=JU!$F2081,$D$3=JU!$I2081),JU!E2081,"")</f>
        <v/>
      </c>
      <c r="F2081" s="72">
        <f>IF($D$3=JU!F2081,JU!H2081,0)</f>
        <v>0</v>
      </c>
      <c r="G2081" s="72">
        <f>IF($D$3=JU!I2081,JU!K2081,0)</f>
        <v>0</v>
      </c>
      <c r="H2081" s="72" t="e">
        <f t="shared" si="33"/>
        <v>#REF!</v>
      </c>
    </row>
    <row r="2082" spans="2:8" hidden="1">
      <c r="B2082" s="68" t="str">
        <f>IF(OR($D$3=JU!$F2082,$D$3=JU!$I2082),JU!B2082,"")</f>
        <v/>
      </c>
      <c r="C2082" s="6" t="str">
        <f>IF(OR($D$3=JU!$F2082,$D$3=JU!$I2082),JU!C2082,"")</f>
        <v/>
      </c>
      <c r="D2082" s="73" t="str">
        <f>IF(OR($D$3=JU!$F2082,$D$3=JU!$I2082),JU!D2082,"")</f>
        <v/>
      </c>
      <c r="E2082" s="74" t="str">
        <f>IF(OR($D$3=JU!$F2082,$D$3=JU!$I2082),JU!E2082,"")</f>
        <v/>
      </c>
      <c r="F2082" s="72">
        <f>IF($D$3=JU!F2082,JU!H2082,0)</f>
        <v>0</v>
      </c>
      <c r="G2082" s="72">
        <f>IF($D$3=JU!I2082,JU!K2082,0)</f>
        <v>0</v>
      </c>
      <c r="H2082" s="72" t="e">
        <f t="shared" si="33"/>
        <v>#REF!</v>
      </c>
    </row>
    <row r="2083" spans="2:8" hidden="1">
      <c r="B2083" s="68" t="str">
        <f>IF(OR($D$3=JU!$F2083,$D$3=JU!$I2083),JU!B2083,"")</f>
        <v/>
      </c>
      <c r="C2083" s="6" t="str">
        <f>IF(OR($D$3=JU!$F2083,$D$3=JU!$I2083),JU!C2083,"")</f>
        <v/>
      </c>
      <c r="D2083" s="73" t="str">
        <f>IF(OR($D$3=JU!$F2083,$D$3=JU!$I2083),JU!D2083,"")</f>
        <v/>
      </c>
      <c r="E2083" s="74" t="str">
        <f>IF(OR($D$3=JU!$F2083,$D$3=JU!$I2083),JU!E2083,"")</f>
        <v/>
      </c>
      <c r="F2083" s="72">
        <f>IF($D$3=JU!F2083,JU!H2083,0)</f>
        <v>0</v>
      </c>
      <c r="G2083" s="72">
        <f>IF($D$3=JU!I2083,JU!K2083,0)</f>
        <v>0</v>
      </c>
      <c r="H2083" s="72" t="e">
        <f t="shared" si="33"/>
        <v>#REF!</v>
      </c>
    </row>
    <row r="2084" spans="2:8" hidden="1">
      <c r="B2084" s="68" t="str">
        <f>IF(OR($D$3=JU!$F2084,$D$3=JU!$I2084),JU!B2084,"")</f>
        <v/>
      </c>
      <c r="C2084" s="6" t="str">
        <f>IF(OR($D$3=JU!$F2084,$D$3=JU!$I2084),JU!C2084,"")</f>
        <v/>
      </c>
      <c r="D2084" s="73" t="str">
        <f>IF(OR($D$3=JU!$F2084,$D$3=JU!$I2084),JU!D2084,"")</f>
        <v/>
      </c>
      <c r="E2084" s="74" t="str">
        <f>IF(OR($D$3=JU!$F2084,$D$3=JU!$I2084),JU!E2084,"")</f>
        <v/>
      </c>
      <c r="F2084" s="72">
        <f>IF($D$3=JU!F2084,JU!H2084,0)</f>
        <v>0</v>
      </c>
      <c r="G2084" s="72">
        <f>IF($D$3=JU!I2084,JU!K2084,0)</f>
        <v>0</v>
      </c>
      <c r="H2084" s="72" t="e">
        <f t="shared" si="33"/>
        <v>#REF!</v>
      </c>
    </row>
    <row r="2085" spans="2:8" hidden="1">
      <c r="B2085" s="68" t="str">
        <f>IF(OR($D$3=JU!$F2085,$D$3=JU!$I2085),JU!B2085,"")</f>
        <v/>
      </c>
      <c r="C2085" s="6" t="str">
        <f>IF(OR($D$3=JU!$F2085,$D$3=JU!$I2085),JU!C2085,"")</f>
        <v/>
      </c>
      <c r="D2085" s="73" t="str">
        <f>IF(OR($D$3=JU!$F2085,$D$3=JU!$I2085),JU!D2085,"")</f>
        <v/>
      </c>
      <c r="E2085" s="74" t="str">
        <f>IF(OR($D$3=JU!$F2085,$D$3=JU!$I2085),JU!E2085,"")</f>
        <v/>
      </c>
      <c r="F2085" s="72">
        <f>IF($D$3=JU!F2085,JU!H2085,0)</f>
        <v>0</v>
      </c>
      <c r="G2085" s="72">
        <f>IF($D$3=JU!I2085,JU!K2085,0)</f>
        <v>0</v>
      </c>
      <c r="H2085" s="72" t="e">
        <f t="shared" si="33"/>
        <v>#REF!</v>
      </c>
    </row>
    <row r="2086" spans="2:8" hidden="1">
      <c r="B2086" s="68" t="str">
        <f>IF(OR($D$3=JU!$F2086,$D$3=JU!$I2086),JU!B2086,"")</f>
        <v/>
      </c>
      <c r="C2086" s="6" t="str">
        <f>IF(OR($D$3=JU!$F2086,$D$3=JU!$I2086),JU!C2086,"")</f>
        <v/>
      </c>
      <c r="D2086" s="73" t="str">
        <f>IF(OR($D$3=JU!$F2086,$D$3=JU!$I2086),JU!D2086,"")</f>
        <v/>
      </c>
      <c r="E2086" s="74" t="str">
        <f>IF(OR($D$3=JU!$F2086,$D$3=JU!$I2086),JU!E2086,"")</f>
        <v/>
      </c>
      <c r="F2086" s="72">
        <f>IF($D$3=JU!F2086,JU!H2086,0)</f>
        <v>0</v>
      </c>
      <c r="G2086" s="72">
        <f>IF($D$3=JU!I2086,JU!K2086,0)</f>
        <v>0</v>
      </c>
      <c r="H2086" s="72" t="e">
        <f t="shared" si="33"/>
        <v>#REF!</v>
      </c>
    </row>
    <row r="2087" spans="2:8" hidden="1">
      <c r="B2087" s="68" t="str">
        <f>IF(OR($D$3=JU!$F2087,$D$3=JU!$I2087),JU!B2087,"")</f>
        <v/>
      </c>
      <c r="C2087" s="6" t="str">
        <f>IF(OR($D$3=JU!$F2087,$D$3=JU!$I2087),JU!C2087,"")</f>
        <v/>
      </c>
      <c r="D2087" s="73" t="str">
        <f>IF(OR($D$3=JU!$F2087,$D$3=JU!$I2087),JU!D2087,"")</f>
        <v/>
      </c>
      <c r="E2087" s="74" t="str">
        <f>IF(OR($D$3=JU!$F2087,$D$3=JU!$I2087),JU!E2087,"")</f>
        <v/>
      </c>
      <c r="F2087" s="72">
        <f>IF($D$3=JU!F2087,JU!H2087,0)</f>
        <v>0</v>
      </c>
      <c r="G2087" s="72">
        <f>IF($D$3=JU!I2087,JU!K2087,0)</f>
        <v>0</v>
      </c>
      <c r="H2087" s="72" t="e">
        <f t="shared" si="33"/>
        <v>#REF!</v>
      </c>
    </row>
    <row r="2088" spans="2:8" hidden="1">
      <c r="B2088" s="68" t="str">
        <f>IF(OR($D$3=JU!$F2088,$D$3=JU!$I2088),JU!B2088,"")</f>
        <v/>
      </c>
      <c r="C2088" s="6" t="str">
        <f>IF(OR($D$3=JU!$F2088,$D$3=JU!$I2088),JU!C2088,"")</f>
        <v/>
      </c>
      <c r="D2088" s="73" t="str">
        <f>IF(OR($D$3=JU!$F2088,$D$3=JU!$I2088),JU!D2088,"")</f>
        <v/>
      </c>
      <c r="E2088" s="74" t="str">
        <f>IF(OR($D$3=JU!$F2088,$D$3=JU!$I2088),JU!E2088,"")</f>
        <v/>
      </c>
      <c r="F2088" s="72">
        <f>IF($D$3=JU!F2088,JU!H2088,0)</f>
        <v>0</v>
      </c>
      <c r="G2088" s="72">
        <f>IF($D$3=JU!I2088,JU!K2088,0)</f>
        <v>0</v>
      </c>
      <c r="H2088" s="72" t="e">
        <f t="shared" si="33"/>
        <v>#REF!</v>
      </c>
    </row>
    <row r="2089" spans="2:8" hidden="1">
      <c r="B2089" s="68" t="str">
        <f>IF(OR($D$3=JU!$F2089,$D$3=JU!$I2089),JU!B2089,"")</f>
        <v/>
      </c>
      <c r="C2089" s="6" t="str">
        <f>IF(OR($D$3=JU!$F2089,$D$3=JU!$I2089),JU!C2089,"")</f>
        <v/>
      </c>
      <c r="D2089" s="73" t="str">
        <f>IF(OR($D$3=JU!$F2089,$D$3=JU!$I2089),JU!D2089,"")</f>
        <v/>
      </c>
      <c r="E2089" s="74" t="str">
        <f>IF(OR($D$3=JU!$F2089,$D$3=JU!$I2089),JU!E2089,"")</f>
        <v/>
      </c>
      <c r="F2089" s="72">
        <f>IF($D$3=JU!F2089,JU!H2089,0)</f>
        <v>0</v>
      </c>
      <c r="G2089" s="72">
        <f>IF($D$3=JU!I2089,JU!K2089,0)</f>
        <v>0</v>
      </c>
      <c r="H2089" s="72" t="e">
        <f t="shared" si="33"/>
        <v>#REF!</v>
      </c>
    </row>
    <row r="2090" spans="2:8" hidden="1">
      <c r="B2090" s="68" t="str">
        <f>IF(OR($D$3=JU!$F2090,$D$3=JU!$I2090),JU!B2090,"")</f>
        <v/>
      </c>
      <c r="C2090" s="6" t="str">
        <f>IF(OR($D$3=JU!$F2090,$D$3=JU!$I2090),JU!C2090,"")</f>
        <v/>
      </c>
      <c r="D2090" s="73" t="str">
        <f>IF(OR($D$3=JU!$F2090,$D$3=JU!$I2090),JU!D2090,"")</f>
        <v/>
      </c>
      <c r="E2090" s="74" t="str">
        <f>IF(OR($D$3=JU!$F2090,$D$3=JU!$I2090),JU!E2090,"")</f>
        <v/>
      </c>
      <c r="F2090" s="72">
        <f>IF($D$3=JU!F2090,JU!H2090,0)</f>
        <v>0</v>
      </c>
      <c r="G2090" s="72">
        <f>IF($D$3=JU!I2090,JU!K2090,0)</f>
        <v>0</v>
      </c>
      <c r="H2090" s="72" t="e">
        <f t="shared" si="33"/>
        <v>#REF!</v>
      </c>
    </row>
    <row r="2091" spans="2:8" hidden="1">
      <c r="B2091" s="68" t="str">
        <f>IF(OR($D$3=JU!$F2091,$D$3=JU!$I2091),JU!B2091,"")</f>
        <v/>
      </c>
      <c r="C2091" s="6" t="str">
        <f>IF(OR($D$3=JU!$F2091,$D$3=JU!$I2091),JU!C2091,"")</f>
        <v/>
      </c>
      <c r="D2091" s="73" t="str">
        <f>IF(OR($D$3=JU!$F2091,$D$3=JU!$I2091),JU!D2091,"")</f>
        <v/>
      </c>
      <c r="E2091" s="74" t="str">
        <f>IF(OR($D$3=JU!$F2091,$D$3=JU!$I2091),JU!E2091,"")</f>
        <v/>
      </c>
      <c r="F2091" s="72">
        <f>IF($D$3=JU!F2091,JU!H2091,0)</f>
        <v>0</v>
      </c>
      <c r="G2091" s="72">
        <f>IF($D$3=JU!I2091,JU!K2091,0)</f>
        <v>0</v>
      </c>
      <c r="H2091" s="72" t="e">
        <f t="shared" si="33"/>
        <v>#REF!</v>
      </c>
    </row>
    <row r="2092" spans="2:8" hidden="1">
      <c r="B2092" s="68" t="str">
        <f>IF(OR($D$3=JU!$F2092,$D$3=JU!$I2092),JU!B2092,"")</f>
        <v/>
      </c>
      <c r="C2092" s="6" t="str">
        <f>IF(OR($D$3=JU!$F2092,$D$3=JU!$I2092),JU!C2092,"")</f>
        <v/>
      </c>
      <c r="D2092" s="73" t="str">
        <f>IF(OR($D$3=JU!$F2092,$D$3=JU!$I2092),JU!D2092,"")</f>
        <v/>
      </c>
      <c r="E2092" s="74" t="str">
        <f>IF(OR($D$3=JU!$F2092,$D$3=JU!$I2092),JU!E2092,"")</f>
        <v/>
      </c>
      <c r="F2092" s="72">
        <f>IF($D$3=JU!F2092,JU!H2092,0)</f>
        <v>0</v>
      </c>
      <c r="G2092" s="72">
        <f>IF($D$3=JU!I2092,JU!K2092,0)</f>
        <v>0</v>
      </c>
      <c r="H2092" s="72" t="e">
        <f t="shared" si="33"/>
        <v>#REF!</v>
      </c>
    </row>
    <row r="2093" spans="2:8" hidden="1">
      <c r="B2093" s="68" t="str">
        <f>IF(OR($D$3=JU!$F2093,$D$3=JU!$I2093),JU!B2093,"")</f>
        <v/>
      </c>
      <c r="C2093" s="6" t="str">
        <f>IF(OR($D$3=JU!$F2093,$D$3=JU!$I2093),JU!C2093,"")</f>
        <v/>
      </c>
      <c r="D2093" s="73" t="str">
        <f>IF(OR($D$3=JU!$F2093,$D$3=JU!$I2093),JU!D2093,"")</f>
        <v/>
      </c>
      <c r="E2093" s="74" t="str">
        <f>IF(OR($D$3=JU!$F2093,$D$3=JU!$I2093),JU!E2093,"")</f>
        <v/>
      </c>
      <c r="F2093" s="72">
        <f>IF($D$3=JU!F2093,JU!H2093,0)</f>
        <v>0</v>
      </c>
      <c r="G2093" s="72">
        <f>IF($D$3=JU!I2093,JU!K2093,0)</f>
        <v>0</v>
      </c>
      <c r="H2093" s="72" t="e">
        <f t="shared" si="33"/>
        <v>#REF!</v>
      </c>
    </row>
    <row r="2094" spans="2:8" hidden="1">
      <c r="B2094" s="68" t="str">
        <f>IF(OR($D$3=JU!$F2094,$D$3=JU!$I2094),JU!B2094,"")</f>
        <v/>
      </c>
      <c r="C2094" s="6" t="str">
        <f>IF(OR($D$3=JU!$F2094,$D$3=JU!$I2094),JU!C2094,"")</f>
        <v/>
      </c>
      <c r="D2094" s="73" t="str">
        <f>IF(OR($D$3=JU!$F2094,$D$3=JU!$I2094),JU!D2094,"")</f>
        <v/>
      </c>
      <c r="E2094" s="74" t="str">
        <f>IF(OR($D$3=JU!$F2094,$D$3=JU!$I2094),JU!E2094,"")</f>
        <v/>
      </c>
      <c r="F2094" s="72">
        <f>IF($D$3=JU!F2094,JU!H2094,0)</f>
        <v>0</v>
      </c>
      <c r="G2094" s="72">
        <f>IF($D$3=JU!I2094,JU!K2094,0)</f>
        <v>0</v>
      </c>
      <c r="H2094" s="72" t="e">
        <f t="shared" si="33"/>
        <v>#REF!</v>
      </c>
    </row>
    <row r="2095" spans="2:8" hidden="1">
      <c r="B2095" s="68" t="str">
        <f>IF(OR($D$3=JU!$F2095,$D$3=JU!$I2095),JU!B2095,"")</f>
        <v/>
      </c>
      <c r="C2095" s="6" t="str">
        <f>IF(OR($D$3=JU!$F2095,$D$3=JU!$I2095),JU!C2095,"")</f>
        <v/>
      </c>
      <c r="D2095" s="73" t="str">
        <f>IF(OR($D$3=JU!$F2095,$D$3=JU!$I2095),JU!D2095,"")</f>
        <v/>
      </c>
      <c r="E2095" s="74" t="str">
        <f>IF(OR($D$3=JU!$F2095,$D$3=JU!$I2095),JU!E2095,"")</f>
        <v/>
      </c>
      <c r="F2095" s="72">
        <f>IF($D$3=JU!F2095,JU!H2095,0)</f>
        <v>0</v>
      </c>
      <c r="G2095" s="72">
        <f>IF($D$3=JU!I2095,JU!K2095,0)</f>
        <v>0</v>
      </c>
      <c r="H2095" s="72" t="e">
        <f t="shared" si="33"/>
        <v>#REF!</v>
      </c>
    </row>
    <row r="2096" spans="2:8" hidden="1">
      <c r="B2096" s="68" t="str">
        <f>IF(OR($D$3=JU!$F2096,$D$3=JU!$I2096),JU!B2096,"")</f>
        <v/>
      </c>
      <c r="C2096" s="6" t="str">
        <f>IF(OR($D$3=JU!$F2096,$D$3=JU!$I2096),JU!C2096,"")</f>
        <v/>
      </c>
      <c r="D2096" s="73" t="str">
        <f>IF(OR($D$3=JU!$F2096,$D$3=JU!$I2096),JU!D2096,"")</f>
        <v/>
      </c>
      <c r="E2096" s="74" t="str">
        <f>IF(OR($D$3=JU!$F2096,$D$3=JU!$I2096),JU!E2096,"")</f>
        <v/>
      </c>
      <c r="F2096" s="72">
        <f>IF($D$3=JU!F2096,JU!H2096,0)</f>
        <v>0</v>
      </c>
      <c r="G2096" s="72">
        <f>IF($D$3=JU!I2096,JU!K2096,0)</f>
        <v>0</v>
      </c>
      <c r="H2096" s="72" t="e">
        <f t="shared" si="33"/>
        <v>#REF!</v>
      </c>
    </row>
    <row r="2097" spans="2:8" hidden="1">
      <c r="B2097" s="68" t="str">
        <f>IF(OR($D$3=JU!$F2097,$D$3=JU!$I2097),JU!B2097,"")</f>
        <v/>
      </c>
      <c r="C2097" s="6" t="str">
        <f>IF(OR($D$3=JU!$F2097,$D$3=JU!$I2097),JU!C2097,"")</f>
        <v/>
      </c>
      <c r="D2097" s="73" t="str">
        <f>IF(OR($D$3=JU!$F2097,$D$3=JU!$I2097),JU!D2097,"")</f>
        <v/>
      </c>
      <c r="E2097" s="74" t="str">
        <f>IF(OR($D$3=JU!$F2097,$D$3=JU!$I2097),JU!E2097,"")</f>
        <v/>
      </c>
      <c r="F2097" s="72">
        <f>IF($D$3=JU!F2097,JU!H2097,0)</f>
        <v>0</v>
      </c>
      <c r="G2097" s="72">
        <f>IF($D$3=JU!I2097,JU!K2097,0)</f>
        <v>0</v>
      </c>
      <c r="H2097" s="72" t="e">
        <f t="shared" si="33"/>
        <v>#REF!</v>
      </c>
    </row>
    <row r="2098" spans="2:8" hidden="1">
      <c r="B2098" s="68" t="str">
        <f>IF(OR($D$3=JU!$F2098,$D$3=JU!$I2098),JU!B2098,"")</f>
        <v/>
      </c>
      <c r="C2098" s="6" t="str">
        <f>IF(OR($D$3=JU!$F2098,$D$3=JU!$I2098),JU!C2098,"")</f>
        <v/>
      </c>
      <c r="D2098" s="73" t="str">
        <f>IF(OR($D$3=JU!$F2098,$D$3=JU!$I2098),JU!D2098,"")</f>
        <v/>
      </c>
      <c r="E2098" s="74" t="str">
        <f>IF(OR($D$3=JU!$F2098,$D$3=JU!$I2098),JU!E2098,"")</f>
        <v/>
      </c>
      <c r="F2098" s="72">
        <f>IF($D$3=JU!F2098,JU!H2098,0)</f>
        <v>0</v>
      </c>
      <c r="G2098" s="72">
        <f>IF($D$3=JU!I2098,JU!K2098,0)</f>
        <v>0</v>
      </c>
      <c r="H2098" s="72" t="e">
        <f t="shared" si="33"/>
        <v>#REF!</v>
      </c>
    </row>
    <row r="2099" spans="2:8" hidden="1">
      <c r="B2099" s="68" t="str">
        <f>IF(OR($D$3=JU!$F2099,$D$3=JU!$I2099),JU!B2099,"")</f>
        <v/>
      </c>
      <c r="C2099" s="6" t="str">
        <f>IF(OR($D$3=JU!$F2099,$D$3=JU!$I2099),JU!C2099,"")</f>
        <v/>
      </c>
      <c r="D2099" s="73" t="str">
        <f>IF(OR($D$3=JU!$F2099,$D$3=JU!$I2099),JU!D2099,"")</f>
        <v/>
      </c>
      <c r="E2099" s="74" t="str">
        <f>IF(OR($D$3=JU!$F2099,$D$3=JU!$I2099),JU!E2099,"")</f>
        <v/>
      </c>
      <c r="F2099" s="72">
        <f>IF($D$3=JU!F2099,JU!H2099,0)</f>
        <v>0</v>
      </c>
      <c r="G2099" s="72">
        <f>IF($D$3=JU!I2099,JU!K2099,0)</f>
        <v>0</v>
      </c>
      <c r="H2099" s="72" t="e">
        <f t="shared" si="33"/>
        <v>#REF!</v>
      </c>
    </row>
    <row r="2100" spans="2:8" hidden="1">
      <c r="B2100" s="68" t="str">
        <f>IF(OR($D$3=JU!$F2100,$D$3=JU!$I2100),JU!B2100,"")</f>
        <v/>
      </c>
      <c r="C2100" s="6" t="str">
        <f>IF(OR($D$3=JU!$F2100,$D$3=JU!$I2100),JU!C2100,"")</f>
        <v/>
      </c>
      <c r="D2100" s="73" t="str">
        <f>IF(OR($D$3=JU!$F2100,$D$3=JU!$I2100),JU!D2100,"")</f>
        <v/>
      </c>
      <c r="E2100" s="74" t="str">
        <f>IF(OR($D$3=JU!$F2100,$D$3=JU!$I2100),JU!E2100,"")</f>
        <v/>
      </c>
      <c r="F2100" s="72">
        <f>IF($D$3=JU!F2100,JU!H2100,0)</f>
        <v>0</v>
      </c>
      <c r="G2100" s="72">
        <f>IF($D$3=JU!I2100,JU!K2100,0)</f>
        <v>0</v>
      </c>
      <c r="H2100" s="72" t="e">
        <f t="shared" si="33"/>
        <v>#REF!</v>
      </c>
    </row>
    <row r="2101" spans="2:8" hidden="1">
      <c r="B2101" s="68" t="str">
        <f>IF(OR($D$3=JU!$F2101,$D$3=JU!$I2101),JU!B2101,"")</f>
        <v/>
      </c>
      <c r="C2101" s="6" t="str">
        <f>IF(OR($D$3=JU!$F2101,$D$3=JU!$I2101),JU!C2101,"")</f>
        <v/>
      </c>
      <c r="D2101" s="73" t="str">
        <f>IF(OR($D$3=JU!$F2101,$D$3=JU!$I2101),JU!D2101,"")</f>
        <v/>
      </c>
      <c r="E2101" s="74" t="str">
        <f>IF(OR($D$3=JU!$F2101,$D$3=JU!$I2101),JU!E2101,"")</f>
        <v/>
      </c>
      <c r="F2101" s="72">
        <f>IF($D$3=JU!F2101,JU!H2101,0)</f>
        <v>0</v>
      </c>
      <c r="G2101" s="72">
        <f>IF($D$3=JU!I2101,JU!K2101,0)</f>
        <v>0</v>
      </c>
      <c r="H2101" s="72" t="e">
        <f t="shared" si="33"/>
        <v>#REF!</v>
      </c>
    </row>
    <row r="2102" spans="2:8" hidden="1">
      <c r="B2102" s="68" t="str">
        <f>IF(OR($D$3=JU!$F2102,$D$3=JU!$I2102),JU!B2102,"")</f>
        <v/>
      </c>
      <c r="C2102" s="6" t="str">
        <f>IF(OR($D$3=JU!$F2102,$D$3=JU!$I2102),JU!C2102,"")</f>
        <v/>
      </c>
      <c r="D2102" s="73" t="str">
        <f>IF(OR($D$3=JU!$F2102,$D$3=JU!$I2102),JU!D2102,"")</f>
        <v/>
      </c>
      <c r="E2102" s="74" t="str">
        <f>IF(OR($D$3=JU!$F2102,$D$3=JU!$I2102),JU!E2102,"")</f>
        <v/>
      </c>
      <c r="F2102" s="72">
        <f>IF($D$3=JU!F2102,JU!H2102,0)</f>
        <v>0</v>
      </c>
      <c r="G2102" s="72">
        <f>IF($D$3=JU!I2102,JU!K2102,0)</f>
        <v>0</v>
      </c>
      <c r="H2102" s="72" t="e">
        <f t="shared" si="33"/>
        <v>#REF!</v>
      </c>
    </row>
    <row r="2103" spans="2:8" hidden="1">
      <c r="B2103" s="68" t="str">
        <f>IF(OR($D$3=JU!$F2103,$D$3=JU!$I2103),JU!B2103,"")</f>
        <v/>
      </c>
      <c r="C2103" s="6" t="str">
        <f>IF(OR($D$3=JU!$F2103,$D$3=JU!$I2103),JU!C2103,"")</f>
        <v/>
      </c>
      <c r="D2103" s="73" t="str">
        <f>IF(OR($D$3=JU!$F2103,$D$3=JU!$I2103),JU!D2103,"")</f>
        <v/>
      </c>
      <c r="E2103" s="74" t="str">
        <f>IF(OR($D$3=JU!$F2103,$D$3=JU!$I2103),JU!E2103,"")</f>
        <v/>
      </c>
      <c r="F2103" s="72">
        <f>IF($D$3=JU!F2103,JU!H2103,0)</f>
        <v>0</v>
      </c>
      <c r="G2103" s="72">
        <f>IF($D$3=JU!I2103,JU!K2103,0)</f>
        <v>0</v>
      </c>
      <c r="H2103" s="72" t="e">
        <f t="shared" si="33"/>
        <v>#REF!</v>
      </c>
    </row>
    <row r="2104" spans="2:8" hidden="1">
      <c r="B2104" s="68" t="str">
        <f>IF(OR($D$3=JU!$F2104,$D$3=JU!$I2104),JU!B2104,"")</f>
        <v/>
      </c>
      <c r="C2104" s="6" t="str">
        <f>IF(OR($D$3=JU!$F2104,$D$3=JU!$I2104),JU!C2104,"")</f>
        <v/>
      </c>
      <c r="D2104" s="73" t="str">
        <f>IF(OR($D$3=JU!$F2104,$D$3=JU!$I2104),JU!D2104,"")</f>
        <v/>
      </c>
      <c r="E2104" s="74" t="str">
        <f>IF(OR($D$3=JU!$F2104,$D$3=JU!$I2104),JU!E2104,"")</f>
        <v/>
      </c>
      <c r="F2104" s="72">
        <f>IF($D$3=JU!F2104,JU!H2104,0)</f>
        <v>0</v>
      </c>
      <c r="G2104" s="72">
        <f>IF($D$3=JU!I2104,JU!K2104,0)</f>
        <v>0</v>
      </c>
      <c r="H2104" s="72" t="e">
        <f t="shared" si="33"/>
        <v>#REF!</v>
      </c>
    </row>
    <row r="2105" spans="2:8" hidden="1">
      <c r="B2105" s="68" t="str">
        <f>IF(OR($D$3=JU!$F2105,$D$3=JU!$I2105),JU!B2105,"")</f>
        <v/>
      </c>
      <c r="C2105" s="6" t="str">
        <f>IF(OR($D$3=JU!$F2105,$D$3=JU!$I2105),JU!C2105,"")</f>
        <v/>
      </c>
      <c r="D2105" s="73" t="str">
        <f>IF(OR($D$3=JU!$F2105,$D$3=JU!$I2105),JU!D2105,"")</f>
        <v/>
      </c>
      <c r="E2105" s="74" t="str">
        <f>IF(OR($D$3=JU!$F2105,$D$3=JU!$I2105),JU!E2105,"")</f>
        <v/>
      </c>
      <c r="F2105" s="72">
        <f>IF($D$3=JU!F2105,JU!H2105,0)</f>
        <v>0</v>
      </c>
      <c r="G2105" s="72">
        <f>IF($D$3=JU!I2105,JU!K2105,0)</f>
        <v>0</v>
      </c>
      <c r="H2105" s="72" t="e">
        <f t="shared" si="33"/>
        <v>#REF!</v>
      </c>
    </row>
    <row r="2106" spans="2:8" hidden="1">
      <c r="B2106" s="68" t="str">
        <f>IF(OR($D$3=JU!$F2106,$D$3=JU!$I2106),JU!B2106,"")</f>
        <v/>
      </c>
      <c r="C2106" s="6" t="str">
        <f>IF(OR($D$3=JU!$F2106,$D$3=JU!$I2106),JU!C2106,"")</f>
        <v/>
      </c>
      <c r="D2106" s="73" t="str">
        <f>IF(OR($D$3=JU!$F2106,$D$3=JU!$I2106),JU!D2106,"")</f>
        <v/>
      </c>
      <c r="E2106" s="74" t="str">
        <f>IF(OR($D$3=JU!$F2106,$D$3=JU!$I2106),JU!E2106,"")</f>
        <v/>
      </c>
      <c r="F2106" s="72">
        <f>IF($D$3=JU!F2106,JU!H2106,0)</f>
        <v>0</v>
      </c>
      <c r="G2106" s="72">
        <f>IF($D$3=JU!I2106,JU!K2106,0)</f>
        <v>0</v>
      </c>
      <c r="H2106" s="72" t="e">
        <f t="shared" si="33"/>
        <v>#REF!</v>
      </c>
    </row>
    <row r="2107" spans="2:8" hidden="1">
      <c r="B2107" s="68" t="str">
        <f>IF(OR($D$3=JU!$F2107,$D$3=JU!$I2107),JU!B2107,"")</f>
        <v/>
      </c>
      <c r="C2107" s="6" t="str">
        <f>IF(OR($D$3=JU!$F2107,$D$3=JU!$I2107),JU!C2107,"")</f>
        <v/>
      </c>
      <c r="D2107" s="73" t="str">
        <f>IF(OR($D$3=JU!$F2107,$D$3=JU!$I2107),JU!D2107,"")</f>
        <v/>
      </c>
      <c r="E2107" s="74" t="str">
        <f>IF(OR($D$3=JU!$F2107,$D$3=JU!$I2107),JU!E2107,"")</f>
        <v/>
      </c>
      <c r="F2107" s="72">
        <f>IF($D$3=JU!F2107,JU!H2107,0)</f>
        <v>0</v>
      </c>
      <c r="G2107" s="72">
        <f>IF($D$3=JU!I2107,JU!K2107,0)</f>
        <v>0</v>
      </c>
      <c r="H2107" s="72" t="e">
        <f t="shared" si="33"/>
        <v>#REF!</v>
      </c>
    </row>
    <row r="2108" spans="2:8" hidden="1">
      <c r="B2108" s="68" t="str">
        <f>IF(OR($D$3=JU!$F2108,$D$3=JU!$I2108),JU!B2108,"")</f>
        <v/>
      </c>
      <c r="C2108" s="6" t="str">
        <f>IF(OR($D$3=JU!$F2108,$D$3=JU!$I2108),JU!C2108,"")</f>
        <v/>
      </c>
      <c r="D2108" s="73" t="str">
        <f>IF(OR($D$3=JU!$F2108,$D$3=JU!$I2108),JU!D2108,"")</f>
        <v/>
      </c>
      <c r="E2108" s="74" t="str">
        <f>IF(OR($D$3=JU!$F2108,$D$3=JU!$I2108),JU!E2108,"")</f>
        <v/>
      </c>
      <c r="F2108" s="72">
        <f>IF($D$3=JU!F2108,JU!H2108,0)</f>
        <v>0</v>
      </c>
      <c r="G2108" s="72">
        <f>IF($D$3=JU!I2108,JU!K2108,0)</f>
        <v>0</v>
      </c>
      <c r="H2108" s="72" t="e">
        <f t="shared" si="33"/>
        <v>#REF!</v>
      </c>
    </row>
    <row r="2109" spans="2:8" hidden="1">
      <c r="B2109" s="68" t="str">
        <f>IF(OR($D$3=JU!$F2109,$D$3=JU!$I2109),JU!B2109,"")</f>
        <v/>
      </c>
      <c r="C2109" s="6" t="str">
        <f>IF(OR($D$3=JU!$F2109,$D$3=JU!$I2109),JU!C2109,"")</f>
        <v/>
      </c>
      <c r="D2109" s="73" t="str">
        <f>IF(OR($D$3=JU!$F2109,$D$3=JU!$I2109),JU!D2109,"")</f>
        <v/>
      </c>
      <c r="E2109" s="74" t="str">
        <f>IF(OR($D$3=JU!$F2109,$D$3=JU!$I2109),JU!E2109,"")</f>
        <v/>
      </c>
      <c r="F2109" s="72">
        <f>IF($D$3=JU!F2109,JU!H2109,0)</f>
        <v>0</v>
      </c>
      <c r="G2109" s="72">
        <f>IF($D$3=JU!I2109,JU!K2109,0)</f>
        <v>0</v>
      </c>
      <c r="H2109" s="72" t="e">
        <f t="shared" si="33"/>
        <v>#REF!</v>
      </c>
    </row>
    <row r="2110" spans="2:8" hidden="1">
      <c r="B2110" s="68" t="str">
        <f>IF(OR($D$3=JU!$F2110,$D$3=JU!$I2110),JU!B2110,"")</f>
        <v/>
      </c>
      <c r="C2110" s="6" t="str">
        <f>IF(OR($D$3=JU!$F2110,$D$3=JU!$I2110),JU!C2110,"")</f>
        <v/>
      </c>
      <c r="D2110" s="73" t="str">
        <f>IF(OR($D$3=JU!$F2110,$D$3=JU!$I2110),JU!D2110,"")</f>
        <v/>
      </c>
      <c r="E2110" s="74" t="str">
        <f>IF(OR($D$3=JU!$F2110,$D$3=JU!$I2110),JU!E2110,"")</f>
        <v/>
      </c>
      <c r="F2110" s="72">
        <f>IF($D$3=JU!F2110,JU!H2110,0)</f>
        <v>0</v>
      </c>
      <c r="G2110" s="72">
        <f>IF($D$3=JU!I2110,JU!K2110,0)</f>
        <v>0</v>
      </c>
      <c r="H2110" s="72" t="e">
        <f t="shared" si="33"/>
        <v>#REF!</v>
      </c>
    </row>
    <row r="2111" spans="2:8" hidden="1">
      <c r="B2111" s="68" t="str">
        <f>IF(OR($D$3=JU!$F2111,$D$3=JU!$I2111),JU!B2111,"")</f>
        <v/>
      </c>
      <c r="C2111" s="6" t="str">
        <f>IF(OR($D$3=JU!$F2111,$D$3=JU!$I2111),JU!C2111,"")</f>
        <v/>
      </c>
      <c r="D2111" s="73" t="str">
        <f>IF(OR($D$3=JU!$F2111,$D$3=JU!$I2111),JU!D2111,"")</f>
        <v/>
      </c>
      <c r="E2111" s="74" t="str">
        <f>IF(OR($D$3=JU!$F2111,$D$3=JU!$I2111),JU!E2111,"")</f>
        <v/>
      </c>
      <c r="F2111" s="72">
        <f>IF($D$3=JU!F2111,JU!H2111,0)</f>
        <v>0</v>
      </c>
      <c r="G2111" s="72">
        <f>IF($D$3=JU!I2111,JU!K2111,0)</f>
        <v>0</v>
      </c>
      <c r="H2111" s="72" t="e">
        <f t="shared" si="33"/>
        <v>#REF!</v>
      </c>
    </row>
    <row r="2112" spans="2:8" hidden="1">
      <c r="B2112" s="68" t="str">
        <f>IF(OR($D$3=JU!$F2112,$D$3=JU!$I2112),JU!B2112,"")</f>
        <v/>
      </c>
      <c r="C2112" s="6" t="str">
        <f>IF(OR($D$3=JU!$F2112,$D$3=JU!$I2112),JU!C2112,"")</f>
        <v/>
      </c>
      <c r="D2112" s="73" t="str">
        <f>IF(OR($D$3=JU!$F2112,$D$3=JU!$I2112),JU!D2112,"")</f>
        <v/>
      </c>
      <c r="E2112" s="74" t="str">
        <f>IF(OR($D$3=JU!$F2112,$D$3=JU!$I2112),JU!E2112,"")</f>
        <v/>
      </c>
      <c r="F2112" s="72">
        <f>IF($D$3=JU!F2112,JU!H2112,0)</f>
        <v>0</v>
      </c>
      <c r="G2112" s="72">
        <f>IF($D$3=JU!I2112,JU!K2112,0)</f>
        <v>0</v>
      </c>
      <c r="H2112" s="72" t="e">
        <f t="shared" si="33"/>
        <v>#REF!</v>
      </c>
    </row>
    <row r="2113" spans="2:8" hidden="1">
      <c r="B2113" s="68" t="str">
        <f>IF(OR($D$3=JU!$F2113,$D$3=JU!$I2113),JU!B2113,"")</f>
        <v/>
      </c>
      <c r="C2113" s="6" t="str">
        <f>IF(OR($D$3=JU!$F2113,$D$3=JU!$I2113),JU!C2113,"")</f>
        <v/>
      </c>
      <c r="D2113" s="73" t="str">
        <f>IF(OR($D$3=JU!$F2113,$D$3=JU!$I2113),JU!D2113,"")</f>
        <v/>
      </c>
      <c r="E2113" s="74" t="str">
        <f>IF(OR($D$3=JU!$F2113,$D$3=JU!$I2113),JU!E2113,"")</f>
        <v/>
      </c>
      <c r="F2113" s="72">
        <f>IF($D$3=JU!F2113,JU!H2113,0)</f>
        <v>0</v>
      </c>
      <c r="G2113" s="72">
        <f>IF($D$3=JU!I2113,JU!K2113,0)</f>
        <v>0</v>
      </c>
      <c r="H2113" s="72" t="e">
        <f t="shared" si="33"/>
        <v>#REF!</v>
      </c>
    </row>
    <row r="2114" spans="2:8" hidden="1">
      <c r="B2114" s="68" t="str">
        <f>IF(OR($D$3=JU!$F2114,$D$3=JU!$I2114),JU!B2114,"")</f>
        <v/>
      </c>
      <c r="C2114" s="6" t="str">
        <f>IF(OR($D$3=JU!$F2114,$D$3=JU!$I2114),JU!C2114,"")</f>
        <v/>
      </c>
      <c r="D2114" s="73" t="str">
        <f>IF(OR($D$3=JU!$F2114,$D$3=JU!$I2114),JU!D2114,"")</f>
        <v/>
      </c>
      <c r="E2114" s="74" t="str">
        <f>IF(OR($D$3=JU!$F2114,$D$3=JU!$I2114),JU!E2114,"")</f>
        <v/>
      </c>
      <c r="F2114" s="72">
        <f>IF($D$3=JU!F2114,JU!H2114,0)</f>
        <v>0</v>
      </c>
      <c r="G2114" s="72">
        <f>IF($D$3=JU!I2114,JU!K2114,0)</f>
        <v>0</v>
      </c>
      <c r="H2114" s="72" t="e">
        <f t="shared" si="33"/>
        <v>#REF!</v>
      </c>
    </row>
    <row r="2115" spans="2:8" hidden="1">
      <c r="B2115" s="68" t="str">
        <f>IF(OR($D$3=JU!$F2115,$D$3=JU!$I2115),JU!B2115,"")</f>
        <v/>
      </c>
      <c r="C2115" s="6" t="str">
        <f>IF(OR($D$3=JU!$F2115,$D$3=JU!$I2115),JU!C2115,"")</f>
        <v/>
      </c>
      <c r="D2115" s="73" t="str">
        <f>IF(OR($D$3=JU!$F2115,$D$3=JU!$I2115),JU!D2115,"")</f>
        <v/>
      </c>
      <c r="E2115" s="74" t="str">
        <f>IF(OR($D$3=JU!$F2115,$D$3=JU!$I2115),JU!E2115,"")</f>
        <v/>
      </c>
      <c r="F2115" s="72">
        <f>IF($D$3=JU!F2115,JU!H2115,0)</f>
        <v>0</v>
      </c>
      <c r="G2115" s="72">
        <f>IF($D$3=JU!I2115,JU!K2115,0)</f>
        <v>0</v>
      </c>
      <c r="H2115" s="72" t="e">
        <f t="shared" si="33"/>
        <v>#REF!</v>
      </c>
    </row>
    <row r="2116" spans="2:8" hidden="1">
      <c r="B2116" s="68" t="str">
        <f>IF(OR($D$3=JU!$F2116,$D$3=JU!$I2116),JU!B2116,"")</f>
        <v/>
      </c>
      <c r="C2116" s="6" t="str">
        <f>IF(OR($D$3=JU!$F2116,$D$3=JU!$I2116),JU!C2116,"")</f>
        <v/>
      </c>
      <c r="D2116" s="73" t="str">
        <f>IF(OR($D$3=JU!$F2116,$D$3=JU!$I2116),JU!D2116,"")</f>
        <v/>
      </c>
      <c r="E2116" s="74" t="str">
        <f>IF(OR($D$3=JU!$F2116,$D$3=JU!$I2116),JU!E2116,"")</f>
        <v/>
      </c>
      <c r="F2116" s="72">
        <f>IF($D$3=JU!F2116,JU!H2116,0)</f>
        <v>0</v>
      </c>
      <c r="G2116" s="72">
        <f>IF($D$3=JU!I2116,JU!K2116,0)</f>
        <v>0</v>
      </c>
      <c r="H2116" s="72" t="e">
        <f t="shared" si="33"/>
        <v>#REF!</v>
      </c>
    </row>
    <row r="2117" spans="2:8" hidden="1">
      <c r="B2117" s="68" t="str">
        <f>IF(OR($D$3=JU!$F2117,$D$3=JU!$I2117),JU!B2117,"")</f>
        <v/>
      </c>
      <c r="C2117" s="6" t="str">
        <f>IF(OR($D$3=JU!$F2117,$D$3=JU!$I2117),JU!C2117,"")</f>
        <v/>
      </c>
      <c r="D2117" s="73" t="str">
        <f>IF(OR($D$3=JU!$F2117,$D$3=JU!$I2117),JU!D2117,"")</f>
        <v/>
      </c>
      <c r="E2117" s="74" t="str">
        <f>IF(OR($D$3=JU!$F2117,$D$3=JU!$I2117),JU!E2117,"")</f>
        <v/>
      </c>
      <c r="F2117" s="72">
        <f>IF($D$3=JU!F2117,JU!H2117,0)</f>
        <v>0</v>
      </c>
      <c r="G2117" s="72">
        <f>IF($D$3=JU!I2117,JU!K2117,0)</f>
        <v>0</v>
      </c>
      <c r="H2117" s="72" t="e">
        <f t="shared" si="33"/>
        <v>#REF!</v>
      </c>
    </row>
    <row r="2118" spans="2:8" hidden="1">
      <c r="B2118" s="68" t="str">
        <f>IF(OR($D$3=JU!$F2118,$D$3=JU!$I2118),JU!B2118,"")</f>
        <v/>
      </c>
      <c r="C2118" s="6" t="str">
        <f>IF(OR($D$3=JU!$F2118,$D$3=JU!$I2118),JU!C2118,"")</f>
        <v/>
      </c>
      <c r="D2118" s="73" t="str">
        <f>IF(OR($D$3=JU!$F2118,$D$3=JU!$I2118),JU!D2118,"")</f>
        <v/>
      </c>
      <c r="E2118" s="74" t="str">
        <f>IF(OR($D$3=JU!$F2118,$D$3=JU!$I2118),JU!E2118,"")</f>
        <v/>
      </c>
      <c r="F2118" s="72">
        <f>IF($D$3=JU!F2118,JU!H2118,0)</f>
        <v>0</v>
      </c>
      <c r="G2118" s="72">
        <f>IF($D$3=JU!I2118,JU!K2118,0)</f>
        <v>0</v>
      </c>
      <c r="H2118" s="72" t="e">
        <f t="shared" si="33"/>
        <v>#REF!</v>
      </c>
    </row>
    <row r="2119" spans="2:8" hidden="1">
      <c r="B2119" s="68" t="str">
        <f>IF(OR($D$3=JU!$F2119,$D$3=JU!$I2119),JU!B2119,"")</f>
        <v/>
      </c>
      <c r="C2119" s="6" t="str">
        <f>IF(OR($D$3=JU!$F2119,$D$3=JU!$I2119),JU!C2119,"")</f>
        <v/>
      </c>
      <c r="D2119" s="73" t="str">
        <f>IF(OR($D$3=JU!$F2119,$D$3=JU!$I2119),JU!D2119,"")</f>
        <v/>
      </c>
      <c r="E2119" s="74" t="str">
        <f>IF(OR($D$3=JU!$F2119,$D$3=JU!$I2119),JU!E2119,"")</f>
        <v/>
      </c>
      <c r="F2119" s="72">
        <f>IF($D$3=JU!F2119,JU!H2119,0)</f>
        <v>0</v>
      </c>
      <c r="G2119" s="72">
        <f>IF($D$3=JU!I2119,JU!K2119,0)</f>
        <v>0</v>
      </c>
      <c r="H2119" s="72" t="e">
        <f t="shared" si="33"/>
        <v>#REF!</v>
      </c>
    </row>
    <row r="2120" spans="2:8" hidden="1">
      <c r="B2120" s="68" t="str">
        <f>IF(OR($D$3=JU!$F2120,$D$3=JU!$I2120),JU!B2120,"")</f>
        <v/>
      </c>
      <c r="C2120" s="6" t="str">
        <f>IF(OR($D$3=JU!$F2120,$D$3=JU!$I2120),JU!C2120,"")</f>
        <v/>
      </c>
      <c r="D2120" s="73" t="str">
        <f>IF(OR($D$3=JU!$F2120,$D$3=JU!$I2120),JU!D2120,"")</f>
        <v/>
      </c>
      <c r="E2120" s="74" t="str">
        <f>IF(OR($D$3=JU!$F2120,$D$3=JU!$I2120),JU!E2120,"")</f>
        <v/>
      </c>
      <c r="F2120" s="72">
        <f>IF($D$3=JU!F2120,JU!H2120,0)</f>
        <v>0</v>
      </c>
      <c r="G2120" s="72">
        <f>IF($D$3=JU!I2120,JU!K2120,0)</f>
        <v>0</v>
      </c>
      <c r="H2120" s="72" t="e">
        <f t="shared" si="33"/>
        <v>#REF!</v>
      </c>
    </row>
    <row r="2121" spans="2:8" hidden="1">
      <c r="B2121" s="68" t="str">
        <f>IF(OR($D$3=JU!$F2121,$D$3=JU!$I2121),JU!B2121,"")</f>
        <v/>
      </c>
      <c r="C2121" s="6" t="str">
        <f>IF(OR($D$3=JU!$F2121,$D$3=JU!$I2121),JU!C2121,"")</f>
        <v/>
      </c>
      <c r="D2121" s="73" t="str">
        <f>IF(OR($D$3=JU!$F2121,$D$3=JU!$I2121),JU!D2121,"")</f>
        <v/>
      </c>
      <c r="E2121" s="74" t="str">
        <f>IF(OR($D$3=JU!$F2121,$D$3=JU!$I2121),JU!E2121,"")</f>
        <v/>
      </c>
      <c r="F2121" s="72">
        <f>IF($D$3=JU!F2121,JU!H2121,0)</f>
        <v>0</v>
      </c>
      <c r="G2121" s="72">
        <f>IF($D$3=JU!I2121,JU!K2121,0)</f>
        <v>0</v>
      </c>
      <c r="H2121" s="72" t="e">
        <f t="shared" si="33"/>
        <v>#REF!</v>
      </c>
    </row>
    <row r="2122" spans="2:8" hidden="1">
      <c r="B2122" s="68" t="str">
        <f>IF(OR($D$3=JU!$F2122,$D$3=JU!$I2122),JU!B2122,"")</f>
        <v/>
      </c>
      <c r="C2122" s="6" t="str">
        <f>IF(OR($D$3=JU!$F2122,$D$3=JU!$I2122),JU!C2122,"")</f>
        <v/>
      </c>
      <c r="D2122" s="73" t="str">
        <f>IF(OR($D$3=JU!$F2122,$D$3=JU!$I2122),JU!D2122,"")</f>
        <v/>
      </c>
      <c r="E2122" s="74" t="str">
        <f>IF(OR($D$3=JU!$F2122,$D$3=JU!$I2122),JU!E2122,"")</f>
        <v/>
      </c>
      <c r="F2122" s="72">
        <f>IF($D$3=JU!F2122,JU!H2122,0)</f>
        <v>0</v>
      </c>
      <c r="G2122" s="72">
        <f>IF($D$3=JU!I2122,JU!K2122,0)</f>
        <v>0</v>
      </c>
      <c r="H2122" s="72" t="e">
        <f t="shared" si="33"/>
        <v>#REF!</v>
      </c>
    </row>
    <row r="2123" spans="2:8" hidden="1">
      <c r="B2123" s="68" t="str">
        <f>IF(OR($D$3=JU!$F2123,$D$3=JU!$I2123),JU!B2123,"")</f>
        <v/>
      </c>
      <c r="C2123" s="6" t="str">
        <f>IF(OR($D$3=JU!$F2123,$D$3=JU!$I2123),JU!C2123,"")</f>
        <v/>
      </c>
      <c r="D2123" s="73" t="str">
        <f>IF(OR($D$3=JU!$F2123,$D$3=JU!$I2123),JU!D2123,"")</f>
        <v/>
      </c>
      <c r="E2123" s="74" t="str">
        <f>IF(OR($D$3=JU!$F2123,$D$3=JU!$I2123),JU!E2123,"")</f>
        <v/>
      </c>
      <c r="F2123" s="72">
        <f>IF($D$3=JU!F2123,JU!H2123,0)</f>
        <v>0</v>
      </c>
      <c r="G2123" s="72">
        <f>IF($D$3=JU!I2123,JU!K2123,0)</f>
        <v>0</v>
      </c>
      <c r="H2123" s="72" t="e">
        <f t="shared" si="33"/>
        <v>#REF!</v>
      </c>
    </row>
    <row r="2124" spans="2:8" hidden="1">
      <c r="B2124" s="68" t="str">
        <f>IF(OR($D$3=JU!$F2124,$D$3=JU!$I2124),JU!B2124,"")</f>
        <v/>
      </c>
      <c r="C2124" s="6" t="str">
        <f>IF(OR($D$3=JU!$F2124,$D$3=JU!$I2124),JU!C2124,"")</f>
        <v/>
      </c>
      <c r="D2124" s="73" t="str">
        <f>IF(OR($D$3=JU!$F2124,$D$3=JU!$I2124),JU!D2124,"")</f>
        <v/>
      </c>
      <c r="E2124" s="74" t="str">
        <f>IF(OR($D$3=JU!$F2124,$D$3=JU!$I2124),JU!E2124,"")</f>
        <v/>
      </c>
      <c r="F2124" s="72">
        <f>IF($D$3=JU!F2124,JU!H2124,0)</f>
        <v>0</v>
      </c>
      <c r="G2124" s="72">
        <f>IF($D$3=JU!I2124,JU!K2124,0)</f>
        <v>0</v>
      </c>
      <c r="H2124" s="72" t="e">
        <f t="shared" si="33"/>
        <v>#REF!</v>
      </c>
    </row>
    <row r="2125" spans="2:8" hidden="1">
      <c r="B2125" s="68" t="str">
        <f>IF(OR($D$3=JU!$F2125,$D$3=JU!$I2125),JU!B2125,"")</f>
        <v/>
      </c>
      <c r="C2125" s="6" t="str">
        <f>IF(OR($D$3=JU!$F2125,$D$3=JU!$I2125),JU!C2125,"")</f>
        <v/>
      </c>
      <c r="D2125" s="73" t="str">
        <f>IF(OR($D$3=JU!$F2125,$D$3=JU!$I2125),JU!D2125,"")</f>
        <v/>
      </c>
      <c r="E2125" s="74" t="str">
        <f>IF(OR($D$3=JU!$F2125,$D$3=JU!$I2125),JU!E2125,"")</f>
        <v/>
      </c>
      <c r="F2125" s="72">
        <f>IF($D$3=JU!F2125,JU!H2125,0)</f>
        <v>0</v>
      </c>
      <c r="G2125" s="72">
        <f>IF($D$3=JU!I2125,JU!K2125,0)</f>
        <v>0</v>
      </c>
      <c r="H2125" s="72" t="e">
        <f t="shared" si="33"/>
        <v>#REF!</v>
      </c>
    </row>
    <row r="2126" spans="2:8" hidden="1">
      <c r="B2126" s="68" t="str">
        <f>IF(OR($D$3=JU!$F2126,$D$3=JU!$I2126),JU!B2126,"")</f>
        <v/>
      </c>
      <c r="C2126" s="6" t="str">
        <f>IF(OR($D$3=JU!$F2126,$D$3=JU!$I2126),JU!C2126,"")</f>
        <v/>
      </c>
      <c r="D2126" s="73" t="str">
        <f>IF(OR($D$3=JU!$F2126,$D$3=JU!$I2126),JU!D2126,"")</f>
        <v/>
      </c>
      <c r="E2126" s="74" t="str">
        <f>IF(OR($D$3=JU!$F2126,$D$3=JU!$I2126),JU!E2126,"")</f>
        <v/>
      </c>
      <c r="F2126" s="72">
        <f>IF($D$3=JU!F2126,JU!H2126,0)</f>
        <v>0</v>
      </c>
      <c r="G2126" s="72">
        <f>IF($D$3=JU!I2126,JU!K2126,0)</f>
        <v>0</v>
      </c>
      <c r="H2126" s="72" t="e">
        <f t="shared" ref="H2126:H2189" si="34">IF($H$7="DEBET",H2125+F2126-G2126,H2125+G2126-F2126)</f>
        <v>#REF!</v>
      </c>
    </row>
    <row r="2127" spans="2:8" hidden="1">
      <c r="B2127" s="68" t="str">
        <f>IF(OR($D$3=JU!$F2127,$D$3=JU!$I2127),JU!B2127,"")</f>
        <v/>
      </c>
      <c r="C2127" s="6" t="str">
        <f>IF(OR($D$3=JU!$F2127,$D$3=JU!$I2127),JU!C2127,"")</f>
        <v/>
      </c>
      <c r="D2127" s="73" t="str">
        <f>IF(OR($D$3=JU!$F2127,$D$3=JU!$I2127),JU!D2127,"")</f>
        <v/>
      </c>
      <c r="E2127" s="74" t="str">
        <f>IF(OR($D$3=JU!$F2127,$D$3=JU!$I2127),JU!E2127,"")</f>
        <v/>
      </c>
      <c r="F2127" s="72">
        <f>IF($D$3=JU!F2127,JU!H2127,0)</f>
        <v>0</v>
      </c>
      <c r="G2127" s="72">
        <f>IF($D$3=JU!I2127,JU!K2127,0)</f>
        <v>0</v>
      </c>
      <c r="H2127" s="72" t="e">
        <f t="shared" si="34"/>
        <v>#REF!</v>
      </c>
    </row>
    <row r="2128" spans="2:8" hidden="1">
      <c r="B2128" s="68" t="str">
        <f>IF(OR($D$3=JU!$F2128,$D$3=JU!$I2128),JU!B2128,"")</f>
        <v/>
      </c>
      <c r="C2128" s="6" t="str">
        <f>IF(OR($D$3=JU!$F2128,$D$3=JU!$I2128),JU!C2128,"")</f>
        <v/>
      </c>
      <c r="D2128" s="73" t="str">
        <f>IF(OR($D$3=JU!$F2128,$D$3=JU!$I2128),JU!D2128,"")</f>
        <v/>
      </c>
      <c r="E2128" s="74" t="str">
        <f>IF(OR($D$3=JU!$F2128,$D$3=JU!$I2128),JU!E2128,"")</f>
        <v/>
      </c>
      <c r="F2128" s="72">
        <f>IF($D$3=JU!F2128,JU!H2128,0)</f>
        <v>0</v>
      </c>
      <c r="G2128" s="72">
        <f>IF($D$3=JU!I2128,JU!K2128,0)</f>
        <v>0</v>
      </c>
      <c r="H2128" s="72" t="e">
        <f t="shared" si="34"/>
        <v>#REF!</v>
      </c>
    </row>
    <row r="2129" spans="2:8" hidden="1">
      <c r="B2129" s="68" t="str">
        <f>IF(OR($D$3=JU!$F2129,$D$3=JU!$I2129),JU!B2129,"")</f>
        <v/>
      </c>
      <c r="C2129" s="6" t="str">
        <f>IF(OR($D$3=JU!$F2129,$D$3=JU!$I2129),JU!C2129,"")</f>
        <v/>
      </c>
      <c r="D2129" s="73" t="str">
        <f>IF(OR($D$3=JU!$F2129,$D$3=JU!$I2129),JU!D2129,"")</f>
        <v/>
      </c>
      <c r="E2129" s="74" t="str">
        <f>IF(OR($D$3=JU!$F2129,$D$3=JU!$I2129),JU!E2129,"")</f>
        <v/>
      </c>
      <c r="F2129" s="72">
        <f>IF($D$3=JU!F2129,JU!H2129,0)</f>
        <v>0</v>
      </c>
      <c r="G2129" s="72">
        <f>IF($D$3=JU!I2129,JU!K2129,0)</f>
        <v>0</v>
      </c>
      <c r="H2129" s="72" t="e">
        <f t="shared" si="34"/>
        <v>#REF!</v>
      </c>
    </row>
    <row r="2130" spans="2:8" hidden="1">
      <c r="B2130" s="68" t="str">
        <f>IF(OR($D$3=JU!$F2130,$D$3=JU!$I2130),JU!B2130,"")</f>
        <v/>
      </c>
      <c r="C2130" s="6" t="str">
        <f>IF(OR($D$3=JU!$F2130,$D$3=JU!$I2130),JU!C2130,"")</f>
        <v/>
      </c>
      <c r="D2130" s="73" t="str">
        <f>IF(OR($D$3=JU!$F2130,$D$3=JU!$I2130),JU!D2130,"")</f>
        <v/>
      </c>
      <c r="E2130" s="74" t="str">
        <f>IF(OR($D$3=JU!$F2130,$D$3=JU!$I2130),JU!E2130,"")</f>
        <v/>
      </c>
      <c r="F2130" s="72">
        <f>IF($D$3=JU!F2130,JU!H2130,0)</f>
        <v>0</v>
      </c>
      <c r="G2130" s="72">
        <f>IF($D$3=JU!I2130,JU!K2130,0)</f>
        <v>0</v>
      </c>
      <c r="H2130" s="72" t="e">
        <f t="shared" si="34"/>
        <v>#REF!</v>
      </c>
    </row>
    <row r="2131" spans="2:8" hidden="1">
      <c r="B2131" s="68" t="str">
        <f>IF(OR($D$3=JU!$F2131,$D$3=JU!$I2131),JU!B2131,"")</f>
        <v/>
      </c>
      <c r="C2131" s="6" t="str">
        <f>IF(OR($D$3=JU!$F2131,$D$3=JU!$I2131),JU!C2131,"")</f>
        <v/>
      </c>
      <c r="D2131" s="73" t="str">
        <f>IF(OR($D$3=JU!$F2131,$D$3=JU!$I2131),JU!D2131,"")</f>
        <v/>
      </c>
      <c r="E2131" s="74" t="str">
        <f>IF(OR($D$3=JU!$F2131,$D$3=JU!$I2131),JU!E2131,"")</f>
        <v/>
      </c>
      <c r="F2131" s="72">
        <f>IF($D$3=JU!F2131,JU!H2131,0)</f>
        <v>0</v>
      </c>
      <c r="G2131" s="72">
        <f>IF($D$3=JU!I2131,JU!K2131,0)</f>
        <v>0</v>
      </c>
      <c r="H2131" s="72" t="e">
        <f t="shared" si="34"/>
        <v>#REF!</v>
      </c>
    </row>
    <row r="2132" spans="2:8" hidden="1">
      <c r="B2132" s="68" t="str">
        <f>IF(OR($D$3=JU!$F2132,$D$3=JU!$I2132),JU!B2132,"")</f>
        <v/>
      </c>
      <c r="C2132" s="6" t="str">
        <f>IF(OR($D$3=JU!$F2132,$D$3=JU!$I2132),JU!C2132,"")</f>
        <v/>
      </c>
      <c r="D2132" s="73" t="str">
        <f>IF(OR($D$3=JU!$F2132,$D$3=JU!$I2132),JU!D2132,"")</f>
        <v/>
      </c>
      <c r="E2132" s="74" t="str">
        <f>IF(OR($D$3=JU!$F2132,$D$3=JU!$I2132),JU!E2132,"")</f>
        <v/>
      </c>
      <c r="F2132" s="72">
        <f>IF($D$3=JU!F2132,JU!H2132,0)</f>
        <v>0</v>
      </c>
      <c r="G2132" s="72">
        <f>IF($D$3=JU!I2132,JU!K2132,0)</f>
        <v>0</v>
      </c>
      <c r="H2132" s="72" t="e">
        <f t="shared" si="34"/>
        <v>#REF!</v>
      </c>
    </row>
    <row r="2133" spans="2:8" hidden="1">
      <c r="B2133" s="68" t="str">
        <f>IF(OR($D$3=JU!$F2133,$D$3=JU!$I2133),JU!B2133,"")</f>
        <v/>
      </c>
      <c r="C2133" s="6" t="str">
        <f>IF(OR($D$3=JU!$F2133,$D$3=JU!$I2133),JU!C2133,"")</f>
        <v/>
      </c>
      <c r="D2133" s="73" t="str">
        <f>IF(OR($D$3=JU!$F2133,$D$3=JU!$I2133),JU!D2133,"")</f>
        <v/>
      </c>
      <c r="E2133" s="74" t="str">
        <f>IF(OR($D$3=JU!$F2133,$D$3=JU!$I2133),JU!E2133,"")</f>
        <v/>
      </c>
      <c r="F2133" s="72">
        <f>IF($D$3=JU!F2133,JU!H2133,0)</f>
        <v>0</v>
      </c>
      <c r="G2133" s="72">
        <f>IF($D$3=JU!I2133,JU!K2133,0)</f>
        <v>0</v>
      </c>
      <c r="H2133" s="72" t="e">
        <f t="shared" si="34"/>
        <v>#REF!</v>
      </c>
    </row>
    <row r="2134" spans="2:8" hidden="1">
      <c r="B2134" s="68" t="str">
        <f>IF(OR($D$3=JU!$F2134,$D$3=JU!$I2134),JU!B2134,"")</f>
        <v/>
      </c>
      <c r="C2134" s="6" t="str">
        <f>IF(OR($D$3=JU!$F2134,$D$3=JU!$I2134),JU!C2134,"")</f>
        <v/>
      </c>
      <c r="D2134" s="73" t="str">
        <f>IF(OR($D$3=JU!$F2134,$D$3=JU!$I2134),JU!D2134,"")</f>
        <v/>
      </c>
      <c r="E2134" s="74" t="str">
        <f>IF(OR($D$3=JU!$F2134,$D$3=JU!$I2134),JU!E2134,"")</f>
        <v/>
      </c>
      <c r="F2134" s="72">
        <f>IF($D$3=JU!F2134,JU!H2134,0)</f>
        <v>0</v>
      </c>
      <c r="G2134" s="72">
        <f>IF($D$3=JU!I2134,JU!K2134,0)</f>
        <v>0</v>
      </c>
      <c r="H2134" s="72" t="e">
        <f t="shared" si="34"/>
        <v>#REF!</v>
      </c>
    </row>
    <row r="2135" spans="2:8" hidden="1">
      <c r="B2135" s="68" t="str">
        <f>IF(OR($D$3=JU!$F2135,$D$3=JU!$I2135),JU!B2135,"")</f>
        <v/>
      </c>
      <c r="C2135" s="6" t="str">
        <f>IF(OR($D$3=JU!$F2135,$D$3=JU!$I2135),JU!C2135,"")</f>
        <v/>
      </c>
      <c r="D2135" s="73" t="str">
        <f>IF(OR($D$3=JU!$F2135,$D$3=JU!$I2135),JU!D2135,"")</f>
        <v/>
      </c>
      <c r="E2135" s="74" t="str">
        <f>IF(OR($D$3=JU!$F2135,$D$3=JU!$I2135),JU!E2135,"")</f>
        <v/>
      </c>
      <c r="F2135" s="72">
        <f>IF($D$3=JU!F2135,JU!H2135,0)</f>
        <v>0</v>
      </c>
      <c r="G2135" s="72">
        <f>IF($D$3=JU!I2135,JU!K2135,0)</f>
        <v>0</v>
      </c>
      <c r="H2135" s="72" t="e">
        <f t="shared" si="34"/>
        <v>#REF!</v>
      </c>
    </row>
    <row r="2136" spans="2:8" hidden="1">
      <c r="B2136" s="68" t="str">
        <f>IF(OR($D$3=JU!$F2136,$D$3=JU!$I2136),JU!B2136,"")</f>
        <v/>
      </c>
      <c r="C2136" s="6" t="str">
        <f>IF(OR($D$3=JU!$F2136,$D$3=JU!$I2136),JU!C2136,"")</f>
        <v/>
      </c>
      <c r="D2136" s="73" t="str">
        <f>IF(OR($D$3=JU!$F2136,$D$3=JU!$I2136),JU!D2136,"")</f>
        <v/>
      </c>
      <c r="E2136" s="74" t="str">
        <f>IF(OR($D$3=JU!$F2136,$D$3=JU!$I2136),JU!E2136,"")</f>
        <v/>
      </c>
      <c r="F2136" s="72">
        <f>IF($D$3=JU!F2136,JU!H2136,0)</f>
        <v>0</v>
      </c>
      <c r="G2136" s="72">
        <f>IF($D$3=JU!I2136,JU!K2136,0)</f>
        <v>0</v>
      </c>
      <c r="H2136" s="72" t="e">
        <f t="shared" si="34"/>
        <v>#REF!</v>
      </c>
    </row>
    <row r="2137" spans="2:8" hidden="1">
      <c r="B2137" s="68" t="str">
        <f>IF(OR($D$3=JU!$F2137,$D$3=JU!$I2137),JU!B2137,"")</f>
        <v/>
      </c>
      <c r="C2137" s="6" t="str">
        <f>IF(OR($D$3=JU!$F2137,$D$3=JU!$I2137),JU!C2137,"")</f>
        <v/>
      </c>
      <c r="D2137" s="73" t="str">
        <f>IF(OR($D$3=JU!$F2137,$D$3=JU!$I2137),JU!D2137,"")</f>
        <v/>
      </c>
      <c r="E2137" s="74" t="str">
        <f>IF(OR($D$3=JU!$F2137,$D$3=JU!$I2137),JU!E2137,"")</f>
        <v/>
      </c>
      <c r="F2137" s="72">
        <f>IF($D$3=JU!F2137,JU!H2137,0)</f>
        <v>0</v>
      </c>
      <c r="G2137" s="72">
        <f>IF($D$3=JU!I2137,JU!K2137,0)</f>
        <v>0</v>
      </c>
      <c r="H2137" s="72" t="e">
        <f t="shared" si="34"/>
        <v>#REF!</v>
      </c>
    </row>
    <row r="2138" spans="2:8" hidden="1">
      <c r="B2138" s="68" t="str">
        <f>IF(OR($D$3=JU!$F2138,$D$3=JU!$I2138),JU!B2138,"")</f>
        <v/>
      </c>
      <c r="C2138" s="6" t="str">
        <f>IF(OR($D$3=JU!$F2138,$D$3=JU!$I2138),JU!C2138,"")</f>
        <v/>
      </c>
      <c r="D2138" s="73" t="str">
        <f>IF(OR($D$3=JU!$F2138,$D$3=JU!$I2138),JU!D2138,"")</f>
        <v/>
      </c>
      <c r="E2138" s="74" t="str">
        <f>IF(OR($D$3=JU!$F2138,$D$3=JU!$I2138),JU!E2138,"")</f>
        <v/>
      </c>
      <c r="F2138" s="72">
        <f>IF($D$3=JU!F2138,JU!H2138,0)</f>
        <v>0</v>
      </c>
      <c r="G2138" s="72">
        <f>IF($D$3=JU!I2138,JU!K2138,0)</f>
        <v>0</v>
      </c>
      <c r="H2138" s="72" t="e">
        <f t="shared" si="34"/>
        <v>#REF!</v>
      </c>
    </row>
    <row r="2139" spans="2:8" hidden="1">
      <c r="B2139" s="68" t="str">
        <f>IF(OR($D$3=JU!$F2139,$D$3=JU!$I2139),JU!B2139,"")</f>
        <v/>
      </c>
      <c r="C2139" s="6" t="str">
        <f>IF(OR($D$3=JU!$F2139,$D$3=JU!$I2139),JU!C2139,"")</f>
        <v/>
      </c>
      <c r="D2139" s="73" t="str">
        <f>IF(OR($D$3=JU!$F2139,$D$3=JU!$I2139),JU!D2139,"")</f>
        <v/>
      </c>
      <c r="E2139" s="74" t="str">
        <f>IF(OR($D$3=JU!$F2139,$D$3=JU!$I2139),JU!E2139,"")</f>
        <v/>
      </c>
      <c r="F2139" s="72">
        <f>IF($D$3=JU!F2139,JU!H2139,0)</f>
        <v>0</v>
      </c>
      <c r="G2139" s="72">
        <f>IF($D$3=JU!I2139,JU!K2139,0)</f>
        <v>0</v>
      </c>
      <c r="H2139" s="72" t="e">
        <f t="shared" si="34"/>
        <v>#REF!</v>
      </c>
    </row>
    <row r="2140" spans="2:8" hidden="1">
      <c r="B2140" s="68" t="str">
        <f>IF(OR($D$3=JU!$F2140,$D$3=JU!$I2140),JU!B2140,"")</f>
        <v/>
      </c>
      <c r="C2140" s="6" t="str">
        <f>IF(OR($D$3=JU!$F2140,$D$3=JU!$I2140),JU!C2140,"")</f>
        <v/>
      </c>
      <c r="D2140" s="73" t="str">
        <f>IF(OR($D$3=JU!$F2140,$D$3=JU!$I2140),JU!D2140,"")</f>
        <v/>
      </c>
      <c r="E2140" s="74" t="str">
        <f>IF(OR($D$3=JU!$F2140,$D$3=JU!$I2140),JU!E2140,"")</f>
        <v/>
      </c>
      <c r="F2140" s="72">
        <f>IF($D$3=JU!F2140,JU!H2140,0)</f>
        <v>0</v>
      </c>
      <c r="G2140" s="72">
        <f>IF($D$3=JU!I2140,JU!K2140,0)</f>
        <v>0</v>
      </c>
      <c r="H2140" s="72" t="e">
        <f t="shared" si="34"/>
        <v>#REF!</v>
      </c>
    </row>
    <row r="2141" spans="2:8" hidden="1">
      <c r="B2141" s="68" t="str">
        <f>IF(OR($D$3=JU!$F2141,$D$3=JU!$I2141),JU!B2141,"")</f>
        <v/>
      </c>
      <c r="C2141" s="6" t="str">
        <f>IF(OR($D$3=JU!$F2141,$D$3=JU!$I2141),JU!C2141,"")</f>
        <v/>
      </c>
      <c r="D2141" s="73" t="str">
        <f>IF(OR($D$3=JU!$F2141,$D$3=JU!$I2141),JU!D2141,"")</f>
        <v/>
      </c>
      <c r="E2141" s="74" t="str">
        <f>IF(OR($D$3=JU!$F2141,$D$3=JU!$I2141),JU!E2141,"")</f>
        <v/>
      </c>
      <c r="F2141" s="72">
        <f>IF($D$3=JU!F2141,JU!H2141,0)</f>
        <v>0</v>
      </c>
      <c r="G2141" s="72">
        <f>IF($D$3=JU!I2141,JU!K2141,0)</f>
        <v>0</v>
      </c>
      <c r="H2141" s="72" t="e">
        <f t="shared" si="34"/>
        <v>#REF!</v>
      </c>
    </row>
    <row r="2142" spans="2:8" hidden="1">
      <c r="B2142" s="68" t="str">
        <f>IF(OR($D$3=JU!$F2142,$D$3=JU!$I2142),JU!B2142,"")</f>
        <v/>
      </c>
      <c r="C2142" s="6" t="str">
        <f>IF(OR($D$3=JU!$F2142,$D$3=JU!$I2142),JU!C2142,"")</f>
        <v/>
      </c>
      <c r="D2142" s="73" t="str">
        <f>IF(OR($D$3=JU!$F2142,$D$3=JU!$I2142),JU!D2142,"")</f>
        <v/>
      </c>
      <c r="E2142" s="74" t="str">
        <f>IF(OR($D$3=JU!$F2142,$D$3=JU!$I2142),JU!E2142,"")</f>
        <v/>
      </c>
      <c r="F2142" s="72">
        <f>IF($D$3=JU!F2142,JU!H2142,0)</f>
        <v>0</v>
      </c>
      <c r="G2142" s="72">
        <f>IF($D$3=JU!I2142,JU!K2142,0)</f>
        <v>0</v>
      </c>
      <c r="H2142" s="72" t="e">
        <f t="shared" si="34"/>
        <v>#REF!</v>
      </c>
    </row>
    <row r="2143" spans="2:8" hidden="1">
      <c r="B2143" s="68" t="str">
        <f>IF(OR($D$3=JU!$F2143,$D$3=JU!$I2143),JU!B2143,"")</f>
        <v/>
      </c>
      <c r="C2143" s="6" t="str">
        <f>IF(OR($D$3=JU!$F2143,$D$3=JU!$I2143),JU!C2143,"")</f>
        <v/>
      </c>
      <c r="D2143" s="73" t="str">
        <f>IF(OR($D$3=JU!$F2143,$D$3=JU!$I2143),JU!D2143,"")</f>
        <v/>
      </c>
      <c r="E2143" s="74" t="str">
        <f>IF(OR($D$3=JU!$F2143,$D$3=JU!$I2143),JU!E2143,"")</f>
        <v/>
      </c>
      <c r="F2143" s="72">
        <f>IF($D$3=JU!F2143,JU!H2143,0)</f>
        <v>0</v>
      </c>
      <c r="G2143" s="72">
        <f>IF($D$3=JU!I2143,JU!K2143,0)</f>
        <v>0</v>
      </c>
      <c r="H2143" s="72" t="e">
        <f t="shared" si="34"/>
        <v>#REF!</v>
      </c>
    </row>
    <row r="2144" spans="2:8" hidden="1">
      <c r="B2144" s="68" t="str">
        <f>IF(OR($D$3=JU!$F2144,$D$3=JU!$I2144),JU!B2144,"")</f>
        <v/>
      </c>
      <c r="C2144" s="6" t="str">
        <f>IF(OR($D$3=JU!$F2144,$D$3=JU!$I2144),JU!C2144,"")</f>
        <v/>
      </c>
      <c r="D2144" s="73" t="str">
        <f>IF(OR($D$3=JU!$F2144,$D$3=JU!$I2144),JU!D2144,"")</f>
        <v/>
      </c>
      <c r="E2144" s="74" t="str">
        <f>IF(OR($D$3=JU!$F2144,$D$3=JU!$I2144),JU!E2144,"")</f>
        <v/>
      </c>
      <c r="F2144" s="72">
        <f>IF($D$3=JU!F2144,JU!H2144,0)</f>
        <v>0</v>
      </c>
      <c r="G2144" s="72">
        <f>IF($D$3=JU!I2144,JU!K2144,0)</f>
        <v>0</v>
      </c>
      <c r="H2144" s="72" t="e">
        <f t="shared" si="34"/>
        <v>#REF!</v>
      </c>
    </row>
    <row r="2145" spans="2:8" hidden="1">
      <c r="B2145" s="68" t="str">
        <f>IF(OR($D$3=JU!$F2145,$D$3=JU!$I2145),JU!B2145,"")</f>
        <v/>
      </c>
      <c r="C2145" s="6" t="str">
        <f>IF(OR($D$3=JU!$F2145,$D$3=JU!$I2145),JU!C2145,"")</f>
        <v/>
      </c>
      <c r="D2145" s="73" t="str">
        <f>IF(OR($D$3=JU!$F2145,$D$3=JU!$I2145),JU!D2145,"")</f>
        <v/>
      </c>
      <c r="E2145" s="74" t="str">
        <f>IF(OR($D$3=JU!$F2145,$D$3=JU!$I2145),JU!E2145,"")</f>
        <v/>
      </c>
      <c r="F2145" s="72">
        <f>IF($D$3=JU!F2145,JU!H2145,0)</f>
        <v>0</v>
      </c>
      <c r="G2145" s="72">
        <f>IF($D$3=JU!I2145,JU!K2145,0)</f>
        <v>0</v>
      </c>
      <c r="H2145" s="72" t="e">
        <f t="shared" si="34"/>
        <v>#REF!</v>
      </c>
    </row>
    <row r="2146" spans="2:8" hidden="1">
      <c r="B2146" s="68" t="str">
        <f>IF(OR($D$3=JU!$F2146,$D$3=JU!$I2146),JU!B2146,"")</f>
        <v/>
      </c>
      <c r="C2146" s="6" t="str">
        <f>IF(OR($D$3=JU!$F2146,$D$3=JU!$I2146),JU!C2146,"")</f>
        <v/>
      </c>
      <c r="D2146" s="73" t="str">
        <f>IF(OR($D$3=JU!$F2146,$D$3=JU!$I2146),JU!D2146,"")</f>
        <v/>
      </c>
      <c r="E2146" s="74" t="str">
        <f>IF(OR($D$3=JU!$F2146,$D$3=JU!$I2146),JU!E2146,"")</f>
        <v/>
      </c>
      <c r="F2146" s="72">
        <f>IF($D$3=JU!F2146,JU!H2146,0)</f>
        <v>0</v>
      </c>
      <c r="G2146" s="72">
        <f>IF($D$3=JU!I2146,JU!K2146,0)</f>
        <v>0</v>
      </c>
      <c r="H2146" s="72" t="e">
        <f t="shared" si="34"/>
        <v>#REF!</v>
      </c>
    </row>
    <row r="2147" spans="2:8" hidden="1">
      <c r="B2147" s="68" t="str">
        <f>IF(OR($D$3=JU!$F2147,$D$3=JU!$I2147),JU!B2147,"")</f>
        <v/>
      </c>
      <c r="C2147" s="6" t="str">
        <f>IF(OR($D$3=JU!$F2147,$D$3=JU!$I2147),JU!C2147,"")</f>
        <v/>
      </c>
      <c r="D2147" s="73" t="str">
        <f>IF(OR($D$3=JU!$F2147,$D$3=JU!$I2147),JU!D2147,"")</f>
        <v/>
      </c>
      <c r="E2147" s="74" t="str">
        <f>IF(OR($D$3=JU!$F2147,$D$3=JU!$I2147),JU!E2147,"")</f>
        <v/>
      </c>
      <c r="F2147" s="72">
        <f>IF($D$3=JU!F2147,JU!H2147,0)</f>
        <v>0</v>
      </c>
      <c r="G2147" s="72">
        <f>IF($D$3=JU!I2147,JU!K2147,0)</f>
        <v>0</v>
      </c>
      <c r="H2147" s="72" t="e">
        <f t="shared" si="34"/>
        <v>#REF!</v>
      </c>
    </row>
    <row r="2148" spans="2:8" hidden="1">
      <c r="B2148" s="68" t="str">
        <f>IF(OR($D$3=JU!$F2148,$D$3=JU!$I2148),JU!B2148,"")</f>
        <v/>
      </c>
      <c r="C2148" s="6" t="str">
        <f>IF(OR($D$3=JU!$F2148,$D$3=JU!$I2148),JU!C2148,"")</f>
        <v/>
      </c>
      <c r="D2148" s="73" t="str">
        <f>IF(OR($D$3=JU!$F2148,$D$3=JU!$I2148),JU!D2148,"")</f>
        <v/>
      </c>
      <c r="E2148" s="74" t="str">
        <f>IF(OR($D$3=JU!$F2148,$D$3=JU!$I2148),JU!E2148,"")</f>
        <v/>
      </c>
      <c r="F2148" s="72">
        <f>IF($D$3=JU!F2148,JU!H2148,0)</f>
        <v>0</v>
      </c>
      <c r="G2148" s="72">
        <f>IF($D$3=JU!I2148,JU!K2148,0)</f>
        <v>0</v>
      </c>
      <c r="H2148" s="72" t="e">
        <f t="shared" si="34"/>
        <v>#REF!</v>
      </c>
    </row>
    <row r="2149" spans="2:8" hidden="1">
      <c r="B2149" s="68" t="str">
        <f>IF(OR($D$3=JU!$F2149,$D$3=JU!$I2149),JU!B2149,"")</f>
        <v/>
      </c>
      <c r="C2149" s="6" t="str">
        <f>IF(OR($D$3=JU!$F2149,$D$3=JU!$I2149),JU!C2149,"")</f>
        <v/>
      </c>
      <c r="D2149" s="73" t="str">
        <f>IF(OR($D$3=JU!$F2149,$D$3=JU!$I2149),JU!D2149,"")</f>
        <v/>
      </c>
      <c r="E2149" s="74" t="str">
        <f>IF(OR($D$3=JU!$F2149,$D$3=JU!$I2149),JU!E2149,"")</f>
        <v/>
      </c>
      <c r="F2149" s="72">
        <f>IF($D$3=JU!F2149,JU!H2149,0)</f>
        <v>0</v>
      </c>
      <c r="G2149" s="72">
        <f>IF($D$3=JU!I2149,JU!K2149,0)</f>
        <v>0</v>
      </c>
      <c r="H2149" s="72" t="e">
        <f t="shared" si="34"/>
        <v>#REF!</v>
      </c>
    </row>
    <row r="2150" spans="2:8" hidden="1">
      <c r="B2150" s="68" t="str">
        <f>IF(OR($D$3=JU!$F2150,$D$3=JU!$I2150),JU!B2150,"")</f>
        <v/>
      </c>
      <c r="C2150" s="6" t="str">
        <f>IF(OR($D$3=JU!$F2150,$D$3=JU!$I2150),JU!C2150,"")</f>
        <v/>
      </c>
      <c r="D2150" s="73" t="str">
        <f>IF(OR($D$3=JU!$F2150,$D$3=JU!$I2150),JU!D2150,"")</f>
        <v/>
      </c>
      <c r="E2150" s="74" t="str">
        <f>IF(OR($D$3=JU!$F2150,$D$3=JU!$I2150),JU!E2150,"")</f>
        <v/>
      </c>
      <c r="F2150" s="72">
        <f>IF($D$3=JU!F2150,JU!H2150,0)</f>
        <v>0</v>
      </c>
      <c r="G2150" s="72">
        <f>IF($D$3=JU!I2150,JU!K2150,0)</f>
        <v>0</v>
      </c>
      <c r="H2150" s="72" t="e">
        <f t="shared" si="34"/>
        <v>#REF!</v>
      </c>
    </row>
    <row r="2151" spans="2:8" hidden="1">
      <c r="B2151" s="68" t="str">
        <f>IF(OR($D$3=JU!$F2151,$D$3=JU!$I2151),JU!B2151,"")</f>
        <v/>
      </c>
      <c r="C2151" s="6" t="str">
        <f>IF(OR($D$3=JU!$F2151,$D$3=JU!$I2151),JU!C2151,"")</f>
        <v/>
      </c>
      <c r="D2151" s="73" t="str">
        <f>IF(OR($D$3=JU!$F2151,$D$3=JU!$I2151),JU!D2151,"")</f>
        <v/>
      </c>
      <c r="E2151" s="74" t="str">
        <f>IF(OR($D$3=JU!$F2151,$D$3=JU!$I2151),JU!E2151,"")</f>
        <v/>
      </c>
      <c r="F2151" s="72">
        <f>IF($D$3=JU!F2151,JU!H2151,0)</f>
        <v>0</v>
      </c>
      <c r="G2151" s="72">
        <f>IF($D$3=JU!I2151,JU!K2151,0)</f>
        <v>0</v>
      </c>
      <c r="H2151" s="72" t="e">
        <f t="shared" si="34"/>
        <v>#REF!</v>
      </c>
    </row>
    <row r="2152" spans="2:8" hidden="1">
      <c r="B2152" s="68" t="str">
        <f>IF(OR($D$3=JU!$F2152,$D$3=JU!$I2152),JU!B2152,"")</f>
        <v/>
      </c>
      <c r="C2152" s="6" t="str">
        <f>IF(OR($D$3=JU!$F2152,$D$3=JU!$I2152),JU!C2152,"")</f>
        <v/>
      </c>
      <c r="D2152" s="73" t="str">
        <f>IF(OR($D$3=JU!$F2152,$D$3=JU!$I2152),JU!D2152,"")</f>
        <v/>
      </c>
      <c r="E2152" s="74" t="str">
        <f>IF(OR($D$3=JU!$F2152,$D$3=JU!$I2152),JU!E2152,"")</f>
        <v/>
      </c>
      <c r="F2152" s="72">
        <f>IF($D$3=JU!F2152,JU!H2152,0)</f>
        <v>0</v>
      </c>
      <c r="G2152" s="72">
        <f>IF($D$3=JU!I2152,JU!K2152,0)</f>
        <v>0</v>
      </c>
      <c r="H2152" s="72" t="e">
        <f t="shared" si="34"/>
        <v>#REF!</v>
      </c>
    </row>
    <row r="2153" spans="2:8" hidden="1">
      <c r="B2153" s="68" t="str">
        <f>IF(OR($D$3=JU!$F2153,$D$3=JU!$I2153),JU!B2153,"")</f>
        <v/>
      </c>
      <c r="C2153" s="6" t="str">
        <f>IF(OR($D$3=JU!$F2153,$D$3=JU!$I2153),JU!C2153,"")</f>
        <v/>
      </c>
      <c r="D2153" s="73" t="str">
        <f>IF(OR($D$3=JU!$F2153,$D$3=JU!$I2153),JU!D2153,"")</f>
        <v/>
      </c>
      <c r="E2153" s="74" t="str">
        <f>IF(OR($D$3=JU!$F2153,$D$3=JU!$I2153),JU!E2153,"")</f>
        <v/>
      </c>
      <c r="F2153" s="72">
        <f>IF($D$3=JU!F2153,JU!H2153,0)</f>
        <v>0</v>
      </c>
      <c r="G2153" s="72">
        <f>IF($D$3=JU!I2153,JU!K2153,0)</f>
        <v>0</v>
      </c>
      <c r="H2153" s="72" t="e">
        <f t="shared" si="34"/>
        <v>#REF!</v>
      </c>
    </row>
    <row r="2154" spans="2:8" hidden="1">
      <c r="B2154" s="68" t="str">
        <f>IF(OR($D$3=JU!$F2154,$D$3=JU!$I2154),JU!B2154,"")</f>
        <v/>
      </c>
      <c r="C2154" s="6" t="str">
        <f>IF(OR($D$3=JU!$F2154,$D$3=JU!$I2154),JU!C2154,"")</f>
        <v/>
      </c>
      <c r="D2154" s="73" t="str">
        <f>IF(OR($D$3=JU!$F2154,$D$3=JU!$I2154),JU!D2154,"")</f>
        <v/>
      </c>
      <c r="E2154" s="74" t="str">
        <f>IF(OR($D$3=JU!$F2154,$D$3=JU!$I2154),JU!E2154,"")</f>
        <v/>
      </c>
      <c r="F2154" s="72">
        <f>IF($D$3=JU!F2154,JU!H2154,0)</f>
        <v>0</v>
      </c>
      <c r="G2154" s="72">
        <f>IF($D$3=JU!I2154,JU!K2154,0)</f>
        <v>0</v>
      </c>
      <c r="H2154" s="72" t="e">
        <f t="shared" si="34"/>
        <v>#REF!</v>
      </c>
    </row>
    <row r="2155" spans="2:8" hidden="1">
      <c r="B2155" s="68" t="str">
        <f>IF(OR($D$3=JU!$F2155,$D$3=JU!$I2155),JU!B2155,"")</f>
        <v/>
      </c>
      <c r="C2155" s="6" t="str">
        <f>IF(OR($D$3=JU!$F2155,$D$3=JU!$I2155),JU!C2155,"")</f>
        <v/>
      </c>
      <c r="D2155" s="73" t="str">
        <f>IF(OR($D$3=JU!$F2155,$D$3=JU!$I2155),JU!D2155,"")</f>
        <v/>
      </c>
      <c r="E2155" s="74" t="str">
        <f>IF(OR($D$3=JU!$F2155,$D$3=JU!$I2155),JU!E2155,"")</f>
        <v/>
      </c>
      <c r="F2155" s="72">
        <f>IF($D$3=JU!F2155,JU!H2155,0)</f>
        <v>0</v>
      </c>
      <c r="G2155" s="72">
        <f>IF($D$3=JU!I2155,JU!K2155,0)</f>
        <v>0</v>
      </c>
      <c r="H2155" s="72" t="e">
        <f t="shared" si="34"/>
        <v>#REF!</v>
      </c>
    </row>
    <row r="2156" spans="2:8" hidden="1">
      <c r="B2156" s="68" t="str">
        <f>IF(OR($D$3=JU!$F2156,$D$3=JU!$I2156),JU!B2156,"")</f>
        <v/>
      </c>
      <c r="C2156" s="6" t="str">
        <f>IF(OR($D$3=JU!$F2156,$D$3=JU!$I2156),JU!C2156,"")</f>
        <v/>
      </c>
      <c r="D2156" s="73" t="str">
        <f>IF(OR($D$3=JU!$F2156,$D$3=JU!$I2156),JU!D2156,"")</f>
        <v/>
      </c>
      <c r="E2156" s="74" t="str">
        <f>IF(OR($D$3=JU!$F2156,$D$3=JU!$I2156),JU!E2156,"")</f>
        <v/>
      </c>
      <c r="F2156" s="72">
        <f>IF($D$3=JU!F2156,JU!H2156,0)</f>
        <v>0</v>
      </c>
      <c r="G2156" s="72">
        <f>IF($D$3=JU!I2156,JU!K2156,0)</f>
        <v>0</v>
      </c>
      <c r="H2156" s="72" t="e">
        <f t="shared" si="34"/>
        <v>#REF!</v>
      </c>
    </row>
    <row r="2157" spans="2:8" hidden="1">
      <c r="B2157" s="68" t="str">
        <f>IF(OR($D$3=JU!$F2157,$D$3=JU!$I2157),JU!B2157,"")</f>
        <v/>
      </c>
      <c r="C2157" s="6" t="str">
        <f>IF(OR($D$3=JU!$F2157,$D$3=JU!$I2157),JU!C2157,"")</f>
        <v/>
      </c>
      <c r="D2157" s="73" t="str">
        <f>IF(OR($D$3=JU!$F2157,$D$3=JU!$I2157),JU!D2157,"")</f>
        <v/>
      </c>
      <c r="E2157" s="74" t="str">
        <f>IF(OR($D$3=JU!$F2157,$D$3=JU!$I2157),JU!E2157,"")</f>
        <v/>
      </c>
      <c r="F2157" s="72">
        <f>IF($D$3=JU!F2157,JU!H2157,0)</f>
        <v>0</v>
      </c>
      <c r="G2157" s="72">
        <f>IF($D$3=JU!I2157,JU!K2157,0)</f>
        <v>0</v>
      </c>
      <c r="H2157" s="72" t="e">
        <f t="shared" si="34"/>
        <v>#REF!</v>
      </c>
    </row>
    <row r="2158" spans="2:8" hidden="1">
      <c r="B2158" s="68" t="str">
        <f>IF(OR($D$3=JU!$F2158,$D$3=JU!$I2158),JU!B2158,"")</f>
        <v/>
      </c>
      <c r="C2158" s="6" t="str">
        <f>IF(OR($D$3=JU!$F2158,$D$3=JU!$I2158),JU!C2158,"")</f>
        <v/>
      </c>
      <c r="D2158" s="73" t="str">
        <f>IF(OR($D$3=JU!$F2158,$D$3=JU!$I2158),JU!D2158,"")</f>
        <v/>
      </c>
      <c r="E2158" s="74" t="str">
        <f>IF(OR($D$3=JU!$F2158,$D$3=JU!$I2158),JU!E2158,"")</f>
        <v/>
      </c>
      <c r="F2158" s="72">
        <f>IF($D$3=JU!F2158,JU!H2158,0)</f>
        <v>0</v>
      </c>
      <c r="G2158" s="72">
        <f>IF($D$3=JU!I2158,JU!K2158,0)</f>
        <v>0</v>
      </c>
      <c r="H2158" s="72" t="e">
        <f t="shared" si="34"/>
        <v>#REF!</v>
      </c>
    </row>
    <row r="2159" spans="2:8" hidden="1">
      <c r="B2159" s="68" t="str">
        <f>IF(OR($D$3=JU!$F2159,$D$3=JU!$I2159),JU!B2159,"")</f>
        <v/>
      </c>
      <c r="C2159" s="6" t="str">
        <f>IF(OR($D$3=JU!$F2159,$D$3=JU!$I2159),JU!C2159,"")</f>
        <v/>
      </c>
      <c r="D2159" s="73" t="str">
        <f>IF(OR($D$3=JU!$F2159,$D$3=JU!$I2159),JU!D2159,"")</f>
        <v/>
      </c>
      <c r="E2159" s="74" t="str">
        <f>IF(OR($D$3=JU!$F2159,$D$3=JU!$I2159),JU!E2159,"")</f>
        <v/>
      </c>
      <c r="F2159" s="72">
        <f>IF($D$3=JU!F2159,JU!H2159,0)</f>
        <v>0</v>
      </c>
      <c r="G2159" s="72">
        <f>IF($D$3=JU!I2159,JU!K2159,0)</f>
        <v>0</v>
      </c>
      <c r="H2159" s="72" t="e">
        <f t="shared" si="34"/>
        <v>#REF!</v>
      </c>
    </row>
    <row r="2160" spans="2:8" hidden="1">
      <c r="B2160" s="68" t="str">
        <f>IF(OR($D$3=JU!$F2160,$D$3=JU!$I2160),JU!B2160,"")</f>
        <v/>
      </c>
      <c r="C2160" s="6" t="str">
        <f>IF(OR($D$3=JU!$F2160,$D$3=JU!$I2160),JU!C2160,"")</f>
        <v/>
      </c>
      <c r="D2160" s="73" t="str">
        <f>IF(OR($D$3=JU!$F2160,$D$3=JU!$I2160),JU!D2160,"")</f>
        <v/>
      </c>
      <c r="E2160" s="74" t="str">
        <f>IF(OR($D$3=JU!$F2160,$D$3=JU!$I2160),JU!E2160,"")</f>
        <v/>
      </c>
      <c r="F2160" s="72">
        <f>IF($D$3=JU!F2160,JU!H2160,0)</f>
        <v>0</v>
      </c>
      <c r="G2160" s="72">
        <f>IF($D$3=JU!I2160,JU!K2160,0)</f>
        <v>0</v>
      </c>
      <c r="H2160" s="72" t="e">
        <f t="shared" si="34"/>
        <v>#REF!</v>
      </c>
    </row>
    <row r="2161" spans="2:8" hidden="1">
      <c r="B2161" s="68" t="str">
        <f>IF(OR($D$3=JU!$F2161,$D$3=JU!$I2161),JU!B2161,"")</f>
        <v/>
      </c>
      <c r="C2161" s="6" t="str">
        <f>IF(OR($D$3=JU!$F2161,$D$3=JU!$I2161),JU!C2161,"")</f>
        <v/>
      </c>
      <c r="D2161" s="73" t="str">
        <f>IF(OR($D$3=JU!$F2161,$D$3=JU!$I2161),JU!D2161,"")</f>
        <v/>
      </c>
      <c r="E2161" s="74" t="str">
        <f>IF(OR($D$3=JU!$F2161,$D$3=JU!$I2161),JU!E2161,"")</f>
        <v/>
      </c>
      <c r="F2161" s="72">
        <f>IF($D$3=JU!F2161,JU!H2161,0)</f>
        <v>0</v>
      </c>
      <c r="G2161" s="72">
        <f>IF($D$3=JU!I2161,JU!K2161,0)</f>
        <v>0</v>
      </c>
      <c r="H2161" s="72" t="e">
        <f t="shared" si="34"/>
        <v>#REF!</v>
      </c>
    </row>
    <row r="2162" spans="2:8" hidden="1">
      <c r="B2162" s="68" t="str">
        <f>IF(OR($D$3=JU!$F2162,$D$3=JU!$I2162),JU!B2162,"")</f>
        <v/>
      </c>
      <c r="C2162" s="6" t="str">
        <f>IF(OR($D$3=JU!$F2162,$D$3=JU!$I2162),JU!C2162,"")</f>
        <v/>
      </c>
      <c r="D2162" s="73" t="str">
        <f>IF(OR($D$3=JU!$F2162,$D$3=JU!$I2162),JU!D2162,"")</f>
        <v/>
      </c>
      <c r="E2162" s="74" t="str">
        <f>IF(OR($D$3=JU!$F2162,$D$3=JU!$I2162),JU!E2162,"")</f>
        <v/>
      </c>
      <c r="F2162" s="72">
        <f>IF($D$3=JU!F2162,JU!H2162,0)</f>
        <v>0</v>
      </c>
      <c r="G2162" s="72">
        <f>IF($D$3=JU!I2162,JU!K2162,0)</f>
        <v>0</v>
      </c>
      <c r="H2162" s="72" t="e">
        <f t="shared" si="34"/>
        <v>#REF!</v>
      </c>
    </row>
    <row r="2163" spans="2:8" hidden="1">
      <c r="B2163" s="68" t="str">
        <f>IF(OR($D$3=JU!$F2163,$D$3=JU!$I2163),JU!B2163,"")</f>
        <v/>
      </c>
      <c r="C2163" s="6" t="str">
        <f>IF(OR($D$3=JU!$F2163,$D$3=JU!$I2163),JU!C2163,"")</f>
        <v/>
      </c>
      <c r="D2163" s="73" t="str">
        <f>IF(OR($D$3=JU!$F2163,$D$3=JU!$I2163),JU!D2163,"")</f>
        <v/>
      </c>
      <c r="E2163" s="74" t="str">
        <f>IF(OR($D$3=JU!$F2163,$D$3=JU!$I2163),JU!E2163,"")</f>
        <v/>
      </c>
      <c r="F2163" s="72">
        <f>IF($D$3=JU!F2163,JU!H2163,0)</f>
        <v>0</v>
      </c>
      <c r="G2163" s="72">
        <f>IF($D$3=JU!I2163,JU!K2163,0)</f>
        <v>0</v>
      </c>
      <c r="H2163" s="72" t="e">
        <f t="shared" si="34"/>
        <v>#REF!</v>
      </c>
    </row>
    <row r="2164" spans="2:8" hidden="1">
      <c r="B2164" s="68" t="str">
        <f>IF(OR($D$3=JU!$F2164,$D$3=JU!$I2164),JU!B2164,"")</f>
        <v/>
      </c>
      <c r="C2164" s="6" t="str">
        <f>IF(OR($D$3=JU!$F2164,$D$3=JU!$I2164),JU!C2164,"")</f>
        <v/>
      </c>
      <c r="D2164" s="73" t="str">
        <f>IF(OR($D$3=JU!$F2164,$D$3=JU!$I2164),JU!D2164,"")</f>
        <v/>
      </c>
      <c r="E2164" s="74" t="str">
        <f>IF(OR($D$3=JU!$F2164,$D$3=JU!$I2164),JU!E2164,"")</f>
        <v/>
      </c>
      <c r="F2164" s="72">
        <f>IF($D$3=JU!F2164,JU!H2164,0)</f>
        <v>0</v>
      </c>
      <c r="G2164" s="72">
        <f>IF($D$3=JU!I2164,JU!K2164,0)</f>
        <v>0</v>
      </c>
      <c r="H2164" s="72" t="e">
        <f t="shared" si="34"/>
        <v>#REF!</v>
      </c>
    </row>
    <row r="2165" spans="2:8" hidden="1">
      <c r="B2165" s="68" t="str">
        <f>IF(OR($D$3=JU!$F2165,$D$3=JU!$I2165),JU!B2165,"")</f>
        <v/>
      </c>
      <c r="C2165" s="6" t="str">
        <f>IF(OR($D$3=JU!$F2165,$D$3=JU!$I2165),JU!C2165,"")</f>
        <v/>
      </c>
      <c r="D2165" s="73" t="str">
        <f>IF(OR($D$3=JU!$F2165,$D$3=JU!$I2165),JU!D2165,"")</f>
        <v/>
      </c>
      <c r="E2165" s="74" t="str">
        <f>IF(OR($D$3=JU!$F2165,$D$3=JU!$I2165),JU!E2165,"")</f>
        <v/>
      </c>
      <c r="F2165" s="72">
        <f>IF($D$3=JU!F2165,JU!H2165,0)</f>
        <v>0</v>
      </c>
      <c r="G2165" s="72">
        <f>IF($D$3=JU!I2165,JU!K2165,0)</f>
        <v>0</v>
      </c>
      <c r="H2165" s="72" t="e">
        <f t="shared" si="34"/>
        <v>#REF!</v>
      </c>
    </row>
    <row r="2166" spans="2:8" hidden="1">
      <c r="B2166" s="68" t="str">
        <f>IF(OR($D$3=JU!$F2166,$D$3=JU!$I2166),JU!B2166,"")</f>
        <v/>
      </c>
      <c r="C2166" s="6" t="str">
        <f>IF(OR($D$3=JU!$F2166,$D$3=JU!$I2166),JU!C2166,"")</f>
        <v/>
      </c>
      <c r="D2166" s="73" t="str">
        <f>IF(OR($D$3=JU!$F2166,$D$3=JU!$I2166),JU!D2166,"")</f>
        <v/>
      </c>
      <c r="E2166" s="74" t="str">
        <f>IF(OR($D$3=JU!$F2166,$D$3=JU!$I2166),JU!E2166,"")</f>
        <v/>
      </c>
      <c r="F2166" s="72">
        <f>IF($D$3=JU!F2166,JU!H2166,0)</f>
        <v>0</v>
      </c>
      <c r="G2166" s="72">
        <f>IF($D$3=JU!I2166,JU!K2166,0)</f>
        <v>0</v>
      </c>
      <c r="H2166" s="72" t="e">
        <f t="shared" si="34"/>
        <v>#REF!</v>
      </c>
    </row>
    <row r="2167" spans="2:8" hidden="1">
      <c r="B2167" s="68" t="str">
        <f>IF(OR($D$3=JU!$F2167,$D$3=JU!$I2167),JU!B2167,"")</f>
        <v/>
      </c>
      <c r="C2167" s="6" t="str">
        <f>IF(OR($D$3=JU!$F2167,$D$3=JU!$I2167),JU!C2167,"")</f>
        <v/>
      </c>
      <c r="D2167" s="73" t="str">
        <f>IF(OR($D$3=JU!$F2167,$D$3=JU!$I2167),JU!D2167,"")</f>
        <v/>
      </c>
      <c r="E2167" s="74" t="str">
        <f>IF(OR($D$3=JU!$F2167,$D$3=JU!$I2167),JU!E2167,"")</f>
        <v/>
      </c>
      <c r="F2167" s="72">
        <f>IF($D$3=JU!F2167,JU!H2167,0)</f>
        <v>0</v>
      </c>
      <c r="G2167" s="72">
        <f>IF($D$3=JU!I2167,JU!K2167,0)</f>
        <v>0</v>
      </c>
      <c r="H2167" s="72" t="e">
        <f t="shared" si="34"/>
        <v>#REF!</v>
      </c>
    </row>
    <row r="2168" spans="2:8" hidden="1">
      <c r="B2168" s="68" t="str">
        <f>IF(OR($D$3=JU!$F2168,$D$3=JU!$I2168),JU!B2168,"")</f>
        <v/>
      </c>
      <c r="C2168" s="6" t="str">
        <f>IF(OR($D$3=JU!$F2168,$D$3=JU!$I2168),JU!C2168,"")</f>
        <v/>
      </c>
      <c r="D2168" s="73" t="str">
        <f>IF(OR($D$3=JU!$F2168,$D$3=JU!$I2168),JU!D2168,"")</f>
        <v/>
      </c>
      <c r="E2168" s="74" t="str">
        <f>IF(OR($D$3=JU!$F2168,$D$3=JU!$I2168),JU!E2168,"")</f>
        <v/>
      </c>
      <c r="F2168" s="72">
        <f>IF($D$3=JU!F2168,JU!H2168,0)</f>
        <v>0</v>
      </c>
      <c r="G2168" s="72">
        <f>IF($D$3=JU!I2168,JU!K2168,0)</f>
        <v>0</v>
      </c>
      <c r="H2168" s="72" t="e">
        <f t="shared" si="34"/>
        <v>#REF!</v>
      </c>
    </row>
    <row r="2169" spans="2:8" hidden="1">
      <c r="B2169" s="68" t="str">
        <f>IF(OR($D$3=JU!$F2169,$D$3=JU!$I2169),JU!B2169,"")</f>
        <v/>
      </c>
      <c r="C2169" s="6" t="str">
        <f>IF(OR($D$3=JU!$F2169,$D$3=JU!$I2169),JU!C2169,"")</f>
        <v/>
      </c>
      <c r="D2169" s="73" t="str">
        <f>IF(OR($D$3=JU!$F2169,$D$3=JU!$I2169),JU!D2169,"")</f>
        <v/>
      </c>
      <c r="E2169" s="74" t="str">
        <f>IF(OR($D$3=JU!$F2169,$D$3=JU!$I2169),JU!E2169,"")</f>
        <v/>
      </c>
      <c r="F2169" s="72">
        <f>IF($D$3=JU!F2169,JU!H2169,0)</f>
        <v>0</v>
      </c>
      <c r="G2169" s="72">
        <f>IF($D$3=JU!I2169,JU!K2169,0)</f>
        <v>0</v>
      </c>
      <c r="H2169" s="72" t="e">
        <f t="shared" si="34"/>
        <v>#REF!</v>
      </c>
    </row>
    <row r="2170" spans="2:8" hidden="1">
      <c r="B2170" s="68" t="str">
        <f>IF(OR($D$3=JU!$F2170,$D$3=JU!$I2170),JU!B2170,"")</f>
        <v/>
      </c>
      <c r="C2170" s="6" t="str">
        <f>IF(OR($D$3=JU!$F2170,$D$3=JU!$I2170),JU!C2170,"")</f>
        <v/>
      </c>
      <c r="D2170" s="73" t="str">
        <f>IF(OR($D$3=JU!$F2170,$D$3=JU!$I2170),JU!D2170,"")</f>
        <v/>
      </c>
      <c r="E2170" s="74" t="str">
        <f>IF(OR($D$3=JU!$F2170,$D$3=JU!$I2170),JU!E2170,"")</f>
        <v/>
      </c>
      <c r="F2170" s="72">
        <f>IF($D$3=JU!F2170,JU!H2170,0)</f>
        <v>0</v>
      </c>
      <c r="G2170" s="72">
        <f>IF($D$3=JU!I2170,JU!K2170,0)</f>
        <v>0</v>
      </c>
      <c r="H2170" s="72" t="e">
        <f t="shared" si="34"/>
        <v>#REF!</v>
      </c>
    </row>
    <row r="2171" spans="2:8" hidden="1">
      <c r="B2171" s="68" t="str">
        <f>IF(OR($D$3=JU!$F2171,$D$3=JU!$I2171),JU!B2171,"")</f>
        <v/>
      </c>
      <c r="C2171" s="6" t="str">
        <f>IF(OR($D$3=JU!$F2171,$D$3=JU!$I2171),JU!C2171,"")</f>
        <v/>
      </c>
      <c r="D2171" s="73" t="str">
        <f>IF(OR($D$3=JU!$F2171,$D$3=JU!$I2171),JU!D2171,"")</f>
        <v/>
      </c>
      <c r="E2171" s="74" t="str">
        <f>IF(OR($D$3=JU!$F2171,$D$3=JU!$I2171),JU!E2171,"")</f>
        <v/>
      </c>
      <c r="F2171" s="72">
        <f>IF($D$3=JU!F2171,JU!H2171,0)</f>
        <v>0</v>
      </c>
      <c r="G2171" s="72">
        <f>IF($D$3=JU!I2171,JU!K2171,0)</f>
        <v>0</v>
      </c>
      <c r="H2171" s="72" t="e">
        <f t="shared" si="34"/>
        <v>#REF!</v>
      </c>
    </row>
    <row r="2172" spans="2:8" hidden="1">
      <c r="B2172" s="68" t="str">
        <f>IF(OR($D$3=JU!$F2172,$D$3=JU!$I2172),JU!B2172,"")</f>
        <v/>
      </c>
      <c r="C2172" s="6" t="str">
        <f>IF(OR($D$3=JU!$F2172,$D$3=JU!$I2172),JU!C2172,"")</f>
        <v/>
      </c>
      <c r="D2172" s="73" t="str">
        <f>IF(OR($D$3=JU!$F2172,$D$3=JU!$I2172),JU!D2172,"")</f>
        <v/>
      </c>
      <c r="E2172" s="74" t="str">
        <f>IF(OR($D$3=JU!$F2172,$D$3=JU!$I2172),JU!E2172,"")</f>
        <v/>
      </c>
      <c r="F2172" s="72">
        <f>IF($D$3=JU!F2172,JU!H2172,0)</f>
        <v>0</v>
      </c>
      <c r="G2172" s="72">
        <f>IF($D$3=JU!I2172,JU!K2172,0)</f>
        <v>0</v>
      </c>
      <c r="H2172" s="72" t="e">
        <f t="shared" si="34"/>
        <v>#REF!</v>
      </c>
    </row>
    <row r="2173" spans="2:8" hidden="1">
      <c r="B2173" s="68" t="str">
        <f>IF(OR($D$3=JU!$F2173,$D$3=JU!$I2173),JU!B2173,"")</f>
        <v/>
      </c>
      <c r="C2173" s="6" t="str">
        <f>IF(OR($D$3=JU!$F2173,$D$3=JU!$I2173),JU!C2173,"")</f>
        <v/>
      </c>
      <c r="D2173" s="73" t="str">
        <f>IF(OR($D$3=JU!$F2173,$D$3=JU!$I2173),JU!D2173,"")</f>
        <v/>
      </c>
      <c r="E2173" s="74" t="str">
        <f>IF(OR($D$3=JU!$F2173,$D$3=JU!$I2173),JU!E2173,"")</f>
        <v/>
      </c>
      <c r="F2173" s="72">
        <f>IF($D$3=JU!F2173,JU!H2173,0)</f>
        <v>0</v>
      </c>
      <c r="G2173" s="72">
        <f>IF($D$3=JU!I2173,JU!K2173,0)</f>
        <v>0</v>
      </c>
      <c r="H2173" s="72" t="e">
        <f t="shared" si="34"/>
        <v>#REF!</v>
      </c>
    </row>
    <row r="2174" spans="2:8" hidden="1">
      <c r="B2174" s="68" t="str">
        <f>IF(OR($D$3=JU!$F2174,$D$3=JU!$I2174),JU!B2174,"")</f>
        <v/>
      </c>
      <c r="C2174" s="6" t="str">
        <f>IF(OR($D$3=JU!$F2174,$D$3=JU!$I2174),JU!C2174,"")</f>
        <v/>
      </c>
      <c r="D2174" s="73" t="str">
        <f>IF(OR($D$3=JU!$F2174,$D$3=JU!$I2174),JU!D2174,"")</f>
        <v/>
      </c>
      <c r="E2174" s="74" t="str">
        <f>IF(OR($D$3=JU!$F2174,$D$3=JU!$I2174),JU!E2174,"")</f>
        <v/>
      </c>
      <c r="F2174" s="72">
        <f>IF($D$3=JU!F2174,JU!H2174,0)</f>
        <v>0</v>
      </c>
      <c r="G2174" s="72">
        <f>IF($D$3=JU!I2174,JU!K2174,0)</f>
        <v>0</v>
      </c>
      <c r="H2174" s="72" t="e">
        <f t="shared" si="34"/>
        <v>#REF!</v>
      </c>
    </row>
    <row r="2175" spans="2:8" hidden="1">
      <c r="B2175" s="68" t="str">
        <f>IF(OR($D$3=JU!$F2175,$D$3=JU!$I2175),JU!B2175,"")</f>
        <v/>
      </c>
      <c r="C2175" s="6" t="str">
        <f>IF(OR($D$3=JU!$F2175,$D$3=JU!$I2175),JU!C2175,"")</f>
        <v/>
      </c>
      <c r="D2175" s="73" t="str">
        <f>IF(OR($D$3=JU!$F2175,$D$3=JU!$I2175),JU!D2175,"")</f>
        <v/>
      </c>
      <c r="E2175" s="74" t="str">
        <f>IF(OR($D$3=JU!$F2175,$D$3=JU!$I2175),JU!E2175,"")</f>
        <v/>
      </c>
      <c r="F2175" s="72">
        <f>IF($D$3=JU!F2175,JU!H2175,0)</f>
        <v>0</v>
      </c>
      <c r="G2175" s="72">
        <f>IF($D$3=JU!I2175,JU!K2175,0)</f>
        <v>0</v>
      </c>
      <c r="H2175" s="72" t="e">
        <f t="shared" si="34"/>
        <v>#REF!</v>
      </c>
    </row>
    <row r="2176" spans="2:8" hidden="1">
      <c r="B2176" s="68" t="str">
        <f>IF(OR($D$3=JU!$F2176,$D$3=JU!$I2176),JU!B2176,"")</f>
        <v/>
      </c>
      <c r="C2176" s="6" t="str">
        <f>IF(OR($D$3=JU!$F2176,$D$3=JU!$I2176),JU!C2176,"")</f>
        <v/>
      </c>
      <c r="D2176" s="73" t="str">
        <f>IF(OR($D$3=JU!$F2176,$D$3=JU!$I2176),JU!D2176,"")</f>
        <v/>
      </c>
      <c r="E2176" s="74" t="str">
        <f>IF(OR($D$3=JU!$F2176,$D$3=JU!$I2176),JU!E2176,"")</f>
        <v/>
      </c>
      <c r="F2176" s="72">
        <f>IF($D$3=JU!F2176,JU!H2176,0)</f>
        <v>0</v>
      </c>
      <c r="G2176" s="72">
        <f>IF($D$3=JU!I2176,JU!K2176,0)</f>
        <v>0</v>
      </c>
      <c r="H2176" s="72" t="e">
        <f t="shared" si="34"/>
        <v>#REF!</v>
      </c>
    </row>
    <row r="2177" spans="2:8" hidden="1">
      <c r="B2177" s="68" t="str">
        <f>IF(OR($D$3=JU!$F2177,$D$3=JU!$I2177),JU!B2177,"")</f>
        <v/>
      </c>
      <c r="C2177" s="6" t="str">
        <f>IF(OR($D$3=JU!$F2177,$D$3=JU!$I2177),JU!C2177,"")</f>
        <v/>
      </c>
      <c r="D2177" s="73" t="str">
        <f>IF(OR($D$3=JU!$F2177,$D$3=JU!$I2177),JU!D2177,"")</f>
        <v/>
      </c>
      <c r="E2177" s="74" t="str">
        <f>IF(OR($D$3=JU!$F2177,$D$3=JU!$I2177),JU!E2177,"")</f>
        <v/>
      </c>
      <c r="F2177" s="72">
        <f>IF($D$3=JU!F2177,JU!H2177,0)</f>
        <v>0</v>
      </c>
      <c r="G2177" s="72">
        <f>IF($D$3=JU!I2177,JU!K2177,0)</f>
        <v>0</v>
      </c>
      <c r="H2177" s="72" t="e">
        <f t="shared" si="34"/>
        <v>#REF!</v>
      </c>
    </row>
    <row r="2178" spans="2:8" hidden="1">
      <c r="B2178" s="68" t="str">
        <f>IF(OR($D$3=JU!$F2178,$D$3=JU!$I2178),JU!B2178,"")</f>
        <v/>
      </c>
      <c r="C2178" s="6" t="str">
        <f>IF(OR($D$3=JU!$F2178,$D$3=JU!$I2178),JU!C2178,"")</f>
        <v/>
      </c>
      <c r="D2178" s="73" t="str">
        <f>IF(OR($D$3=JU!$F2178,$D$3=JU!$I2178),JU!D2178,"")</f>
        <v/>
      </c>
      <c r="E2178" s="74" t="str">
        <f>IF(OR($D$3=JU!$F2178,$D$3=JU!$I2178),JU!E2178,"")</f>
        <v/>
      </c>
      <c r="F2178" s="72">
        <f>IF($D$3=JU!F2178,JU!H2178,0)</f>
        <v>0</v>
      </c>
      <c r="G2178" s="72">
        <f>IF($D$3=JU!I2178,JU!K2178,0)</f>
        <v>0</v>
      </c>
      <c r="H2178" s="72" t="e">
        <f t="shared" si="34"/>
        <v>#REF!</v>
      </c>
    </row>
    <row r="2179" spans="2:8" hidden="1">
      <c r="B2179" s="68" t="str">
        <f>IF(OR($D$3=JU!$F2179,$D$3=JU!$I2179),JU!B2179,"")</f>
        <v/>
      </c>
      <c r="C2179" s="6" t="str">
        <f>IF(OR($D$3=JU!$F2179,$D$3=JU!$I2179),JU!C2179,"")</f>
        <v/>
      </c>
      <c r="D2179" s="73" t="str">
        <f>IF(OR($D$3=JU!$F2179,$D$3=JU!$I2179),JU!D2179,"")</f>
        <v/>
      </c>
      <c r="E2179" s="74" t="str">
        <f>IF(OR($D$3=JU!$F2179,$D$3=JU!$I2179),JU!E2179,"")</f>
        <v/>
      </c>
      <c r="F2179" s="72">
        <f>IF($D$3=JU!F2179,JU!H2179,0)</f>
        <v>0</v>
      </c>
      <c r="G2179" s="72">
        <f>IF($D$3=JU!I2179,JU!K2179,0)</f>
        <v>0</v>
      </c>
      <c r="H2179" s="72" t="e">
        <f t="shared" si="34"/>
        <v>#REF!</v>
      </c>
    </row>
    <row r="2180" spans="2:8" hidden="1">
      <c r="B2180" s="68" t="str">
        <f>IF(OR($D$3=JU!$F2180,$D$3=JU!$I2180),JU!B2180,"")</f>
        <v/>
      </c>
      <c r="C2180" s="6" t="str">
        <f>IF(OR($D$3=JU!$F2180,$D$3=JU!$I2180),JU!C2180,"")</f>
        <v/>
      </c>
      <c r="D2180" s="73" t="str">
        <f>IF(OR($D$3=JU!$F2180,$D$3=JU!$I2180),JU!D2180,"")</f>
        <v/>
      </c>
      <c r="E2180" s="74" t="str">
        <f>IF(OR($D$3=JU!$F2180,$D$3=JU!$I2180),JU!E2180,"")</f>
        <v/>
      </c>
      <c r="F2180" s="72">
        <f>IF($D$3=JU!F2180,JU!H2180,0)</f>
        <v>0</v>
      </c>
      <c r="G2180" s="72">
        <f>IF($D$3=JU!I2180,JU!K2180,0)</f>
        <v>0</v>
      </c>
      <c r="H2180" s="72" t="e">
        <f t="shared" si="34"/>
        <v>#REF!</v>
      </c>
    </row>
    <row r="2181" spans="2:8" hidden="1">
      <c r="B2181" s="68" t="str">
        <f>IF(OR($D$3=JU!$F2181,$D$3=JU!$I2181),JU!B2181,"")</f>
        <v/>
      </c>
      <c r="C2181" s="6" t="str">
        <f>IF(OR($D$3=JU!$F2181,$D$3=JU!$I2181),JU!C2181,"")</f>
        <v/>
      </c>
      <c r="D2181" s="73" t="str">
        <f>IF(OR($D$3=JU!$F2181,$D$3=JU!$I2181),JU!D2181,"")</f>
        <v/>
      </c>
      <c r="E2181" s="74" t="str">
        <f>IF(OR($D$3=JU!$F2181,$D$3=JU!$I2181),JU!E2181,"")</f>
        <v/>
      </c>
      <c r="F2181" s="72">
        <f>IF($D$3=JU!F2181,JU!H2181,0)</f>
        <v>0</v>
      </c>
      <c r="G2181" s="72">
        <f>IF($D$3=JU!I2181,JU!K2181,0)</f>
        <v>0</v>
      </c>
      <c r="H2181" s="72" t="e">
        <f t="shared" si="34"/>
        <v>#REF!</v>
      </c>
    </row>
    <row r="2182" spans="2:8" hidden="1">
      <c r="B2182" s="68" t="str">
        <f>IF(OR($D$3=JU!$F2182,$D$3=JU!$I2182),JU!B2182,"")</f>
        <v/>
      </c>
      <c r="C2182" s="6" t="str">
        <f>IF(OR($D$3=JU!$F2182,$D$3=JU!$I2182),JU!C2182,"")</f>
        <v/>
      </c>
      <c r="D2182" s="73" t="str">
        <f>IF(OR($D$3=JU!$F2182,$D$3=JU!$I2182),JU!D2182,"")</f>
        <v/>
      </c>
      <c r="E2182" s="74" t="str">
        <f>IF(OR($D$3=JU!$F2182,$D$3=JU!$I2182),JU!E2182,"")</f>
        <v/>
      </c>
      <c r="F2182" s="72">
        <f>IF($D$3=JU!F2182,JU!H2182,0)</f>
        <v>0</v>
      </c>
      <c r="G2182" s="72">
        <f>IF($D$3=JU!I2182,JU!K2182,0)</f>
        <v>0</v>
      </c>
      <c r="H2182" s="72" t="e">
        <f t="shared" si="34"/>
        <v>#REF!</v>
      </c>
    </row>
    <row r="2183" spans="2:8" hidden="1">
      <c r="B2183" s="68" t="str">
        <f>IF(OR($D$3=JU!$F2183,$D$3=JU!$I2183),JU!B2183,"")</f>
        <v/>
      </c>
      <c r="C2183" s="6" t="str">
        <f>IF(OR($D$3=JU!$F2183,$D$3=JU!$I2183),JU!C2183,"")</f>
        <v/>
      </c>
      <c r="D2183" s="73" t="str">
        <f>IF(OR($D$3=JU!$F2183,$D$3=JU!$I2183),JU!D2183,"")</f>
        <v/>
      </c>
      <c r="E2183" s="74" t="str">
        <f>IF(OR($D$3=JU!$F2183,$D$3=JU!$I2183),JU!E2183,"")</f>
        <v/>
      </c>
      <c r="F2183" s="72">
        <f>IF($D$3=JU!F2183,JU!H2183,0)</f>
        <v>0</v>
      </c>
      <c r="G2183" s="72">
        <f>IF($D$3=JU!I2183,JU!K2183,0)</f>
        <v>0</v>
      </c>
      <c r="H2183" s="72" t="e">
        <f t="shared" si="34"/>
        <v>#REF!</v>
      </c>
    </row>
    <row r="2184" spans="2:8" hidden="1">
      <c r="B2184" s="68" t="str">
        <f>IF(OR($D$3=JU!$F2184,$D$3=JU!$I2184),JU!B2184,"")</f>
        <v/>
      </c>
      <c r="C2184" s="6" t="str">
        <f>IF(OR($D$3=JU!$F2184,$D$3=JU!$I2184),JU!C2184,"")</f>
        <v/>
      </c>
      <c r="D2184" s="73" t="str">
        <f>IF(OR($D$3=JU!$F2184,$D$3=JU!$I2184),JU!D2184,"")</f>
        <v/>
      </c>
      <c r="E2184" s="74" t="str">
        <f>IF(OR($D$3=JU!$F2184,$D$3=JU!$I2184),JU!E2184,"")</f>
        <v/>
      </c>
      <c r="F2184" s="72">
        <f>IF($D$3=JU!F2184,JU!H2184,0)</f>
        <v>0</v>
      </c>
      <c r="G2184" s="72">
        <f>IF($D$3=JU!I2184,JU!K2184,0)</f>
        <v>0</v>
      </c>
      <c r="H2184" s="72" t="e">
        <f t="shared" si="34"/>
        <v>#REF!</v>
      </c>
    </row>
    <row r="2185" spans="2:8" hidden="1">
      <c r="B2185" s="68" t="str">
        <f>IF(OR($D$3=JU!$F2185,$D$3=JU!$I2185),JU!B2185,"")</f>
        <v/>
      </c>
      <c r="C2185" s="6" t="str">
        <f>IF(OR($D$3=JU!$F2185,$D$3=JU!$I2185),JU!C2185,"")</f>
        <v/>
      </c>
      <c r="D2185" s="73" t="str">
        <f>IF(OR($D$3=JU!$F2185,$D$3=JU!$I2185),JU!D2185,"")</f>
        <v/>
      </c>
      <c r="E2185" s="74" t="str">
        <f>IF(OR($D$3=JU!$F2185,$D$3=JU!$I2185),JU!E2185,"")</f>
        <v/>
      </c>
      <c r="F2185" s="72">
        <f>IF($D$3=JU!F2185,JU!H2185,0)</f>
        <v>0</v>
      </c>
      <c r="G2185" s="72">
        <f>IF($D$3=JU!I2185,JU!K2185,0)</f>
        <v>0</v>
      </c>
      <c r="H2185" s="72" t="e">
        <f t="shared" si="34"/>
        <v>#REF!</v>
      </c>
    </row>
    <row r="2186" spans="2:8" hidden="1">
      <c r="B2186" s="68" t="str">
        <f>IF(OR($D$3=JU!$F2186,$D$3=JU!$I2186),JU!B2186,"")</f>
        <v/>
      </c>
      <c r="C2186" s="6" t="str">
        <f>IF(OR($D$3=JU!$F2186,$D$3=JU!$I2186),JU!C2186,"")</f>
        <v/>
      </c>
      <c r="D2186" s="73" t="str">
        <f>IF(OR($D$3=JU!$F2186,$D$3=JU!$I2186),JU!D2186,"")</f>
        <v/>
      </c>
      <c r="E2186" s="74" t="str">
        <f>IF(OR($D$3=JU!$F2186,$D$3=JU!$I2186),JU!E2186,"")</f>
        <v/>
      </c>
      <c r="F2186" s="72">
        <f>IF($D$3=JU!F2186,JU!H2186,0)</f>
        <v>0</v>
      </c>
      <c r="G2186" s="72">
        <f>IF($D$3=JU!I2186,JU!K2186,0)</f>
        <v>0</v>
      </c>
      <c r="H2186" s="72" t="e">
        <f t="shared" si="34"/>
        <v>#REF!</v>
      </c>
    </row>
    <row r="2187" spans="2:8" hidden="1">
      <c r="B2187" s="68" t="str">
        <f>IF(OR($D$3=JU!$F2187,$D$3=JU!$I2187),JU!B2187,"")</f>
        <v/>
      </c>
      <c r="C2187" s="6" t="str">
        <f>IF(OR($D$3=JU!$F2187,$D$3=JU!$I2187),JU!C2187,"")</f>
        <v/>
      </c>
      <c r="D2187" s="73" t="str">
        <f>IF(OR($D$3=JU!$F2187,$D$3=JU!$I2187),JU!D2187,"")</f>
        <v/>
      </c>
      <c r="E2187" s="74" t="str">
        <f>IF(OR($D$3=JU!$F2187,$D$3=JU!$I2187),JU!E2187,"")</f>
        <v/>
      </c>
      <c r="F2187" s="72">
        <f>IF($D$3=JU!F2187,JU!H2187,0)</f>
        <v>0</v>
      </c>
      <c r="G2187" s="72">
        <f>IF($D$3=JU!I2187,JU!K2187,0)</f>
        <v>0</v>
      </c>
      <c r="H2187" s="72" t="e">
        <f t="shared" si="34"/>
        <v>#REF!</v>
      </c>
    </row>
    <row r="2188" spans="2:8" hidden="1">
      <c r="B2188" s="68" t="str">
        <f>IF(OR($D$3=JU!$F2188,$D$3=JU!$I2188),JU!B2188,"")</f>
        <v/>
      </c>
      <c r="C2188" s="6" t="str">
        <f>IF(OR($D$3=JU!$F2188,$D$3=JU!$I2188),JU!C2188,"")</f>
        <v/>
      </c>
      <c r="D2188" s="73" t="str">
        <f>IF(OR($D$3=JU!$F2188,$D$3=JU!$I2188),JU!D2188,"")</f>
        <v/>
      </c>
      <c r="E2188" s="74" t="str">
        <f>IF(OR($D$3=JU!$F2188,$D$3=JU!$I2188),JU!E2188,"")</f>
        <v/>
      </c>
      <c r="F2188" s="72">
        <f>IF($D$3=JU!F2188,JU!H2188,0)</f>
        <v>0</v>
      </c>
      <c r="G2188" s="72">
        <f>IF($D$3=JU!I2188,JU!K2188,0)</f>
        <v>0</v>
      </c>
      <c r="H2188" s="72" t="e">
        <f t="shared" si="34"/>
        <v>#REF!</v>
      </c>
    </row>
    <row r="2189" spans="2:8" hidden="1">
      <c r="B2189" s="68" t="str">
        <f>IF(OR($D$3=JU!$F2189,$D$3=JU!$I2189),JU!B2189,"")</f>
        <v/>
      </c>
      <c r="C2189" s="6" t="str">
        <f>IF(OR($D$3=JU!$F2189,$D$3=JU!$I2189),JU!C2189,"")</f>
        <v/>
      </c>
      <c r="D2189" s="73" t="str">
        <f>IF(OR($D$3=JU!$F2189,$D$3=JU!$I2189),JU!D2189,"")</f>
        <v/>
      </c>
      <c r="E2189" s="74" t="str">
        <f>IF(OR($D$3=JU!$F2189,$D$3=JU!$I2189),JU!E2189,"")</f>
        <v/>
      </c>
      <c r="F2189" s="72">
        <f>IF($D$3=JU!F2189,JU!H2189,0)</f>
        <v>0</v>
      </c>
      <c r="G2189" s="72">
        <f>IF($D$3=JU!I2189,JU!K2189,0)</f>
        <v>0</v>
      </c>
      <c r="H2189" s="72" t="e">
        <f t="shared" si="34"/>
        <v>#REF!</v>
      </c>
    </row>
    <row r="2190" spans="2:8" hidden="1">
      <c r="B2190" s="68" t="str">
        <f>IF(OR($D$3=JU!$F2190,$D$3=JU!$I2190),JU!B2190,"")</f>
        <v/>
      </c>
      <c r="C2190" s="6" t="str">
        <f>IF(OR($D$3=JU!$F2190,$D$3=JU!$I2190),JU!C2190,"")</f>
        <v/>
      </c>
      <c r="D2190" s="73" t="str">
        <f>IF(OR($D$3=JU!$F2190,$D$3=JU!$I2190),JU!D2190,"")</f>
        <v/>
      </c>
      <c r="E2190" s="74" t="str">
        <f>IF(OR($D$3=JU!$F2190,$D$3=JU!$I2190),JU!E2190,"")</f>
        <v/>
      </c>
      <c r="F2190" s="72">
        <f>IF($D$3=JU!F2190,JU!H2190,0)</f>
        <v>0</v>
      </c>
      <c r="G2190" s="72">
        <f>IF($D$3=JU!I2190,JU!K2190,0)</f>
        <v>0</v>
      </c>
      <c r="H2190" s="72" t="e">
        <f t="shared" ref="H2190:H2253" si="35">IF($H$7="DEBET",H2189+F2190-G2190,H2189+G2190-F2190)</f>
        <v>#REF!</v>
      </c>
    </row>
    <row r="2191" spans="2:8" hidden="1">
      <c r="B2191" s="68" t="str">
        <f>IF(OR($D$3=JU!$F2191,$D$3=JU!$I2191),JU!B2191,"")</f>
        <v/>
      </c>
      <c r="C2191" s="6" t="str">
        <f>IF(OR($D$3=JU!$F2191,$D$3=JU!$I2191),JU!C2191,"")</f>
        <v/>
      </c>
      <c r="D2191" s="73" t="str">
        <f>IF(OR($D$3=JU!$F2191,$D$3=JU!$I2191),JU!D2191,"")</f>
        <v/>
      </c>
      <c r="E2191" s="74" t="str">
        <f>IF(OR($D$3=JU!$F2191,$D$3=JU!$I2191),JU!E2191,"")</f>
        <v/>
      </c>
      <c r="F2191" s="72">
        <f>IF($D$3=JU!F2191,JU!H2191,0)</f>
        <v>0</v>
      </c>
      <c r="G2191" s="72">
        <f>IF($D$3=JU!I2191,JU!K2191,0)</f>
        <v>0</v>
      </c>
      <c r="H2191" s="72" t="e">
        <f t="shared" si="35"/>
        <v>#REF!</v>
      </c>
    </row>
    <row r="2192" spans="2:8" hidden="1">
      <c r="B2192" s="68" t="str">
        <f>IF(OR($D$3=JU!$F2192,$D$3=JU!$I2192),JU!B2192,"")</f>
        <v/>
      </c>
      <c r="C2192" s="6" t="str">
        <f>IF(OR($D$3=JU!$F2192,$D$3=JU!$I2192),JU!C2192,"")</f>
        <v/>
      </c>
      <c r="D2192" s="73" t="str">
        <f>IF(OR($D$3=JU!$F2192,$D$3=JU!$I2192),JU!D2192,"")</f>
        <v/>
      </c>
      <c r="E2192" s="74" t="str">
        <f>IF(OR($D$3=JU!$F2192,$D$3=JU!$I2192),JU!E2192,"")</f>
        <v/>
      </c>
      <c r="F2192" s="72">
        <f>IF($D$3=JU!F2192,JU!H2192,0)</f>
        <v>0</v>
      </c>
      <c r="G2192" s="72">
        <f>IF($D$3=JU!I2192,JU!K2192,0)</f>
        <v>0</v>
      </c>
      <c r="H2192" s="72" t="e">
        <f t="shared" si="35"/>
        <v>#REF!</v>
      </c>
    </row>
    <row r="2193" spans="2:8" hidden="1">
      <c r="B2193" s="68" t="str">
        <f>IF(OR($D$3=JU!$F2193,$D$3=JU!$I2193),JU!B2193,"")</f>
        <v/>
      </c>
      <c r="C2193" s="6" t="str">
        <f>IF(OR($D$3=JU!$F2193,$D$3=JU!$I2193),JU!C2193,"")</f>
        <v/>
      </c>
      <c r="D2193" s="73" t="str">
        <f>IF(OR($D$3=JU!$F2193,$D$3=JU!$I2193),JU!D2193,"")</f>
        <v/>
      </c>
      <c r="E2193" s="74" t="str">
        <f>IF(OR($D$3=JU!$F2193,$D$3=JU!$I2193),JU!E2193,"")</f>
        <v/>
      </c>
      <c r="F2193" s="72">
        <f>IF($D$3=JU!F2193,JU!H2193,0)</f>
        <v>0</v>
      </c>
      <c r="G2193" s="72">
        <f>IF($D$3=JU!I2193,JU!K2193,0)</f>
        <v>0</v>
      </c>
      <c r="H2193" s="72" t="e">
        <f t="shared" si="35"/>
        <v>#REF!</v>
      </c>
    </row>
    <row r="2194" spans="2:8" hidden="1">
      <c r="B2194" s="68" t="str">
        <f>IF(OR($D$3=JU!$F2194,$D$3=JU!$I2194),JU!B2194,"")</f>
        <v/>
      </c>
      <c r="C2194" s="6" t="str">
        <f>IF(OR($D$3=JU!$F2194,$D$3=JU!$I2194),JU!C2194,"")</f>
        <v/>
      </c>
      <c r="D2194" s="73" t="str">
        <f>IF(OR($D$3=JU!$F2194,$D$3=JU!$I2194),JU!D2194,"")</f>
        <v/>
      </c>
      <c r="E2194" s="74" t="str">
        <f>IF(OR($D$3=JU!$F2194,$D$3=JU!$I2194),JU!E2194,"")</f>
        <v/>
      </c>
      <c r="F2194" s="72">
        <f>IF($D$3=JU!F2194,JU!H2194,0)</f>
        <v>0</v>
      </c>
      <c r="G2194" s="72">
        <f>IF($D$3=JU!I2194,JU!K2194,0)</f>
        <v>0</v>
      </c>
      <c r="H2194" s="72" t="e">
        <f t="shared" si="35"/>
        <v>#REF!</v>
      </c>
    </row>
    <row r="2195" spans="2:8" hidden="1">
      <c r="B2195" s="68" t="str">
        <f>IF(OR($D$3=JU!$F2195,$D$3=JU!$I2195),JU!B2195,"")</f>
        <v/>
      </c>
      <c r="C2195" s="6" t="str">
        <f>IF(OR($D$3=JU!$F2195,$D$3=JU!$I2195),JU!C2195,"")</f>
        <v/>
      </c>
      <c r="D2195" s="73" t="str">
        <f>IF(OR($D$3=JU!$F2195,$D$3=JU!$I2195),JU!D2195,"")</f>
        <v/>
      </c>
      <c r="E2195" s="74" t="str">
        <f>IF(OR($D$3=JU!$F2195,$D$3=JU!$I2195),JU!E2195,"")</f>
        <v/>
      </c>
      <c r="F2195" s="72">
        <f>IF($D$3=JU!F2195,JU!H2195,0)</f>
        <v>0</v>
      </c>
      <c r="G2195" s="72">
        <f>IF($D$3=JU!I2195,JU!K2195,0)</f>
        <v>0</v>
      </c>
      <c r="H2195" s="72" t="e">
        <f t="shared" si="35"/>
        <v>#REF!</v>
      </c>
    </row>
    <row r="2196" spans="2:8" hidden="1">
      <c r="B2196" s="68" t="str">
        <f>IF(OR($D$3=JU!$F2196,$D$3=JU!$I2196),JU!B2196,"")</f>
        <v/>
      </c>
      <c r="C2196" s="6" t="str">
        <f>IF(OR($D$3=JU!$F2196,$D$3=JU!$I2196),JU!C2196,"")</f>
        <v/>
      </c>
      <c r="D2196" s="73" t="str">
        <f>IF(OR($D$3=JU!$F2196,$D$3=JU!$I2196),JU!D2196,"")</f>
        <v/>
      </c>
      <c r="E2196" s="74" t="str">
        <f>IF(OR($D$3=JU!$F2196,$D$3=JU!$I2196),JU!E2196,"")</f>
        <v/>
      </c>
      <c r="F2196" s="72">
        <f>IF($D$3=JU!F2196,JU!H2196,0)</f>
        <v>0</v>
      </c>
      <c r="G2196" s="72">
        <f>IF($D$3=JU!I2196,JU!K2196,0)</f>
        <v>0</v>
      </c>
      <c r="H2196" s="72" t="e">
        <f t="shared" si="35"/>
        <v>#REF!</v>
      </c>
    </row>
    <row r="2197" spans="2:8" hidden="1">
      <c r="B2197" s="68" t="str">
        <f>IF(OR($D$3=JU!$F2197,$D$3=JU!$I2197),JU!B2197,"")</f>
        <v/>
      </c>
      <c r="C2197" s="6" t="str">
        <f>IF(OR($D$3=JU!$F2197,$D$3=JU!$I2197),JU!C2197,"")</f>
        <v/>
      </c>
      <c r="D2197" s="73" t="str">
        <f>IF(OR($D$3=JU!$F2197,$D$3=JU!$I2197),JU!D2197,"")</f>
        <v/>
      </c>
      <c r="E2197" s="74" t="str">
        <f>IF(OR($D$3=JU!$F2197,$D$3=JU!$I2197),JU!E2197,"")</f>
        <v/>
      </c>
      <c r="F2197" s="72">
        <f>IF($D$3=JU!F2197,JU!H2197,0)</f>
        <v>0</v>
      </c>
      <c r="G2197" s="72">
        <f>IF($D$3=JU!I2197,JU!K2197,0)</f>
        <v>0</v>
      </c>
      <c r="H2197" s="72" t="e">
        <f t="shared" si="35"/>
        <v>#REF!</v>
      </c>
    </row>
    <row r="2198" spans="2:8" hidden="1">
      <c r="B2198" s="68" t="str">
        <f>IF(OR($D$3=JU!$F2198,$D$3=JU!$I2198),JU!B2198,"")</f>
        <v/>
      </c>
      <c r="C2198" s="6" t="str">
        <f>IF(OR($D$3=JU!$F2198,$D$3=JU!$I2198),JU!C2198,"")</f>
        <v/>
      </c>
      <c r="D2198" s="73" t="str">
        <f>IF(OR($D$3=JU!$F2198,$D$3=JU!$I2198),JU!D2198,"")</f>
        <v/>
      </c>
      <c r="E2198" s="74" t="str">
        <f>IF(OR($D$3=JU!$F2198,$D$3=JU!$I2198),JU!E2198,"")</f>
        <v/>
      </c>
      <c r="F2198" s="72">
        <f>IF($D$3=JU!F2198,JU!H2198,0)</f>
        <v>0</v>
      </c>
      <c r="G2198" s="72">
        <f>IF($D$3=JU!I2198,JU!K2198,0)</f>
        <v>0</v>
      </c>
      <c r="H2198" s="72" t="e">
        <f t="shared" si="35"/>
        <v>#REF!</v>
      </c>
    </row>
    <row r="2199" spans="2:8" hidden="1">
      <c r="B2199" s="68" t="str">
        <f>IF(OR($D$3=JU!$F2199,$D$3=JU!$I2199),JU!B2199,"")</f>
        <v/>
      </c>
      <c r="C2199" s="6" t="str">
        <f>IF(OR($D$3=JU!$F2199,$D$3=JU!$I2199),JU!C2199,"")</f>
        <v/>
      </c>
      <c r="D2199" s="73" t="str">
        <f>IF(OR($D$3=JU!$F2199,$D$3=JU!$I2199),JU!D2199,"")</f>
        <v/>
      </c>
      <c r="E2199" s="74" t="str">
        <f>IF(OR($D$3=JU!$F2199,$D$3=JU!$I2199),JU!E2199,"")</f>
        <v/>
      </c>
      <c r="F2199" s="72">
        <f>IF($D$3=JU!F2199,JU!H2199,0)</f>
        <v>0</v>
      </c>
      <c r="G2199" s="72">
        <f>IF($D$3=JU!I2199,JU!K2199,0)</f>
        <v>0</v>
      </c>
      <c r="H2199" s="72" t="e">
        <f t="shared" si="35"/>
        <v>#REF!</v>
      </c>
    </row>
    <row r="2200" spans="2:8" hidden="1">
      <c r="B2200" s="68" t="str">
        <f>IF(OR($D$3=JU!$F2200,$D$3=JU!$I2200),JU!B2200,"")</f>
        <v/>
      </c>
      <c r="C2200" s="6" t="str">
        <f>IF(OR($D$3=JU!$F2200,$D$3=JU!$I2200),JU!C2200,"")</f>
        <v/>
      </c>
      <c r="D2200" s="73" t="str">
        <f>IF(OR($D$3=JU!$F2200,$D$3=JU!$I2200),JU!D2200,"")</f>
        <v/>
      </c>
      <c r="E2200" s="74" t="str">
        <f>IF(OR($D$3=JU!$F2200,$D$3=JU!$I2200),JU!E2200,"")</f>
        <v/>
      </c>
      <c r="F2200" s="72">
        <f>IF($D$3=JU!F2200,JU!H2200,0)</f>
        <v>0</v>
      </c>
      <c r="G2200" s="72">
        <f>IF($D$3=JU!I2200,JU!K2200,0)</f>
        <v>0</v>
      </c>
      <c r="H2200" s="72" t="e">
        <f t="shared" si="35"/>
        <v>#REF!</v>
      </c>
    </row>
    <row r="2201" spans="2:8" hidden="1">
      <c r="B2201" s="68" t="str">
        <f>IF(OR($D$3=JU!$F2201,$D$3=JU!$I2201),JU!B2201,"")</f>
        <v/>
      </c>
      <c r="C2201" s="6" t="str">
        <f>IF(OR($D$3=JU!$F2201,$D$3=JU!$I2201),JU!C2201,"")</f>
        <v/>
      </c>
      <c r="D2201" s="73" t="str">
        <f>IF(OR($D$3=JU!$F2201,$D$3=JU!$I2201),JU!D2201,"")</f>
        <v/>
      </c>
      <c r="E2201" s="74" t="str">
        <f>IF(OR($D$3=JU!$F2201,$D$3=JU!$I2201),JU!E2201,"")</f>
        <v/>
      </c>
      <c r="F2201" s="72">
        <f>IF($D$3=JU!F2201,JU!H2201,0)</f>
        <v>0</v>
      </c>
      <c r="G2201" s="72">
        <f>IF($D$3=JU!I2201,JU!K2201,0)</f>
        <v>0</v>
      </c>
      <c r="H2201" s="72" t="e">
        <f t="shared" si="35"/>
        <v>#REF!</v>
      </c>
    </row>
    <row r="2202" spans="2:8" hidden="1">
      <c r="B2202" s="68" t="str">
        <f>IF(OR($D$3=JU!$F2202,$D$3=JU!$I2202),JU!B2202,"")</f>
        <v/>
      </c>
      <c r="C2202" s="6" t="str">
        <f>IF(OR($D$3=JU!$F2202,$D$3=JU!$I2202),JU!C2202,"")</f>
        <v/>
      </c>
      <c r="D2202" s="73" t="str">
        <f>IF(OR($D$3=JU!$F2202,$D$3=JU!$I2202),JU!D2202,"")</f>
        <v/>
      </c>
      <c r="E2202" s="74" t="str">
        <f>IF(OR($D$3=JU!$F2202,$D$3=JU!$I2202),JU!E2202,"")</f>
        <v/>
      </c>
      <c r="F2202" s="72">
        <f>IF($D$3=JU!F2202,JU!H2202,0)</f>
        <v>0</v>
      </c>
      <c r="G2202" s="72">
        <f>IF($D$3=JU!I2202,JU!K2202,0)</f>
        <v>0</v>
      </c>
      <c r="H2202" s="72" t="e">
        <f t="shared" si="35"/>
        <v>#REF!</v>
      </c>
    </row>
    <row r="2203" spans="2:8" hidden="1">
      <c r="B2203" s="68" t="str">
        <f>IF(OR($D$3=JU!$F2203,$D$3=JU!$I2203),JU!B2203,"")</f>
        <v/>
      </c>
      <c r="C2203" s="6" t="str">
        <f>IF(OR($D$3=JU!$F2203,$D$3=JU!$I2203),JU!C2203,"")</f>
        <v/>
      </c>
      <c r="D2203" s="73" t="str">
        <f>IF(OR($D$3=JU!$F2203,$D$3=JU!$I2203),JU!D2203,"")</f>
        <v/>
      </c>
      <c r="E2203" s="74" t="str">
        <f>IF(OR($D$3=JU!$F2203,$D$3=JU!$I2203),JU!E2203,"")</f>
        <v/>
      </c>
      <c r="F2203" s="72">
        <f>IF($D$3=JU!F2203,JU!H2203,0)</f>
        <v>0</v>
      </c>
      <c r="G2203" s="72">
        <f>IF($D$3=JU!I2203,JU!K2203,0)</f>
        <v>0</v>
      </c>
      <c r="H2203" s="72" t="e">
        <f t="shared" si="35"/>
        <v>#REF!</v>
      </c>
    </row>
    <row r="2204" spans="2:8" hidden="1">
      <c r="B2204" s="68" t="str">
        <f>IF(OR($D$3=JU!$F2204,$D$3=JU!$I2204),JU!B2204,"")</f>
        <v/>
      </c>
      <c r="C2204" s="6" t="str">
        <f>IF(OR($D$3=JU!$F2204,$D$3=JU!$I2204),JU!C2204,"")</f>
        <v/>
      </c>
      <c r="D2204" s="73" t="str">
        <f>IF(OR($D$3=JU!$F2204,$D$3=JU!$I2204),JU!D2204,"")</f>
        <v/>
      </c>
      <c r="E2204" s="74" t="str">
        <f>IF(OR($D$3=JU!$F2204,$D$3=JU!$I2204),JU!E2204,"")</f>
        <v/>
      </c>
      <c r="F2204" s="72">
        <f>IF($D$3=JU!F2204,JU!H2204,0)</f>
        <v>0</v>
      </c>
      <c r="G2204" s="72">
        <f>IF($D$3=JU!I2204,JU!K2204,0)</f>
        <v>0</v>
      </c>
      <c r="H2204" s="72" t="e">
        <f t="shared" si="35"/>
        <v>#REF!</v>
      </c>
    </row>
    <row r="2205" spans="2:8" hidden="1">
      <c r="B2205" s="68" t="str">
        <f>IF(OR($D$3=JU!$F2205,$D$3=JU!$I2205),JU!B2205,"")</f>
        <v/>
      </c>
      <c r="C2205" s="6" t="str">
        <f>IF(OR($D$3=JU!$F2205,$D$3=JU!$I2205),JU!C2205,"")</f>
        <v/>
      </c>
      <c r="D2205" s="73" t="str">
        <f>IF(OR($D$3=JU!$F2205,$D$3=JU!$I2205),JU!D2205,"")</f>
        <v/>
      </c>
      <c r="E2205" s="74" t="str">
        <f>IF(OR($D$3=JU!$F2205,$D$3=JU!$I2205),JU!E2205,"")</f>
        <v/>
      </c>
      <c r="F2205" s="72">
        <f>IF($D$3=JU!F2205,JU!H2205,0)</f>
        <v>0</v>
      </c>
      <c r="G2205" s="72">
        <f>IF($D$3=JU!I2205,JU!K2205,0)</f>
        <v>0</v>
      </c>
      <c r="H2205" s="72" t="e">
        <f t="shared" si="35"/>
        <v>#REF!</v>
      </c>
    </row>
    <row r="2206" spans="2:8" hidden="1">
      <c r="B2206" s="68" t="str">
        <f>IF(OR($D$3=JU!$F2206,$D$3=JU!$I2206),JU!B2206,"")</f>
        <v/>
      </c>
      <c r="C2206" s="6" t="str">
        <f>IF(OR($D$3=JU!$F2206,$D$3=JU!$I2206),JU!C2206,"")</f>
        <v/>
      </c>
      <c r="D2206" s="73" t="str">
        <f>IF(OR($D$3=JU!$F2206,$D$3=JU!$I2206),JU!D2206,"")</f>
        <v/>
      </c>
      <c r="E2206" s="74" t="str">
        <f>IF(OR($D$3=JU!$F2206,$D$3=JU!$I2206),JU!E2206,"")</f>
        <v/>
      </c>
      <c r="F2206" s="72">
        <f>IF($D$3=JU!F2206,JU!H2206,0)</f>
        <v>0</v>
      </c>
      <c r="G2206" s="72">
        <f>IF($D$3=JU!I2206,JU!K2206,0)</f>
        <v>0</v>
      </c>
      <c r="H2206" s="72" t="e">
        <f t="shared" si="35"/>
        <v>#REF!</v>
      </c>
    </row>
    <row r="2207" spans="2:8" hidden="1">
      <c r="B2207" s="68" t="str">
        <f>IF(OR($D$3=JU!$F2207,$D$3=JU!$I2207),JU!B2207,"")</f>
        <v/>
      </c>
      <c r="C2207" s="6" t="str">
        <f>IF(OR($D$3=JU!$F2207,$D$3=JU!$I2207),JU!C2207,"")</f>
        <v/>
      </c>
      <c r="D2207" s="73" t="str">
        <f>IF(OR($D$3=JU!$F2207,$D$3=JU!$I2207),JU!D2207,"")</f>
        <v/>
      </c>
      <c r="E2207" s="74" t="str">
        <f>IF(OR($D$3=JU!$F2207,$D$3=JU!$I2207),JU!E2207,"")</f>
        <v/>
      </c>
      <c r="F2207" s="72">
        <f>IF($D$3=JU!F2207,JU!H2207,0)</f>
        <v>0</v>
      </c>
      <c r="G2207" s="72">
        <f>IF($D$3=JU!I2207,JU!K2207,0)</f>
        <v>0</v>
      </c>
      <c r="H2207" s="72" t="e">
        <f t="shared" si="35"/>
        <v>#REF!</v>
      </c>
    </row>
    <row r="2208" spans="2:8" hidden="1">
      <c r="B2208" s="68" t="str">
        <f>IF(OR($D$3=JU!$F2208,$D$3=JU!$I2208),JU!B2208,"")</f>
        <v/>
      </c>
      <c r="C2208" s="6" t="str">
        <f>IF(OR($D$3=JU!$F2208,$D$3=JU!$I2208),JU!C2208,"")</f>
        <v/>
      </c>
      <c r="D2208" s="73" t="str">
        <f>IF(OR($D$3=JU!$F2208,$D$3=JU!$I2208),JU!D2208,"")</f>
        <v/>
      </c>
      <c r="E2208" s="74" t="str">
        <f>IF(OR($D$3=JU!$F2208,$D$3=JU!$I2208),JU!E2208,"")</f>
        <v/>
      </c>
      <c r="F2208" s="72">
        <f>IF($D$3=JU!F2208,JU!H2208,0)</f>
        <v>0</v>
      </c>
      <c r="G2208" s="72">
        <f>IF($D$3=JU!I2208,JU!K2208,0)</f>
        <v>0</v>
      </c>
      <c r="H2208" s="72" t="e">
        <f t="shared" si="35"/>
        <v>#REF!</v>
      </c>
    </row>
    <row r="2209" spans="2:8" hidden="1">
      <c r="B2209" s="68" t="str">
        <f>IF(OR($D$3=JU!$F2209,$D$3=JU!$I2209),JU!B2209,"")</f>
        <v/>
      </c>
      <c r="C2209" s="6" t="str">
        <f>IF(OR($D$3=JU!$F2209,$D$3=JU!$I2209),JU!C2209,"")</f>
        <v/>
      </c>
      <c r="D2209" s="73" t="str">
        <f>IF(OR($D$3=JU!$F2209,$D$3=JU!$I2209),JU!D2209,"")</f>
        <v/>
      </c>
      <c r="E2209" s="74" t="str">
        <f>IF(OR($D$3=JU!$F2209,$D$3=JU!$I2209),JU!E2209,"")</f>
        <v/>
      </c>
      <c r="F2209" s="72">
        <f>IF($D$3=JU!F2209,JU!H2209,0)</f>
        <v>0</v>
      </c>
      <c r="G2209" s="72">
        <f>IF($D$3=JU!I2209,JU!K2209,0)</f>
        <v>0</v>
      </c>
      <c r="H2209" s="72" t="e">
        <f t="shared" si="35"/>
        <v>#REF!</v>
      </c>
    </row>
    <row r="2210" spans="2:8" hidden="1">
      <c r="B2210" s="68" t="str">
        <f>IF(OR($D$3=JU!$F2210,$D$3=JU!$I2210),JU!B2210,"")</f>
        <v/>
      </c>
      <c r="C2210" s="6" t="str">
        <f>IF(OR($D$3=JU!$F2210,$D$3=JU!$I2210),JU!C2210,"")</f>
        <v/>
      </c>
      <c r="D2210" s="73" t="str">
        <f>IF(OR($D$3=JU!$F2210,$D$3=JU!$I2210),JU!D2210,"")</f>
        <v/>
      </c>
      <c r="E2210" s="74" t="str">
        <f>IF(OR($D$3=JU!$F2210,$D$3=JU!$I2210),JU!E2210,"")</f>
        <v/>
      </c>
      <c r="F2210" s="72">
        <f>IF($D$3=JU!F2210,JU!H2210,0)</f>
        <v>0</v>
      </c>
      <c r="G2210" s="72">
        <f>IF($D$3=JU!I2210,JU!K2210,0)</f>
        <v>0</v>
      </c>
      <c r="H2210" s="72" t="e">
        <f t="shared" si="35"/>
        <v>#REF!</v>
      </c>
    </row>
    <row r="2211" spans="2:8" hidden="1">
      <c r="B2211" s="68" t="str">
        <f>IF(OR($D$3=JU!$F2211,$D$3=JU!$I2211),JU!B2211,"")</f>
        <v/>
      </c>
      <c r="C2211" s="6" t="str">
        <f>IF(OR($D$3=JU!$F2211,$D$3=JU!$I2211),JU!C2211,"")</f>
        <v/>
      </c>
      <c r="D2211" s="73" t="str">
        <f>IF(OR($D$3=JU!$F2211,$D$3=JU!$I2211),JU!D2211,"")</f>
        <v/>
      </c>
      <c r="E2211" s="74" t="str">
        <f>IF(OR($D$3=JU!$F2211,$D$3=JU!$I2211),JU!E2211,"")</f>
        <v/>
      </c>
      <c r="F2211" s="72">
        <f>IF($D$3=JU!F2211,JU!H2211,0)</f>
        <v>0</v>
      </c>
      <c r="G2211" s="72">
        <f>IF($D$3=JU!I2211,JU!K2211,0)</f>
        <v>0</v>
      </c>
      <c r="H2211" s="72" t="e">
        <f t="shared" si="35"/>
        <v>#REF!</v>
      </c>
    </row>
    <row r="2212" spans="2:8" hidden="1">
      <c r="B2212" s="68" t="str">
        <f>IF(OR($D$3=JU!$F2212,$D$3=JU!$I2212),JU!B2212,"")</f>
        <v/>
      </c>
      <c r="C2212" s="6" t="str">
        <f>IF(OR($D$3=JU!$F2212,$D$3=JU!$I2212),JU!C2212,"")</f>
        <v/>
      </c>
      <c r="D2212" s="73" t="str">
        <f>IF(OR($D$3=JU!$F2212,$D$3=JU!$I2212),JU!D2212,"")</f>
        <v/>
      </c>
      <c r="E2212" s="74" t="str">
        <f>IF(OR($D$3=JU!$F2212,$D$3=JU!$I2212),JU!E2212,"")</f>
        <v/>
      </c>
      <c r="F2212" s="72">
        <f>IF($D$3=JU!F2212,JU!H2212,0)</f>
        <v>0</v>
      </c>
      <c r="G2212" s="72">
        <f>IF($D$3=JU!I2212,JU!K2212,0)</f>
        <v>0</v>
      </c>
      <c r="H2212" s="72" t="e">
        <f t="shared" si="35"/>
        <v>#REF!</v>
      </c>
    </row>
    <row r="2213" spans="2:8" hidden="1">
      <c r="B2213" s="68" t="str">
        <f>IF(OR($D$3=JU!$F2213,$D$3=JU!$I2213),JU!B2213,"")</f>
        <v/>
      </c>
      <c r="C2213" s="6" t="str">
        <f>IF(OR($D$3=JU!$F2213,$D$3=JU!$I2213),JU!C2213,"")</f>
        <v/>
      </c>
      <c r="D2213" s="73" t="str">
        <f>IF(OR($D$3=JU!$F2213,$D$3=JU!$I2213),JU!D2213,"")</f>
        <v/>
      </c>
      <c r="E2213" s="74" t="str">
        <f>IF(OR($D$3=JU!$F2213,$D$3=JU!$I2213),JU!E2213,"")</f>
        <v/>
      </c>
      <c r="F2213" s="72">
        <f>IF($D$3=JU!F2213,JU!H2213,0)</f>
        <v>0</v>
      </c>
      <c r="G2213" s="72">
        <f>IF($D$3=JU!I2213,JU!K2213,0)</f>
        <v>0</v>
      </c>
      <c r="H2213" s="72" t="e">
        <f t="shared" si="35"/>
        <v>#REF!</v>
      </c>
    </row>
    <row r="2214" spans="2:8" hidden="1">
      <c r="B2214" s="68" t="str">
        <f>IF(OR($D$3=JU!$F2214,$D$3=JU!$I2214),JU!B2214,"")</f>
        <v/>
      </c>
      <c r="C2214" s="6" t="str">
        <f>IF(OR($D$3=JU!$F2214,$D$3=JU!$I2214),JU!C2214,"")</f>
        <v/>
      </c>
      <c r="D2214" s="73" t="str">
        <f>IF(OR($D$3=JU!$F2214,$D$3=JU!$I2214),JU!D2214,"")</f>
        <v/>
      </c>
      <c r="E2214" s="74" t="str">
        <f>IF(OR($D$3=JU!$F2214,$D$3=JU!$I2214),JU!E2214,"")</f>
        <v/>
      </c>
      <c r="F2214" s="72">
        <f>IF($D$3=JU!F2214,JU!H2214,0)</f>
        <v>0</v>
      </c>
      <c r="G2214" s="72">
        <f>IF($D$3=JU!I2214,JU!K2214,0)</f>
        <v>0</v>
      </c>
      <c r="H2214" s="72" t="e">
        <f t="shared" si="35"/>
        <v>#REF!</v>
      </c>
    </row>
    <row r="2215" spans="2:8" hidden="1">
      <c r="B2215" s="68" t="str">
        <f>IF(OR($D$3=JU!$F2215,$D$3=JU!$I2215),JU!B2215,"")</f>
        <v/>
      </c>
      <c r="C2215" s="6" t="str">
        <f>IF(OR($D$3=JU!$F2215,$D$3=JU!$I2215),JU!C2215,"")</f>
        <v/>
      </c>
      <c r="D2215" s="73" t="str">
        <f>IF(OR($D$3=JU!$F2215,$D$3=JU!$I2215),JU!D2215,"")</f>
        <v/>
      </c>
      <c r="E2215" s="74" t="str">
        <f>IF(OR($D$3=JU!$F2215,$D$3=JU!$I2215),JU!E2215,"")</f>
        <v/>
      </c>
      <c r="F2215" s="72">
        <f>IF($D$3=JU!F2215,JU!H2215,0)</f>
        <v>0</v>
      </c>
      <c r="G2215" s="72">
        <f>IF($D$3=JU!I2215,JU!K2215,0)</f>
        <v>0</v>
      </c>
      <c r="H2215" s="72" t="e">
        <f t="shared" si="35"/>
        <v>#REF!</v>
      </c>
    </row>
    <row r="2216" spans="2:8" hidden="1">
      <c r="B2216" s="68" t="str">
        <f>IF(OR($D$3=JU!$F2216,$D$3=JU!$I2216),JU!B2216,"")</f>
        <v/>
      </c>
      <c r="C2216" s="6" t="str">
        <f>IF(OR($D$3=JU!$F2216,$D$3=JU!$I2216),JU!C2216,"")</f>
        <v/>
      </c>
      <c r="D2216" s="73" t="str">
        <f>IF(OR($D$3=JU!$F2216,$D$3=JU!$I2216),JU!D2216,"")</f>
        <v/>
      </c>
      <c r="E2216" s="74" t="str">
        <f>IF(OR($D$3=JU!$F2216,$D$3=JU!$I2216),JU!E2216,"")</f>
        <v/>
      </c>
      <c r="F2216" s="72">
        <f>IF($D$3=JU!F2216,JU!H2216,0)</f>
        <v>0</v>
      </c>
      <c r="G2216" s="72">
        <f>IF($D$3=JU!I2216,JU!K2216,0)</f>
        <v>0</v>
      </c>
      <c r="H2216" s="72" t="e">
        <f t="shared" si="35"/>
        <v>#REF!</v>
      </c>
    </row>
    <row r="2217" spans="2:8" hidden="1">
      <c r="B2217" s="68" t="str">
        <f>IF(OR($D$3=JU!$F2217,$D$3=JU!$I2217),JU!B2217,"")</f>
        <v/>
      </c>
      <c r="C2217" s="6" t="str">
        <f>IF(OR($D$3=JU!$F2217,$D$3=JU!$I2217),JU!C2217,"")</f>
        <v/>
      </c>
      <c r="D2217" s="73" t="str">
        <f>IF(OR($D$3=JU!$F2217,$D$3=JU!$I2217),JU!D2217,"")</f>
        <v/>
      </c>
      <c r="E2217" s="74" t="str">
        <f>IF(OR($D$3=JU!$F2217,$D$3=JU!$I2217),JU!E2217,"")</f>
        <v/>
      </c>
      <c r="F2217" s="72">
        <f>IF($D$3=JU!F2217,JU!H2217,0)</f>
        <v>0</v>
      </c>
      <c r="G2217" s="72">
        <f>IF($D$3=JU!I2217,JU!K2217,0)</f>
        <v>0</v>
      </c>
      <c r="H2217" s="72" t="e">
        <f t="shared" si="35"/>
        <v>#REF!</v>
      </c>
    </row>
    <row r="2218" spans="2:8" hidden="1">
      <c r="B2218" s="68" t="str">
        <f>IF(OR($D$3=JU!$F2218,$D$3=JU!$I2218),JU!B2218,"")</f>
        <v/>
      </c>
      <c r="C2218" s="6" t="str">
        <f>IF(OR($D$3=JU!$F2218,$D$3=JU!$I2218),JU!C2218,"")</f>
        <v/>
      </c>
      <c r="D2218" s="73" t="str">
        <f>IF(OR($D$3=JU!$F2218,$D$3=JU!$I2218),JU!D2218,"")</f>
        <v/>
      </c>
      <c r="E2218" s="74" t="str">
        <f>IF(OR($D$3=JU!$F2218,$D$3=JU!$I2218),JU!E2218,"")</f>
        <v/>
      </c>
      <c r="F2218" s="72">
        <f>IF($D$3=JU!F2218,JU!H2218,0)</f>
        <v>0</v>
      </c>
      <c r="G2218" s="72">
        <f>IF($D$3=JU!I2218,JU!K2218,0)</f>
        <v>0</v>
      </c>
      <c r="H2218" s="72" t="e">
        <f t="shared" si="35"/>
        <v>#REF!</v>
      </c>
    </row>
    <row r="2219" spans="2:8" hidden="1">
      <c r="B2219" s="68" t="str">
        <f>IF(OR($D$3=JU!$F2219,$D$3=JU!$I2219),JU!B2219,"")</f>
        <v/>
      </c>
      <c r="C2219" s="6" t="str">
        <f>IF(OR($D$3=JU!$F2219,$D$3=JU!$I2219),JU!C2219,"")</f>
        <v/>
      </c>
      <c r="D2219" s="73" t="str">
        <f>IF(OR($D$3=JU!$F2219,$D$3=JU!$I2219),JU!D2219,"")</f>
        <v/>
      </c>
      <c r="E2219" s="74" t="str">
        <f>IF(OR($D$3=JU!$F2219,$D$3=JU!$I2219),JU!E2219,"")</f>
        <v/>
      </c>
      <c r="F2219" s="72">
        <f>IF($D$3=JU!F2219,JU!H2219,0)</f>
        <v>0</v>
      </c>
      <c r="G2219" s="72">
        <f>IF($D$3=JU!I2219,JU!K2219,0)</f>
        <v>0</v>
      </c>
      <c r="H2219" s="72" t="e">
        <f t="shared" si="35"/>
        <v>#REF!</v>
      </c>
    </row>
    <row r="2220" spans="2:8" hidden="1">
      <c r="B2220" s="68" t="str">
        <f>IF(OR($D$3=JU!$F2220,$D$3=JU!$I2220),JU!B2220,"")</f>
        <v/>
      </c>
      <c r="C2220" s="6" t="str">
        <f>IF(OR($D$3=JU!$F2220,$D$3=JU!$I2220),JU!C2220,"")</f>
        <v/>
      </c>
      <c r="D2220" s="73" t="str">
        <f>IF(OR($D$3=JU!$F2220,$D$3=JU!$I2220),JU!D2220,"")</f>
        <v/>
      </c>
      <c r="E2220" s="74" t="str">
        <f>IF(OR($D$3=JU!$F2220,$D$3=JU!$I2220),JU!E2220,"")</f>
        <v/>
      </c>
      <c r="F2220" s="72">
        <f>IF($D$3=JU!F2220,JU!H2220,0)</f>
        <v>0</v>
      </c>
      <c r="G2220" s="72">
        <f>IF($D$3=JU!I2220,JU!K2220,0)</f>
        <v>0</v>
      </c>
      <c r="H2220" s="72" t="e">
        <f t="shared" si="35"/>
        <v>#REF!</v>
      </c>
    </row>
    <row r="2221" spans="2:8" hidden="1">
      <c r="B2221" s="68" t="str">
        <f>IF(OR($D$3=JU!$F2221,$D$3=JU!$I2221),JU!B2221,"")</f>
        <v/>
      </c>
      <c r="C2221" s="6" t="str">
        <f>IF(OR($D$3=JU!$F2221,$D$3=JU!$I2221),JU!C2221,"")</f>
        <v/>
      </c>
      <c r="D2221" s="73" t="str">
        <f>IF(OR($D$3=JU!$F2221,$D$3=JU!$I2221),JU!D2221,"")</f>
        <v/>
      </c>
      <c r="E2221" s="74" t="str">
        <f>IF(OR($D$3=JU!$F2221,$D$3=JU!$I2221),JU!E2221,"")</f>
        <v/>
      </c>
      <c r="F2221" s="72">
        <f>IF($D$3=JU!F2221,JU!H2221,0)</f>
        <v>0</v>
      </c>
      <c r="G2221" s="72">
        <f>IF($D$3=JU!I2221,JU!K2221,0)</f>
        <v>0</v>
      </c>
      <c r="H2221" s="72" t="e">
        <f t="shared" si="35"/>
        <v>#REF!</v>
      </c>
    </row>
    <row r="2222" spans="2:8" hidden="1">
      <c r="B2222" s="68" t="str">
        <f>IF(OR($D$3=JU!$F2222,$D$3=JU!$I2222),JU!B2222,"")</f>
        <v/>
      </c>
      <c r="C2222" s="6" t="str">
        <f>IF(OR($D$3=JU!$F2222,$D$3=JU!$I2222),JU!C2222,"")</f>
        <v/>
      </c>
      <c r="D2222" s="73" t="str">
        <f>IF(OR($D$3=JU!$F2222,$D$3=JU!$I2222),JU!D2222,"")</f>
        <v/>
      </c>
      <c r="E2222" s="74" t="str">
        <f>IF(OR($D$3=JU!$F2222,$D$3=JU!$I2222),JU!E2222,"")</f>
        <v/>
      </c>
      <c r="F2222" s="72">
        <f>IF($D$3=JU!F2222,JU!H2222,0)</f>
        <v>0</v>
      </c>
      <c r="G2222" s="72">
        <f>IF($D$3=JU!I2222,JU!K2222,0)</f>
        <v>0</v>
      </c>
      <c r="H2222" s="72" t="e">
        <f t="shared" si="35"/>
        <v>#REF!</v>
      </c>
    </row>
    <row r="2223" spans="2:8" hidden="1">
      <c r="B2223" s="68" t="str">
        <f>IF(OR($D$3=JU!$F2223,$D$3=JU!$I2223),JU!B2223,"")</f>
        <v/>
      </c>
      <c r="C2223" s="6" t="str">
        <f>IF(OR($D$3=JU!$F2223,$D$3=JU!$I2223),JU!C2223,"")</f>
        <v/>
      </c>
      <c r="D2223" s="73" t="str">
        <f>IF(OR($D$3=JU!$F2223,$D$3=JU!$I2223),JU!D2223,"")</f>
        <v/>
      </c>
      <c r="E2223" s="74" t="str">
        <f>IF(OR($D$3=JU!$F2223,$D$3=JU!$I2223),JU!E2223,"")</f>
        <v/>
      </c>
      <c r="F2223" s="72">
        <f>IF($D$3=JU!F2223,JU!H2223,0)</f>
        <v>0</v>
      </c>
      <c r="G2223" s="72">
        <f>IF($D$3=JU!I2223,JU!K2223,0)</f>
        <v>0</v>
      </c>
      <c r="H2223" s="72" t="e">
        <f t="shared" si="35"/>
        <v>#REF!</v>
      </c>
    </row>
    <row r="2224" spans="2:8" hidden="1">
      <c r="B2224" s="68" t="str">
        <f>IF(OR($D$3=JU!$F2224,$D$3=JU!$I2224),JU!B2224,"")</f>
        <v/>
      </c>
      <c r="C2224" s="6" t="str">
        <f>IF(OR($D$3=JU!$F2224,$D$3=JU!$I2224),JU!C2224,"")</f>
        <v/>
      </c>
      <c r="D2224" s="73" t="str">
        <f>IF(OR($D$3=JU!$F2224,$D$3=JU!$I2224),JU!D2224,"")</f>
        <v/>
      </c>
      <c r="E2224" s="74" t="str">
        <f>IF(OR($D$3=JU!$F2224,$D$3=JU!$I2224),JU!E2224,"")</f>
        <v/>
      </c>
      <c r="F2224" s="72">
        <f>IF($D$3=JU!F2224,JU!H2224,0)</f>
        <v>0</v>
      </c>
      <c r="G2224" s="72">
        <f>IF($D$3=JU!I2224,JU!K2224,0)</f>
        <v>0</v>
      </c>
      <c r="H2224" s="72" t="e">
        <f t="shared" si="35"/>
        <v>#REF!</v>
      </c>
    </row>
    <row r="2225" spans="2:8" hidden="1">
      <c r="B2225" s="68" t="str">
        <f>IF(OR($D$3=JU!$F2225,$D$3=JU!$I2225),JU!B2225,"")</f>
        <v/>
      </c>
      <c r="C2225" s="6" t="str">
        <f>IF(OR($D$3=JU!$F2225,$D$3=JU!$I2225),JU!C2225,"")</f>
        <v/>
      </c>
      <c r="D2225" s="73" t="str">
        <f>IF(OR($D$3=JU!$F2225,$D$3=JU!$I2225),JU!D2225,"")</f>
        <v/>
      </c>
      <c r="E2225" s="74" t="str">
        <f>IF(OR($D$3=JU!$F2225,$D$3=JU!$I2225),JU!E2225,"")</f>
        <v/>
      </c>
      <c r="F2225" s="72">
        <f>IF($D$3=JU!F2225,JU!H2225,0)</f>
        <v>0</v>
      </c>
      <c r="G2225" s="72">
        <f>IF($D$3=JU!I2225,JU!K2225,0)</f>
        <v>0</v>
      </c>
      <c r="H2225" s="72" t="e">
        <f t="shared" si="35"/>
        <v>#REF!</v>
      </c>
    </row>
    <row r="2226" spans="2:8" hidden="1">
      <c r="B2226" s="68" t="str">
        <f>IF(OR($D$3=JU!$F2226,$D$3=JU!$I2226),JU!B2226,"")</f>
        <v/>
      </c>
      <c r="C2226" s="6" t="str">
        <f>IF(OR($D$3=JU!$F2226,$D$3=JU!$I2226),JU!C2226,"")</f>
        <v/>
      </c>
      <c r="D2226" s="73" t="str">
        <f>IF(OR($D$3=JU!$F2226,$D$3=JU!$I2226),JU!D2226,"")</f>
        <v/>
      </c>
      <c r="E2226" s="74" t="str">
        <f>IF(OR($D$3=JU!$F2226,$D$3=JU!$I2226),JU!E2226,"")</f>
        <v/>
      </c>
      <c r="F2226" s="72">
        <f>IF($D$3=JU!F2226,JU!H2226,0)</f>
        <v>0</v>
      </c>
      <c r="G2226" s="72">
        <f>IF($D$3=JU!I2226,JU!K2226,0)</f>
        <v>0</v>
      </c>
      <c r="H2226" s="72" t="e">
        <f t="shared" si="35"/>
        <v>#REF!</v>
      </c>
    </row>
    <row r="2227" spans="2:8" hidden="1">
      <c r="B2227" s="68" t="str">
        <f>IF(OR($D$3=JU!$F2227,$D$3=JU!$I2227),JU!B2227,"")</f>
        <v/>
      </c>
      <c r="C2227" s="6" t="str">
        <f>IF(OR($D$3=JU!$F2227,$D$3=JU!$I2227),JU!C2227,"")</f>
        <v/>
      </c>
      <c r="D2227" s="73" t="str">
        <f>IF(OR($D$3=JU!$F2227,$D$3=JU!$I2227),JU!D2227,"")</f>
        <v/>
      </c>
      <c r="E2227" s="74" t="str">
        <f>IF(OR($D$3=JU!$F2227,$D$3=JU!$I2227),JU!E2227,"")</f>
        <v/>
      </c>
      <c r="F2227" s="72">
        <f>IF($D$3=JU!F2227,JU!H2227,0)</f>
        <v>0</v>
      </c>
      <c r="G2227" s="72">
        <f>IF($D$3=JU!I2227,JU!K2227,0)</f>
        <v>0</v>
      </c>
      <c r="H2227" s="72" t="e">
        <f t="shared" si="35"/>
        <v>#REF!</v>
      </c>
    </row>
    <row r="2228" spans="2:8" hidden="1">
      <c r="B2228" s="68" t="str">
        <f>IF(OR($D$3=JU!$F2228,$D$3=JU!$I2228),JU!B2228,"")</f>
        <v/>
      </c>
      <c r="C2228" s="6" t="str">
        <f>IF(OR($D$3=JU!$F2228,$D$3=JU!$I2228),JU!C2228,"")</f>
        <v/>
      </c>
      <c r="D2228" s="73" t="str">
        <f>IF(OR($D$3=JU!$F2228,$D$3=JU!$I2228),JU!D2228,"")</f>
        <v/>
      </c>
      <c r="E2228" s="74" t="str">
        <f>IF(OR($D$3=JU!$F2228,$D$3=JU!$I2228),JU!E2228,"")</f>
        <v/>
      </c>
      <c r="F2228" s="72">
        <f>IF($D$3=JU!F2228,JU!H2228,0)</f>
        <v>0</v>
      </c>
      <c r="G2228" s="72">
        <f>IF($D$3=JU!I2228,JU!K2228,0)</f>
        <v>0</v>
      </c>
      <c r="H2228" s="72" t="e">
        <f t="shared" si="35"/>
        <v>#REF!</v>
      </c>
    </row>
    <row r="2229" spans="2:8" hidden="1">
      <c r="B2229" s="68" t="str">
        <f>IF(OR($D$3=JU!$F2229,$D$3=JU!$I2229),JU!B2229,"")</f>
        <v/>
      </c>
      <c r="C2229" s="6" t="str">
        <f>IF(OR($D$3=JU!$F2229,$D$3=JU!$I2229),JU!C2229,"")</f>
        <v/>
      </c>
      <c r="D2229" s="73" t="str">
        <f>IF(OR($D$3=JU!$F2229,$D$3=JU!$I2229),JU!D2229,"")</f>
        <v/>
      </c>
      <c r="E2229" s="74" t="str">
        <f>IF(OR($D$3=JU!$F2229,$D$3=JU!$I2229),JU!E2229,"")</f>
        <v/>
      </c>
      <c r="F2229" s="72">
        <f>IF($D$3=JU!F2229,JU!H2229,0)</f>
        <v>0</v>
      </c>
      <c r="G2229" s="72">
        <f>IF($D$3=JU!I2229,JU!K2229,0)</f>
        <v>0</v>
      </c>
      <c r="H2229" s="72" t="e">
        <f t="shared" si="35"/>
        <v>#REF!</v>
      </c>
    </row>
    <row r="2230" spans="2:8" hidden="1">
      <c r="B2230" s="68" t="str">
        <f>IF(OR($D$3=JU!$F2230,$D$3=JU!$I2230),JU!B2230,"")</f>
        <v/>
      </c>
      <c r="C2230" s="6" t="str">
        <f>IF(OR($D$3=JU!$F2230,$D$3=JU!$I2230),JU!C2230,"")</f>
        <v/>
      </c>
      <c r="D2230" s="73" t="str">
        <f>IF(OR($D$3=JU!$F2230,$D$3=JU!$I2230),JU!D2230,"")</f>
        <v/>
      </c>
      <c r="E2230" s="74" t="str">
        <f>IF(OR($D$3=JU!$F2230,$D$3=JU!$I2230),JU!E2230,"")</f>
        <v/>
      </c>
      <c r="F2230" s="72">
        <f>IF($D$3=JU!F2230,JU!H2230,0)</f>
        <v>0</v>
      </c>
      <c r="G2230" s="72">
        <f>IF($D$3=JU!I2230,JU!K2230,0)</f>
        <v>0</v>
      </c>
      <c r="H2230" s="72" t="e">
        <f t="shared" si="35"/>
        <v>#REF!</v>
      </c>
    </row>
    <row r="2231" spans="2:8" hidden="1">
      <c r="B2231" s="68" t="str">
        <f>IF(OR($D$3=JU!$F2231,$D$3=JU!$I2231),JU!B2231,"")</f>
        <v/>
      </c>
      <c r="C2231" s="6" t="str">
        <f>IF(OR($D$3=JU!$F2231,$D$3=JU!$I2231),JU!C2231,"")</f>
        <v/>
      </c>
      <c r="D2231" s="73" t="str">
        <f>IF(OR($D$3=JU!$F2231,$D$3=JU!$I2231),JU!D2231,"")</f>
        <v/>
      </c>
      <c r="E2231" s="74" t="str">
        <f>IF(OR($D$3=JU!$F2231,$D$3=JU!$I2231),JU!E2231,"")</f>
        <v/>
      </c>
      <c r="F2231" s="72">
        <f>IF($D$3=JU!F2231,JU!H2231,0)</f>
        <v>0</v>
      </c>
      <c r="G2231" s="72">
        <f>IF($D$3=JU!I2231,JU!K2231,0)</f>
        <v>0</v>
      </c>
      <c r="H2231" s="72" t="e">
        <f t="shared" si="35"/>
        <v>#REF!</v>
      </c>
    </row>
    <row r="2232" spans="2:8" hidden="1">
      <c r="B2232" s="68" t="str">
        <f>IF(OR($D$3=JU!$F2232,$D$3=JU!$I2232),JU!B2232,"")</f>
        <v/>
      </c>
      <c r="C2232" s="6" t="str">
        <f>IF(OR($D$3=JU!$F2232,$D$3=JU!$I2232),JU!C2232,"")</f>
        <v/>
      </c>
      <c r="D2232" s="73" t="str">
        <f>IF(OR($D$3=JU!$F2232,$D$3=JU!$I2232),JU!D2232,"")</f>
        <v/>
      </c>
      <c r="E2232" s="74" t="str">
        <f>IF(OR($D$3=JU!$F2232,$D$3=JU!$I2232),JU!E2232,"")</f>
        <v/>
      </c>
      <c r="F2232" s="72">
        <f>IF($D$3=JU!F2232,JU!H2232,0)</f>
        <v>0</v>
      </c>
      <c r="G2232" s="72">
        <f>IF($D$3=JU!I2232,JU!K2232,0)</f>
        <v>0</v>
      </c>
      <c r="H2232" s="72" t="e">
        <f t="shared" si="35"/>
        <v>#REF!</v>
      </c>
    </row>
    <row r="2233" spans="2:8" hidden="1">
      <c r="B2233" s="68" t="str">
        <f>IF(OR($D$3=JU!$F2233,$D$3=JU!$I2233),JU!B2233,"")</f>
        <v/>
      </c>
      <c r="C2233" s="6" t="str">
        <f>IF(OR($D$3=JU!$F2233,$D$3=JU!$I2233),JU!C2233,"")</f>
        <v/>
      </c>
      <c r="D2233" s="73" t="str">
        <f>IF(OR($D$3=JU!$F2233,$D$3=JU!$I2233),JU!D2233,"")</f>
        <v/>
      </c>
      <c r="E2233" s="74" t="str">
        <f>IF(OR($D$3=JU!$F2233,$D$3=JU!$I2233),JU!E2233,"")</f>
        <v/>
      </c>
      <c r="F2233" s="72">
        <f>IF($D$3=JU!F2233,JU!H2233,0)</f>
        <v>0</v>
      </c>
      <c r="G2233" s="72">
        <f>IF($D$3=JU!I2233,JU!K2233,0)</f>
        <v>0</v>
      </c>
      <c r="H2233" s="72" t="e">
        <f t="shared" si="35"/>
        <v>#REF!</v>
      </c>
    </row>
    <row r="2234" spans="2:8" hidden="1">
      <c r="B2234" s="68" t="str">
        <f>IF(OR($D$3=JU!$F2234,$D$3=JU!$I2234),JU!B2234,"")</f>
        <v/>
      </c>
      <c r="C2234" s="6" t="str">
        <f>IF(OR($D$3=JU!$F2234,$D$3=JU!$I2234),JU!C2234,"")</f>
        <v/>
      </c>
      <c r="D2234" s="73" t="str">
        <f>IF(OR($D$3=JU!$F2234,$D$3=JU!$I2234),JU!D2234,"")</f>
        <v/>
      </c>
      <c r="E2234" s="74" t="str">
        <f>IF(OR($D$3=JU!$F2234,$D$3=JU!$I2234),JU!E2234,"")</f>
        <v/>
      </c>
      <c r="F2234" s="72">
        <f>IF($D$3=JU!F2234,JU!H2234,0)</f>
        <v>0</v>
      </c>
      <c r="G2234" s="72">
        <f>IF($D$3=JU!I2234,JU!K2234,0)</f>
        <v>0</v>
      </c>
      <c r="H2234" s="72" t="e">
        <f t="shared" si="35"/>
        <v>#REF!</v>
      </c>
    </row>
    <row r="2235" spans="2:8" hidden="1">
      <c r="B2235" s="68" t="str">
        <f>IF(OR($D$3=JU!$F2235,$D$3=JU!$I2235),JU!B2235,"")</f>
        <v/>
      </c>
      <c r="C2235" s="6" t="str">
        <f>IF(OR($D$3=JU!$F2235,$D$3=JU!$I2235),JU!C2235,"")</f>
        <v/>
      </c>
      <c r="D2235" s="73" t="str">
        <f>IF(OR($D$3=JU!$F2235,$D$3=JU!$I2235),JU!D2235,"")</f>
        <v/>
      </c>
      <c r="E2235" s="74" t="str">
        <f>IF(OR($D$3=JU!$F2235,$D$3=JU!$I2235),JU!E2235,"")</f>
        <v/>
      </c>
      <c r="F2235" s="72">
        <f>IF($D$3=JU!F2235,JU!H2235,0)</f>
        <v>0</v>
      </c>
      <c r="G2235" s="72">
        <f>IF($D$3=JU!I2235,JU!K2235,0)</f>
        <v>0</v>
      </c>
      <c r="H2235" s="72" t="e">
        <f t="shared" si="35"/>
        <v>#REF!</v>
      </c>
    </row>
    <row r="2236" spans="2:8" hidden="1">
      <c r="B2236" s="68" t="str">
        <f>IF(OR($D$3=JU!$F2236,$D$3=JU!$I2236),JU!B2236,"")</f>
        <v/>
      </c>
      <c r="C2236" s="6" t="str">
        <f>IF(OR($D$3=JU!$F2236,$D$3=JU!$I2236),JU!C2236,"")</f>
        <v/>
      </c>
      <c r="D2236" s="73" t="str">
        <f>IF(OR($D$3=JU!$F2236,$D$3=JU!$I2236),JU!D2236,"")</f>
        <v/>
      </c>
      <c r="E2236" s="74" t="str">
        <f>IF(OR($D$3=JU!$F2236,$D$3=JU!$I2236),JU!E2236,"")</f>
        <v/>
      </c>
      <c r="F2236" s="72">
        <f>IF($D$3=JU!F2236,JU!H2236,0)</f>
        <v>0</v>
      </c>
      <c r="G2236" s="72">
        <f>IF($D$3=JU!I2236,JU!K2236,0)</f>
        <v>0</v>
      </c>
      <c r="H2236" s="72" t="e">
        <f t="shared" si="35"/>
        <v>#REF!</v>
      </c>
    </row>
    <row r="2237" spans="2:8" hidden="1">
      <c r="B2237" s="68" t="str">
        <f>IF(OR($D$3=JU!$F2237,$D$3=JU!$I2237),JU!B2237,"")</f>
        <v/>
      </c>
      <c r="C2237" s="6" t="str">
        <f>IF(OR($D$3=JU!$F2237,$D$3=JU!$I2237),JU!C2237,"")</f>
        <v/>
      </c>
      <c r="D2237" s="73" t="str">
        <f>IF(OR($D$3=JU!$F2237,$D$3=JU!$I2237),JU!D2237,"")</f>
        <v/>
      </c>
      <c r="E2237" s="74" t="str">
        <f>IF(OR($D$3=JU!$F2237,$D$3=JU!$I2237),JU!E2237,"")</f>
        <v/>
      </c>
      <c r="F2237" s="72">
        <f>IF($D$3=JU!F2237,JU!H2237,0)</f>
        <v>0</v>
      </c>
      <c r="G2237" s="72">
        <f>IF($D$3=JU!I2237,JU!K2237,0)</f>
        <v>0</v>
      </c>
      <c r="H2237" s="72" t="e">
        <f t="shared" si="35"/>
        <v>#REF!</v>
      </c>
    </row>
    <row r="2238" spans="2:8" hidden="1">
      <c r="B2238" s="68" t="str">
        <f>IF(OR($D$3=JU!$F2238,$D$3=JU!$I2238),JU!B2238,"")</f>
        <v/>
      </c>
      <c r="C2238" s="6" t="str">
        <f>IF(OR($D$3=JU!$F2238,$D$3=JU!$I2238),JU!C2238,"")</f>
        <v/>
      </c>
      <c r="D2238" s="73" t="str">
        <f>IF(OR($D$3=JU!$F2238,$D$3=JU!$I2238),JU!D2238,"")</f>
        <v/>
      </c>
      <c r="E2238" s="74" t="str">
        <f>IF(OR($D$3=JU!$F2238,$D$3=JU!$I2238),JU!E2238,"")</f>
        <v/>
      </c>
      <c r="F2238" s="72">
        <f>IF($D$3=JU!F2238,JU!H2238,0)</f>
        <v>0</v>
      </c>
      <c r="G2238" s="72">
        <f>IF($D$3=JU!I2238,JU!K2238,0)</f>
        <v>0</v>
      </c>
      <c r="H2238" s="72" t="e">
        <f t="shared" si="35"/>
        <v>#REF!</v>
      </c>
    </row>
    <row r="2239" spans="2:8" hidden="1">
      <c r="B2239" s="68" t="str">
        <f>IF(OR($D$3=JU!$F2239,$D$3=JU!$I2239),JU!B2239,"")</f>
        <v/>
      </c>
      <c r="C2239" s="6" t="str">
        <f>IF(OR($D$3=JU!$F2239,$D$3=JU!$I2239),JU!C2239,"")</f>
        <v/>
      </c>
      <c r="D2239" s="73" t="str">
        <f>IF(OR($D$3=JU!$F2239,$D$3=JU!$I2239),JU!D2239,"")</f>
        <v/>
      </c>
      <c r="E2239" s="74" t="str">
        <f>IF(OR($D$3=JU!$F2239,$D$3=JU!$I2239),JU!E2239,"")</f>
        <v/>
      </c>
      <c r="F2239" s="72">
        <f>IF($D$3=JU!F2239,JU!H2239,0)</f>
        <v>0</v>
      </c>
      <c r="G2239" s="72">
        <f>IF($D$3=JU!I2239,JU!K2239,0)</f>
        <v>0</v>
      </c>
      <c r="H2239" s="72" t="e">
        <f t="shared" si="35"/>
        <v>#REF!</v>
      </c>
    </row>
    <row r="2240" spans="2:8" hidden="1">
      <c r="B2240" s="68" t="str">
        <f>IF(OR($D$3=JU!$F2240,$D$3=JU!$I2240),JU!B2240,"")</f>
        <v/>
      </c>
      <c r="C2240" s="6" t="str">
        <f>IF(OR($D$3=JU!$F2240,$D$3=JU!$I2240),JU!C2240,"")</f>
        <v/>
      </c>
      <c r="D2240" s="73" t="str">
        <f>IF(OR($D$3=JU!$F2240,$D$3=JU!$I2240),JU!D2240,"")</f>
        <v/>
      </c>
      <c r="E2240" s="74" t="str">
        <f>IF(OR($D$3=JU!$F2240,$D$3=JU!$I2240),JU!E2240,"")</f>
        <v/>
      </c>
      <c r="F2240" s="72">
        <f>IF($D$3=JU!F2240,JU!H2240,0)</f>
        <v>0</v>
      </c>
      <c r="G2240" s="72">
        <f>IF($D$3=JU!I2240,JU!K2240,0)</f>
        <v>0</v>
      </c>
      <c r="H2240" s="72" t="e">
        <f t="shared" si="35"/>
        <v>#REF!</v>
      </c>
    </row>
    <row r="2241" spans="2:8" hidden="1">
      <c r="B2241" s="68" t="str">
        <f>IF(OR($D$3=JU!$F2241,$D$3=JU!$I2241),JU!B2241,"")</f>
        <v/>
      </c>
      <c r="C2241" s="6" t="str">
        <f>IF(OR($D$3=JU!$F2241,$D$3=JU!$I2241),JU!C2241,"")</f>
        <v/>
      </c>
      <c r="D2241" s="73" t="str">
        <f>IF(OR($D$3=JU!$F2241,$D$3=JU!$I2241),JU!D2241,"")</f>
        <v/>
      </c>
      <c r="E2241" s="74" t="str">
        <f>IF(OR($D$3=JU!$F2241,$D$3=JU!$I2241),JU!E2241,"")</f>
        <v/>
      </c>
      <c r="F2241" s="72">
        <f>IF($D$3=JU!F2241,JU!H2241,0)</f>
        <v>0</v>
      </c>
      <c r="G2241" s="72">
        <f>IF($D$3=JU!I2241,JU!K2241,0)</f>
        <v>0</v>
      </c>
      <c r="H2241" s="72" t="e">
        <f t="shared" si="35"/>
        <v>#REF!</v>
      </c>
    </row>
    <row r="2242" spans="2:8" hidden="1">
      <c r="B2242" s="68" t="str">
        <f>IF(OR($D$3=JU!$F2242,$D$3=JU!$I2242),JU!B2242,"")</f>
        <v/>
      </c>
      <c r="C2242" s="6" t="str">
        <f>IF(OR($D$3=JU!$F2242,$D$3=JU!$I2242),JU!C2242,"")</f>
        <v/>
      </c>
      <c r="D2242" s="73" t="str">
        <f>IF(OR($D$3=JU!$F2242,$D$3=JU!$I2242),JU!D2242,"")</f>
        <v/>
      </c>
      <c r="E2242" s="74" t="str">
        <f>IF(OR($D$3=JU!$F2242,$D$3=JU!$I2242),JU!E2242,"")</f>
        <v/>
      </c>
      <c r="F2242" s="72">
        <f>IF($D$3=JU!F2242,JU!H2242,0)</f>
        <v>0</v>
      </c>
      <c r="G2242" s="72">
        <f>IF($D$3=JU!I2242,JU!K2242,0)</f>
        <v>0</v>
      </c>
      <c r="H2242" s="72" t="e">
        <f t="shared" si="35"/>
        <v>#REF!</v>
      </c>
    </row>
    <row r="2243" spans="2:8" hidden="1">
      <c r="B2243" s="68" t="str">
        <f>IF(OR($D$3=JU!$F2243,$D$3=JU!$I2243),JU!B2243,"")</f>
        <v/>
      </c>
      <c r="C2243" s="6" t="str">
        <f>IF(OR($D$3=JU!$F2243,$D$3=JU!$I2243),JU!C2243,"")</f>
        <v/>
      </c>
      <c r="D2243" s="73" t="str">
        <f>IF(OR($D$3=JU!$F2243,$D$3=JU!$I2243),JU!D2243,"")</f>
        <v/>
      </c>
      <c r="E2243" s="74" t="str">
        <f>IF(OR($D$3=JU!$F2243,$D$3=JU!$I2243),JU!E2243,"")</f>
        <v/>
      </c>
      <c r="F2243" s="72">
        <f>IF($D$3=JU!F2243,JU!H2243,0)</f>
        <v>0</v>
      </c>
      <c r="G2243" s="72">
        <f>IF($D$3=JU!I2243,JU!K2243,0)</f>
        <v>0</v>
      </c>
      <c r="H2243" s="72" t="e">
        <f t="shared" si="35"/>
        <v>#REF!</v>
      </c>
    </row>
    <row r="2244" spans="2:8" hidden="1">
      <c r="B2244" s="68" t="str">
        <f>IF(OR($D$3=JU!$F2244,$D$3=JU!$I2244),JU!B2244,"")</f>
        <v/>
      </c>
      <c r="C2244" s="6" t="str">
        <f>IF(OR($D$3=JU!$F2244,$D$3=JU!$I2244),JU!C2244,"")</f>
        <v/>
      </c>
      <c r="D2244" s="73" t="str">
        <f>IF(OR($D$3=JU!$F2244,$D$3=JU!$I2244),JU!D2244,"")</f>
        <v/>
      </c>
      <c r="E2244" s="74" t="str">
        <f>IF(OR($D$3=JU!$F2244,$D$3=JU!$I2244),JU!E2244,"")</f>
        <v/>
      </c>
      <c r="F2244" s="72">
        <f>IF($D$3=JU!F2244,JU!H2244,0)</f>
        <v>0</v>
      </c>
      <c r="G2244" s="72">
        <f>IF($D$3=JU!I2244,JU!K2244,0)</f>
        <v>0</v>
      </c>
      <c r="H2244" s="72" t="e">
        <f t="shared" si="35"/>
        <v>#REF!</v>
      </c>
    </row>
    <row r="2245" spans="2:8" hidden="1">
      <c r="B2245" s="68" t="str">
        <f>IF(OR($D$3=JU!$F2245,$D$3=JU!$I2245),JU!B2245,"")</f>
        <v/>
      </c>
      <c r="C2245" s="6" t="str">
        <f>IF(OR($D$3=JU!$F2245,$D$3=JU!$I2245),JU!C2245,"")</f>
        <v/>
      </c>
      <c r="D2245" s="73" t="str">
        <f>IF(OR($D$3=JU!$F2245,$D$3=JU!$I2245),JU!D2245,"")</f>
        <v/>
      </c>
      <c r="E2245" s="74" t="str">
        <f>IF(OR($D$3=JU!$F2245,$D$3=JU!$I2245),JU!E2245,"")</f>
        <v/>
      </c>
      <c r="F2245" s="72">
        <f>IF($D$3=JU!F2245,JU!H2245,0)</f>
        <v>0</v>
      </c>
      <c r="G2245" s="72">
        <f>IF($D$3=JU!I2245,JU!K2245,0)</f>
        <v>0</v>
      </c>
      <c r="H2245" s="72" t="e">
        <f t="shared" si="35"/>
        <v>#REF!</v>
      </c>
    </row>
    <row r="2246" spans="2:8" hidden="1">
      <c r="B2246" s="68" t="str">
        <f>IF(OR($D$3=JU!$F2246,$D$3=JU!$I2246),JU!B2246,"")</f>
        <v/>
      </c>
      <c r="C2246" s="6" t="str">
        <f>IF(OR($D$3=JU!$F2246,$D$3=JU!$I2246),JU!C2246,"")</f>
        <v/>
      </c>
      <c r="D2246" s="73" t="str">
        <f>IF(OR($D$3=JU!$F2246,$D$3=JU!$I2246),JU!D2246,"")</f>
        <v/>
      </c>
      <c r="E2246" s="74" t="str">
        <f>IF(OR($D$3=JU!$F2246,$D$3=JU!$I2246),JU!E2246,"")</f>
        <v/>
      </c>
      <c r="F2246" s="72">
        <f>IF($D$3=JU!F2246,JU!H2246,0)</f>
        <v>0</v>
      </c>
      <c r="G2246" s="72">
        <f>IF($D$3=JU!I2246,JU!K2246,0)</f>
        <v>0</v>
      </c>
      <c r="H2246" s="72" t="e">
        <f t="shared" si="35"/>
        <v>#REF!</v>
      </c>
    </row>
    <row r="2247" spans="2:8" hidden="1">
      <c r="B2247" s="68" t="str">
        <f>IF(OR($D$3=JU!$F2247,$D$3=JU!$I2247),JU!B2247,"")</f>
        <v/>
      </c>
      <c r="C2247" s="6" t="str">
        <f>IF(OR($D$3=JU!$F2247,$D$3=JU!$I2247),JU!C2247,"")</f>
        <v/>
      </c>
      <c r="D2247" s="73" t="str">
        <f>IF(OR($D$3=JU!$F2247,$D$3=JU!$I2247),JU!D2247,"")</f>
        <v/>
      </c>
      <c r="E2247" s="74" t="str">
        <f>IF(OR($D$3=JU!$F2247,$D$3=JU!$I2247),JU!E2247,"")</f>
        <v/>
      </c>
      <c r="F2247" s="72">
        <f>IF($D$3=JU!F2247,JU!H2247,0)</f>
        <v>0</v>
      </c>
      <c r="G2247" s="72">
        <f>IF($D$3=JU!I2247,JU!K2247,0)</f>
        <v>0</v>
      </c>
      <c r="H2247" s="72" t="e">
        <f t="shared" si="35"/>
        <v>#REF!</v>
      </c>
    </row>
    <row r="2248" spans="2:8" hidden="1">
      <c r="B2248" s="68" t="str">
        <f>IF(OR($D$3=JU!$F2248,$D$3=JU!$I2248),JU!B2248,"")</f>
        <v/>
      </c>
      <c r="C2248" s="6" t="str">
        <f>IF(OR($D$3=JU!$F2248,$D$3=JU!$I2248),JU!C2248,"")</f>
        <v/>
      </c>
      <c r="D2248" s="73" t="str">
        <f>IF(OR($D$3=JU!$F2248,$D$3=JU!$I2248),JU!D2248,"")</f>
        <v/>
      </c>
      <c r="E2248" s="74" t="str">
        <f>IF(OR($D$3=JU!$F2248,$D$3=JU!$I2248),JU!E2248,"")</f>
        <v/>
      </c>
      <c r="F2248" s="72">
        <f>IF($D$3=JU!F2248,JU!H2248,0)</f>
        <v>0</v>
      </c>
      <c r="G2248" s="72">
        <f>IF($D$3=JU!I2248,JU!K2248,0)</f>
        <v>0</v>
      </c>
      <c r="H2248" s="72" t="e">
        <f t="shared" si="35"/>
        <v>#REF!</v>
      </c>
    </row>
    <row r="2249" spans="2:8" hidden="1">
      <c r="B2249" s="68" t="str">
        <f>IF(OR($D$3=JU!$F2249,$D$3=JU!$I2249),JU!B2249,"")</f>
        <v/>
      </c>
      <c r="C2249" s="6" t="str">
        <f>IF(OR($D$3=JU!$F2249,$D$3=JU!$I2249),JU!C2249,"")</f>
        <v/>
      </c>
      <c r="D2249" s="73" t="str">
        <f>IF(OR($D$3=JU!$F2249,$D$3=JU!$I2249),JU!D2249,"")</f>
        <v/>
      </c>
      <c r="E2249" s="74" t="str">
        <f>IF(OR($D$3=JU!$F2249,$D$3=JU!$I2249),JU!E2249,"")</f>
        <v/>
      </c>
      <c r="F2249" s="72">
        <f>IF($D$3=JU!F2249,JU!H2249,0)</f>
        <v>0</v>
      </c>
      <c r="G2249" s="72">
        <f>IF($D$3=JU!I2249,JU!K2249,0)</f>
        <v>0</v>
      </c>
      <c r="H2249" s="72" t="e">
        <f t="shared" si="35"/>
        <v>#REF!</v>
      </c>
    </row>
    <row r="2250" spans="2:8" hidden="1">
      <c r="B2250" s="68" t="str">
        <f>IF(OR($D$3=JU!$F2250,$D$3=JU!$I2250),JU!B2250,"")</f>
        <v/>
      </c>
      <c r="C2250" s="6" t="str">
        <f>IF(OR($D$3=JU!$F2250,$D$3=JU!$I2250),JU!C2250,"")</f>
        <v/>
      </c>
      <c r="D2250" s="73" t="str">
        <f>IF(OR($D$3=JU!$F2250,$D$3=JU!$I2250),JU!D2250,"")</f>
        <v/>
      </c>
      <c r="E2250" s="74" t="str">
        <f>IF(OR($D$3=JU!$F2250,$D$3=JU!$I2250),JU!E2250,"")</f>
        <v/>
      </c>
      <c r="F2250" s="72">
        <f>IF($D$3=JU!F2250,JU!H2250,0)</f>
        <v>0</v>
      </c>
      <c r="G2250" s="72">
        <f>IF($D$3=JU!I2250,JU!K2250,0)</f>
        <v>0</v>
      </c>
      <c r="H2250" s="72" t="e">
        <f t="shared" si="35"/>
        <v>#REF!</v>
      </c>
    </row>
    <row r="2251" spans="2:8" hidden="1">
      <c r="B2251" s="68" t="str">
        <f>IF(OR($D$3=JU!$F2251,$D$3=JU!$I2251),JU!B2251,"")</f>
        <v/>
      </c>
      <c r="C2251" s="6" t="str">
        <f>IF(OR($D$3=JU!$F2251,$D$3=JU!$I2251),JU!C2251,"")</f>
        <v/>
      </c>
      <c r="D2251" s="73" t="str">
        <f>IF(OR($D$3=JU!$F2251,$D$3=JU!$I2251),JU!D2251,"")</f>
        <v/>
      </c>
      <c r="E2251" s="74" t="str">
        <f>IF(OR($D$3=JU!$F2251,$D$3=JU!$I2251),JU!E2251,"")</f>
        <v/>
      </c>
      <c r="F2251" s="72">
        <f>IF($D$3=JU!F2251,JU!H2251,0)</f>
        <v>0</v>
      </c>
      <c r="G2251" s="72">
        <f>IF($D$3=JU!I2251,JU!K2251,0)</f>
        <v>0</v>
      </c>
      <c r="H2251" s="72" t="e">
        <f t="shared" si="35"/>
        <v>#REF!</v>
      </c>
    </row>
    <row r="2252" spans="2:8" hidden="1">
      <c r="B2252" s="68" t="str">
        <f>IF(OR($D$3=JU!$F2252,$D$3=JU!$I2252),JU!B2252,"")</f>
        <v/>
      </c>
      <c r="C2252" s="6" t="str">
        <f>IF(OR($D$3=JU!$F2252,$D$3=JU!$I2252),JU!C2252,"")</f>
        <v/>
      </c>
      <c r="D2252" s="73" t="str">
        <f>IF(OR($D$3=JU!$F2252,$D$3=JU!$I2252),JU!D2252,"")</f>
        <v/>
      </c>
      <c r="E2252" s="74" t="str">
        <f>IF(OR($D$3=JU!$F2252,$D$3=JU!$I2252),JU!E2252,"")</f>
        <v/>
      </c>
      <c r="F2252" s="72">
        <f>IF($D$3=JU!F2252,JU!H2252,0)</f>
        <v>0</v>
      </c>
      <c r="G2252" s="72">
        <f>IF($D$3=JU!I2252,JU!K2252,0)</f>
        <v>0</v>
      </c>
      <c r="H2252" s="72" t="e">
        <f t="shared" si="35"/>
        <v>#REF!</v>
      </c>
    </row>
    <row r="2253" spans="2:8" hidden="1">
      <c r="B2253" s="68" t="str">
        <f>IF(OR($D$3=JU!$F2253,$D$3=JU!$I2253),JU!B2253,"")</f>
        <v/>
      </c>
      <c r="C2253" s="6" t="str">
        <f>IF(OR($D$3=JU!$F2253,$D$3=JU!$I2253),JU!C2253,"")</f>
        <v/>
      </c>
      <c r="D2253" s="73" t="str">
        <f>IF(OR($D$3=JU!$F2253,$D$3=JU!$I2253),JU!D2253,"")</f>
        <v/>
      </c>
      <c r="E2253" s="74" t="str">
        <f>IF(OR($D$3=JU!$F2253,$D$3=JU!$I2253),JU!E2253,"")</f>
        <v/>
      </c>
      <c r="F2253" s="72">
        <f>IF($D$3=JU!F2253,JU!H2253,0)</f>
        <v>0</v>
      </c>
      <c r="G2253" s="72">
        <f>IF($D$3=JU!I2253,JU!K2253,0)</f>
        <v>0</v>
      </c>
      <c r="H2253" s="72" t="e">
        <f t="shared" si="35"/>
        <v>#REF!</v>
      </c>
    </row>
    <row r="2254" spans="2:8" hidden="1">
      <c r="B2254" s="68" t="str">
        <f>IF(OR($D$3=JU!$F2254,$D$3=JU!$I2254),JU!B2254,"")</f>
        <v/>
      </c>
      <c r="C2254" s="6" t="str">
        <f>IF(OR($D$3=JU!$F2254,$D$3=JU!$I2254),JU!C2254,"")</f>
        <v/>
      </c>
      <c r="D2254" s="73" t="str">
        <f>IF(OR($D$3=JU!$F2254,$D$3=JU!$I2254),JU!D2254,"")</f>
        <v/>
      </c>
      <c r="E2254" s="74" t="str">
        <f>IF(OR($D$3=JU!$F2254,$D$3=JU!$I2254),JU!E2254,"")</f>
        <v/>
      </c>
      <c r="F2254" s="72">
        <f>IF($D$3=JU!F2254,JU!H2254,0)</f>
        <v>0</v>
      </c>
      <c r="G2254" s="72">
        <f>IF($D$3=JU!I2254,JU!K2254,0)</f>
        <v>0</v>
      </c>
      <c r="H2254" s="72" t="e">
        <f t="shared" ref="H2254:H2317" si="36">IF($H$7="DEBET",H2253+F2254-G2254,H2253+G2254-F2254)</f>
        <v>#REF!</v>
      </c>
    </row>
    <row r="2255" spans="2:8" hidden="1">
      <c r="B2255" s="68" t="str">
        <f>IF(OR($D$3=JU!$F2255,$D$3=JU!$I2255),JU!B2255,"")</f>
        <v/>
      </c>
      <c r="C2255" s="6" t="str">
        <f>IF(OR($D$3=JU!$F2255,$D$3=JU!$I2255),JU!C2255,"")</f>
        <v/>
      </c>
      <c r="D2255" s="73" t="str">
        <f>IF(OR($D$3=JU!$F2255,$D$3=JU!$I2255),JU!D2255,"")</f>
        <v/>
      </c>
      <c r="E2255" s="74" t="str">
        <f>IF(OR($D$3=JU!$F2255,$D$3=JU!$I2255),JU!E2255,"")</f>
        <v/>
      </c>
      <c r="F2255" s="72">
        <f>IF($D$3=JU!F2255,JU!H2255,0)</f>
        <v>0</v>
      </c>
      <c r="G2255" s="72">
        <f>IF($D$3=JU!I2255,JU!K2255,0)</f>
        <v>0</v>
      </c>
      <c r="H2255" s="72" t="e">
        <f t="shared" si="36"/>
        <v>#REF!</v>
      </c>
    </row>
    <row r="2256" spans="2:8" hidden="1">
      <c r="B2256" s="68" t="str">
        <f>IF(OR($D$3=JU!$F2256,$D$3=JU!$I2256),JU!B2256,"")</f>
        <v/>
      </c>
      <c r="C2256" s="6" t="str">
        <f>IF(OR($D$3=JU!$F2256,$D$3=JU!$I2256),JU!C2256,"")</f>
        <v/>
      </c>
      <c r="D2256" s="73" t="str">
        <f>IF(OR($D$3=JU!$F2256,$D$3=JU!$I2256),JU!D2256,"")</f>
        <v/>
      </c>
      <c r="E2256" s="74" t="str">
        <f>IF(OR($D$3=JU!$F2256,$D$3=JU!$I2256),JU!E2256,"")</f>
        <v/>
      </c>
      <c r="F2256" s="72">
        <f>IF($D$3=JU!F2256,JU!H2256,0)</f>
        <v>0</v>
      </c>
      <c r="G2256" s="72">
        <f>IF($D$3=JU!I2256,JU!K2256,0)</f>
        <v>0</v>
      </c>
      <c r="H2256" s="72" t="e">
        <f t="shared" si="36"/>
        <v>#REF!</v>
      </c>
    </row>
    <row r="2257" spans="2:8" hidden="1">
      <c r="B2257" s="68" t="str">
        <f>IF(OR($D$3=JU!$F2257,$D$3=JU!$I2257),JU!B2257,"")</f>
        <v/>
      </c>
      <c r="C2257" s="6" t="str">
        <f>IF(OR($D$3=JU!$F2257,$D$3=JU!$I2257),JU!C2257,"")</f>
        <v/>
      </c>
      <c r="D2257" s="73" t="str">
        <f>IF(OR($D$3=JU!$F2257,$D$3=JU!$I2257),JU!D2257,"")</f>
        <v/>
      </c>
      <c r="E2257" s="74" t="str">
        <f>IF(OR($D$3=JU!$F2257,$D$3=JU!$I2257),JU!E2257,"")</f>
        <v/>
      </c>
      <c r="F2257" s="72">
        <f>IF($D$3=JU!F2257,JU!H2257,0)</f>
        <v>0</v>
      </c>
      <c r="G2257" s="72">
        <f>IF($D$3=JU!I2257,JU!K2257,0)</f>
        <v>0</v>
      </c>
      <c r="H2257" s="72" t="e">
        <f t="shared" si="36"/>
        <v>#REF!</v>
      </c>
    </row>
    <row r="2258" spans="2:8" hidden="1">
      <c r="B2258" s="68" t="str">
        <f>IF(OR($D$3=JU!$F2258,$D$3=JU!$I2258),JU!B2258,"")</f>
        <v/>
      </c>
      <c r="C2258" s="6" t="str">
        <f>IF(OR($D$3=JU!$F2258,$D$3=JU!$I2258),JU!C2258,"")</f>
        <v/>
      </c>
      <c r="D2258" s="73" t="str">
        <f>IF(OR($D$3=JU!$F2258,$D$3=JU!$I2258),JU!D2258,"")</f>
        <v/>
      </c>
      <c r="E2258" s="74" t="str">
        <f>IF(OR($D$3=JU!$F2258,$D$3=JU!$I2258),JU!E2258,"")</f>
        <v/>
      </c>
      <c r="F2258" s="72">
        <f>IF($D$3=JU!F2258,JU!H2258,0)</f>
        <v>0</v>
      </c>
      <c r="G2258" s="72">
        <f>IF($D$3=JU!I2258,JU!K2258,0)</f>
        <v>0</v>
      </c>
      <c r="H2258" s="72" t="e">
        <f t="shared" si="36"/>
        <v>#REF!</v>
      </c>
    </row>
    <row r="2259" spans="2:8" hidden="1">
      <c r="B2259" s="68" t="str">
        <f>IF(OR($D$3=JU!$F2259,$D$3=JU!$I2259),JU!B2259,"")</f>
        <v/>
      </c>
      <c r="C2259" s="6" t="str">
        <f>IF(OR($D$3=JU!$F2259,$D$3=JU!$I2259),JU!C2259,"")</f>
        <v/>
      </c>
      <c r="D2259" s="73" t="str">
        <f>IF(OR($D$3=JU!$F2259,$D$3=JU!$I2259),JU!D2259,"")</f>
        <v/>
      </c>
      <c r="E2259" s="74" t="str">
        <f>IF(OR($D$3=JU!$F2259,$D$3=JU!$I2259),JU!E2259,"")</f>
        <v/>
      </c>
      <c r="F2259" s="72">
        <f>IF($D$3=JU!F2259,JU!H2259,0)</f>
        <v>0</v>
      </c>
      <c r="G2259" s="72">
        <f>IF($D$3=JU!I2259,JU!K2259,0)</f>
        <v>0</v>
      </c>
      <c r="H2259" s="72" t="e">
        <f t="shared" si="36"/>
        <v>#REF!</v>
      </c>
    </row>
    <row r="2260" spans="2:8" hidden="1">
      <c r="B2260" s="68" t="str">
        <f>IF(OR($D$3=JU!$F2260,$D$3=JU!$I2260),JU!B2260,"")</f>
        <v/>
      </c>
      <c r="C2260" s="6" t="str">
        <f>IF(OR($D$3=JU!$F2260,$D$3=JU!$I2260),JU!C2260,"")</f>
        <v/>
      </c>
      <c r="D2260" s="73" t="str">
        <f>IF(OR($D$3=JU!$F2260,$D$3=JU!$I2260),JU!D2260,"")</f>
        <v/>
      </c>
      <c r="E2260" s="74" t="str">
        <f>IF(OR($D$3=JU!$F2260,$D$3=JU!$I2260),JU!E2260,"")</f>
        <v/>
      </c>
      <c r="F2260" s="72">
        <f>IF($D$3=JU!F2260,JU!H2260,0)</f>
        <v>0</v>
      </c>
      <c r="G2260" s="72">
        <f>IF($D$3=JU!I2260,JU!K2260,0)</f>
        <v>0</v>
      </c>
      <c r="H2260" s="72" t="e">
        <f t="shared" si="36"/>
        <v>#REF!</v>
      </c>
    </row>
    <row r="2261" spans="2:8" hidden="1">
      <c r="B2261" s="68" t="str">
        <f>IF(OR($D$3=JU!$F2261,$D$3=JU!$I2261),JU!B2261,"")</f>
        <v/>
      </c>
      <c r="C2261" s="6" t="str">
        <f>IF(OR($D$3=JU!$F2261,$D$3=JU!$I2261),JU!C2261,"")</f>
        <v/>
      </c>
      <c r="D2261" s="73" t="str">
        <f>IF(OR($D$3=JU!$F2261,$D$3=JU!$I2261),JU!D2261,"")</f>
        <v/>
      </c>
      <c r="E2261" s="74" t="str">
        <f>IF(OR($D$3=JU!$F2261,$D$3=JU!$I2261),JU!E2261,"")</f>
        <v/>
      </c>
      <c r="F2261" s="72">
        <f>IF($D$3=JU!F2261,JU!H2261,0)</f>
        <v>0</v>
      </c>
      <c r="G2261" s="72">
        <f>IF($D$3=JU!I2261,JU!K2261,0)</f>
        <v>0</v>
      </c>
      <c r="H2261" s="72" t="e">
        <f t="shared" si="36"/>
        <v>#REF!</v>
      </c>
    </row>
    <row r="2262" spans="2:8" hidden="1">
      <c r="B2262" s="68" t="str">
        <f>IF(OR($D$3=JU!$F2262,$D$3=JU!$I2262),JU!B2262,"")</f>
        <v/>
      </c>
      <c r="C2262" s="6" t="str">
        <f>IF(OR($D$3=JU!$F2262,$D$3=JU!$I2262),JU!C2262,"")</f>
        <v/>
      </c>
      <c r="D2262" s="73" t="str">
        <f>IF(OR($D$3=JU!$F2262,$D$3=JU!$I2262),JU!D2262,"")</f>
        <v/>
      </c>
      <c r="E2262" s="74" t="str">
        <f>IF(OR($D$3=JU!$F2262,$D$3=JU!$I2262),JU!E2262,"")</f>
        <v/>
      </c>
      <c r="F2262" s="72">
        <f>IF($D$3=JU!F2262,JU!H2262,0)</f>
        <v>0</v>
      </c>
      <c r="G2262" s="72">
        <f>IF($D$3=JU!I2262,JU!K2262,0)</f>
        <v>0</v>
      </c>
      <c r="H2262" s="72" t="e">
        <f t="shared" si="36"/>
        <v>#REF!</v>
      </c>
    </row>
    <row r="2263" spans="2:8" hidden="1">
      <c r="B2263" s="68" t="str">
        <f>IF(OR($D$3=JU!$F2263,$D$3=JU!$I2263),JU!B2263,"")</f>
        <v/>
      </c>
      <c r="C2263" s="6" t="str">
        <f>IF(OR($D$3=JU!$F2263,$D$3=JU!$I2263),JU!C2263,"")</f>
        <v/>
      </c>
      <c r="D2263" s="73" t="str">
        <f>IF(OR($D$3=JU!$F2263,$D$3=JU!$I2263),JU!D2263,"")</f>
        <v/>
      </c>
      <c r="E2263" s="74" t="str">
        <f>IF(OR($D$3=JU!$F2263,$D$3=JU!$I2263),JU!E2263,"")</f>
        <v/>
      </c>
      <c r="F2263" s="72">
        <f>IF($D$3=JU!F2263,JU!H2263,0)</f>
        <v>0</v>
      </c>
      <c r="G2263" s="72">
        <f>IF($D$3=JU!I2263,JU!K2263,0)</f>
        <v>0</v>
      </c>
      <c r="H2263" s="72" t="e">
        <f t="shared" si="36"/>
        <v>#REF!</v>
      </c>
    </row>
    <row r="2264" spans="2:8" hidden="1">
      <c r="B2264" s="68" t="str">
        <f>IF(OR($D$3=JU!$F2264,$D$3=JU!$I2264),JU!B2264,"")</f>
        <v/>
      </c>
      <c r="C2264" s="6" t="str">
        <f>IF(OR($D$3=JU!$F2264,$D$3=JU!$I2264),JU!C2264,"")</f>
        <v/>
      </c>
      <c r="D2264" s="73" t="str">
        <f>IF(OR($D$3=JU!$F2264,$D$3=JU!$I2264),JU!D2264,"")</f>
        <v/>
      </c>
      <c r="E2264" s="74" t="str">
        <f>IF(OR($D$3=JU!$F2264,$D$3=JU!$I2264),JU!E2264,"")</f>
        <v/>
      </c>
      <c r="F2264" s="72">
        <f>IF($D$3=JU!F2264,JU!H2264,0)</f>
        <v>0</v>
      </c>
      <c r="G2264" s="72">
        <f>IF($D$3=JU!I2264,JU!K2264,0)</f>
        <v>0</v>
      </c>
      <c r="H2264" s="72" t="e">
        <f t="shared" si="36"/>
        <v>#REF!</v>
      </c>
    </row>
    <row r="2265" spans="2:8" hidden="1">
      <c r="B2265" s="68" t="str">
        <f>IF(OR($D$3=JU!$F2265,$D$3=JU!$I2265),JU!B2265,"")</f>
        <v/>
      </c>
      <c r="C2265" s="6" t="str">
        <f>IF(OR($D$3=JU!$F2265,$D$3=JU!$I2265),JU!C2265,"")</f>
        <v/>
      </c>
      <c r="D2265" s="73" t="str">
        <f>IF(OR($D$3=JU!$F2265,$D$3=JU!$I2265),JU!D2265,"")</f>
        <v/>
      </c>
      <c r="E2265" s="74" t="str">
        <f>IF(OR($D$3=JU!$F2265,$D$3=JU!$I2265),JU!E2265,"")</f>
        <v/>
      </c>
      <c r="F2265" s="72">
        <f>IF($D$3=JU!F2265,JU!H2265,0)</f>
        <v>0</v>
      </c>
      <c r="G2265" s="72">
        <f>IF($D$3=JU!I2265,JU!K2265,0)</f>
        <v>0</v>
      </c>
      <c r="H2265" s="72" t="e">
        <f t="shared" si="36"/>
        <v>#REF!</v>
      </c>
    </row>
    <row r="2266" spans="2:8" hidden="1">
      <c r="B2266" s="68" t="str">
        <f>IF(OR($D$3=JU!$F2266,$D$3=JU!$I2266),JU!B2266,"")</f>
        <v/>
      </c>
      <c r="C2266" s="6" t="str">
        <f>IF(OR($D$3=JU!$F2266,$D$3=JU!$I2266),JU!C2266,"")</f>
        <v/>
      </c>
      <c r="D2266" s="73" t="str">
        <f>IF(OR($D$3=JU!$F2266,$D$3=JU!$I2266),JU!D2266,"")</f>
        <v/>
      </c>
      <c r="E2266" s="74" t="str">
        <f>IF(OR($D$3=JU!$F2266,$D$3=JU!$I2266),JU!E2266,"")</f>
        <v/>
      </c>
      <c r="F2266" s="72">
        <f>IF($D$3=JU!F2266,JU!H2266,0)</f>
        <v>0</v>
      </c>
      <c r="G2266" s="72">
        <f>IF($D$3=JU!I2266,JU!K2266,0)</f>
        <v>0</v>
      </c>
      <c r="H2266" s="72" t="e">
        <f t="shared" si="36"/>
        <v>#REF!</v>
      </c>
    </row>
    <row r="2267" spans="2:8" hidden="1">
      <c r="B2267" s="68" t="str">
        <f>IF(OR($D$3=JU!$F2267,$D$3=JU!$I2267),JU!B2267,"")</f>
        <v/>
      </c>
      <c r="C2267" s="6" t="str">
        <f>IF(OR($D$3=JU!$F2267,$D$3=JU!$I2267),JU!C2267,"")</f>
        <v/>
      </c>
      <c r="D2267" s="73" t="str">
        <f>IF(OR($D$3=JU!$F2267,$D$3=JU!$I2267),JU!D2267,"")</f>
        <v/>
      </c>
      <c r="E2267" s="74" t="str">
        <f>IF(OR($D$3=JU!$F2267,$D$3=JU!$I2267),JU!E2267,"")</f>
        <v/>
      </c>
      <c r="F2267" s="72">
        <f>IF($D$3=JU!F2267,JU!H2267,0)</f>
        <v>0</v>
      </c>
      <c r="G2267" s="72">
        <f>IF($D$3=JU!I2267,JU!K2267,0)</f>
        <v>0</v>
      </c>
      <c r="H2267" s="72" t="e">
        <f t="shared" si="36"/>
        <v>#REF!</v>
      </c>
    </row>
    <row r="2268" spans="2:8" hidden="1">
      <c r="B2268" s="68" t="str">
        <f>IF(OR($D$3=JU!$F2268,$D$3=JU!$I2268),JU!B2268,"")</f>
        <v/>
      </c>
      <c r="C2268" s="6" t="str">
        <f>IF(OR($D$3=JU!$F2268,$D$3=JU!$I2268),JU!C2268,"")</f>
        <v/>
      </c>
      <c r="D2268" s="73" t="str">
        <f>IF(OR($D$3=JU!$F2268,$D$3=JU!$I2268),JU!D2268,"")</f>
        <v/>
      </c>
      <c r="E2268" s="74" t="str">
        <f>IF(OR($D$3=JU!$F2268,$D$3=JU!$I2268),JU!E2268,"")</f>
        <v/>
      </c>
      <c r="F2268" s="72">
        <f>IF($D$3=JU!F2268,JU!H2268,0)</f>
        <v>0</v>
      </c>
      <c r="G2268" s="72">
        <f>IF($D$3=JU!I2268,JU!K2268,0)</f>
        <v>0</v>
      </c>
      <c r="H2268" s="72" t="e">
        <f t="shared" si="36"/>
        <v>#REF!</v>
      </c>
    </row>
    <row r="2269" spans="2:8" hidden="1">
      <c r="B2269" s="68" t="str">
        <f>IF(OR($D$3=JU!$F2269,$D$3=JU!$I2269),JU!B2269,"")</f>
        <v/>
      </c>
      <c r="C2269" s="6" t="str">
        <f>IF(OR($D$3=JU!$F2269,$D$3=JU!$I2269),JU!C2269,"")</f>
        <v/>
      </c>
      <c r="D2269" s="73" t="str">
        <f>IF(OR($D$3=JU!$F2269,$D$3=JU!$I2269),JU!D2269,"")</f>
        <v/>
      </c>
      <c r="E2269" s="74" t="str">
        <f>IF(OR($D$3=JU!$F2269,$D$3=JU!$I2269),JU!E2269,"")</f>
        <v/>
      </c>
      <c r="F2269" s="72">
        <f>IF($D$3=JU!F2269,JU!H2269,0)</f>
        <v>0</v>
      </c>
      <c r="G2269" s="72">
        <f>IF($D$3=JU!I2269,JU!K2269,0)</f>
        <v>0</v>
      </c>
      <c r="H2269" s="72" t="e">
        <f t="shared" si="36"/>
        <v>#REF!</v>
      </c>
    </row>
    <row r="2270" spans="2:8" hidden="1">
      <c r="B2270" s="68" t="str">
        <f>IF(OR($D$3=JU!$F2270,$D$3=JU!$I2270),JU!B2270,"")</f>
        <v/>
      </c>
      <c r="C2270" s="6" t="str">
        <f>IF(OR($D$3=JU!$F2270,$D$3=JU!$I2270),JU!C2270,"")</f>
        <v/>
      </c>
      <c r="D2270" s="73" t="str">
        <f>IF(OR($D$3=JU!$F2270,$D$3=JU!$I2270),JU!D2270,"")</f>
        <v/>
      </c>
      <c r="E2270" s="74" t="str">
        <f>IF(OR($D$3=JU!$F2270,$D$3=JU!$I2270),JU!E2270,"")</f>
        <v/>
      </c>
      <c r="F2270" s="72">
        <f>IF($D$3=JU!F2270,JU!H2270,0)</f>
        <v>0</v>
      </c>
      <c r="G2270" s="72">
        <f>IF($D$3=JU!I2270,JU!K2270,0)</f>
        <v>0</v>
      </c>
      <c r="H2270" s="72" t="e">
        <f t="shared" si="36"/>
        <v>#REF!</v>
      </c>
    </row>
    <row r="2271" spans="2:8" hidden="1">
      <c r="B2271" s="68" t="str">
        <f>IF(OR($D$3=JU!$F2271,$D$3=JU!$I2271),JU!B2271,"")</f>
        <v/>
      </c>
      <c r="C2271" s="6" t="str">
        <f>IF(OR($D$3=JU!$F2271,$D$3=JU!$I2271),JU!C2271,"")</f>
        <v/>
      </c>
      <c r="D2271" s="73" t="str">
        <f>IF(OR($D$3=JU!$F2271,$D$3=JU!$I2271),JU!D2271,"")</f>
        <v/>
      </c>
      <c r="E2271" s="74" t="str">
        <f>IF(OR($D$3=JU!$F2271,$D$3=JU!$I2271),JU!E2271,"")</f>
        <v/>
      </c>
      <c r="F2271" s="72">
        <f>IF($D$3=JU!F2271,JU!H2271,0)</f>
        <v>0</v>
      </c>
      <c r="G2271" s="72">
        <f>IF($D$3=JU!I2271,JU!K2271,0)</f>
        <v>0</v>
      </c>
      <c r="H2271" s="72" t="e">
        <f t="shared" si="36"/>
        <v>#REF!</v>
      </c>
    </row>
    <row r="2272" spans="2:8" hidden="1">
      <c r="B2272" s="68" t="str">
        <f>IF(OR($D$3=JU!$F2272,$D$3=JU!$I2272),JU!B2272,"")</f>
        <v/>
      </c>
      <c r="C2272" s="6" t="str">
        <f>IF(OR($D$3=JU!$F2272,$D$3=JU!$I2272),JU!C2272,"")</f>
        <v/>
      </c>
      <c r="D2272" s="73" t="str">
        <f>IF(OR($D$3=JU!$F2272,$D$3=JU!$I2272),JU!D2272,"")</f>
        <v/>
      </c>
      <c r="E2272" s="74" t="str">
        <f>IF(OR($D$3=JU!$F2272,$D$3=JU!$I2272),JU!E2272,"")</f>
        <v/>
      </c>
      <c r="F2272" s="72">
        <f>IF($D$3=JU!F2272,JU!H2272,0)</f>
        <v>0</v>
      </c>
      <c r="G2272" s="72">
        <f>IF($D$3=JU!I2272,JU!K2272,0)</f>
        <v>0</v>
      </c>
      <c r="H2272" s="72" t="e">
        <f t="shared" si="36"/>
        <v>#REF!</v>
      </c>
    </row>
    <row r="2273" spans="2:8" hidden="1">
      <c r="B2273" s="68" t="str">
        <f>IF(OR($D$3=JU!$F2273,$D$3=JU!$I2273),JU!B2273,"")</f>
        <v/>
      </c>
      <c r="C2273" s="6" t="str">
        <f>IF(OR($D$3=JU!$F2273,$D$3=JU!$I2273),JU!C2273,"")</f>
        <v/>
      </c>
      <c r="D2273" s="73" t="str">
        <f>IF(OR($D$3=JU!$F2273,$D$3=JU!$I2273),JU!D2273,"")</f>
        <v/>
      </c>
      <c r="E2273" s="74" t="str">
        <f>IF(OR($D$3=JU!$F2273,$D$3=JU!$I2273),JU!E2273,"")</f>
        <v/>
      </c>
      <c r="F2273" s="72">
        <f>IF($D$3=JU!F2273,JU!H2273,0)</f>
        <v>0</v>
      </c>
      <c r="G2273" s="72">
        <f>IF($D$3=JU!I2273,JU!K2273,0)</f>
        <v>0</v>
      </c>
      <c r="H2273" s="72" t="e">
        <f t="shared" si="36"/>
        <v>#REF!</v>
      </c>
    </row>
    <row r="2274" spans="2:8" hidden="1">
      <c r="B2274" s="68" t="str">
        <f>IF(OR($D$3=JU!$F2274,$D$3=JU!$I2274),JU!B2274,"")</f>
        <v/>
      </c>
      <c r="C2274" s="6" t="str">
        <f>IF(OR($D$3=JU!$F2274,$D$3=JU!$I2274),JU!C2274,"")</f>
        <v/>
      </c>
      <c r="D2274" s="73" t="str">
        <f>IF(OR($D$3=JU!$F2274,$D$3=JU!$I2274),JU!D2274,"")</f>
        <v/>
      </c>
      <c r="E2274" s="74" t="str">
        <f>IF(OR($D$3=JU!$F2274,$D$3=JU!$I2274),JU!E2274,"")</f>
        <v/>
      </c>
      <c r="F2274" s="72">
        <f>IF($D$3=JU!F2274,JU!H2274,0)</f>
        <v>0</v>
      </c>
      <c r="G2274" s="72">
        <f>IF($D$3=JU!I2274,JU!K2274,0)</f>
        <v>0</v>
      </c>
      <c r="H2274" s="72" t="e">
        <f t="shared" si="36"/>
        <v>#REF!</v>
      </c>
    </row>
    <row r="2275" spans="2:8" hidden="1">
      <c r="B2275" s="68" t="str">
        <f>IF(OR($D$3=JU!$F2275,$D$3=JU!$I2275),JU!B2275,"")</f>
        <v/>
      </c>
      <c r="C2275" s="6" t="str">
        <f>IF(OR($D$3=JU!$F2275,$D$3=JU!$I2275),JU!C2275,"")</f>
        <v/>
      </c>
      <c r="D2275" s="73" t="str">
        <f>IF(OR($D$3=JU!$F2275,$D$3=JU!$I2275),JU!D2275,"")</f>
        <v/>
      </c>
      <c r="E2275" s="74" t="str">
        <f>IF(OR($D$3=JU!$F2275,$D$3=JU!$I2275),JU!E2275,"")</f>
        <v/>
      </c>
      <c r="F2275" s="72">
        <f>IF($D$3=JU!F2275,JU!H2275,0)</f>
        <v>0</v>
      </c>
      <c r="G2275" s="72">
        <f>IF($D$3=JU!I2275,JU!K2275,0)</f>
        <v>0</v>
      </c>
      <c r="H2275" s="72" t="e">
        <f t="shared" si="36"/>
        <v>#REF!</v>
      </c>
    </row>
    <row r="2276" spans="2:8" hidden="1">
      <c r="B2276" s="68" t="str">
        <f>IF(OR($D$3=JU!$F2276,$D$3=JU!$I2276),JU!B2276,"")</f>
        <v/>
      </c>
      <c r="C2276" s="6" t="str">
        <f>IF(OR($D$3=JU!$F2276,$D$3=JU!$I2276),JU!C2276,"")</f>
        <v/>
      </c>
      <c r="D2276" s="73" t="str">
        <f>IF(OR($D$3=JU!$F2276,$D$3=JU!$I2276),JU!D2276,"")</f>
        <v/>
      </c>
      <c r="E2276" s="74" t="str">
        <f>IF(OR($D$3=JU!$F2276,$D$3=JU!$I2276),JU!E2276,"")</f>
        <v/>
      </c>
      <c r="F2276" s="72">
        <f>IF($D$3=JU!F2276,JU!H2276,0)</f>
        <v>0</v>
      </c>
      <c r="G2276" s="72">
        <f>IF($D$3=JU!I2276,JU!K2276,0)</f>
        <v>0</v>
      </c>
      <c r="H2276" s="72" t="e">
        <f t="shared" si="36"/>
        <v>#REF!</v>
      </c>
    </row>
    <row r="2277" spans="2:8" hidden="1">
      <c r="B2277" s="68" t="str">
        <f>IF(OR($D$3=JU!$F2277,$D$3=JU!$I2277),JU!B2277,"")</f>
        <v/>
      </c>
      <c r="C2277" s="6" t="str">
        <f>IF(OR($D$3=JU!$F2277,$D$3=JU!$I2277),JU!C2277,"")</f>
        <v/>
      </c>
      <c r="D2277" s="73" t="str">
        <f>IF(OR($D$3=JU!$F2277,$D$3=JU!$I2277),JU!D2277,"")</f>
        <v/>
      </c>
      <c r="E2277" s="74" t="str">
        <f>IF(OR($D$3=JU!$F2277,$D$3=JU!$I2277),JU!E2277,"")</f>
        <v/>
      </c>
      <c r="F2277" s="72">
        <f>IF($D$3=JU!F2277,JU!H2277,0)</f>
        <v>0</v>
      </c>
      <c r="G2277" s="72">
        <f>IF($D$3=JU!I2277,JU!K2277,0)</f>
        <v>0</v>
      </c>
      <c r="H2277" s="72" t="e">
        <f t="shared" si="36"/>
        <v>#REF!</v>
      </c>
    </row>
    <row r="2278" spans="2:8" hidden="1">
      <c r="B2278" s="68" t="str">
        <f>IF(OR($D$3=JU!$F2278,$D$3=JU!$I2278),JU!B2278,"")</f>
        <v/>
      </c>
      <c r="C2278" s="6" t="str">
        <f>IF(OR($D$3=JU!$F2278,$D$3=JU!$I2278),JU!C2278,"")</f>
        <v/>
      </c>
      <c r="D2278" s="73" t="str">
        <f>IF(OR($D$3=JU!$F2278,$D$3=JU!$I2278),JU!D2278,"")</f>
        <v/>
      </c>
      <c r="E2278" s="74" t="str">
        <f>IF(OR($D$3=JU!$F2278,$D$3=JU!$I2278),JU!E2278,"")</f>
        <v/>
      </c>
      <c r="F2278" s="72">
        <f>IF($D$3=JU!F2278,JU!H2278,0)</f>
        <v>0</v>
      </c>
      <c r="G2278" s="72">
        <f>IF($D$3=JU!I2278,JU!K2278,0)</f>
        <v>0</v>
      </c>
      <c r="H2278" s="72" t="e">
        <f t="shared" si="36"/>
        <v>#REF!</v>
      </c>
    </row>
    <row r="2279" spans="2:8" hidden="1">
      <c r="B2279" s="68" t="str">
        <f>IF(OR($D$3=JU!$F2279,$D$3=JU!$I2279),JU!B2279,"")</f>
        <v/>
      </c>
      <c r="C2279" s="6" t="str">
        <f>IF(OR($D$3=JU!$F2279,$D$3=JU!$I2279),JU!C2279,"")</f>
        <v/>
      </c>
      <c r="D2279" s="73" t="str">
        <f>IF(OR($D$3=JU!$F2279,$D$3=JU!$I2279),JU!D2279,"")</f>
        <v/>
      </c>
      <c r="E2279" s="74" t="str">
        <f>IF(OR($D$3=JU!$F2279,$D$3=JU!$I2279),JU!E2279,"")</f>
        <v/>
      </c>
      <c r="F2279" s="72">
        <f>IF($D$3=JU!F2279,JU!H2279,0)</f>
        <v>0</v>
      </c>
      <c r="G2279" s="72">
        <f>IF($D$3=JU!I2279,JU!K2279,0)</f>
        <v>0</v>
      </c>
      <c r="H2279" s="72" t="e">
        <f t="shared" si="36"/>
        <v>#REF!</v>
      </c>
    </row>
    <row r="2280" spans="2:8" hidden="1">
      <c r="B2280" s="68" t="str">
        <f>IF(OR($D$3=JU!$F2280,$D$3=JU!$I2280),JU!B2280,"")</f>
        <v/>
      </c>
      <c r="C2280" s="6" t="str">
        <f>IF(OR($D$3=JU!$F2280,$D$3=JU!$I2280),JU!C2280,"")</f>
        <v/>
      </c>
      <c r="D2280" s="73" t="str">
        <f>IF(OR($D$3=JU!$F2280,$D$3=JU!$I2280),JU!D2280,"")</f>
        <v/>
      </c>
      <c r="E2280" s="74" t="str">
        <f>IF(OR($D$3=JU!$F2280,$D$3=JU!$I2280),JU!E2280,"")</f>
        <v/>
      </c>
      <c r="F2280" s="72">
        <f>IF($D$3=JU!F2280,JU!H2280,0)</f>
        <v>0</v>
      </c>
      <c r="G2280" s="72">
        <f>IF($D$3=JU!I2280,JU!K2280,0)</f>
        <v>0</v>
      </c>
      <c r="H2280" s="72" t="e">
        <f t="shared" si="36"/>
        <v>#REF!</v>
      </c>
    </row>
    <row r="2281" spans="2:8" hidden="1">
      <c r="B2281" s="68" t="str">
        <f>IF(OR($D$3=JU!$F2281,$D$3=JU!$I2281),JU!B2281,"")</f>
        <v/>
      </c>
      <c r="C2281" s="6" t="str">
        <f>IF(OR($D$3=JU!$F2281,$D$3=JU!$I2281),JU!C2281,"")</f>
        <v/>
      </c>
      <c r="D2281" s="73" t="str">
        <f>IF(OR($D$3=JU!$F2281,$D$3=JU!$I2281),JU!D2281,"")</f>
        <v/>
      </c>
      <c r="E2281" s="74" t="str">
        <f>IF(OR($D$3=JU!$F2281,$D$3=JU!$I2281),JU!E2281,"")</f>
        <v/>
      </c>
      <c r="F2281" s="72">
        <f>IF($D$3=JU!F2281,JU!H2281,0)</f>
        <v>0</v>
      </c>
      <c r="G2281" s="72">
        <f>IF($D$3=JU!I2281,JU!K2281,0)</f>
        <v>0</v>
      </c>
      <c r="H2281" s="72" t="e">
        <f t="shared" si="36"/>
        <v>#REF!</v>
      </c>
    </row>
    <row r="2282" spans="2:8" hidden="1">
      <c r="B2282" s="68" t="str">
        <f>IF(OR($D$3=JU!$F2282,$D$3=JU!$I2282),JU!B2282,"")</f>
        <v/>
      </c>
      <c r="C2282" s="6" t="str">
        <f>IF(OR($D$3=JU!$F2282,$D$3=JU!$I2282),JU!C2282,"")</f>
        <v/>
      </c>
      <c r="D2282" s="73" t="str">
        <f>IF(OR($D$3=JU!$F2282,$D$3=JU!$I2282),JU!D2282,"")</f>
        <v/>
      </c>
      <c r="E2282" s="74" t="str">
        <f>IF(OR($D$3=JU!$F2282,$D$3=JU!$I2282),JU!E2282,"")</f>
        <v/>
      </c>
      <c r="F2282" s="72">
        <f>IF($D$3=JU!F2282,JU!H2282,0)</f>
        <v>0</v>
      </c>
      <c r="G2282" s="72">
        <f>IF($D$3=JU!I2282,JU!K2282,0)</f>
        <v>0</v>
      </c>
      <c r="H2282" s="72" t="e">
        <f t="shared" si="36"/>
        <v>#REF!</v>
      </c>
    </row>
    <row r="2283" spans="2:8" hidden="1">
      <c r="B2283" s="68" t="str">
        <f>IF(OR($D$3=JU!$F2283,$D$3=JU!$I2283),JU!B2283,"")</f>
        <v/>
      </c>
      <c r="C2283" s="6" t="str">
        <f>IF(OR($D$3=JU!$F2283,$D$3=JU!$I2283),JU!C2283,"")</f>
        <v/>
      </c>
      <c r="D2283" s="73" t="str">
        <f>IF(OR($D$3=JU!$F2283,$D$3=JU!$I2283),JU!D2283,"")</f>
        <v/>
      </c>
      <c r="E2283" s="74" t="str">
        <f>IF(OR($D$3=JU!$F2283,$D$3=JU!$I2283),JU!E2283,"")</f>
        <v/>
      </c>
      <c r="F2283" s="72">
        <f>IF($D$3=JU!F2283,JU!H2283,0)</f>
        <v>0</v>
      </c>
      <c r="G2283" s="72">
        <f>IF($D$3=JU!I2283,JU!K2283,0)</f>
        <v>0</v>
      </c>
      <c r="H2283" s="72" t="e">
        <f t="shared" si="36"/>
        <v>#REF!</v>
      </c>
    </row>
    <row r="2284" spans="2:8" hidden="1">
      <c r="B2284" s="68" t="str">
        <f>IF(OR($D$3=JU!$F2284,$D$3=JU!$I2284),JU!B2284,"")</f>
        <v/>
      </c>
      <c r="C2284" s="6" t="str">
        <f>IF(OR($D$3=JU!$F2284,$D$3=JU!$I2284),JU!C2284,"")</f>
        <v/>
      </c>
      <c r="D2284" s="73" t="str">
        <f>IF(OR($D$3=JU!$F2284,$D$3=JU!$I2284),JU!D2284,"")</f>
        <v/>
      </c>
      <c r="E2284" s="74" t="str">
        <f>IF(OR($D$3=JU!$F2284,$D$3=JU!$I2284),JU!E2284,"")</f>
        <v/>
      </c>
      <c r="F2284" s="72">
        <f>IF($D$3=JU!F2284,JU!H2284,0)</f>
        <v>0</v>
      </c>
      <c r="G2284" s="72">
        <f>IF($D$3=JU!I2284,JU!K2284,0)</f>
        <v>0</v>
      </c>
      <c r="H2284" s="72" t="e">
        <f t="shared" si="36"/>
        <v>#REF!</v>
      </c>
    </row>
    <row r="2285" spans="2:8" hidden="1">
      <c r="B2285" s="68" t="str">
        <f>IF(OR($D$3=JU!$F2285,$D$3=JU!$I2285),JU!B2285,"")</f>
        <v/>
      </c>
      <c r="C2285" s="6" t="str">
        <f>IF(OR($D$3=JU!$F2285,$D$3=JU!$I2285),JU!C2285,"")</f>
        <v/>
      </c>
      <c r="D2285" s="73" t="str">
        <f>IF(OR($D$3=JU!$F2285,$D$3=JU!$I2285),JU!D2285,"")</f>
        <v/>
      </c>
      <c r="E2285" s="74" t="str">
        <f>IF(OR($D$3=JU!$F2285,$D$3=JU!$I2285),JU!E2285,"")</f>
        <v/>
      </c>
      <c r="F2285" s="72">
        <f>IF($D$3=JU!F2285,JU!H2285,0)</f>
        <v>0</v>
      </c>
      <c r="G2285" s="72">
        <f>IF($D$3=JU!I2285,JU!K2285,0)</f>
        <v>0</v>
      </c>
      <c r="H2285" s="72" t="e">
        <f t="shared" si="36"/>
        <v>#REF!</v>
      </c>
    </row>
    <row r="2286" spans="2:8" hidden="1">
      <c r="B2286" s="68" t="str">
        <f>IF(OR($D$3=JU!$F2286,$D$3=JU!$I2286),JU!B2286,"")</f>
        <v/>
      </c>
      <c r="C2286" s="6" t="str">
        <f>IF(OR($D$3=JU!$F2286,$D$3=JU!$I2286),JU!C2286,"")</f>
        <v/>
      </c>
      <c r="D2286" s="73" t="str">
        <f>IF(OR($D$3=JU!$F2286,$D$3=JU!$I2286),JU!D2286,"")</f>
        <v/>
      </c>
      <c r="E2286" s="74" t="str">
        <f>IF(OR($D$3=JU!$F2286,$D$3=JU!$I2286),JU!E2286,"")</f>
        <v/>
      </c>
      <c r="F2286" s="72">
        <f>IF($D$3=JU!F2286,JU!H2286,0)</f>
        <v>0</v>
      </c>
      <c r="G2286" s="72">
        <f>IF($D$3=JU!I2286,JU!K2286,0)</f>
        <v>0</v>
      </c>
      <c r="H2286" s="72" t="e">
        <f t="shared" si="36"/>
        <v>#REF!</v>
      </c>
    </row>
    <row r="2287" spans="2:8" hidden="1">
      <c r="B2287" s="68" t="str">
        <f>IF(OR($D$3=JU!$F2287,$D$3=JU!$I2287),JU!B2287,"")</f>
        <v/>
      </c>
      <c r="C2287" s="6" t="str">
        <f>IF(OR($D$3=JU!$F2287,$D$3=JU!$I2287),JU!C2287,"")</f>
        <v/>
      </c>
      <c r="D2287" s="73" t="str">
        <f>IF(OR($D$3=JU!$F2287,$D$3=JU!$I2287),JU!D2287,"")</f>
        <v/>
      </c>
      <c r="E2287" s="74" t="str">
        <f>IF(OR($D$3=JU!$F2287,$D$3=JU!$I2287),JU!E2287,"")</f>
        <v/>
      </c>
      <c r="F2287" s="72">
        <f>IF($D$3=JU!F2287,JU!H2287,0)</f>
        <v>0</v>
      </c>
      <c r="G2287" s="72">
        <f>IF($D$3=JU!I2287,JU!K2287,0)</f>
        <v>0</v>
      </c>
      <c r="H2287" s="72" t="e">
        <f t="shared" si="36"/>
        <v>#REF!</v>
      </c>
    </row>
    <row r="2288" spans="2:8" hidden="1">
      <c r="B2288" s="68" t="str">
        <f>IF(OR($D$3=JU!$F2288,$D$3=JU!$I2288),JU!B2288,"")</f>
        <v/>
      </c>
      <c r="C2288" s="6" t="str">
        <f>IF(OR($D$3=JU!$F2288,$D$3=JU!$I2288),JU!C2288,"")</f>
        <v/>
      </c>
      <c r="D2288" s="73" t="str">
        <f>IF(OR($D$3=JU!$F2288,$D$3=JU!$I2288),JU!D2288,"")</f>
        <v/>
      </c>
      <c r="E2288" s="74" t="str">
        <f>IF(OR($D$3=JU!$F2288,$D$3=JU!$I2288),JU!E2288,"")</f>
        <v/>
      </c>
      <c r="F2288" s="72">
        <f>IF($D$3=JU!F2288,JU!H2288,0)</f>
        <v>0</v>
      </c>
      <c r="G2288" s="72">
        <f>IF($D$3=JU!I2288,JU!K2288,0)</f>
        <v>0</v>
      </c>
      <c r="H2288" s="72" t="e">
        <f t="shared" si="36"/>
        <v>#REF!</v>
      </c>
    </row>
    <row r="2289" spans="2:8" hidden="1">
      <c r="B2289" s="68" t="str">
        <f>IF(OR($D$3=JU!$F2289,$D$3=JU!$I2289),JU!B2289,"")</f>
        <v/>
      </c>
      <c r="C2289" s="6" t="str">
        <f>IF(OR($D$3=JU!$F2289,$D$3=JU!$I2289),JU!C2289,"")</f>
        <v/>
      </c>
      <c r="D2289" s="73" t="str">
        <f>IF(OR($D$3=JU!$F2289,$D$3=JU!$I2289),JU!D2289,"")</f>
        <v/>
      </c>
      <c r="E2289" s="74" t="str">
        <f>IF(OR($D$3=JU!$F2289,$D$3=JU!$I2289),JU!E2289,"")</f>
        <v/>
      </c>
      <c r="F2289" s="72">
        <f>IF($D$3=JU!F2289,JU!H2289,0)</f>
        <v>0</v>
      </c>
      <c r="G2289" s="72">
        <f>IF($D$3=JU!I2289,JU!K2289,0)</f>
        <v>0</v>
      </c>
      <c r="H2289" s="72" t="e">
        <f t="shared" si="36"/>
        <v>#REF!</v>
      </c>
    </row>
    <row r="2290" spans="2:8" hidden="1">
      <c r="B2290" s="68" t="str">
        <f>IF(OR($D$3=JU!$F2290,$D$3=JU!$I2290),JU!B2290,"")</f>
        <v/>
      </c>
      <c r="C2290" s="6" t="str">
        <f>IF(OR($D$3=JU!$F2290,$D$3=JU!$I2290),JU!C2290,"")</f>
        <v/>
      </c>
      <c r="D2290" s="73" t="str">
        <f>IF(OR($D$3=JU!$F2290,$D$3=JU!$I2290),JU!D2290,"")</f>
        <v/>
      </c>
      <c r="E2290" s="74" t="str">
        <f>IF(OR($D$3=JU!$F2290,$D$3=JU!$I2290),JU!E2290,"")</f>
        <v/>
      </c>
      <c r="F2290" s="72">
        <f>IF($D$3=JU!F2290,JU!H2290,0)</f>
        <v>0</v>
      </c>
      <c r="G2290" s="72">
        <f>IF($D$3=JU!I2290,JU!K2290,0)</f>
        <v>0</v>
      </c>
      <c r="H2290" s="72" t="e">
        <f t="shared" si="36"/>
        <v>#REF!</v>
      </c>
    </row>
    <row r="2291" spans="2:8" hidden="1">
      <c r="B2291" s="68" t="str">
        <f>IF(OR($D$3=JU!$F2291,$D$3=JU!$I2291),JU!B2291,"")</f>
        <v/>
      </c>
      <c r="C2291" s="6" t="str">
        <f>IF(OR($D$3=JU!$F2291,$D$3=JU!$I2291),JU!C2291,"")</f>
        <v/>
      </c>
      <c r="D2291" s="73" t="str">
        <f>IF(OR($D$3=JU!$F2291,$D$3=JU!$I2291),JU!D2291,"")</f>
        <v/>
      </c>
      <c r="E2291" s="74" t="str">
        <f>IF(OR($D$3=JU!$F2291,$D$3=JU!$I2291),JU!E2291,"")</f>
        <v/>
      </c>
      <c r="F2291" s="72">
        <f>IF($D$3=JU!F2291,JU!H2291,0)</f>
        <v>0</v>
      </c>
      <c r="G2291" s="72">
        <f>IF($D$3=JU!I2291,JU!K2291,0)</f>
        <v>0</v>
      </c>
      <c r="H2291" s="72" t="e">
        <f t="shared" si="36"/>
        <v>#REF!</v>
      </c>
    </row>
    <row r="2292" spans="2:8" hidden="1">
      <c r="B2292" s="68" t="str">
        <f>IF(OR($D$3=JU!$F2292,$D$3=JU!$I2292),JU!B2292,"")</f>
        <v/>
      </c>
      <c r="C2292" s="6" t="str">
        <f>IF(OR($D$3=JU!$F2292,$D$3=JU!$I2292),JU!C2292,"")</f>
        <v/>
      </c>
      <c r="D2292" s="73" t="str">
        <f>IF(OR($D$3=JU!$F2292,$D$3=JU!$I2292),JU!D2292,"")</f>
        <v/>
      </c>
      <c r="E2292" s="74" t="str">
        <f>IF(OR($D$3=JU!$F2292,$D$3=JU!$I2292),JU!E2292,"")</f>
        <v/>
      </c>
      <c r="F2292" s="72">
        <f>IF($D$3=JU!F2292,JU!H2292,0)</f>
        <v>0</v>
      </c>
      <c r="G2292" s="72">
        <f>IF($D$3=JU!I2292,JU!K2292,0)</f>
        <v>0</v>
      </c>
      <c r="H2292" s="72" t="e">
        <f t="shared" si="36"/>
        <v>#REF!</v>
      </c>
    </row>
    <row r="2293" spans="2:8" hidden="1">
      <c r="B2293" s="68" t="str">
        <f>IF(OR($D$3=JU!$F2293,$D$3=JU!$I2293),JU!B2293,"")</f>
        <v/>
      </c>
      <c r="C2293" s="6" t="str">
        <f>IF(OR($D$3=JU!$F2293,$D$3=JU!$I2293),JU!C2293,"")</f>
        <v/>
      </c>
      <c r="D2293" s="73" t="str">
        <f>IF(OR($D$3=JU!$F2293,$D$3=JU!$I2293),JU!D2293,"")</f>
        <v/>
      </c>
      <c r="E2293" s="74" t="str">
        <f>IF(OR($D$3=JU!$F2293,$D$3=JU!$I2293),JU!E2293,"")</f>
        <v/>
      </c>
      <c r="F2293" s="72">
        <f>IF($D$3=JU!F2293,JU!H2293,0)</f>
        <v>0</v>
      </c>
      <c r="G2293" s="72">
        <f>IF($D$3=JU!I2293,JU!K2293,0)</f>
        <v>0</v>
      </c>
      <c r="H2293" s="72" t="e">
        <f t="shared" si="36"/>
        <v>#REF!</v>
      </c>
    </row>
    <row r="2294" spans="2:8" hidden="1">
      <c r="B2294" s="68" t="str">
        <f>IF(OR($D$3=JU!$F2294,$D$3=JU!$I2294),JU!B2294,"")</f>
        <v/>
      </c>
      <c r="C2294" s="6" t="str">
        <f>IF(OR($D$3=JU!$F2294,$D$3=JU!$I2294),JU!C2294,"")</f>
        <v/>
      </c>
      <c r="D2294" s="73" t="str">
        <f>IF(OR($D$3=JU!$F2294,$D$3=JU!$I2294),JU!D2294,"")</f>
        <v/>
      </c>
      <c r="E2294" s="74" t="str">
        <f>IF(OR($D$3=JU!$F2294,$D$3=JU!$I2294),JU!E2294,"")</f>
        <v/>
      </c>
      <c r="F2294" s="72">
        <f>IF($D$3=JU!F2294,JU!H2294,0)</f>
        <v>0</v>
      </c>
      <c r="G2294" s="72">
        <f>IF($D$3=JU!I2294,JU!K2294,0)</f>
        <v>0</v>
      </c>
      <c r="H2294" s="72" t="e">
        <f t="shared" si="36"/>
        <v>#REF!</v>
      </c>
    </row>
    <row r="2295" spans="2:8" hidden="1">
      <c r="B2295" s="68" t="str">
        <f>IF(OR($D$3=JU!$F2295,$D$3=JU!$I2295),JU!B2295,"")</f>
        <v/>
      </c>
      <c r="C2295" s="6" t="str">
        <f>IF(OR($D$3=JU!$F2295,$D$3=JU!$I2295),JU!C2295,"")</f>
        <v/>
      </c>
      <c r="D2295" s="73" t="str">
        <f>IF(OR($D$3=JU!$F2295,$D$3=JU!$I2295),JU!D2295,"")</f>
        <v/>
      </c>
      <c r="E2295" s="74" t="str">
        <f>IF(OR($D$3=JU!$F2295,$D$3=JU!$I2295),JU!E2295,"")</f>
        <v/>
      </c>
      <c r="F2295" s="72">
        <f>IF($D$3=JU!F2295,JU!H2295,0)</f>
        <v>0</v>
      </c>
      <c r="G2295" s="72">
        <f>IF($D$3=JU!I2295,JU!K2295,0)</f>
        <v>0</v>
      </c>
      <c r="H2295" s="72" t="e">
        <f t="shared" si="36"/>
        <v>#REF!</v>
      </c>
    </row>
    <row r="2296" spans="2:8" hidden="1">
      <c r="B2296" s="68" t="str">
        <f>IF(OR($D$3=JU!$F2296,$D$3=JU!$I2296),JU!B2296,"")</f>
        <v/>
      </c>
      <c r="C2296" s="6" t="str">
        <f>IF(OR($D$3=JU!$F2296,$D$3=JU!$I2296),JU!C2296,"")</f>
        <v/>
      </c>
      <c r="D2296" s="73" t="str">
        <f>IF(OR($D$3=JU!$F2296,$D$3=JU!$I2296),JU!D2296,"")</f>
        <v/>
      </c>
      <c r="E2296" s="74" t="str">
        <f>IF(OR($D$3=JU!$F2296,$D$3=JU!$I2296),JU!E2296,"")</f>
        <v/>
      </c>
      <c r="F2296" s="72">
        <f>IF($D$3=JU!F2296,JU!H2296,0)</f>
        <v>0</v>
      </c>
      <c r="G2296" s="72">
        <f>IF($D$3=JU!I2296,JU!K2296,0)</f>
        <v>0</v>
      </c>
      <c r="H2296" s="72" t="e">
        <f t="shared" si="36"/>
        <v>#REF!</v>
      </c>
    </row>
    <row r="2297" spans="2:8" hidden="1">
      <c r="B2297" s="68" t="str">
        <f>IF(OR($D$3=JU!$F2297,$D$3=JU!$I2297),JU!B2297,"")</f>
        <v/>
      </c>
      <c r="C2297" s="6" t="str">
        <f>IF(OR($D$3=JU!$F2297,$D$3=JU!$I2297),JU!C2297,"")</f>
        <v/>
      </c>
      <c r="D2297" s="73" t="str">
        <f>IF(OR($D$3=JU!$F2297,$D$3=JU!$I2297),JU!D2297,"")</f>
        <v/>
      </c>
      <c r="E2297" s="74" t="str">
        <f>IF(OR($D$3=JU!$F2297,$D$3=JU!$I2297),JU!E2297,"")</f>
        <v/>
      </c>
      <c r="F2297" s="72">
        <f>IF($D$3=JU!F2297,JU!H2297,0)</f>
        <v>0</v>
      </c>
      <c r="G2297" s="72">
        <f>IF($D$3=JU!I2297,JU!K2297,0)</f>
        <v>0</v>
      </c>
      <c r="H2297" s="72" t="e">
        <f t="shared" si="36"/>
        <v>#REF!</v>
      </c>
    </row>
    <row r="2298" spans="2:8" hidden="1">
      <c r="B2298" s="68" t="str">
        <f>IF(OR($D$3=JU!$F2298,$D$3=JU!$I2298),JU!B2298,"")</f>
        <v/>
      </c>
      <c r="C2298" s="6" t="str">
        <f>IF(OR($D$3=JU!$F2298,$D$3=JU!$I2298),JU!C2298,"")</f>
        <v/>
      </c>
      <c r="D2298" s="73" t="str">
        <f>IF(OR($D$3=JU!$F2298,$D$3=JU!$I2298),JU!D2298,"")</f>
        <v/>
      </c>
      <c r="E2298" s="74" t="str">
        <f>IF(OR($D$3=JU!$F2298,$D$3=JU!$I2298),JU!E2298,"")</f>
        <v/>
      </c>
      <c r="F2298" s="72">
        <f>IF($D$3=JU!F2298,JU!H2298,0)</f>
        <v>0</v>
      </c>
      <c r="G2298" s="72">
        <f>IF($D$3=JU!I2298,JU!K2298,0)</f>
        <v>0</v>
      </c>
      <c r="H2298" s="72" t="e">
        <f t="shared" si="36"/>
        <v>#REF!</v>
      </c>
    </row>
    <row r="2299" spans="2:8" hidden="1">
      <c r="B2299" s="68" t="str">
        <f>IF(OR($D$3=JU!$F2299,$D$3=JU!$I2299),JU!B2299,"")</f>
        <v/>
      </c>
      <c r="C2299" s="6" t="str">
        <f>IF(OR($D$3=JU!$F2299,$D$3=JU!$I2299),JU!C2299,"")</f>
        <v/>
      </c>
      <c r="D2299" s="73" t="str">
        <f>IF(OR($D$3=JU!$F2299,$D$3=JU!$I2299),JU!D2299,"")</f>
        <v/>
      </c>
      <c r="E2299" s="74" t="str">
        <f>IF(OR($D$3=JU!$F2299,$D$3=JU!$I2299),JU!E2299,"")</f>
        <v/>
      </c>
      <c r="F2299" s="72">
        <f>IF($D$3=JU!F2299,JU!H2299,0)</f>
        <v>0</v>
      </c>
      <c r="G2299" s="72">
        <f>IF($D$3=JU!I2299,JU!K2299,0)</f>
        <v>0</v>
      </c>
      <c r="H2299" s="72" t="e">
        <f t="shared" si="36"/>
        <v>#REF!</v>
      </c>
    </row>
    <row r="2300" spans="2:8" hidden="1">
      <c r="B2300" s="68" t="str">
        <f>IF(OR($D$3=JU!$F2300,$D$3=JU!$I2300),JU!B2300,"")</f>
        <v/>
      </c>
      <c r="C2300" s="6" t="str">
        <f>IF(OR($D$3=JU!$F2300,$D$3=JU!$I2300),JU!C2300,"")</f>
        <v/>
      </c>
      <c r="D2300" s="73" t="str">
        <f>IF(OR($D$3=JU!$F2300,$D$3=JU!$I2300),JU!D2300,"")</f>
        <v/>
      </c>
      <c r="E2300" s="74" t="str">
        <f>IF(OR($D$3=JU!$F2300,$D$3=JU!$I2300),JU!E2300,"")</f>
        <v/>
      </c>
      <c r="F2300" s="72">
        <f>IF($D$3=JU!F2300,JU!H2300,0)</f>
        <v>0</v>
      </c>
      <c r="G2300" s="72">
        <f>IF($D$3=JU!I2300,JU!K2300,0)</f>
        <v>0</v>
      </c>
      <c r="H2300" s="72" t="e">
        <f t="shared" si="36"/>
        <v>#REF!</v>
      </c>
    </row>
    <row r="2301" spans="2:8" hidden="1">
      <c r="B2301" s="68" t="str">
        <f>IF(OR($D$3=JU!$F2301,$D$3=JU!$I2301),JU!B2301,"")</f>
        <v/>
      </c>
      <c r="C2301" s="6" t="str">
        <f>IF(OR($D$3=JU!$F2301,$D$3=JU!$I2301),JU!C2301,"")</f>
        <v/>
      </c>
      <c r="D2301" s="73" t="str">
        <f>IF(OR($D$3=JU!$F2301,$D$3=JU!$I2301),JU!D2301,"")</f>
        <v/>
      </c>
      <c r="E2301" s="74" t="str">
        <f>IF(OR($D$3=JU!$F2301,$D$3=JU!$I2301),JU!E2301,"")</f>
        <v/>
      </c>
      <c r="F2301" s="72">
        <f>IF($D$3=JU!F2301,JU!H2301,0)</f>
        <v>0</v>
      </c>
      <c r="G2301" s="72">
        <f>IF($D$3=JU!I2301,JU!K2301,0)</f>
        <v>0</v>
      </c>
      <c r="H2301" s="72" t="e">
        <f t="shared" si="36"/>
        <v>#REF!</v>
      </c>
    </row>
    <row r="2302" spans="2:8" hidden="1">
      <c r="B2302" s="68" t="str">
        <f>IF(OR($D$3=JU!$F2302,$D$3=JU!$I2302),JU!B2302,"")</f>
        <v/>
      </c>
      <c r="C2302" s="6" t="str">
        <f>IF(OR($D$3=JU!$F2302,$D$3=JU!$I2302),JU!C2302,"")</f>
        <v/>
      </c>
      <c r="D2302" s="73" t="str">
        <f>IF(OR($D$3=JU!$F2302,$D$3=JU!$I2302),JU!D2302,"")</f>
        <v/>
      </c>
      <c r="E2302" s="74" t="str">
        <f>IF(OR($D$3=JU!$F2302,$D$3=JU!$I2302),JU!E2302,"")</f>
        <v/>
      </c>
      <c r="F2302" s="72">
        <f>IF($D$3=JU!F2302,JU!H2302,0)</f>
        <v>0</v>
      </c>
      <c r="G2302" s="72">
        <f>IF($D$3=JU!I2302,JU!K2302,0)</f>
        <v>0</v>
      </c>
      <c r="H2302" s="72" t="e">
        <f t="shared" si="36"/>
        <v>#REF!</v>
      </c>
    </row>
    <row r="2303" spans="2:8" hidden="1">
      <c r="B2303" s="68" t="str">
        <f>IF(OR($D$3=JU!$F2303,$D$3=JU!$I2303),JU!B2303,"")</f>
        <v/>
      </c>
      <c r="C2303" s="6" t="str">
        <f>IF(OR($D$3=JU!$F2303,$D$3=JU!$I2303),JU!C2303,"")</f>
        <v/>
      </c>
      <c r="D2303" s="73" t="str">
        <f>IF(OR($D$3=JU!$F2303,$D$3=JU!$I2303),JU!D2303,"")</f>
        <v/>
      </c>
      <c r="E2303" s="74" t="str">
        <f>IF(OR($D$3=JU!$F2303,$D$3=JU!$I2303),JU!E2303,"")</f>
        <v/>
      </c>
      <c r="F2303" s="72">
        <f>IF($D$3=JU!F2303,JU!H2303,0)</f>
        <v>0</v>
      </c>
      <c r="G2303" s="72">
        <f>IF($D$3=JU!I2303,JU!K2303,0)</f>
        <v>0</v>
      </c>
      <c r="H2303" s="72" t="e">
        <f t="shared" si="36"/>
        <v>#REF!</v>
      </c>
    </row>
    <row r="2304" spans="2:8" hidden="1">
      <c r="B2304" s="68" t="str">
        <f>IF(OR($D$3=JU!$F2304,$D$3=JU!$I2304),JU!B2304,"")</f>
        <v/>
      </c>
      <c r="C2304" s="6" t="str">
        <f>IF(OR($D$3=JU!$F2304,$D$3=JU!$I2304),JU!C2304,"")</f>
        <v/>
      </c>
      <c r="D2304" s="73" t="str">
        <f>IF(OR($D$3=JU!$F2304,$D$3=JU!$I2304),JU!D2304,"")</f>
        <v/>
      </c>
      <c r="E2304" s="74" t="str">
        <f>IF(OR($D$3=JU!$F2304,$D$3=JU!$I2304),JU!E2304,"")</f>
        <v/>
      </c>
      <c r="F2304" s="72">
        <f>IF($D$3=JU!F2304,JU!H2304,0)</f>
        <v>0</v>
      </c>
      <c r="G2304" s="72">
        <f>IF($D$3=JU!I2304,JU!K2304,0)</f>
        <v>0</v>
      </c>
      <c r="H2304" s="72" t="e">
        <f t="shared" si="36"/>
        <v>#REF!</v>
      </c>
    </row>
    <row r="2305" spans="2:8" hidden="1">
      <c r="B2305" s="68" t="str">
        <f>IF(OR($D$3=JU!$F2305,$D$3=JU!$I2305),JU!B2305,"")</f>
        <v/>
      </c>
      <c r="C2305" s="6" t="str">
        <f>IF(OR($D$3=JU!$F2305,$D$3=JU!$I2305),JU!C2305,"")</f>
        <v/>
      </c>
      <c r="D2305" s="73" t="str">
        <f>IF(OR($D$3=JU!$F2305,$D$3=JU!$I2305),JU!D2305,"")</f>
        <v/>
      </c>
      <c r="E2305" s="74" t="str">
        <f>IF(OR($D$3=JU!$F2305,$D$3=JU!$I2305),JU!E2305,"")</f>
        <v/>
      </c>
      <c r="F2305" s="72">
        <f>IF($D$3=JU!F2305,JU!H2305,0)</f>
        <v>0</v>
      </c>
      <c r="G2305" s="72">
        <f>IF($D$3=JU!I2305,JU!K2305,0)</f>
        <v>0</v>
      </c>
      <c r="H2305" s="72" t="e">
        <f t="shared" si="36"/>
        <v>#REF!</v>
      </c>
    </row>
    <row r="2306" spans="2:8" hidden="1">
      <c r="B2306" s="68" t="str">
        <f>IF(OR($D$3=JU!$F2306,$D$3=JU!$I2306),JU!B2306,"")</f>
        <v/>
      </c>
      <c r="C2306" s="6" t="str">
        <f>IF(OR($D$3=JU!$F2306,$D$3=JU!$I2306),JU!C2306,"")</f>
        <v/>
      </c>
      <c r="D2306" s="73" t="str">
        <f>IF(OR($D$3=JU!$F2306,$D$3=JU!$I2306),JU!D2306,"")</f>
        <v/>
      </c>
      <c r="E2306" s="74" t="str">
        <f>IF(OR($D$3=JU!$F2306,$D$3=JU!$I2306),JU!E2306,"")</f>
        <v/>
      </c>
      <c r="F2306" s="72">
        <f>IF($D$3=JU!F2306,JU!H2306,0)</f>
        <v>0</v>
      </c>
      <c r="G2306" s="72">
        <f>IF($D$3=JU!I2306,JU!K2306,0)</f>
        <v>0</v>
      </c>
      <c r="H2306" s="72" t="e">
        <f t="shared" si="36"/>
        <v>#REF!</v>
      </c>
    </row>
    <row r="2307" spans="2:8" hidden="1">
      <c r="B2307" s="68" t="str">
        <f>IF(OR($D$3=JU!$F2307,$D$3=JU!$I2307),JU!B2307,"")</f>
        <v/>
      </c>
      <c r="C2307" s="6" t="str">
        <f>IF(OR($D$3=JU!$F2307,$D$3=JU!$I2307),JU!C2307,"")</f>
        <v/>
      </c>
      <c r="D2307" s="73" t="str">
        <f>IF(OR($D$3=JU!$F2307,$D$3=JU!$I2307),JU!D2307,"")</f>
        <v/>
      </c>
      <c r="E2307" s="74" t="str">
        <f>IF(OR($D$3=JU!$F2307,$D$3=JU!$I2307),JU!E2307,"")</f>
        <v/>
      </c>
      <c r="F2307" s="72">
        <f>IF($D$3=JU!F2307,JU!H2307,0)</f>
        <v>0</v>
      </c>
      <c r="G2307" s="72">
        <f>IF($D$3=JU!I2307,JU!K2307,0)</f>
        <v>0</v>
      </c>
      <c r="H2307" s="72" t="e">
        <f t="shared" si="36"/>
        <v>#REF!</v>
      </c>
    </row>
    <row r="2308" spans="2:8" hidden="1">
      <c r="B2308" s="68" t="str">
        <f>IF(OR($D$3=JU!$F2308,$D$3=JU!$I2308),JU!B2308,"")</f>
        <v/>
      </c>
      <c r="C2308" s="6" t="str">
        <f>IF(OR($D$3=JU!$F2308,$D$3=JU!$I2308),JU!C2308,"")</f>
        <v/>
      </c>
      <c r="D2308" s="73" t="str">
        <f>IF(OR($D$3=JU!$F2308,$D$3=JU!$I2308),JU!D2308,"")</f>
        <v/>
      </c>
      <c r="E2308" s="74" t="str">
        <f>IF(OR($D$3=JU!$F2308,$D$3=JU!$I2308),JU!E2308,"")</f>
        <v/>
      </c>
      <c r="F2308" s="72">
        <f>IF($D$3=JU!F2308,JU!H2308,0)</f>
        <v>0</v>
      </c>
      <c r="G2308" s="72">
        <f>IF($D$3=JU!I2308,JU!K2308,0)</f>
        <v>0</v>
      </c>
      <c r="H2308" s="72" t="e">
        <f t="shared" si="36"/>
        <v>#REF!</v>
      </c>
    </row>
    <row r="2309" spans="2:8" hidden="1">
      <c r="B2309" s="68" t="str">
        <f>IF(OR($D$3=JU!$F2309,$D$3=JU!$I2309),JU!B2309,"")</f>
        <v/>
      </c>
      <c r="C2309" s="6" t="str">
        <f>IF(OR($D$3=JU!$F2309,$D$3=JU!$I2309),JU!C2309,"")</f>
        <v/>
      </c>
      <c r="D2309" s="73" t="str">
        <f>IF(OR($D$3=JU!$F2309,$D$3=JU!$I2309),JU!D2309,"")</f>
        <v/>
      </c>
      <c r="E2309" s="74" t="str">
        <f>IF(OR($D$3=JU!$F2309,$D$3=JU!$I2309),JU!E2309,"")</f>
        <v/>
      </c>
      <c r="F2309" s="72">
        <f>IF($D$3=JU!F2309,JU!H2309,0)</f>
        <v>0</v>
      </c>
      <c r="G2309" s="72">
        <f>IF($D$3=JU!I2309,JU!K2309,0)</f>
        <v>0</v>
      </c>
      <c r="H2309" s="72" t="e">
        <f t="shared" si="36"/>
        <v>#REF!</v>
      </c>
    </row>
    <row r="2310" spans="2:8" hidden="1">
      <c r="B2310" s="68" t="str">
        <f>IF(OR($D$3=JU!$F2310,$D$3=JU!$I2310),JU!B2310,"")</f>
        <v/>
      </c>
      <c r="C2310" s="6" t="str">
        <f>IF(OR($D$3=JU!$F2310,$D$3=JU!$I2310),JU!C2310,"")</f>
        <v/>
      </c>
      <c r="D2310" s="73" t="str">
        <f>IF(OR($D$3=JU!$F2310,$D$3=JU!$I2310),JU!D2310,"")</f>
        <v/>
      </c>
      <c r="E2310" s="74" t="str">
        <f>IF(OR($D$3=JU!$F2310,$D$3=JU!$I2310),JU!E2310,"")</f>
        <v/>
      </c>
      <c r="F2310" s="72">
        <f>IF($D$3=JU!F2310,JU!H2310,0)</f>
        <v>0</v>
      </c>
      <c r="G2310" s="72">
        <f>IF($D$3=JU!I2310,JU!K2310,0)</f>
        <v>0</v>
      </c>
      <c r="H2310" s="72" t="e">
        <f t="shared" si="36"/>
        <v>#REF!</v>
      </c>
    </row>
    <row r="2311" spans="2:8" hidden="1">
      <c r="B2311" s="68" t="str">
        <f>IF(OR($D$3=JU!$F2311,$D$3=JU!$I2311),JU!B2311,"")</f>
        <v/>
      </c>
      <c r="C2311" s="6" t="str">
        <f>IF(OR($D$3=JU!$F2311,$D$3=JU!$I2311),JU!C2311,"")</f>
        <v/>
      </c>
      <c r="D2311" s="73" t="str">
        <f>IF(OR($D$3=JU!$F2311,$D$3=JU!$I2311),JU!D2311,"")</f>
        <v/>
      </c>
      <c r="E2311" s="74" t="str">
        <f>IF(OR($D$3=JU!$F2311,$D$3=JU!$I2311),JU!E2311,"")</f>
        <v/>
      </c>
      <c r="F2311" s="72">
        <f>IF($D$3=JU!F2311,JU!H2311,0)</f>
        <v>0</v>
      </c>
      <c r="G2311" s="72">
        <f>IF($D$3=JU!I2311,JU!K2311,0)</f>
        <v>0</v>
      </c>
      <c r="H2311" s="72" t="e">
        <f t="shared" si="36"/>
        <v>#REF!</v>
      </c>
    </row>
    <row r="2312" spans="2:8" hidden="1">
      <c r="B2312" s="68" t="str">
        <f>IF(OR($D$3=JU!$F2312,$D$3=JU!$I2312),JU!B2312,"")</f>
        <v/>
      </c>
      <c r="C2312" s="6" t="str">
        <f>IF(OR($D$3=JU!$F2312,$D$3=JU!$I2312),JU!C2312,"")</f>
        <v/>
      </c>
      <c r="D2312" s="73" t="str">
        <f>IF(OR($D$3=JU!$F2312,$D$3=JU!$I2312),JU!D2312,"")</f>
        <v/>
      </c>
      <c r="E2312" s="74" t="str">
        <f>IF(OR($D$3=JU!$F2312,$D$3=JU!$I2312),JU!E2312,"")</f>
        <v/>
      </c>
      <c r="F2312" s="72">
        <f>IF($D$3=JU!F2312,JU!H2312,0)</f>
        <v>0</v>
      </c>
      <c r="G2312" s="72">
        <f>IF($D$3=JU!I2312,JU!K2312,0)</f>
        <v>0</v>
      </c>
      <c r="H2312" s="72" t="e">
        <f t="shared" si="36"/>
        <v>#REF!</v>
      </c>
    </row>
    <row r="2313" spans="2:8" hidden="1">
      <c r="B2313" s="68" t="str">
        <f>IF(OR($D$3=JU!$F2313,$D$3=JU!$I2313),JU!B2313,"")</f>
        <v/>
      </c>
      <c r="C2313" s="6" t="str">
        <f>IF(OR($D$3=JU!$F2313,$D$3=JU!$I2313),JU!C2313,"")</f>
        <v/>
      </c>
      <c r="D2313" s="73" t="str">
        <f>IF(OR($D$3=JU!$F2313,$D$3=JU!$I2313),JU!D2313,"")</f>
        <v/>
      </c>
      <c r="E2313" s="74" t="str">
        <f>IF(OR($D$3=JU!$F2313,$D$3=JU!$I2313),JU!E2313,"")</f>
        <v/>
      </c>
      <c r="F2313" s="72">
        <f>IF($D$3=JU!F2313,JU!H2313,0)</f>
        <v>0</v>
      </c>
      <c r="G2313" s="72">
        <f>IF($D$3=JU!I2313,JU!K2313,0)</f>
        <v>0</v>
      </c>
      <c r="H2313" s="72" t="e">
        <f t="shared" si="36"/>
        <v>#REF!</v>
      </c>
    </row>
    <row r="2314" spans="2:8" hidden="1">
      <c r="B2314" s="68" t="str">
        <f>IF(OR($D$3=JU!$F2314,$D$3=JU!$I2314),JU!B2314,"")</f>
        <v/>
      </c>
      <c r="C2314" s="6" t="str">
        <f>IF(OR($D$3=JU!$F2314,$D$3=JU!$I2314),JU!C2314,"")</f>
        <v/>
      </c>
      <c r="D2314" s="73" t="str">
        <f>IF(OR($D$3=JU!$F2314,$D$3=JU!$I2314),JU!D2314,"")</f>
        <v/>
      </c>
      <c r="E2314" s="74" t="str">
        <f>IF(OR($D$3=JU!$F2314,$D$3=JU!$I2314),JU!E2314,"")</f>
        <v/>
      </c>
      <c r="F2314" s="72">
        <f>IF($D$3=JU!F2314,JU!H2314,0)</f>
        <v>0</v>
      </c>
      <c r="G2314" s="72">
        <f>IF($D$3=JU!I2314,JU!K2314,0)</f>
        <v>0</v>
      </c>
      <c r="H2314" s="72" t="e">
        <f t="shared" si="36"/>
        <v>#REF!</v>
      </c>
    </row>
    <row r="2315" spans="2:8" hidden="1">
      <c r="B2315" s="68" t="str">
        <f>IF(OR($D$3=JU!$F2315,$D$3=JU!$I2315),JU!B2315,"")</f>
        <v/>
      </c>
      <c r="C2315" s="6" t="str">
        <f>IF(OR($D$3=JU!$F2315,$D$3=JU!$I2315),JU!C2315,"")</f>
        <v/>
      </c>
      <c r="D2315" s="73" t="str">
        <f>IF(OR($D$3=JU!$F2315,$D$3=JU!$I2315),JU!D2315,"")</f>
        <v/>
      </c>
      <c r="E2315" s="74" t="str">
        <f>IF(OR($D$3=JU!$F2315,$D$3=JU!$I2315),JU!E2315,"")</f>
        <v/>
      </c>
      <c r="F2315" s="72">
        <f>IF($D$3=JU!F2315,JU!H2315,0)</f>
        <v>0</v>
      </c>
      <c r="G2315" s="72">
        <f>IF($D$3=JU!I2315,JU!K2315,0)</f>
        <v>0</v>
      </c>
      <c r="H2315" s="72" t="e">
        <f t="shared" si="36"/>
        <v>#REF!</v>
      </c>
    </row>
    <row r="2316" spans="2:8" hidden="1">
      <c r="B2316" s="68" t="str">
        <f>IF(OR($D$3=JU!$F2316,$D$3=JU!$I2316),JU!B2316,"")</f>
        <v/>
      </c>
      <c r="C2316" s="6" t="str">
        <f>IF(OR($D$3=JU!$F2316,$D$3=JU!$I2316),JU!C2316,"")</f>
        <v/>
      </c>
      <c r="D2316" s="73" t="str">
        <f>IF(OR($D$3=JU!$F2316,$D$3=JU!$I2316),JU!D2316,"")</f>
        <v/>
      </c>
      <c r="E2316" s="74" t="str">
        <f>IF(OR($D$3=JU!$F2316,$D$3=JU!$I2316),JU!E2316,"")</f>
        <v/>
      </c>
      <c r="F2316" s="72">
        <f>IF($D$3=JU!F2316,JU!H2316,0)</f>
        <v>0</v>
      </c>
      <c r="G2316" s="72">
        <f>IF($D$3=JU!I2316,JU!K2316,0)</f>
        <v>0</v>
      </c>
      <c r="H2316" s="72" t="e">
        <f t="shared" si="36"/>
        <v>#REF!</v>
      </c>
    </row>
    <row r="2317" spans="2:8" hidden="1">
      <c r="B2317" s="68" t="str">
        <f>IF(OR($D$3=JU!$F2317,$D$3=JU!$I2317),JU!B2317,"")</f>
        <v/>
      </c>
      <c r="C2317" s="6" t="str">
        <f>IF(OR($D$3=JU!$F2317,$D$3=JU!$I2317),JU!C2317,"")</f>
        <v/>
      </c>
      <c r="D2317" s="73" t="str">
        <f>IF(OR($D$3=JU!$F2317,$D$3=JU!$I2317),JU!D2317,"")</f>
        <v/>
      </c>
      <c r="E2317" s="74" t="str">
        <f>IF(OR($D$3=JU!$F2317,$D$3=JU!$I2317),JU!E2317,"")</f>
        <v/>
      </c>
      <c r="F2317" s="72">
        <f>IF($D$3=JU!F2317,JU!H2317,0)</f>
        <v>0</v>
      </c>
      <c r="G2317" s="72">
        <f>IF($D$3=JU!I2317,JU!K2317,0)</f>
        <v>0</v>
      </c>
      <c r="H2317" s="72" t="e">
        <f t="shared" si="36"/>
        <v>#REF!</v>
      </c>
    </row>
    <row r="2318" spans="2:8" hidden="1">
      <c r="B2318" s="68" t="str">
        <f>IF(OR($D$3=JU!$F2318,$D$3=JU!$I2318),JU!B2318,"")</f>
        <v/>
      </c>
      <c r="C2318" s="6" t="str">
        <f>IF(OR($D$3=JU!$F2318,$D$3=JU!$I2318),JU!C2318,"")</f>
        <v/>
      </c>
      <c r="D2318" s="73" t="str">
        <f>IF(OR($D$3=JU!$F2318,$D$3=JU!$I2318),JU!D2318,"")</f>
        <v/>
      </c>
      <c r="E2318" s="74" t="str">
        <f>IF(OR($D$3=JU!$F2318,$D$3=JU!$I2318),JU!E2318,"")</f>
        <v/>
      </c>
      <c r="F2318" s="72">
        <f>IF($D$3=JU!F2318,JU!H2318,0)</f>
        <v>0</v>
      </c>
      <c r="G2318" s="72">
        <f>IF($D$3=JU!I2318,JU!K2318,0)</f>
        <v>0</v>
      </c>
      <c r="H2318" s="72" t="e">
        <f t="shared" ref="H2318:H2381" si="37">IF($H$7="DEBET",H2317+F2318-G2318,H2317+G2318-F2318)</f>
        <v>#REF!</v>
      </c>
    </row>
    <row r="2319" spans="2:8" hidden="1">
      <c r="B2319" s="68" t="str">
        <f>IF(OR($D$3=JU!$F2319,$D$3=JU!$I2319),JU!B2319,"")</f>
        <v/>
      </c>
      <c r="C2319" s="6" t="str">
        <f>IF(OR($D$3=JU!$F2319,$D$3=JU!$I2319),JU!C2319,"")</f>
        <v/>
      </c>
      <c r="D2319" s="73" t="str">
        <f>IF(OR($D$3=JU!$F2319,$D$3=JU!$I2319),JU!D2319,"")</f>
        <v/>
      </c>
      <c r="E2319" s="74" t="str">
        <f>IF(OR($D$3=JU!$F2319,$D$3=JU!$I2319),JU!E2319,"")</f>
        <v/>
      </c>
      <c r="F2319" s="72">
        <f>IF($D$3=JU!F2319,JU!H2319,0)</f>
        <v>0</v>
      </c>
      <c r="G2319" s="72">
        <f>IF($D$3=JU!I2319,JU!K2319,0)</f>
        <v>0</v>
      </c>
      <c r="H2319" s="72" t="e">
        <f t="shared" si="37"/>
        <v>#REF!</v>
      </c>
    </row>
    <row r="2320" spans="2:8" hidden="1">
      <c r="B2320" s="68" t="str">
        <f>IF(OR($D$3=JU!$F2320,$D$3=JU!$I2320),JU!B2320,"")</f>
        <v/>
      </c>
      <c r="C2320" s="6" t="str">
        <f>IF(OR($D$3=JU!$F2320,$D$3=JU!$I2320),JU!C2320,"")</f>
        <v/>
      </c>
      <c r="D2320" s="73" t="str">
        <f>IF(OR($D$3=JU!$F2320,$D$3=JU!$I2320),JU!D2320,"")</f>
        <v/>
      </c>
      <c r="E2320" s="74" t="str">
        <f>IF(OR($D$3=JU!$F2320,$D$3=JU!$I2320),JU!E2320,"")</f>
        <v/>
      </c>
      <c r="F2320" s="72">
        <f>IF($D$3=JU!F2320,JU!H2320,0)</f>
        <v>0</v>
      </c>
      <c r="G2320" s="72">
        <f>IF($D$3=JU!I2320,JU!K2320,0)</f>
        <v>0</v>
      </c>
      <c r="H2320" s="72" t="e">
        <f t="shared" si="37"/>
        <v>#REF!</v>
      </c>
    </row>
    <row r="2321" spans="2:8" hidden="1">
      <c r="B2321" s="68" t="str">
        <f>IF(OR($D$3=JU!$F2321,$D$3=JU!$I2321),JU!B2321,"")</f>
        <v/>
      </c>
      <c r="C2321" s="6" t="str">
        <f>IF(OR($D$3=JU!$F2321,$D$3=JU!$I2321),JU!C2321,"")</f>
        <v/>
      </c>
      <c r="D2321" s="73" t="str">
        <f>IF(OR($D$3=JU!$F2321,$D$3=JU!$I2321),JU!D2321,"")</f>
        <v/>
      </c>
      <c r="E2321" s="74" t="str">
        <f>IF(OR($D$3=JU!$F2321,$D$3=JU!$I2321),JU!E2321,"")</f>
        <v/>
      </c>
      <c r="F2321" s="72">
        <f>IF($D$3=JU!F2321,JU!H2321,0)</f>
        <v>0</v>
      </c>
      <c r="G2321" s="72">
        <f>IF($D$3=JU!I2321,JU!K2321,0)</f>
        <v>0</v>
      </c>
      <c r="H2321" s="72" t="e">
        <f t="shared" si="37"/>
        <v>#REF!</v>
      </c>
    </row>
    <row r="2322" spans="2:8" hidden="1">
      <c r="B2322" s="68" t="str">
        <f>IF(OR($D$3=JU!$F2322,$D$3=JU!$I2322),JU!B2322,"")</f>
        <v/>
      </c>
      <c r="C2322" s="6" t="str">
        <f>IF(OR($D$3=JU!$F2322,$D$3=JU!$I2322),JU!C2322,"")</f>
        <v/>
      </c>
      <c r="D2322" s="73" t="str">
        <f>IF(OR($D$3=JU!$F2322,$D$3=JU!$I2322),JU!D2322,"")</f>
        <v/>
      </c>
      <c r="E2322" s="74" t="str">
        <f>IF(OR($D$3=JU!$F2322,$D$3=JU!$I2322),JU!E2322,"")</f>
        <v/>
      </c>
      <c r="F2322" s="72">
        <f>IF($D$3=JU!F2322,JU!H2322,0)</f>
        <v>0</v>
      </c>
      <c r="G2322" s="72">
        <f>IF($D$3=JU!I2322,JU!K2322,0)</f>
        <v>0</v>
      </c>
      <c r="H2322" s="72" t="e">
        <f t="shared" si="37"/>
        <v>#REF!</v>
      </c>
    </row>
    <row r="2323" spans="2:8" hidden="1">
      <c r="B2323" s="68" t="str">
        <f>IF(OR($D$3=JU!$F2323,$D$3=JU!$I2323),JU!B2323,"")</f>
        <v/>
      </c>
      <c r="C2323" s="6" t="str">
        <f>IF(OR($D$3=JU!$F2323,$D$3=JU!$I2323),JU!C2323,"")</f>
        <v/>
      </c>
      <c r="D2323" s="73" t="str">
        <f>IF(OR($D$3=JU!$F2323,$D$3=JU!$I2323),JU!D2323,"")</f>
        <v/>
      </c>
      <c r="E2323" s="74" t="str">
        <f>IF(OR($D$3=JU!$F2323,$D$3=JU!$I2323),JU!E2323,"")</f>
        <v/>
      </c>
      <c r="F2323" s="72">
        <f>IF($D$3=JU!F2323,JU!H2323,0)</f>
        <v>0</v>
      </c>
      <c r="G2323" s="72">
        <f>IF($D$3=JU!I2323,JU!K2323,0)</f>
        <v>0</v>
      </c>
      <c r="H2323" s="72" t="e">
        <f t="shared" si="37"/>
        <v>#REF!</v>
      </c>
    </row>
    <row r="2324" spans="2:8" hidden="1">
      <c r="B2324" s="68" t="str">
        <f>IF(OR($D$3=JU!$F2324,$D$3=JU!$I2324),JU!B2324,"")</f>
        <v/>
      </c>
      <c r="C2324" s="6" t="str">
        <f>IF(OR($D$3=JU!$F2324,$D$3=JU!$I2324),JU!C2324,"")</f>
        <v/>
      </c>
      <c r="D2324" s="73" t="str">
        <f>IF(OR($D$3=JU!$F2324,$D$3=JU!$I2324),JU!D2324,"")</f>
        <v/>
      </c>
      <c r="E2324" s="74" t="str">
        <f>IF(OR($D$3=JU!$F2324,$D$3=JU!$I2324),JU!E2324,"")</f>
        <v/>
      </c>
      <c r="F2324" s="72">
        <f>IF($D$3=JU!F2324,JU!H2324,0)</f>
        <v>0</v>
      </c>
      <c r="G2324" s="72">
        <f>IF($D$3=JU!I2324,JU!K2324,0)</f>
        <v>0</v>
      </c>
      <c r="H2324" s="72" t="e">
        <f t="shared" si="37"/>
        <v>#REF!</v>
      </c>
    </row>
    <row r="2325" spans="2:8" hidden="1">
      <c r="B2325" s="68" t="str">
        <f>IF(OR($D$3=JU!$F2325,$D$3=JU!$I2325),JU!B2325,"")</f>
        <v/>
      </c>
      <c r="C2325" s="6" t="str">
        <f>IF(OR($D$3=JU!$F2325,$D$3=JU!$I2325),JU!C2325,"")</f>
        <v/>
      </c>
      <c r="D2325" s="73" t="str">
        <f>IF(OR($D$3=JU!$F2325,$D$3=JU!$I2325),JU!D2325,"")</f>
        <v/>
      </c>
      <c r="E2325" s="74" t="str">
        <f>IF(OR($D$3=JU!$F2325,$D$3=JU!$I2325),JU!E2325,"")</f>
        <v/>
      </c>
      <c r="F2325" s="72">
        <f>IF($D$3=JU!F2325,JU!H2325,0)</f>
        <v>0</v>
      </c>
      <c r="G2325" s="72">
        <f>IF($D$3=JU!I2325,JU!K2325,0)</f>
        <v>0</v>
      </c>
      <c r="H2325" s="72" t="e">
        <f t="shared" si="37"/>
        <v>#REF!</v>
      </c>
    </row>
    <row r="2326" spans="2:8" hidden="1">
      <c r="B2326" s="68" t="str">
        <f>IF(OR($D$3=JU!$F2326,$D$3=JU!$I2326),JU!B2326,"")</f>
        <v/>
      </c>
      <c r="C2326" s="6" t="str">
        <f>IF(OR($D$3=JU!$F2326,$D$3=JU!$I2326),JU!C2326,"")</f>
        <v/>
      </c>
      <c r="D2326" s="73" t="str">
        <f>IF(OR($D$3=JU!$F2326,$D$3=JU!$I2326),JU!D2326,"")</f>
        <v/>
      </c>
      <c r="E2326" s="74" t="str">
        <f>IF(OR($D$3=JU!$F2326,$D$3=JU!$I2326),JU!E2326,"")</f>
        <v/>
      </c>
      <c r="F2326" s="72">
        <f>IF($D$3=JU!F2326,JU!H2326,0)</f>
        <v>0</v>
      </c>
      <c r="G2326" s="72">
        <f>IF($D$3=JU!I2326,JU!K2326,0)</f>
        <v>0</v>
      </c>
      <c r="H2326" s="72" t="e">
        <f t="shared" si="37"/>
        <v>#REF!</v>
      </c>
    </row>
    <row r="2327" spans="2:8" hidden="1">
      <c r="B2327" s="68" t="str">
        <f>IF(OR($D$3=JU!$F2327,$D$3=JU!$I2327),JU!B2327,"")</f>
        <v/>
      </c>
      <c r="C2327" s="6" t="str">
        <f>IF(OR($D$3=JU!$F2327,$D$3=JU!$I2327),JU!C2327,"")</f>
        <v/>
      </c>
      <c r="D2327" s="73" t="str">
        <f>IF(OR($D$3=JU!$F2327,$D$3=JU!$I2327),JU!D2327,"")</f>
        <v/>
      </c>
      <c r="E2327" s="74" t="str">
        <f>IF(OR($D$3=JU!$F2327,$D$3=JU!$I2327),JU!E2327,"")</f>
        <v/>
      </c>
      <c r="F2327" s="72">
        <f>IF($D$3=JU!F2327,JU!H2327,0)</f>
        <v>0</v>
      </c>
      <c r="G2327" s="72">
        <f>IF($D$3=JU!I2327,JU!K2327,0)</f>
        <v>0</v>
      </c>
      <c r="H2327" s="72" t="e">
        <f t="shared" si="37"/>
        <v>#REF!</v>
      </c>
    </row>
    <row r="2328" spans="2:8" hidden="1">
      <c r="B2328" s="68" t="str">
        <f>IF(OR($D$3=JU!$F2328,$D$3=JU!$I2328),JU!B2328,"")</f>
        <v/>
      </c>
      <c r="C2328" s="6" t="str">
        <f>IF(OR($D$3=JU!$F2328,$D$3=JU!$I2328),JU!C2328,"")</f>
        <v/>
      </c>
      <c r="D2328" s="73" t="str">
        <f>IF(OR($D$3=JU!$F2328,$D$3=JU!$I2328),JU!D2328,"")</f>
        <v/>
      </c>
      <c r="E2328" s="74" t="str">
        <f>IF(OR($D$3=JU!$F2328,$D$3=JU!$I2328),JU!E2328,"")</f>
        <v/>
      </c>
      <c r="F2328" s="72">
        <f>IF($D$3=JU!F2328,JU!H2328,0)</f>
        <v>0</v>
      </c>
      <c r="G2328" s="72">
        <f>IF($D$3=JU!I2328,JU!K2328,0)</f>
        <v>0</v>
      </c>
      <c r="H2328" s="72" t="e">
        <f t="shared" si="37"/>
        <v>#REF!</v>
      </c>
    </row>
    <row r="2329" spans="2:8" hidden="1">
      <c r="B2329" s="68" t="str">
        <f>IF(OR($D$3=JU!$F2329,$D$3=JU!$I2329),JU!B2329,"")</f>
        <v/>
      </c>
      <c r="C2329" s="6" t="str">
        <f>IF(OR($D$3=JU!$F2329,$D$3=JU!$I2329),JU!C2329,"")</f>
        <v/>
      </c>
      <c r="D2329" s="73" t="str">
        <f>IF(OR($D$3=JU!$F2329,$D$3=JU!$I2329),JU!D2329,"")</f>
        <v/>
      </c>
      <c r="E2329" s="74" t="str">
        <f>IF(OR($D$3=JU!$F2329,$D$3=JU!$I2329),JU!E2329,"")</f>
        <v/>
      </c>
      <c r="F2329" s="72">
        <f>IF($D$3=JU!F2329,JU!H2329,0)</f>
        <v>0</v>
      </c>
      <c r="G2329" s="72">
        <f>IF($D$3=JU!I2329,JU!K2329,0)</f>
        <v>0</v>
      </c>
      <c r="H2329" s="72" t="e">
        <f t="shared" si="37"/>
        <v>#REF!</v>
      </c>
    </row>
    <row r="2330" spans="2:8" hidden="1">
      <c r="B2330" s="68" t="str">
        <f>IF(OR($D$3=JU!$F2330,$D$3=JU!$I2330),JU!B2330,"")</f>
        <v/>
      </c>
      <c r="C2330" s="6" t="str">
        <f>IF(OR($D$3=JU!$F2330,$D$3=JU!$I2330),JU!C2330,"")</f>
        <v/>
      </c>
      <c r="D2330" s="73" t="str">
        <f>IF(OR($D$3=JU!$F2330,$D$3=JU!$I2330),JU!D2330,"")</f>
        <v/>
      </c>
      <c r="E2330" s="74" t="str">
        <f>IF(OR($D$3=JU!$F2330,$D$3=JU!$I2330),JU!E2330,"")</f>
        <v/>
      </c>
      <c r="F2330" s="72">
        <f>IF($D$3=JU!F2330,JU!H2330,0)</f>
        <v>0</v>
      </c>
      <c r="G2330" s="72">
        <f>IF($D$3=JU!I2330,JU!K2330,0)</f>
        <v>0</v>
      </c>
      <c r="H2330" s="72" t="e">
        <f t="shared" si="37"/>
        <v>#REF!</v>
      </c>
    </row>
    <row r="2331" spans="2:8" hidden="1">
      <c r="B2331" s="68" t="str">
        <f>IF(OR($D$3=JU!$F2331,$D$3=JU!$I2331),JU!B2331,"")</f>
        <v/>
      </c>
      <c r="C2331" s="6" t="str">
        <f>IF(OR($D$3=JU!$F2331,$D$3=JU!$I2331),JU!C2331,"")</f>
        <v/>
      </c>
      <c r="D2331" s="73" t="str">
        <f>IF(OR($D$3=JU!$F2331,$D$3=JU!$I2331),JU!D2331,"")</f>
        <v/>
      </c>
      <c r="E2331" s="74" t="str">
        <f>IF(OR($D$3=JU!$F2331,$D$3=JU!$I2331),JU!E2331,"")</f>
        <v/>
      </c>
      <c r="F2331" s="72">
        <f>IF($D$3=JU!F2331,JU!H2331,0)</f>
        <v>0</v>
      </c>
      <c r="G2331" s="72">
        <f>IF($D$3=JU!I2331,JU!K2331,0)</f>
        <v>0</v>
      </c>
      <c r="H2331" s="72" t="e">
        <f t="shared" si="37"/>
        <v>#REF!</v>
      </c>
    </row>
    <row r="2332" spans="2:8" hidden="1">
      <c r="B2332" s="68" t="str">
        <f>IF(OR($D$3=JU!$F2332,$D$3=JU!$I2332),JU!B2332,"")</f>
        <v/>
      </c>
      <c r="C2332" s="6" t="str">
        <f>IF(OR($D$3=JU!$F2332,$D$3=JU!$I2332),JU!C2332,"")</f>
        <v/>
      </c>
      <c r="D2332" s="73" t="str">
        <f>IF(OR($D$3=JU!$F2332,$D$3=JU!$I2332),JU!D2332,"")</f>
        <v/>
      </c>
      <c r="E2332" s="74" t="str">
        <f>IF(OR($D$3=JU!$F2332,$D$3=JU!$I2332),JU!E2332,"")</f>
        <v/>
      </c>
      <c r="F2332" s="72">
        <f>IF($D$3=JU!F2332,JU!H2332,0)</f>
        <v>0</v>
      </c>
      <c r="G2332" s="72">
        <f>IF($D$3=JU!I2332,JU!K2332,0)</f>
        <v>0</v>
      </c>
      <c r="H2332" s="72" t="e">
        <f t="shared" si="37"/>
        <v>#REF!</v>
      </c>
    </row>
    <row r="2333" spans="2:8" hidden="1">
      <c r="B2333" s="68" t="str">
        <f>IF(OR($D$3=JU!$F2333,$D$3=JU!$I2333),JU!B2333,"")</f>
        <v/>
      </c>
      <c r="C2333" s="6" t="str">
        <f>IF(OR($D$3=JU!$F2333,$D$3=JU!$I2333),JU!C2333,"")</f>
        <v/>
      </c>
      <c r="D2333" s="73" t="str">
        <f>IF(OR($D$3=JU!$F2333,$D$3=JU!$I2333),JU!D2333,"")</f>
        <v/>
      </c>
      <c r="E2333" s="74" t="str">
        <f>IF(OR($D$3=JU!$F2333,$D$3=JU!$I2333),JU!E2333,"")</f>
        <v/>
      </c>
      <c r="F2333" s="72">
        <f>IF($D$3=JU!F2333,JU!H2333,0)</f>
        <v>0</v>
      </c>
      <c r="G2333" s="72">
        <f>IF($D$3=JU!I2333,JU!K2333,0)</f>
        <v>0</v>
      </c>
      <c r="H2333" s="72" t="e">
        <f t="shared" si="37"/>
        <v>#REF!</v>
      </c>
    </row>
    <row r="2334" spans="2:8" hidden="1">
      <c r="B2334" s="68" t="str">
        <f>IF(OR($D$3=JU!$F2334,$D$3=JU!$I2334),JU!B2334,"")</f>
        <v/>
      </c>
      <c r="C2334" s="6" t="str">
        <f>IF(OR($D$3=JU!$F2334,$D$3=JU!$I2334),JU!C2334,"")</f>
        <v/>
      </c>
      <c r="D2334" s="73" t="str">
        <f>IF(OR($D$3=JU!$F2334,$D$3=JU!$I2334),JU!D2334,"")</f>
        <v/>
      </c>
      <c r="E2334" s="74" t="str">
        <f>IF(OR($D$3=JU!$F2334,$D$3=JU!$I2334),JU!E2334,"")</f>
        <v/>
      </c>
      <c r="F2334" s="72">
        <f>IF($D$3=JU!F2334,JU!H2334,0)</f>
        <v>0</v>
      </c>
      <c r="G2334" s="72">
        <f>IF($D$3=JU!I2334,JU!K2334,0)</f>
        <v>0</v>
      </c>
      <c r="H2334" s="72" t="e">
        <f t="shared" si="37"/>
        <v>#REF!</v>
      </c>
    </row>
    <row r="2335" spans="2:8" hidden="1">
      <c r="B2335" s="68" t="str">
        <f>IF(OR($D$3=JU!$F2335,$D$3=JU!$I2335),JU!B2335,"")</f>
        <v/>
      </c>
      <c r="C2335" s="6" t="str">
        <f>IF(OR($D$3=JU!$F2335,$D$3=JU!$I2335),JU!C2335,"")</f>
        <v/>
      </c>
      <c r="D2335" s="73" t="str">
        <f>IF(OR($D$3=JU!$F2335,$D$3=JU!$I2335),JU!D2335,"")</f>
        <v/>
      </c>
      <c r="E2335" s="74" t="str">
        <f>IF(OR($D$3=JU!$F2335,$D$3=JU!$I2335),JU!E2335,"")</f>
        <v/>
      </c>
      <c r="F2335" s="72">
        <f>IF($D$3=JU!F2335,JU!H2335,0)</f>
        <v>0</v>
      </c>
      <c r="G2335" s="72">
        <f>IF($D$3=JU!I2335,JU!K2335,0)</f>
        <v>0</v>
      </c>
      <c r="H2335" s="72" t="e">
        <f t="shared" si="37"/>
        <v>#REF!</v>
      </c>
    </row>
    <row r="2336" spans="2:8" hidden="1">
      <c r="B2336" s="68" t="str">
        <f>IF(OR($D$3=JU!$F2336,$D$3=JU!$I2336),JU!B2336,"")</f>
        <v/>
      </c>
      <c r="C2336" s="6" t="str">
        <f>IF(OR($D$3=JU!$F2336,$D$3=JU!$I2336),JU!C2336,"")</f>
        <v/>
      </c>
      <c r="D2336" s="73" t="str">
        <f>IF(OR($D$3=JU!$F2336,$D$3=JU!$I2336),JU!D2336,"")</f>
        <v/>
      </c>
      <c r="E2336" s="74" t="str">
        <f>IF(OR($D$3=JU!$F2336,$D$3=JU!$I2336),JU!E2336,"")</f>
        <v/>
      </c>
      <c r="F2336" s="72">
        <f>IF($D$3=JU!F2336,JU!H2336,0)</f>
        <v>0</v>
      </c>
      <c r="G2336" s="72">
        <f>IF($D$3=JU!I2336,JU!K2336,0)</f>
        <v>0</v>
      </c>
      <c r="H2336" s="72" t="e">
        <f t="shared" si="37"/>
        <v>#REF!</v>
      </c>
    </row>
    <row r="2337" spans="2:8" hidden="1">
      <c r="B2337" s="68" t="str">
        <f>IF(OR($D$3=JU!$F2337,$D$3=JU!$I2337),JU!B2337,"")</f>
        <v/>
      </c>
      <c r="C2337" s="6" t="str">
        <f>IF(OR($D$3=JU!$F2337,$D$3=JU!$I2337),JU!C2337,"")</f>
        <v/>
      </c>
      <c r="D2337" s="73" t="str">
        <f>IF(OR($D$3=JU!$F2337,$D$3=JU!$I2337),JU!D2337,"")</f>
        <v/>
      </c>
      <c r="E2337" s="74" t="str">
        <f>IF(OR($D$3=JU!$F2337,$D$3=JU!$I2337),JU!E2337,"")</f>
        <v/>
      </c>
      <c r="F2337" s="72">
        <f>IF($D$3=JU!F2337,JU!H2337,0)</f>
        <v>0</v>
      </c>
      <c r="G2337" s="72">
        <f>IF($D$3=JU!I2337,JU!K2337,0)</f>
        <v>0</v>
      </c>
      <c r="H2337" s="72" t="e">
        <f t="shared" si="37"/>
        <v>#REF!</v>
      </c>
    </row>
    <row r="2338" spans="2:8" hidden="1">
      <c r="B2338" s="68" t="str">
        <f>IF(OR($D$3=JU!$F2338,$D$3=JU!$I2338),JU!B2338,"")</f>
        <v/>
      </c>
      <c r="C2338" s="6" t="str">
        <f>IF(OR($D$3=JU!$F2338,$D$3=JU!$I2338),JU!C2338,"")</f>
        <v/>
      </c>
      <c r="D2338" s="73" t="str">
        <f>IF(OR($D$3=JU!$F2338,$D$3=JU!$I2338),JU!D2338,"")</f>
        <v/>
      </c>
      <c r="E2338" s="74" t="str">
        <f>IF(OR($D$3=JU!$F2338,$D$3=JU!$I2338),JU!E2338,"")</f>
        <v/>
      </c>
      <c r="F2338" s="72">
        <f>IF($D$3=JU!F2338,JU!H2338,0)</f>
        <v>0</v>
      </c>
      <c r="G2338" s="72">
        <f>IF($D$3=JU!I2338,JU!K2338,0)</f>
        <v>0</v>
      </c>
      <c r="H2338" s="72" t="e">
        <f t="shared" si="37"/>
        <v>#REF!</v>
      </c>
    </row>
    <row r="2339" spans="2:8" hidden="1">
      <c r="B2339" s="68" t="str">
        <f>IF(OR($D$3=JU!$F2339,$D$3=JU!$I2339),JU!B2339,"")</f>
        <v/>
      </c>
      <c r="C2339" s="6" t="str">
        <f>IF(OR($D$3=JU!$F2339,$D$3=JU!$I2339),JU!C2339,"")</f>
        <v/>
      </c>
      <c r="D2339" s="73" t="str">
        <f>IF(OR($D$3=JU!$F2339,$D$3=JU!$I2339),JU!D2339,"")</f>
        <v/>
      </c>
      <c r="E2339" s="74" t="str">
        <f>IF(OR($D$3=JU!$F2339,$D$3=JU!$I2339),JU!E2339,"")</f>
        <v/>
      </c>
      <c r="F2339" s="72">
        <f>IF($D$3=JU!F2339,JU!H2339,0)</f>
        <v>0</v>
      </c>
      <c r="G2339" s="72">
        <f>IF($D$3=JU!I2339,JU!K2339,0)</f>
        <v>0</v>
      </c>
      <c r="H2339" s="72" t="e">
        <f t="shared" si="37"/>
        <v>#REF!</v>
      </c>
    </row>
    <row r="2340" spans="2:8" hidden="1">
      <c r="B2340" s="68" t="str">
        <f>IF(OR($D$3=JU!$F2340,$D$3=JU!$I2340),JU!B2340,"")</f>
        <v/>
      </c>
      <c r="C2340" s="6" t="str">
        <f>IF(OR($D$3=JU!$F2340,$D$3=JU!$I2340),JU!C2340,"")</f>
        <v/>
      </c>
      <c r="D2340" s="73" t="str">
        <f>IF(OR($D$3=JU!$F2340,$D$3=JU!$I2340),JU!D2340,"")</f>
        <v/>
      </c>
      <c r="E2340" s="74" t="str">
        <f>IF(OR($D$3=JU!$F2340,$D$3=JU!$I2340),JU!E2340,"")</f>
        <v/>
      </c>
      <c r="F2340" s="72">
        <f>IF($D$3=JU!F2340,JU!H2340,0)</f>
        <v>0</v>
      </c>
      <c r="G2340" s="72">
        <f>IF($D$3=JU!I2340,JU!K2340,0)</f>
        <v>0</v>
      </c>
      <c r="H2340" s="72" t="e">
        <f t="shared" si="37"/>
        <v>#REF!</v>
      </c>
    </row>
    <row r="2341" spans="2:8" hidden="1">
      <c r="B2341" s="68" t="str">
        <f>IF(OR($D$3=JU!$F2341,$D$3=JU!$I2341),JU!B2341,"")</f>
        <v/>
      </c>
      <c r="C2341" s="6" t="str">
        <f>IF(OR($D$3=JU!$F2341,$D$3=JU!$I2341),JU!C2341,"")</f>
        <v/>
      </c>
      <c r="D2341" s="73" t="str">
        <f>IF(OR($D$3=JU!$F2341,$D$3=JU!$I2341),JU!D2341,"")</f>
        <v/>
      </c>
      <c r="E2341" s="74" t="str">
        <f>IF(OR($D$3=JU!$F2341,$D$3=JU!$I2341),JU!E2341,"")</f>
        <v/>
      </c>
      <c r="F2341" s="72">
        <f>IF($D$3=JU!F2341,JU!H2341,0)</f>
        <v>0</v>
      </c>
      <c r="G2341" s="72">
        <f>IF($D$3=JU!I2341,JU!K2341,0)</f>
        <v>0</v>
      </c>
      <c r="H2341" s="72" t="e">
        <f t="shared" si="37"/>
        <v>#REF!</v>
      </c>
    </row>
    <row r="2342" spans="2:8" hidden="1">
      <c r="B2342" s="68" t="str">
        <f>IF(OR($D$3=JU!$F2342,$D$3=JU!$I2342),JU!B2342,"")</f>
        <v/>
      </c>
      <c r="C2342" s="6" t="str">
        <f>IF(OR($D$3=JU!$F2342,$D$3=JU!$I2342),JU!C2342,"")</f>
        <v/>
      </c>
      <c r="D2342" s="73" t="str">
        <f>IF(OR($D$3=JU!$F2342,$D$3=JU!$I2342),JU!D2342,"")</f>
        <v/>
      </c>
      <c r="E2342" s="74" t="str">
        <f>IF(OR($D$3=JU!$F2342,$D$3=JU!$I2342),JU!E2342,"")</f>
        <v/>
      </c>
      <c r="F2342" s="72">
        <f>IF($D$3=JU!F2342,JU!H2342,0)</f>
        <v>0</v>
      </c>
      <c r="G2342" s="72">
        <f>IF($D$3=JU!I2342,JU!K2342,0)</f>
        <v>0</v>
      </c>
      <c r="H2342" s="72" t="e">
        <f t="shared" si="37"/>
        <v>#REF!</v>
      </c>
    </row>
    <row r="2343" spans="2:8" hidden="1">
      <c r="B2343" s="68" t="str">
        <f>IF(OR($D$3=JU!$F2343,$D$3=JU!$I2343),JU!B2343,"")</f>
        <v/>
      </c>
      <c r="C2343" s="6" t="str">
        <f>IF(OR($D$3=JU!$F2343,$D$3=JU!$I2343),JU!C2343,"")</f>
        <v/>
      </c>
      <c r="D2343" s="73" t="str">
        <f>IF(OR($D$3=JU!$F2343,$D$3=JU!$I2343),JU!D2343,"")</f>
        <v/>
      </c>
      <c r="E2343" s="74" t="str">
        <f>IF(OR($D$3=JU!$F2343,$D$3=JU!$I2343),JU!E2343,"")</f>
        <v/>
      </c>
      <c r="F2343" s="72">
        <f>IF($D$3=JU!F2343,JU!H2343,0)</f>
        <v>0</v>
      </c>
      <c r="G2343" s="72">
        <f>IF($D$3=JU!I2343,JU!K2343,0)</f>
        <v>0</v>
      </c>
      <c r="H2343" s="72" t="e">
        <f t="shared" si="37"/>
        <v>#REF!</v>
      </c>
    </row>
    <row r="2344" spans="2:8" hidden="1">
      <c r="B2344" s="68" t="str">
        <f>IF(OR($D$3=JU!$F2344,$D$3=JU!$I2344),JU!B2344,"")</f>
        <v/>
      </c>
      <c r="C2344" s="6" t="str">
        <f>IF(OR($D$3=JU!$F2344,$D$3=JU!$I2344),JU!C2344,"")</f>
        <v/>
      </c>
      <c r="D2344" s="73" t="str">
        <f>IF(OR($D$3=JU!$F2344,$D$3=JU!$I2344),JU!D2344,"")</f>
        <v/>
      </c>
      <c r="E2344" s="74" t="str">
        <f>IF(OR($D$3=JU!$F2344,$D$3=JU!$I2344),JU!E2344,"")</f>
        <v/>
      </c>
      <c r="F2344" s="72">
        <f>IF($D$3=JU!F2344,JU!H2344,0)</f>
        <v>0</v>
      </c>
      <c r="G2344" s="72">
        <f>IF($D$3=JU!I2344,JU!K2344,0)</f>
        <v>0</v>
      </c>
      <c r="H2344" s="72" t="e">
        <f t="shared" si="37"/>
        <v>#REF!</v>
      </c>
    </row>
    <row r="2345" spans="2:8" hidden="1">
      <c r="B2345" s="68" t="str">
        <f>IF(OR($D$3=JU!$F2345,$D$3=JU!$I2345),JU!B2345,"")</f>
        <v/>
      </c>
      <c r="C2345" s="6" t="str">
        <f>IF(OR($D$3=JU!$F2345,$D$3=JU!$I2345),JU!C2345,"")</f>
        <v/>
      </c>
      <c r="D2345" s="73" t="str">
        <f>IF(OR($D$3=JU!$F2345,$D$3=JU!$I2345),JU!D2345,"")</f>
        <v/>
      </c>
      <c r="E2345" s="74" t="str">
        <f>IF(OR($D$3=JU!$F2345,$D$3=JU!$I2345),JU!E2345,"")</f>
        <v/>
      </c>
      <c r="F2345" s="72">
        <f>IF($D$3=JU!F2345,JU!H2345,0)</f>
        <v>0</v>
      </c>
      <c r="G2345" s="72">
        <f>IF($D$3=JU!I2345,JU!K2345,0)</f>
        <v>0</v>
      </c>
      <c r="H2345" s="72" t="e">
        <f t="shared" si="37"/>
        <v>#REF!</v>
      </c>
    </row>
    <row r="2346" spans="2:8" hidden="1">
      <c r="B2346" s="68" t="str">
        <f>IF(OR($D$3=JU!$F2346,$D$3=JU!$I2346),JU!B2346,"")</f>
        <v/>
      </c>
      <c r="C2346" s="6" t="str">
        <f>IF(OR($D$3=JU!$F2346,$D$3=JU!$I2346),JU!C2346,"")</f>
        <v/>
      </c>
      <c r="D2346" s="73" t="str">
        <f>IF(OR($D$3=JU!$F2346,$D$3=JU!$I2346),JU!D2346,"")</f>
        <v/>
      </c>
      <c r="E2346" s="74" t="str">
        <f>IF(OR($D$3=JU!$F2346,$D$3=JU!$I2346),JU!E2346,"")</f>
        <v/>
      </c>
      <c r="F2346" s="72">
        <f>IF($D$3=JU!F2346,JU!H2346,0)</f>
        <v>0</v>
      </c>
      <c r="G2346" s="72">
        <f>IF($D$3=JU!I2346,JU!K2346,0)</f>
        <v>0</v>
      </c>
      <c r="H2346" s="72" t="e">
        <f t="shared" si="37"/>
        <v>#REF!</v>
      </c>
    </row>
    <row r="2347" spans="2:8" hidden="1">
      <c r="B2347" s="68" t="str">
        <f>IF(OR($D$3=JU!$F2347,$D$3=JU!$I2347),JU!B2347,"")</f>
        <v/>
      </c>
      <c r="C2347" s="6" t="str">
        <f>IF(OR($D$3=JU!$F2347,$D$3=JU!$I2347),JU!C2347,"")</f>
        <v/>
      </c>
      <c r="D2347" s="73" t="str">
        <f>IF(OR($D$3=JU!$F2347,$D$3=JU!$I2347),JU!D2347,"")</f>
        <v/>
      </c>
      <c r="E2347" s="74" t="str">
        <f>IF(OR($D$3=JU!$F2347,$D$3=JU!$I2347),JU!E2347,"")</f>
        <v/>
      </c>
      <c r="F2347" s="72">
        <f>IF($D$3=JU!F2347,JU!H2347,0)</f>
        <v>0</v>
      </c>
      <c r="G2347" s="72">
        <f>IF($D$3=JU!I2347,JU!K2347,0)</f>
        <v>0</v>
      </c>
      <c r="H2347" s="72" t="e">
        <f t="shared" si="37"/>
        <v>#REF!</v>
      </c>
    </row>
    <row r="2348" spans="2:8" hidden="1">
      <c r="B2348" s="68" t="str">
        <f>IF(OR($D$3=JU!$F2348,$D$3=JU!$I2348),JU!B2348,"")</f>
        <v/>
      </c>
      <c r="C2348" s="6" t="str">
        <f>IF(OR($D$3=JU!$F2348,$D$3=JU!$I2348),JU!C2348,"")</f>
        <v/>
      </c>
      <c r="D2348" s="73" t="str">
        <f>IF(OR($D$3=JU!$F2348,$D$3=JU!$I2348),JU!D2348,"")</f>
        <v/>
      </c>
      <c r="E2348" s="74" t="str">
        <f>IF(OR($D$3=JU!$F2348,$D$3=JU!$I2348),JU!E2348,"")</f>
        <v/>
      </c>
      <c r="F2348" s="72">
        <f>IF($D$3=JU!F2348,JU!H2348,0)</f>
        <v>0</v>
      </c>
      <c r="G2348" s="72">
        <f>IF($D$3=JU!I2348,JU!K2348,0)</f>
        <v>0</v>
      </c>
      <c r="H2348" s="72" t="e">
        <f t="shared" si="37"/>
        <v>#REF!</v>
      </c>
    </row>
    <row r="2349" spans="2:8" hidden="1">
      <c r="B2349" s="68" t="str">
        <f>IF(OR($D$3=JU!$F2349,$D$3=JU!$I2349),JU!B2349,"")</f>
        <v/>
      </c>
      <c r="C2349" s="6" t="str">
        <f>IF(OR($D$3=JU!$F2349,$D$3=JU!$I2349),JU!C2349,"")</f>
        <v/>
      </c>
      <c r="D2349" s="73" t="str">
        <f>IF(OR($D$3=JU!$F2349,$D$3=JU!$I2349),JU!D2349,"")</f>
        <v/>
      </c>
      <c r="E2349" s="74" t="str">
        <f>IF(OR($D$3=JU!$F2349,$D$3=JU!$I2349),JU!E2349,"")</f>
        <v/>
      </c>
      <c r="F2349" s="72">
        <f>IF($D$3=JU!F2349,JU!H2349,0)</f>
        <v>0</v>
      </c>
      <c r="G2349" s="72">
        <f>IF($D$3=JU!I2349,JU!K2349,0)</f>
        <v>0</v>
      </c>
      <c r="H2349" s="72" t="e">
        <f t="shared" si="37"/>
        <v>#REF!</v>
      </c>
    </row>
    <row r="2350" spans="2:8" hidden="1">
      <c r="B2350" s="68" t="str">
        <f>IF(OR($D$3=JU!$F2350,$D$3=JU!$I2350),JU!B2350,"")</f>
        <v/>
      </c>
      <c r="C2350" s="6" t="str">
        <f>IF(OR($D$3=JU!$F2350,$D$3=JU!$I2350),JU!C2350,"")</f>
        <v/>
      </c>
      <c r="D2350" s="73" t="str">
        <f>IF(OR($D$3=JU!$F2350,$D$3=JU!$I2350),JU!D2350,"")</f>
        <v/>
      </c>
      <c r="E2350" s="74" t="str">
        <f>IF(OR($D$3=JU!$F2350,$D$3=JU!$I2350),JU!E2350,"")</f>
        <v/>
      </c>
      <c r="F2350" s="72">
        <f>IF($D$3=JU!F2350,JU!H2350,0)</f>
        <v>0</v>
      </c>
      <c r="G2350" s="72">
        <f>IF($D$3=JU!I2350,JU!K2350,0)</f>
        <v>0</v>
      </c>
      <c r="H2350" s="72" t="e">
        <f t="shared" si="37"/>
        <v>#REF!</v>
      </c>
    </row>
    <row r="2351" spans="2:8" hidden="1">
      <c r="B2351" s="68" t="str">
        <f>IF(OR($D$3=JU!$F2351,$D$3=JU!$I2351),JU!B2351,"")</f>
        <v/>
      </c>
      <c r="C2351" s="6" t="str">
        <f>IF(OR($D$3=JU!$F2351,$D$3=JU!$I2351),JU!C2351,"")</f>
        <v/>
      </c>
      <c r="D2351" s="73" t="str">
        <f>IF(OR($D$3=JU!$F2351,$D$3=JU!$I2351),JU!D2351,"")</f>
        <v/>
      </c>
      <c r="E2351" s="74" t="str">
        <f>IF(OR($D$3=JU!$F2351,$D$3=JU!$I2351),JU!E2351,"")</f>
        <v/>
      </c>
      <c r="F2351" s="72">
        <f>IF($D$3=JU!F2351,JU!H2351,0)</f>
        <v>0</v>
      </c>
      <c r="G2351" s="72">
        <f>IF($D$3=JU!I2351,JU!K2351,0)</f>
        <v>0</v>
      </c>
      <c r="H2351" s="72" t="e">
        <f t="shared" si="37"/>
        <v>#REF!</v>
      </c>
    </row>
    <row r="2352" spans="2:8" hidden="1">
      <c r="B2352" s="68" t="str">
        <f>IF(OR($D$3=JU!$F2352,$D$3=JU!$I2352),JU!B2352,"")</f>
        <v/>
      </c>
      <c r="C2352" s="6" t="str">
        <f>IF(OR($D$3=JU!$F2352,$D$3=JU!$I2352),JU!C2352,"")</f>
        <v/>
      </c>
      <c r="D2352" s="73" t="str">
        <f>IF(OR($D$3=JU!$F2352,$D$3=JU!$I2352),JU!D2352,"")</f>
        <v/>
      </c>
      <c r="E2352" s="74" t="str">
        <f>IF(OR($D$3=JU!$F2352,$D$3=JU!$I2352),JU!E2352,"")</f>
        <v/>
      </c>
      <c r="F2352" s="72">
        <f>IF($D$3=JU!F2352,JU!H2352,0)</f>
        <v>0</v>
      </c>
      <c r="G2352" s="72">
        <f>IF($D$3=JU!I2352,JU!K2352,0)</f>
        <v>0</v>
      </c>
      <c r="H2352" s="72" t="e">
        <f t="shared" si="37"/>
        <v>#REF!</v>
      </c>
    </row>
    <row r="2353" spans="2:8" hidden="1">
      <c r="B2353" s="68" t="str">
        <f>IF(OR($D$3=JU!$F2353,$D$3=JU!$I2353),JU!B2353,"")</f>
        <v/>
      </c>
      <c r="C2353" s="6" t="str">
        <f>IF(OR($D$3=JU!$F2353,$D$3=JU!$I2353),JU!C2353,"")</f>
        <v/>
      </c>
      <c r="D2353" s="73" t="str">
        <f>IF(OR($D$3=JU!$F2353,$D$3=JU!$I2353),JU!D2353,"")</f>
        <v/>
      </c>
      <c r="E2353" s="74" t="str">
        <f>IF(OR($D$3=JU!$F2353,$D$3=JU!$I2353),JU!E2353,"")</f>
        <v/>
      </c>
      <c r="F2353" s="72">
        <f>IF($D$3=JU!F2353,JU!H2353,0)</f>
        <v>0</v>
      </c>
      <c r="G2353" s="72">
        <f>IF($D$3=JU!I2353,JU!K2353,0)</f>
        <v>0</v>
      </c>
      <c r="H2353" s="72" t="e">
        <f t="shared" si="37"/>
        <v>#REF!</v>
      </c>
    </row>
    <row r="2354" spans="2:8" hidden="1">
      <c r="B2354" s="68" t="str">
        <f>IF(OR($D$3=JU!$F2354,$D$3=JU!$I2354),JU!B2354,"")</f>
        <v/>
      </c>
      <c r="C2354" s="6" t="str">
        <f>IF(OR($D$3=JU!$F2354,$D$3=JU!$I2354),JU!C2354,"")</f>
        <v/>
      </c>
      <c r="D2354" s="73" t="str">
        <f>IF(OR($D$3=JU!$F2354,$D$3=JU!$I2354),JU!D2354,"")</f>
        <v/>
      </c>
      <c r="E2354" s="74" t="str">
        <f>IF(OR($D$3=JU!$F2354,$D$3=JU!$I2354),JU!E2354,"")</f>
        <v/>
      </c>
      <c r="F2354" s="72">
        <f>IF($D$3=JU!F2354,JU!H2354,0)</f>
        <v>0</v>
      </c>
      <c r="G2354" s="72">
        <f>IF($D$3=JU!I2354,JU!K2354,0)</f>
        <v>0</v>
      </c>
      <c r="H2354" s="72" t="e">
        <f t="shared" si="37"/>
        <v>#REF!</v>
      </c>
    </row>
    <row r="2355" spans="2:8" hidden="1">
      <c r="B2355" s="68" t="str">
        <f>IF(OR($D$3=JU!$F2355,$D$3=JU!$I2355),JU!B2355,"")</f>
        <v/>
      </c>
      <c r="C2355" s="6" t="str">
        <f>IF(OR($D$3=JU!$F2355,$D$3=JU!$I2355),JU!C2355,"")</f>
        <v/>
      </c>
      <c r="D2355" s="73" t="str">
        <f>IF(OR($D$3=JU!$F2355,$D$3=JU!$I2355),JU!D2355,"")</f>
        <v/>
      </c>
      <c r="E2355" s="74" t="str">
        <f>IF(OR($D$3=JU!$F2355,$D$3=JU!$I2355),JU!E2355,"")</f>
        <v/>
      </c>
      <c r="F2355" s="72">
        <f>IF($D$3=JU!F2355,JU!H2355,0)</f>
        <v>0</v>
      </c>
      <c r="G2355" s="72">
        <f>IF($D$3=JU!I2355,JU!K2355,0)</f>
        <v>0</v>
      </c>
      <c r="H2355" s="72" t="e">
        <f t="shared" si="37"/>
        <v>#REF!</v>
      </c>
    </row>
    <row r="2356" spans="2:8" hidden="1">
      <c r="B2356" s="68" t="str">
        <f>IF(OR($D$3=JU!$F2356,$D$3=JU!$I2356),JU!B2356,"")</f>
        <v/>
      </c>
      <c r="C2356" s="6" t="str">
        <f>IF(OR($D$3=JU!$F2356,$D$3=JU!$I2356),JU!C2356,"")</f>
        <v/>
      </c>
      <c r="D2356" s="73" t="str">
        <f>IF(OR($D$3=JU!$F2356,$D$3=JU!$I2356),JU!D2356,"")</f>
        <v/>
      </c>
      <c r="E2356" s="74" t="str">
        <f>IF(OR($D$3=JU!$F2356,$D$3=JU!$I2356),JU!E2356,"")</f>
        <v/>
      </c>
      <c r="F2356" s="72">
        <f>IF($D$3=JU!F2356,JU!H2356,0)</f>
        <v>0</v>
      </c>
      <c r="G2356" s="72">
        <f>IF($D$3=JU!I2356,JU!K2356,0)</f>
        <v>0</v>
      </c>
      <c r="H2356" s="72" t="e">
        <f t="shared" si="37"/>
        <v>#REF!</v>
      </c>
    </row>
    <row r="2357" spans="2:8" hidden="1">
      <c r="B2357" s="68" t="str">
        <f>IF(OR($D$3=JU!$F2357,$D$3=JU!$I2357),JU!B2357,"")</f>
        <v/>
      </c>
      <c r="C2357" s="6" t="str">
        <f>IF(OR($D$3=JU!$F2357,$D$3=JU!$I2357),JU!C2357,"")</f>
        <v/>
      </c>
      <c r="D2357" s="73" t="str">
        <f>IF(OR($D$3=JU!$F2357,$D$3=JU!$I2357),JU!D2357,"")</f>
        <v/>
      </c>
      <c r="E2357" s="74" t="str">
        <f>IF(OR($D$3=JU!$F2357,$D$3=JU!$I2357),JU!E2357,"")</f>
        <v/>
      </c>
      <c r="F2357" s="72">
        <f>IF($D$3=JU!F2357,JU!H2357,0)</f>
        <v>0</v>
      </c>
      <c r="G2357" s="72">
        <f>IF($D$3=JU!I2357,JU!K2357,0)</f>
        <v>0</v>
      </c>
      <c r="H2357" s="72" t="e">
        <f t="shared" si="37"/>
        <v>#REF!</v>
      </c>
    </row>
    <row r="2358" spans="2:8" hidden="1">
      <c r="B2358" s="68" t="str">
        <f>IF(OR($D$3=JU!$F2358,$D$3=JU!$I2358),JU!B2358,"")</f>
        <v/>
      </c>
      <c r="C2358" s="6" t="str">
        <f>IF(OR($D$3=JU!$F2358,$D$3=JU!$I2358),JU!C2358,"")</f>
        <v/>
      </c>
      <c r="D2358" s="73" t="str">
        <f>IF(OR($D$3=JU!$F2358,$D$3=JU!$I2358),JU!D2358,"")</f>
        <v/>
      </c>
      <c r="E2358" s="74" t="str">
        <f>IF(OR($D$3=JU!$F2358,$D$3=JU!$I2358),JU!E2358,"")</f>
        <v/>
      </c>
      <c r="F2358" s="72">
        <f>IF($D$3=JU!F2358,JU!H2358,0)</f>
        <v>0</v>
      </c>
      <c r="G2358" s="72">
        <f>IF($D$3=JU!I2358,JU!K2358,0)</f>
        <v>0</v>
      </c>
      <c r="H2358" s="72" t="e">
        <f t="shared" si="37"/>
        <v>#REF!</v>
      </c>
    </row>
    <row r="2359" spans="2:8" hidden="1">
      <c r="B2359" s="68" t="str">
        <f>IF(OR($D$3=JU!$F2359,$D$3=JU!$I2359),JU!B2359,"")</f>
        <v/>
      </c>
      <c r="C2359" s="6" t="str">
        <f>IF(OR($D$3=JU!$F2359,$D$3=JU!$I2359),JU!C2359,"")</f>
        <v/>
      </c>
      <c r="D2359" s="73" t="str">
        <f>IF(OR($D$3=JU!$F2359,$D$3=JU!$I2359),JU!D2359,"")</f>
        <v/>
      </c>
      <c r="E2359" s="74" t="str">
        <f>IF(OR($D$3=JU!$F2359,$D$3=JU!$I2359),JU!E2359,"")</f>
        <v/>
      </c>
      <c r="F2359" s="72">
        <f>IF($D$3=JU!F2359,JU!H2359,0)</f>
        <v>0</v>
      </c>
      <c r="G2359" s="72">
        <f>IF($D$3=JU!I2359,JU!K2359,0)</f>
        <v>0</v>
      </c>
      <c r="H2359" s="72" t="e">
        <f t="shared" si="37"/>
        <v>#REF!</v>
      </c>
    </row>
    <row r="2360" spans="2:8" hidden="1">
      <c r="B2360" s="68" t="str">
        <f>IF(OR($D$3=JU!$F2360,$D$3=JU!$I2360),JU!B2360,"")</f>
        <v/>
      </c>
      <c r="C2360" s="6" t="str">
        <f>IF(OR($D$3=JU!$F2360,$D$3=JU!$I2360),JU!C2360,"")</f>
        <v/>
      </c>
      <c r="D2360" s="73" t="str">
        <f>IF(OR($D$3=JU!$F2360,$D$3=JU!$I2360),JU!D2360,"")</f>
        <v/>
      </c>
      <c r="E2360" s="74" t="str">
        <f>IF(OR($D$3=JU!$F2360,$D$3=JU!$I2360),JU!E2360,"")</f>
        <v/>
      </c>
      <c r="F2360" s="72">
        <f>IF($D$3=JU!F2360,JU!H2360,0)</f>
        <v>0</v>
      </c>
      <c r="G2360" s="72">
        <f>IF($D$3=JU!I2360,JU!K2360,0)</f>
        <v>0</v>
      </c>
      <c r="H2360" s="72" t="e">
        <f t="shared" si="37"/>
        <v>#REF!</v>
      </c>
    </row>
    <row r="2361" spans="2:8" hidden="1">
      <c r="B2361" s="68" t="str">
        <f>IF(OR($D$3=JU!$F2361,$D$3=JU!$I2361),JU!B2361,"")</f>
        <v/>
      </c>
      <c r="C2361" s="6" t="str">
        <f>IF(OR($D$3=JU!$F2361,$D$3=JU!$I2361),JU!C2361,"")</f>
        <v/>
      </c>
      <c r="D2361" s="73" t="str">
        <f>IF(OR($D$3=JU!$F2361,$D$3=JU!$I2361),JU!D2361,"")</f>
        <v/>
      </c>
      <c r="E2361" s="74" t="str">
        <f>IF(OR($D$3=JU!$F2361,$D$3=JU!$I2361),JU!E2361,"")</f>
        <v/>
      </c>
      <c r="F2361" s="72">
        <f>IF($D$3=JU!F2361,JU!H2361,0)</f>
        <v>0</v>
      </c>
      <c r="G2361" s="72">
        <f>IF($D$3=JU!I2361,JU!K2361,0)</f>
        <v>0</v>
      </c>
      <c r="H2361" s="72" t="e">
        <f t="shared" si="37"/>
        <v>#REF!</v>
      </c>
    </row>
    <row r="2362" spans="2:8" hidden="1">
      <c r="B2362" s="68" t="str">
        <f>IF(OR($D$3=JU!$F2362,$D$3=JU!$I2362),JU!B2362,"")</f>
        <v/>
      </c>
      <c r="C2362" s="6" t="str">
        <f>IF(OR($D$3=JU!$F2362,$D$3=JU!$I2362),JU!C2362,"")</f>
        <v/>
      </c>
      <c r="D2362" s="73" t="str">
        <f>IF(OR($D$3=JU!$F2362,$D$3=JU!$I2362),JU!D2362,"")</f>
        <v/>
      </c>
      <c r="E2362" s="74" t="str">
        <f>IF(OR($D$3=JU!$F2362,$D$3=JU!$I2362),JU!E2362,"")</f>
        <v/>
      </c>
      <c r="F2362" s="72">
        <f>IF($D$3=JU!F2362,JU!H2362,0)</f>
        <v>0</v>
      </c>
      <c r="G2362" s="72">
        <f>IF($D$3=JU!I2362,JU!K2362,0)</f>
        <v>0</v>
      </c>
      <c r="H2362" s="72" t="e">
        <f t="shared" si="37"/>
        <v>#REF!</v>
      </c>
    </row>
    <row r="2363" spans="2:8" hidden="1">
      <c r="B2363" s="68" t="str">
        <f>IF(OR($D$3=JU!$F2363,$D$3=JU!$I2363),JU!B2363,"")</f>
        <v/>
      </c>
      <c r="C2363" s="6" t="str">
        <f>IF(OR($D$3=JU!$F2363,$D$3=JU!$I2363),JU!C2363,"")</f>
        <v/>
      </c>
      <c r="D2363" s="73" t="str">
        <f>IF(OR($D$3=JU!$F2363,$D$3=JU!$I2363),JU!D2363,"")</f>
        <v/>
      </c>
      <c r="E2363" s="74" t="str">
        <f>IF(OR($D$3=JU!$F2363,$D$3=JU!$I2363),JU!E2363,"")</f>
        <v/>
      </c>
      <c r="F2363" s="72">
        <f>IF($D$3=JU!F2363,JU!H2363,0)</f>
        <v>0</v>
      </c>
      <c r="G2363" s="72">
        <f>IF($D$3=JU!I2363,JU!K2363,0)</f>
        <v>0</v>
      </c>
      <c r="H2363" s="72" t="e">
        <f t="shared" si="37"/>
        <v>#REF!</v>
      </c>
    </row>
    <row r="2364" spans="2:8" hidden="1">
      <c r="B2364" s="68" t="str">
        <f>IF(OR($D$3=JU!$F2364,$D$3=JU!$I2364),JU!B2364,"")</f>
        <v/>
      </c>
      <c r="C2364" s="6" t="str">
        <f>IF(OR($D$3=JU!$F2364,$D$3=JU!$I2364),JU!C2364,"")</f>
        <v/>
      </c>
      <c r="D2364" s="73" t="str">
        <f>IF(OR($D$3=JU!$F2364,$D$3=JU!$I2364),JU!D2364,"")</f>
        <v/>
      </c>
      <c r="E2364" s="74" t="str">
        <f>IF(OR($D$3=JU!$F2364,$D$3=JU!$I2364),JU!E2364,"")</f>
        <v/>
      </c>
      <c r="F2364" s="72">
        <f>IF($D$3=JU!F2364,JU!H2364,0)</f>
        <v>0</v>
      </c>
      <c r="G2364" s="72">
        <f>IF($D$3=JU!I2364,JU!K2364,0)</f>
        <v>0</v>
      </c>
      <c r="H2364" s="72" t="e">
        <f t="shared" si="37"/>
        <v>#REF!</v>
      </c>
    </row>
    <row r="2365" spans="2:8" hidden="1">
      <c r="B2365" s="68" t="str">
        <f>IF(OR($D$3=JU!$F2365,$D$3=JU!$I2365),JU!B2365,"")</f>
        <v/>
      </c>
      <c r="C2365" s="6" t="str">
        <f>IF(OR($D$3=JU!$F2365,$D$3=JU!$I2365),JU!C2365,"")</f>
        <v/>
      </c>
      <c r="D2365" s="73" t="str">
        <f>IF(OR($D$3=JU!$F2365,$D$3=JU!$I2365),JU!D2365,"")</f>
        <v/>
      </c>
      <c r="E2365" s="74" t="str">
        <f>IF(OR($D$3=JU!$F2365,$D$3=JU!$I2365),JU!E2365,"")</f>
        <v/>
      </c>
      <c r="F2365" s="72">
        <f>IF($D$3=JU!F2365,JU!H2365,0)</f>
        <v>0</v>
      </c>
      <c r="G2365" s="72">
        <f>IF($D$3=JU!I2365,JU!K2365,0)</f>
        <v>0</v>
      </c>
      <c r="H2365" s="72" t="e">
        <f t="shared" si="37"/>
        <v>#REF!</v>
      </c>
    </row>
    <row r="2366" spans="2:8" hidden="1">
      <c r="B2366" s="68" t="str">
        <f>IF(OR($D$3=JU!$F2366,$D$3=JU!$I2366),JU!B2366,"")</f>
        <v/>
      </c>
      <c r="C2366" s="6" t="str">
        <f>IF(OR($D$3=JU!$F2366,$D$3=JU!$I2366),JU!C2366,"")</f>
        <v/>
      </c>
      <c r="D2366" s="73" t="str">
        <f>IF(OR($D$3=JU!$F2366,$D$3=JU!$I2366),JU!D2366,"")</f>
        <v/>
      </c>
      <c r="E2366" s="74" t="str">
        <f>IF(OR($D$3=JU!$F2366,$D$3=JU!$I2366),JU!E2366,"")</f>
        <v/>
      </c>
      <c r="F2366" s="72">
        <f>IF($D$3=JU!F2366,JU!H2366,0)</f>
        <v>0</v>
      </c>
      <c r="G2366" s="72">
        <f>IF($D$3=JU!I2366,JU!K2366,0)</f>
        <v>0</v>
      </c>
      <c r="H2366" s="72" t="e">
        <f t="shared" si="37"/>
        <v>#REF!</v>
      </c>
    </row>
    <row r="2367" spans="2:8" hidden="1">
      <c r="B2367" s="68" t="str">
        <f>IF(OR($D$3=JU!$F2367,$D$3=JU!$I2367),JU!B2367,"")</f>
        <v/>
      </c>
      <c r="C2367" s="6" t="str">
        <f>IF(OR($D$3=JU!$F2367,$D$3=JU!$I2367),JU!C2367,"")</f>
        <v/>
      </c>
      <c r="D2367" s="73" t="str">
        <f>IF(OR($D$3=JU!$F2367,$D$3=JU!$I2367),JU!D2367,"")</f>
        <v/>
      </c>
      <c r="E2367" s="74" t="str">
        <f>IF(OR($D$3=JU!$F2367,$D$3=JU!$I2367),JU!E2367,"")</f>
        <v/>
      </c>
      <c r="F2367" s="72">
        <f>IF($D$3=JU!F2367,JU!H2367,0)</f>
        <v>0</v>
      </c>
      <c r="G2367" s="72">
        <f>IF($D$3=JU!I2367,JU!K2367,0)</f>
        <v>0</v>
      </c>
      <c r="H2367" s="72" t="e">
        <f t="shared" si="37"/>
        <v>#REF!</v>
      </c>
    </row>
    <row r="2368" spans="2:8" hidden="1">
      <c r="B2368" s="68" t="str">
        <f>IF(OR($D$3=JU!$F2368,$D$3=JU!$I2368),JU!B2368,"")</f>
        <v/>
      </c>
      <c r="C2368" s="6" t="str">
        <f>IF(OR($D$3=JU!$F2368,$D$3=JU!$I2368),JU!C2368,"")</f>
        <v/>
      </c>
      <c r="D2368" s="73" t="str">
        <f>IF(OR($D$3=JU!$F2368,$D$3=JU!$I2368),JU!D2368,"")</f>
        <v/>
      </c>
      <c r="E2368" s="74" t="str">
        <f>IF(OR($D$3=JU!$F2368,$D$3=JU!$I2368),JU!E2368,"")</f>
        <v/>
      </c>
      <c r="F2368" s="72">
        <f>IF($D$3=JU!F2368,JU!H2368,0)</f>
        <v>0</v>
      </c>
      <c r="G2368" s="72">
        <f>IF($D$3=JU!I2368,JU!K2368,0)</f>
        <v>0</v>
      </c>
      <c r="H2368" s="72" t="e">
        <f t="shared" si="37"/>
        <v>#REF!</v>
      </c>
    </row>
    <row r="2369" spans="2:8" hidden="1">
      <c r="B2369" s="68" t="str">
        <f>IF(OR($D$3=JU!$F2369,$D$3=JU!$I2369),JU!B2369,"")</f>
        <v/>
      </c>
      <c r="C2369" s="6" t="str">
        <f>IF(OR($D$3=JU!$F2369,$D$3=JU!$I2369),JU!C2369,"")</f>
        <v/>
      </c>
      <c r="D2369" s="73" t="str">
        <f>IF(OR($D$3=JU!$F2369,$D$3=JU!$I2369),JU!D2369,"")</f>
        <v/>
      </c>
      <c r="E2369" s="74" t="str">
        <f>IF(OR($D$3=JU!$F2369,$D$3=JU!$I2369),JU!E2369,"")</f>
        <v/>
      </c>
      <c r="F2369" s="72">
        <f>IF($D$3=JU!F2369,JU!H2369,0)</f>
        <v>0</v>
      </c>
      <c r="G2369" s="72">
        <f>IF($D$3=JU!I2369,JU!K2369,0)</f>
        <v>0</v>
      </c>
      <c r="H2369" s="72" t="e">
        <f t="shared" si="37"/>
        <v>#REF!</v>
      </c>
    </row>
    <row r="2370" spans="2:8" hidden="1">
      <c r="B2370" s="68" t="str">
        <f>IF(OR($D$3=JU!$F2370,$D$3=JU!$I2370),JU!B2370,"")</f>
        <v/>
      </c>
      <c r="C2370" s="6" t="str">
        <f>IF(OR($D$3=JU!$F2370,$D$3=JU!$I2370),JU!C2370,"")</f>
        <v/>
      </c>
      <c r="D2370" s="73" t="str">
        <f>IF(OR($D$3=JU!$F2370,$D$3=JU!$I2370),JU!D2370,"")</f>
        <v/>
      </c>
      <c r="E2370" s="74" t="str">
        <f>IF(OR($D$3=JU!$F2370,$D$3=JU!$I2370),JU!E2370,"")</f>
        <v/>
      </c>
      <c r="F2370" s="72">
        <f>IF($D$3=JU!F2370,JU!H2370,0)</f>
        <v>0</v>
      </c>
      <c r="G2370" s="72">
        <f>IF($D$3=JU!I2370,JU!K2370,0)</f>
        <v>0</v>
      </c>
      <c r="H2370" s="72" t="e">
        <f t="shared" si="37"/>
        <v>#REF!</v>
      </c>
    </row>
    <row r="2371" spans="2:8" hidden="1">
      <c r="B2371" s="68" t="str">
        <f>IF(OR($D$3=JU!$F2371,$D$3=JU!$I2371),JU!B2371,"")</f>
        <v/>
      </c>
      <c r="C2371" s="6" t="str">
        <f>IF(OR($D$3=JU!$F2371,$D$3=JU!$I2371),JU!C2371,"")</f>
        <v/>
      </c>
      <c r="D2371" s="73" t="str">
        <f>IF(OR($D$3=JU!$F2371,$D$3=JU!$I2371),JU!D2371,"")</f>
        <v/>
      </c>
      <c r="E2371" s="74" t="str">
        <f>IF(OR($D$3=JU!$F2371,$D$3=JU!$I2371),JU!E2371,"")</f>
        <v/>
      </c>
      <c r="F2371" s="72">
        <f>IF($D$3=JU!F2371,JU!H2371,0)</f>
        <v>0</v>
      </c>
      <c r="G2371" s="72">
        <f>IF($D$3=JU!I2371,JU!K2371,0)</f>
        <v>0</v>
      </c>
      <c r="H2371" s="72" t="e">
        <f t="shared" si="37"/>
        <v>#REF!</v>
      </c>
    </row>
    <row r="2372" spans="2:8" hidden="1">
      <c r="B2372" s="68" t="str">
        <f>IF(OR($D$3=JU!$F2372,$D$3=JU!$I2372),JU!B2372,"")</f>
        <v/>
      </c>
      <c r="C2372" s="6" t="str">
        <f>IF(OR($D$3=JU!$F2372,$D$3=JU!$I2372),JU!C2372,"")</f>
        <v/>
      </c>
      <c r="D2372" s="73" t="str">
        <f>IF(OR($D$3=JU!$F2372,$D$3=JU!$I2372),JU!D2372,"")</f>
        <v/>
      </c>
      <c r="E2372" s="74" t="str">
        <f>IF(OR($D$3=JU!$F2372,$D$3=JU!$I2372),JU!E2372,"")</f>
        <v/>
      </c>
      <c r="F2372" s="72">
        <f>IF($D$3=JU!F2372,JU!H2372,0)</f>
        <v>0</v>
      </c>
      <c r="G2372" s="72">
        <f>IF($D$3=JU!I2372,JU!K2372,0)</f>
        <v>0</v>
      </c>
      <c r="H2372" s="72" t="e">
        <f t="shared" si="37"/>
        <v>#REF!</v>
      </c>
    </row>
    <row r="2373" spans="2:8" hidden="1">
      <c r="B2373" s="68" t="str">
        <f>IF(OR($D$3=JU!$F2373,$D$3=JU!$I2373),JU!B2373,"")</f>
        <v/>
      </c>
      <c r="C2373" s="6" t="str">
        <f>IF(OR($D$3=JU!$F2373,$D$3=JU!$I2373),JU!C2373,"")</f>
        <v/>
      </c>
      <c r="D2373" s="73" t="str">
        <f>IF(OR($D$3=JU!$F2373,$D$3=JU!$I2373),JU!D2373,"")</f>
        <v/>
      </c>
      <c r="E2373" s="74" t="str">
        <f>IF(OR($D$3=JU!$F2373,$D$3=JU!$I2373),JU!E2373,"")</f>
        <v/>
      </c>
      <c r="F2373" s="72">
        <f>IF($D$3=JU!F2373,JU!H2373,0)</f>
        <v>0</v>
      </c>
      <c r="G2373" s="72">
        <f>IF($D$3=JU!I2373,JU!K2373,0)</f>
        <v>0</v>
      </c>
      <c r="H2373" s="72" t="e">
        <f t="shared" si="37"/>
        <v>#REF!</v>
      </c>
    </row>
    <row r="2374" spans="2:8" hidden="1">
      <c r="B2374" s="68" t="str">
        <f>IF(OR($D$3=JU!$F2374,$D$3=JU!$I2374),JU!B2374,"")</f>
        <v/>
      </c>
      <c r="C2374" s="6" t="str">
        <f>IF(OR($D$3=JU!$F2374,$D$3=JU!$I2374),JU!C2374,"")</f>
        <v/>
      </c>
      <c r="D2374" s="73" t="str">
        <f>IF(OR($D$3=JU!$F2374,$D$3=JU!$I2374),JU!D2374,"")</f>
        <v/>
      </c>
      <c r="E2374" s="74" t="str">
        <f>IF(OR($D$3=JU!$F2374,$D$3=JU!$I2374),JU!E2374,"")</f>
        <v/>
      </c>
      <c r="F2374" s="72">
        <f>IF($D$3=JU!F2374,JU!H2374,0)</f>
        <v>0</v>
      </c>
      <c r="G2374" s="72">
        <f>IF($D$3=JU!I2374,JU!K2374,0)</f>
        <v>0</v>
      </c>
      <c r="H2374" s="72" t="e">
        <f t="shared" si="37"/>
        <v>#REF!</v>
      </c>
    </row>
    <row r="2375" spans="2:8" hidden="1">
      <c r="B2375" s="68" t="str">
        <f>IF(OR($D$3=JU!$F2375,$D$3=JU!$I2375),JU!B2375,"")</f>
        <v/>
      </c>
      <c r="C2375" s="6" t="str">
        <f>IF(OR($D$3=JU!$F2375,$D$3=JU!$I2375),JU!C2375,"")</f>
        <v/>
      </c>
      <c r="D2375" s="73" t="str">
        <f>IF(OR($D$3=JU!$F2375,$D$3=JU!$I2375),JU!D2375,"")</f>
        <v/>
      </c>
      <c r="E2375" s="74" t="str">
        <f>IF(OR($D$3=JU!$F2375,$D$3=JU!$I2375),JU!E2375,"")</f>
        <v/>
      </c>
      <c r="F2375" s="72">
        <f>IF($D$3=JU!F2375,JU!H2375,0)</f>
        <v>0</v>
      </c>
      <c r="G2375" s="72">
        <f>IF($D$3=JU!I2375,JU!K2375,0)</f>
        <v>0</v>
      </c>
      <c r="H2375" s="72" t="e">
        <f t="shared" si="37"/>
        <v>#REF!</v>
      </c>
    </row>
    <row r="2376" spans="2:8" hidden="1">
      <c r="B2376" s="68" t="str">
        <f>IF(OR($D$3=JU!$F2376,$D$3=JU!$I2376),JU!B2376,"")</f>
        <v/>
      </c>
      <c r="C2376" s="6" t="str">
        <f>IF(OR($D$3=JU!$F2376,$D$3=JU!$I2376),JU!C2376,"")</f>
        <v/>
      </c>
      <c r="D2376" s="73" t="str">
        <f>IF(OR($D$3=JU!$F2376,$D$3=JU!$I2376),JU!D2376,"")</f>
        <v/>
      </c>
      <c r="E2376" s="74" t="str">
        <f>IF(OR($D$3=JU!$F2376,$D$3=JU!$I2376),JU!E2376,"")</f>
        <v/>
      </c>
      <c r="F2376" s="72">
        <f>IF($D$3=JU!F2376,JU!H2376,0)</f>
        <v>0</v>
      </c>
      <c r="G2376" s="72">
        <f>IF($D$3=JU!I2376,JU!K2376,0)</f>
        <v>0</v>
      </c>
      <c r="H2376" s="72" t="e">
        <f t="shared" si="37"/>
        <v>#REF!</v>
      </c>
    </row>
    <row r="2377" spans="2:8" hidden="1">
      <c r="B2377" s="68" t="str">
        <f>IF(OR($D$3=JU!$F2377,$D$3=JU!$I2377),JU!B2377,"")</f>
        <v/>
      </c>
      <c r="C2377" s="6" t="str">
        <f>IF(OR($D$3=JU!$F2377,$D$3=JU!$I2377),JU!C2377,"")</f>
        <v/>
      </c>
      <c r="D2377" s="73" t="str">
        <f>IF(OR($D$3=JU!$F2377,$D$3=JU!$I2377),JU!D2377,"")</f>
        <v/>
      </c>
      <c r="E2377" s="74" t="str">
        <f>IF(OR($D$3=JU!$F2377,$D$3=JU!$I2377),JU!E2377,"")</f>
        <v/>
      </c>
      <c r="F2377" s="72">
        <f>IF($D$3=JU!F2377,JU!H2377,0)</f>
        <v>0</v>
      </c>
      <c r="G2377" s="72">
        <f>IF($D$3=JU!I2377,JU!K2377,0)</f>
        <v>0</v>
      </c>
      <c r="H2377" s="72" t="e">
        <f t="shared" si="37"/>
        <v>#REF!</v>
      </c>
    </row>
    <row r="2378" spans="2:8" hidden="1">
      <c r="B2378" s="68" t="str">
        <f>IF(OR($D$3=JU!$F2378,$D$3=JU!$I2378),JU!B2378,"")</f>
        <v/>
      </c>
      <c r="C2378" s="6" t="str">
        <f>IF(OR($D$3=JU!$F2378,$D$3=JU!$I2378),JU!C2378,"")</f>
        <v/>
      </c>
      <c r="D2378" s="73" t="str">
        <f>IF(OR($D$3=JU!$F2378,$D$3=JU!$I2378),JU!D2378,"")</f>
        <v/>
      </c>
      <c r="E2378" s="74" t="str">
        <f>IF(OR($D$3=JU!$F2378,$D$3=JU!$I2378),JU!E2378,"")</f>
        <v/>
      </c>
      <c r="F2378" s="72">
        <f>IF($D$3=JU!F2378,JU!H2378,0)</f>
        <v>0</v>
      </c>
      <c r="G2378" s="72">
        <f>IF($D$3=JU!I2378,JU!K2378,0)</f>
        <v>0</v>
      </c>
      <c r="H2378" s="72" t="e">
        <f t="shared" si="37"/>
        <v>#REF!</v>
      </c>
    </row>
    <row r="2379" spans="2:8" hidden="1">
      <c r="B2379" s="68" t="str">
        <f>IF(OR($D$3=JU!$F2379,$D$3=JU!$I2379),JU!B2379,"")</f>
        <v/>
      </c>
      <c r="C2379" s="6" t="str">
        <f>IF(OR($D$3=JU!$F2379,$D$3=JU!$I2379),JU!C2379,"")</f>
        <v/>
      </c>
      <c r="D2379" s="73" t="str">
        <f>IF(OR($D$3=JU!$F2379,$D$3=JU!$I2379),JU!D2379,"")</f>
        <v/>
      </c>
      <c r="E2379" s="74" t="str">
        <f>IF(OR($D$3=JU!$F2379,$D$3=JU!$I2379),JU!E2379,"")</f>
        <v/>
      </c>
      <c r="F2379" s="72">
        <f>IF($D$3=JU!F2379,JU!H2379,0)</f>
        <v>0</v>
      </c>
      <c r="G2379" s="72">
        <f>IF($D$3=JU!I2379,JU!K2379,0)</f>
        <v>0</v>
      </c>
      <c r="H2379" s="72" t="e">
        <f t="shared" si="37"/>
        <v>#REF!</v>
      </c>
    </row>
    <row r="2380" spans="2:8" hidden="1">
      <c r="B2380" s="68" t="str">
        <f>IF(OR($D$3=JU!$F2380,$D$3=JU!$I2380),JU!B2380,"")</f>
        <v/>
      </c>
      <c r="C2380" s="6" t="str">
        <f>IF(OR($D$3=JU!$F2380,$D$3=JU!$I2380),JU!C2380,"")</f>
        <v/>
      </c>
      <c r="D2380" s="73" t="str">
        <f>IF(OR($D$3=JU!$F2380,$D$3=JU!$I2380),JU!D2380,"")</f>
        <v/>
      </c>
      <c r="E2380" s="74" t="str">
        <f>IF(OR($D$3=JU!$F2380,$D$3=JU!$I2380),JU!E2380,"")</f>
        <v/>
      </c>
      <c r="F2380" s="72">
        <f>IF($D$3=JU!F2380,JU!H2380,0)</f>
        <v>0</v>
      </c>
      <c r="G2380" s="72">
        <f>IF($D$3=JU!I2380,JU!K2380,0)</f>
        <v>0</v>
      </c>
      <c r="H2380" s="72" t="e">
        <f t="shared" si="37"/>
        <v>#REF!</v>
      </c>
    </row>
    <row r="2381" spans="2:8" hidden="1">
      <c r="B2381" s="68" t="str">
        <f>IF(OR($D$3=JU!$F2381,$D$3=JU!$I2381),JU!B2381,"")</f>
        <v/>
      </c>
      <c r="C2381" s="6" t="str">
        <f>IF(OR($D$3=JU!$F2381,$D$3=JU!$I2381),JU!C2381,"")</f>
        <v/>
      </c>
      <c r="D2381" s="73" t="str">
        <f>IF(OR($D$3=JU!$F2381,$D$3=JU!$I2381),JU!D2381,"")</f>
        <v/>
      </c>
      <c r="E2381" s="74" t="str">
        <f>IF(OR($D$3=JU!$F2381,$D$3=JU!$I2381),JU!E2381,"")</f>
        <v/>
      </c>
      <c r="F2381" s="72">
        <f>IF($D$3=JU!F2381,JU!H2381,0)</f>
        <v>0</v>
      </c>
      <c r="G2381" s="72">
        <f>IF($D$3=JU!I2381,JU!K2381,0)</f>
        <v>0</v>
      </c>
      <c r="H2381" s="72" t="e">
        <f t="shared" si="37"/>
        <v>#REF!</v>
      </c>
    </row>
    <row r="2382" spans="2:8" hidden="1">
      <c r="B2382" s="68" t="str">
        <f>IF(OR($D$3=JU!$F2382,$D$3=JU!$I2382),JU!B2382,"")</f>
        <v/>
      </c>
      <c r="C2382" s="6" t="str">
        <f>IF(OR($D$3=JU!$F2382,$D$3=JU!$I2382),JU!C2382,"")</f>
        <v/>
      </c>
      <c r="D2382" s="73" t="str">
        <f>IF(OR($D$3=JU!$F2382,$D$3=JU!$I2382),JU!D2382,"")</f>
        <v/>
      </c>
      <c r="E2382" s="74" t="str">
        <f>IF(OR($D$3=JU!$F2382,$D$3=JU!$I2382),JU!E2382,"")</f>
        <v/>
      </c>
      <c r="F2382" s="72">
        <f>IF($D$3=JU!F2382,JU!H2382,0)</f>
        <v>0</v>
      </c>
      <c r="G2382" s="72">
        <f>IF($D$3=JU!I2382,JU!K2382,0)</f>
        <v>0</v>
      </c>
      <c r="H2382" s="72" t="e">
        <f t="shared" ref="H2382:H2445" si="38">IF($H$7="DEBET",H2381+F2382-G2382,H2381+G2382-F2382)</f>
        <v>#REF!</v>
      </c>
    </row>
    <row r="2383" spans="2:8" hidden="1">
      <c r="B2383" s="68" t="str">
        <f>IF(OR($D$3=JU!$F2383,$D$3=JU!$I2383),JU!B2383,"")</f>
        <v/>
      </c>
      <c r="C2383" s="6" t="str">
        <f>IF(OR($D$3=JU!$F2383,$D$3=JU!$I2383),JU!C2383,"")</f>
        <v/>
      </c>
      <c r="D2383" s="73" t="str">
        <f>IF(OR($D$3=JU!$F2383,$D$3=JU!$I2383),JU!D2383,"")</f>
        <v/>
      </c>
      <c r="E2383" s="74" t="str">
        <f>IF(OR($D$3=JU!$F2383,$D$3=JU!$I2383),JU!E2383,"")</f>
        <v/>
      </c>
      <c r="F2383" s="72">
        <f>IF($D$3=JU!F2383,JU!H2383,0)</f>
        <v>0</v>
      </c>
      <c r="G2383" s="72">
        <f>IF($D$3=JU!I2383,JU!K2383,0)</f>
        <v>0</v>
      </c>
      <c r="H2383" s="72" t="e">
        <f t="shared" si="38"/>
        <v>#REF!</v>
      </c>
    </row>
    <row r="2384" spans="2:8" hidden="1">
      <c r="B2384" s="68" t="str">
        <f>IF(OR($D$3=JU!$F2384,$D$3=JU!$I2384),JU!B2384,"")</f>
        <v/>
      </c>
      <c r="C2384" s="6" t="str">
        <f>IF(OR($D$3=JU!$F2384,$D$3=JU!$I2384),JU!C2384,"")</f>
        <v/>
      </c>
      <c r="D2384" s="73" t="str">
        <f>IF(OR($D$3=JU!$F2384,$D$3=JU!$I2384),JU!D2384,"")</f>
        <v/>
      </c>
      <c r="E2384" s="74" t="str">
        <f>IF(OR($D$3=JU!$F2384,$D$3=JU!$I2384),JU!E2384,"")</f>
        <v/>
      </c>
      <c r="F2384" s="72">
        <f>IF($D$3=JU!F2384,JU!H2384,0)</f>
        <v>0</v>
      </c>
      <c r="G2384" s="72">
        <f>IF($D$3=JU!I2384,JU!K2384,0)</f>
        <v>0</v>
      </c>
      <c r="H2384" s="72" t="e">
        <f t="shared" si="38"/>
        <v>#REF!</v>
      </c>
    </row>
    <row r="2385" spans="2:8" hidden="1">
      <c r="B2385" s="68" t="str">
        <f>IF(OR($D$3=JU!$F2385,$D$3=JU!$I2385),JU!B2385,"")</f>
        <v/>
      </c>
      <c r="C2385" s="6" t="str">
        <f>IF(OR($D$3=JU!$F2385,$D$3=JU!$I2385),JU!C2385,"")</f>
        <v/>
      </c>
      <c r="D2385" s="73" t="str">
        <f>IF(OR($D$3=JU!$F2385,$D$3=JU!$I2385),JU!D2385,"")</f>
        <v/>
      </c>
      <c r="E2385" s="74" t="str">
        <f>IF(OR($D$3=JU!$F2385,$D$3=JU!$I2385),JU!E2385,"")</f>
        <v/>
      </c>
      <c r="F2385" s="72">
        <f>IF($D$3=JU!F2385,JU!H2385,0)</f>
        <v>0</v>
      </c>
      <c r="G2385" s="72">
        <f>IF($D$3=JU!I2385,JU!K2385,0)</f>
        <v>0</v>
      </c>
      <c r="H2385" s="72" t="e">
        <f t="shared" si="38"/>
        <v>#REF!</v>
      </c>
    </row>
    <row r="2386" spans="2:8" hidden="1">
      <c r="B2386" s="68" t="str">
        <f>IF(OR($D$3=JU!$F2386,$D$3=JU!$I2386),JU!B2386,"")</f>
        <v/>
      </c>
      <c r="C2386" s="6" t="str">
        <f>IF(OR($D$3=JU!$F2386,$D$3=JU!$I2386),JU!C2386,"")</f>
        <v/>
      </c>
      <c r="D2386" s="73" t="str">
        <f>IF(OR($D$3=JU!$F2386,$D$3=JU!$I2386),JU!D2386,"")</f>
        <v/>
      </c>
      <c r="E2386" s="74" t="str">
        <f>IF(OR($D$3=JU!$F2386,$D$3=JU!$I2386),JU!E2386,"")</f>
        <v/>
      </c>
      <c r="F2386" s="72">
        <f>IF($D$3=JU!F2386,JU!H2386,0)</f>
        <v>0</v>
      </c>
      <c r="G2386" s="72">
        <f>IF($D$3=JU!I2386,JU!K2386,0)</f>
        <v>0</v>
      </c>
      <c r="H2386" s="72" t="e">
        <f t="shared" si="38"/>
        <v>#REF!</v>
      </c>
    </row>
    <row r="2387" spans="2:8" hidden="1">
      <c r="B2387" s="68" t="str">
        <f>IF(OR($D$3=JU!$F2387,$D$3=JU!$I2387),JU!B2387,"")</f>
        <v/>
      </c>
      <c r="C2387" s="6" t="str">
        <f>IF(OR($D$3=JU!$F2387,$D$3=JU!$I2387),JU!C2387,"")</f>
        <v/>
      </c>
      <c r="D2387" s="73" t="str">
        <f>IF(OR($D$3=JU!$F2387,$D$3=JU!$I2387),JU!D2387,"")</f>
        <v/>
      </c>
      <c r="E2387" s="74" t="str">
        <f>IF(OR($D$3=JU!$F2387,$D$3=JU!$I2387),JU!E2387,"")</f>
        <v/>
      </c>
      <c r="F2387" s="72">
        <f>IF($D$3=JU!F2387,JU!H2387,0)</f>
        <v>0</v>
      </c>
      <c r="G2387" s="72">
        <f>IF($D$3=JU!I2387,JU!K2387,0)</f>
        <v>0</v>
      </c>
      <c r="H2387" s="72" t="e">
        <f t="shared" si="38"/>
        <v>#REF!</v>
      </c>
    </row>
    <row r="2388" spans="2:8" hidden="1">
      <c r="B2388" s="68" t="str">
        <f>IF(OR($D$3=JU!$F2388,$D$3=JU!$I2388),JU!B2388,"")</f>
        <v/>
      </c>
      <c r="C2388" s="6" t="str">
        <f>IF(OR($D$3=JU!$F2388,$D$3=JU!$I2388),JU!C2388,"")</f>
        <v/>
      </c>
      <c r="D2388" s="73" t="str">
        <f>IF(OR($D$3=JU!$F2388,$D$3=JU!$I2388),JU!D2388,"")</f>
        <v/>
      </c>
      <c r="E2388" s="74" t="str">
        <f>IF(OR($D$3=JU!$F2388,$D$3=JU!$I2388),JU!E2388,"")</f>
        <v/>
      </c>
      <c r="F2388" s="72">
        <f>IF($D$3=JU!F2388,JU!H2388,0)</f>
        <v>0</v>
      </c>
      <c r="G2388" s="72">
        <f>IF($D$3=JU!I2388,JU!K2388,0)</f>
        <v>0</v>
      </c>
      <c r="H2388" s="72" t="e">
        <f t="shared" si="38"/>
        <v>#REF!</v>
      </c>
    </row>
    <row r="2389" spans="2:8" hidden="1">
      <c r="B2389" s="68" t="str">
        <f>IF(OR($D$3=JU!$F2389,$D$3=JU!$I2389),JU!B2389,"")</f>
        <v/>
      </c>
      <c r="C2389" s="6" t="str">
        <f>IF(OR($D$3=JU!$F2389,$D$3=JU!$I2389),JU!C2389,"")</f>
        <v/>
      </c>
      <c r="D2389" s="73" t="str">
        <f>IF(OR($D$3=JU!$F2389,$D$3=JU!$I2389),JU!D2389,"")</f>
        <v/>
      </c>
      <c r="E2389" s="74" t="str">
        <f>IF(OR($D$3=JU!$F2389,$D$3=JU!$I2389),JU!E2389,"")</f>
        <v/>
      </c>
      <c r="F2389" s="72">
        <f>IF($D$3=JU!F2389,JU!H2389,0)</f>
        <v>0</v>
      </c>
      <c r="G2389" s="72">
        <f>IF($D$3=JU!I2389,JU!K2389,0)</f>
        <v>0</v>
      </c>
      <c r="H2389" s="72" t="e">
        <f t="shared" si="38"/>
        <v>#REF!</v>
      </c>
    </row>
    <row r="2390" spans="2:8" hidden="1">
      <c r="B2390" s="68" t="str">
        <f>IF(OR($D$3=JU!$F2390,$D$3=JU!$I2390),JU!B2390,"")</f>
        <v/>
      </c>
      <c r="C2390" s="6" t="str">
        <f>IF(OR($D$3=JU!$F2390,$D$3=JU!$I2390),JU!C2390,"")</f>
        <v/>
      </c>
      <c r="D2390" s="73" t="str">
        <f>IF(OR($D$3=JU!$F2390,$D$3=JU!$I2390),JU!D2390,"")</f>
        <v/>
      </c>
      <c r="E2390" s="74" t="str">
        <f>IF(OR($D$3=JU!$F2390,$D$3=JU!$I2390),JU!E2390,"")</f>
        <v/>
      </c>
      <c r="F2390" s="72">
        <f>IF($D$3=JU!F2390,JU!H2390,0)</f>
        <v>0</v>
      </c>
      <c r="G2390" s="72">
        <f>IF($D$3=JU!I2390,JU!K2390,0)</f>
        <v>0</v>
      </c>
      <c r="H2390" s="72" t="e">
        <f t="shared" si="38"/>
        <v>#REF!</v>
      </c>
    </row>
    <row r="2391" spans="2:8" hidden="1">
      <c r="B2391" s="68" t="str">
        <f>IF(OR($D$3=JU!$F2391,$D$3=JU!$I2391),JU!B2391,"")</f>
        <v/>
      </c>
      <c r="C2391" s="6" t="str">
        <f>IF(OR($D$3=JU!$F2391,$D$3=JU!$I2391),JU!C2391,"")</f>
        <v/>
      </c>
      <c r="D2391" s="73" t="str">
        <f>IF(OR($D$3=JU!$F2391,$D$3=JU!$I2391),JU!D2391,"")</f>
        <v/>
      </c>
      <c r="E2391" s="74" t="str">
        <f>IF(OR($D$3=JU!$F2391,$D$3=JU!$I2391),JU!E2391,"")</f>
        <v/>
      </c>
      <c r="F2391" s="72">
        <f>IF($D$3=JU!F2391,JU!H2391,0)</f>
        <v>0</v>
      </c>
      <c r="G2391" s="72">
        <f>IF($D$3=JU!I2391,JU!K2391,0)</f>
        <v>0</v>
      </c>
      <c r="H2391" s="72" t="e">
        <f t="shared" si="38"/>
        <v>#REF!</v>
      </c>
    </row>
    <row r="2392" spans="2:8" hidden="1">
      <c r="B2392" s="68" t="str">
        <f>IF(OR($D$3=JU!$F2392,$D$3=JU!$I2392),JU!B2392,"")</f>
        <v/>
      </c>
      <c r="C2392" s="6" t="str">
        <f>IF(OR($D$3=JU!$F2392,$D$3=JU!$I2392),JU!C2392,"")</f>
        <v/>
      </c>
      <c r="D2392" s="73" t="str">
        <f>IF(OR($D$3=JU!$F2392,$D$3=JU!$I2392),JU!D2392,"")</f>
        <v/>
      </c>
      <c r="E2392" s="74" t="str">
        <f>IF(OR($D$3=JU!$F2392,$D$3=JU!$I2392),JU!E2392,"")</f>
        <v/>
      </c>
      <c r="F2392" s="72">
        <f>IF($D$3=JU!F2392,JU!H2392,0)</f>
        <v>0</v>
      </c>
      <c r="G2392" s="72">
        <f>IF($D$3=JU!I2392,JU!K2392,0)</f>
        <v>0</v>
      </c>
      <c r="H2392" s="72" t="e">
        <f t="shared" si="38"/>
        <v>#REF!</v>
      </c>
    </row>
    <row r="2393" spans="2:8" hidden="1">
      <c r="B2393" s="68" t="str">
        <f>IF(OR($D$3=JU!$F2393,$D$3=JU!$I2393),JU!B2393,"")</f>
        <v/>
      </c>
      <c r="C2393" s="6" t="str">
        <f>IF(OR($D$3=JU!$F2393,$D$3=JU!$I2393),JU!C2393,"")</f>
        <v/>
      </c>
      <c r="D2393" s="73" t="str">
        <f>IF(OR($D$3=JU!$F2393,$D$3=JU!$I2393),JU!D2393,"")</f>
        <v/>
      </c>
      <c r="E2393" s="74" t="str">
        <f>IF(OR($D$3=JU!$F2393,$D$3=JU!$I2393),JU!E2393,"")</f>
        <v/>
      </c>
      <c r="F2393" s="72">
        <f>IF($D$3=JU!F2393,JU!H2393,0)</f>
        <v>0</v>
      </c>
      <c r="G2393" s="72">
        <f>IF($D$3=JU!I2393,JU!K2393,0)</f>
        <v>0</v>
      </c>
      <c r="H2393" s="72" t="e">
        <f t="shared" si="38"/>
        <v>#REF!</v>
      </c>
    </row>
    <row r="2394" spans="2:8" hidden="1">
      <c r="B2394" s="68" t="str">
        <f>IF(OR($D$3=JU!$F2394,$D$3=JU!$I2394),JU!B2394,"")</f>
        <v/>
      </c>
      <c r="C2394" s="6" t="str">
        <f>IF(OR($D$3=JU!$F2394,$D$3=JU!$I2394),JU!C2394,"")</f>
        <v/>
      </c>
      <c r="D2394" s="73" t="str">
        <f>IF(OR($D$3=JU!$F2394,$D$3=JU!$I2394),JU!D2394,"")</f>
        <v/>
      </c>
      <c r="E2394" s="74" t="str">
        <f>IF(OR($D$3=JU!$F2394,$D$3=JU!$I2394),JU!E2394,"")</f>
        <v/>
      </c>
      <c r="F2394" s="72">
        <f>IF($D$3=JU!F2394,JU!H2394,0)</f>
        <v>0</v>
      </c>
      <c r="G2394" s="72">
        <f>IF($D$3=JU!I2394,JU!K2394,0)</f>
        <v>0</v>
      </c>
      <c r="H2394" s="72" t="e">
        <f t="shared" si="38"/>
        <v>#REF!</v>
      </c>
    </row>
    <row r="2395" spans="2:8" hidden="1">
      <c r="B2395" s="68" t="str">
        <f>IF(OR($D$3=JU!$F2395,$D$3=JU!$I2395),JU!B2395,"")</f>
        <v/>
      </c>
      <c r="C2395" s="6" t="str">
        <f>IF(OR($D$3=JU!$F2395,$D$3=JU!$I2395),JU!C2395,"")</f>
        <v/>
      </c>
      <c r="D2395" s="73" t="str">
        <f>IF(OR($D$3=JU!$F2395,$D$3=JU!$I2395),JU!D2395,"")</f>
        <v/>
      </c>
      <c r="E2395" s="74" t="str">
        <f>IF(OR($D$3=JU!$F2395,$D$3=JU!$I2395),JU!E2395,"")</f>
        <v/>
      </c>
      <c r="F2395" s="72">
        <f>IF($D$3=JU!F2395,JU!H2395,0)</f>
        <v>0</v>
      </c>
      <c r="G2395" s="72">
        <f>IF($D$3=JU!I2395,JU!K2395,0)</f>
        <v>0</v>
      </c>
      <c r="H2395" s="72" t="e">
        <f t="shared" si="38"/>
        <v>#REF!</v>
      </c>
    </row>
    <row r="2396" spans="2:8" hidden="1">
      <c r="B2396" s="68" t="str">
        <f>IF(OR($D$3=JU!$F2396,$D$3=JU!$I2396),JU!B2396,"")</f>
        <v/>
      </c>
      <c r="C2396" s="6" t="str">
        <f>IF(OR($D$3=JU!$F2396,$D$3=JU!$I2396),JU!C2396,"")</f>
        <v/>
      </c>
      <c r="D2396" s="73" t="str">
        <f>IF(OR($D$3=JU!$F2396,$D$3=JU!$I2396),JU!D2396,"")</f>
        <v/>
      </c>
      <c r="E2396" s="74" t="str">
        <f>IF(OR($D$3=JU!$F2396,$D$3=JU!$I2396),JU!E2396,"")</f>
        <v/>
      </c>
      <c r="F2396" s="72">
        <f>IF($D$3=JU!F2396,JU!H2396,0)</f>
        <v>0</v>
      </c>
      <c r="G2396" s="72">
        <f>IF($D$3=JU!I2396,JU!K2396,0)</f>
        <v>0</v>
      </c>
      <c r="H2396" s="72" t="e">
        <f t="shared" si="38"/>
        <v>#REF!</v>
      </c>
    </row>
    <row r="2397" spans="2:8" hidden="1">
      <c r="B2397" s="68" t="str">
        <f>IF(OR($D$3=JU!$F2397,$D$3=JU!$I2397),JU!B2397,"")</f>
        <v/>
      </c>
      <c r="C2397" s="6" t="str">
        <f>IF(OR($D$3=JU!$F2397,$D$3=JU!$I2397),JU!C2397,"")</f>
        <v/>
      </c>
      <c r="D2397" s="73" t="str">
        <f>IF(OR($D$3=JU!$F2397,$D$3=JU!$I2397),JU!D2397,"")</f>
        <v/>
      </c>
      <c r="E2397" s="74" t="str">
        <f>IF(OR($D$3=JU!$F2397,$D$3=JU!$I2397),JU!E2397,"")</f>
        <v/>
      </c>
      <c r="F2397" s="72">
        <f>IF($D$3=JU!F2397,JU!H2397,0)</f>
        <v>0</v>
      </c>
      <c r="G2397" s="72">
        <f>IF($D$3=JU!I2397,JU!K2397,0)</f>
        <v>0</v>
      </c>
      <c r="H2397" s="72" t="e">
        <f t="shared" si="38"/>
        <v>#REF!</v>
      </c>
    </row>
    <row r="2398" spans="2:8" hidden="1">
      <c r="B2398" s="68" t="str">
        <f>IF(OR($D$3=JU!$F2398,$D$3=JU!$I2398),JU!B2398,"")</f>
        <v/>
      </c>
      <c r="C2398" s="6" t="str">
        <f>IF(OR($D$3=JU!$F2398,$D$3=JU!$I2398),JU!C2398,"")</f>
        <v/>
      </c>
      <c r="D2398" s="73" t="str">
        <f>IF(OR($D$3=JU!$F2398,$D$3=JU!$I2398),JU!D2398,"")</f>
        <v/>
      </c>
      <c r="E2398" s="74" t="str">
        <f>IF(OR($D$3=JU!$F2398,$D$3=JU!$I2398),JU!E2398,"")</f>
        <v/>
      </c>
      <c r="F2398" s="72">
        <f>IF($D$3=JU!F2398,JU!H2398,0)</f>
        <v>0</v>
      </c>
      <c r="G2398" s="72">
        <f>IF($D$3=JU!I2398,JU!K2398,0)</f>
        <v>0</v>
      </c>
      <c r="H2398" s="72" t="e">
        <f t="shared" si="38"/>
        <v>#REF!</v>
      </c>
    </row>
    <row r="2399" spans="2:8" hidden="1">
      <c r="B2399" s="68" t="str">
        <f>IF(OR($D$3=JU!$F2399,$D$3=JU!$I2399),JU!B2399,"")</f>
        <v/>
      </c>
      <c r="C2399" s="6" t="str">
        <f>IF(OR($D$3=JU!$F2399,$D$3=JU!$I2399),JU!C2399,"")</f>
        <v/>
      </c>
      <c r="D2399" s="73" t="str">
        <f>IF(OR($D$3=JU!$F2399,$D$3=JU!$I2399),JU!D2399,"")</f>
        <v/>
      </c>
      <c r="E2399" s="74" t="str">
        <f>IF(OR($D$3=JU!$F2399,$D$3=JU!$I2399),JU!E2399,"")</f>
        <v/>
      </c>
      <c r="F2399" s="72">
        <f>IF($D$3=JU!F2399,JU!H2399,0)</f>
        <v>0</v>
      </c>
      <c r="G2399" s="72">
        <f>IF($D$3=JU!I2399,JU!K2399,0)</f>
        <v>0</v>
      </c>
      <c r="H2399" s="72" t="e">
        <f t="shared" si="38"/>
        <v>#REF!</v>
      </c>
    </row>
    <row r="2400" spans="2:8" hidden="1">
      <c r="B2400" s="68" t="str">
        <f>IF(OR($D$3=JU!$F2400,$D$3=JU!$I2400),JU!B2400,"")</f>
        <v/>
      </c>
      <c r="C2400" s="6" t="str">
        <f>IF(OR($D$3=JU!$F2400,$D$3=JU!$I2400),JU!C2400,"")</f>
        <v/>
      </c>
      <c r="D2400" s="73" t="str">
        <f>IF(OR($D$3=JU!$F2400,$D$3=JU!$I2400),JU!D2400,"")</f>
        <v/>
      </c>
      <c r="E2400" s="74" t="str">
        <f>IF(OR($D$3=JU!$F2400,$D$3=JU!$I2400),JU!E2400,"")</f>
        <v/>
      </c>
      <c r="F2400" s="72">
        <f>IF($D$3=JU!F2400,JU!H2400,0)</f>
        <v>0</v>
      </c>
      <c r="G2400" s="72">
        <f>IF($D$3=JU!I2400,JU!K2400,0)</f>
        <v>0</v>
      </c>
      <c r="H2400" s="72" t="e">
        <f t="shared" si="38"/>
        <v>#REF!</v>
      </c>
    </row>
    <row r="2401" spans="2:8" hidden="1">
      <c r="B2401" s="68" t="str">
        <f>IF(OR($D$3=JU!$F2401,$D$3=JU!$I2401),JU!B2401,"")</f>
        <v/>
      </c>
      <c r="C2401" s="6" t="str">
        <f>IF(OR($D$3=JU!$F2401,$D$3=JU!$I2401),JU!C2401,"")</f>
        <v/>
      </c>
      <c r="D2401" s="73" t="str">
        <f>IF(OR($D$3=JU!$F2401,$D$3=JU!$I2401),JU!D2401,"")</f>
        <v/>
      </c>
      <c r="E2401" s="74" t="str">
        <f>IF(OR($D$3=JU!$F2401,$D$3=JU!$I2401),JU!E2401,"")</f>
        <v/>
      </c>
      <c r="F2401" s="72">
        <f>IF($D$3=JU!F2401,JU!H2401,0)</f>
        <v>0</v>
      </c>
      <c r="G2401" s="72">
        <f>IF($D$3=JU!I2401,JU!K2401,0)</f>
        <v>0</v>
      </c>
      <c r="H2401" s="72" t="e">
        <f t="shared" si="38"/>
        <v>#REF!</v>
      </c>
    </row>
    <row r="2402" spans="2:8" hidden="1">
      <c r="B2402" s="68" t="str">
        <f>IF(OR($D$3=JU!$F2402,$D$3=JU!$I2402),JU!B2402,"")</f>
        <v/>
      </c>
      <c r="C2402" s="6" t="str">
        <f>IF(OR($D$3=JU!$F2402,$D$3=JU!$I2402),JU!C2402,"")</f>
        <v/>
      </c>
      <c r="D2402" s="73" t="str">
        <f>IF(OR($D$3=JU!$F2402,$D$3=JU!$I2402),JU!D2402,"")</f>
        <v/>
      </c>
      <c r="E2402" s="74" t="str">
        <f>IF(OR($D$3=JU!$F2402,$D$3=JU!$I2402),JU!E2402,"")</f>
        <v/>
      </c>
      <c r="F2402" s="72">
        <f>IF($D$3=JU!F2402,JU!H2402,0)</f>
        <v>0</v>
      </c>
      <c r="G2402" s="72">
        <f>IF($D$3=JU!I2402,JU!K2402,0)</f>
        <v>0</v>
      </c>
      <c r="H2402" s="72" t="e">
        <f t="shared" si="38"/>
        <v>#REF!</v>
      </c>
    </row>
    <row r="2403" spans="2:8" hidden="1">
      <c r="B2403" s="68" t="str">
        <f>IF(OR($D$3=JU!$F2403,$D$3=JU!$I2403),JU!B2403,"")</f>
        <v/>
      </c>
      <c r="C2403" s="6" t="str">
        <f>IF(OR($D$3=JU!$F2403,$D$3=JU!$I2403),JU!C2403,"")</f>
        <v/>
      </c>
      <c r="D2403" s="73" t="str">
        <f>IF(OR($D$3=JU!$F2403,$D$3=JU!$I2403),JU!D2403,"")</f>
        <v/>
      </c>
      <c r="E2403" s="74" t="str">
        <f>IF(OR($D$3=JU!$F2403,$D$3=JU!$I2403),JU!E2403,"")</f>
        <v/>
      </c>
      <c r="F2403" s="72">
        <f>IF($D$3=JU!F2403,JU!H2403,0)</f>
        <v>0</v>
      </c>
      <c r="G2403" s="72">
        <f>IF($D$3=JU!I2403,JU!K2403,0)</f>
        <v>0</v>
      </c>
      <c r="H2403" s="72" t="e">
        <f t="shared" si="38"/>
        <v>#REF!</v>
      </c>
    </row>
    <row r="2404" spans="2:8" hidden="1">
      <c r="B2404" s="68" t="str">
        <f>IF(OR($D$3=JU!$F2404,$D$3=JU!$I2404),JU!B2404,"")</f>
        <v/>
      </c>
      <c r="C2404" s="6" t="str">
        <f>IF(OR($D$3=JU!$F2404,$D$3=JU!$I2404),JU!C2404,"")</f>
        <v/>
      </c>
      <c r="D2404" s="73" t="str">
        <f>IF(OR($D$3=JU!$F2404,$D$3=JU!$I2404),JU!D2404,"")</f>
        <v/>
      </c>
      <c r="E2404" s="74" t="str">
        <f>IF(OR($D$3=JU!$F2404,$D$3=JU!$I2404),JU!E2404,"")</f>
        <v/>
      </c>
      <c r="F2404" s="72">
        <f>IF($D$3=JU!F2404,JU!H2404,0)</f>
        <v>0</v>
      </c>
      <c r="G2404" s="72">
        <f>IF($D$3=JU!I2404,JU!K2404,0)</f>
        <v>0</v>
      </c>
      <c r="H2404" s="72" t="e">
        <f t="shared" si="38"/>
        <v>#REF!</v>
      </c>
    </row>
    <row r="2405" spans="2:8" hidden="1">
      <c r="B2405" s="68" t="str">
        <f>IF(OR($D$3=JU!$F2405,$D$3=JU!$I2405),JU!B2405,"")</f>
        <v/>
      </c>
      <c r="C2405" s="6" t="str">
        <f>IF(OR($D$3=JU!$F2405,$D$3=JU!$I2405),JU!C2405,"")</f>
        <v/>
      </c>
      <c r="D2405" s="73" t="str">
        <f>IF(OR($D$3=JU!$F2405,$D$3=JU!$I2405),JU!D2405,"")</f>
        <v/>
      </c>
      <c r="E2405" s="74" t="str">
        <f>IF(OR($D$3=JU!$F2405,$D$3=JU!$I2405),JU!E2405,"")</f>
        <v/>
      </c>
      <c r="F2405" s="72">
        <f>IF($D$3=JU!F2405,JU!H2405,0)</f>
        <v>0</v>
      </c>
      <c r="G2405" s="72">
        <f>IF($D$3=JU!I2405,JU!K2405,0)</f>
        <v>0</v>
      </c>
      <c r="H2405" s="72" t="e">
        <f t="shared" si="38"/>
        <v>#REF!</v>
      </c>
    </row>
    <row r="2406" spans="2:8" hidden="1">
      <c r="B2406" s="68" t="str">
        <f>IF(OR($D$3=JU!$F2406,$D$3=JU!$I2406),JU!B2406,"")</f>
        <v/>
      </c>
      <c r="C2406" s="6" t="str">
        <f>IF(OR($D$3=JU!$F2406,$D$3=JU!$I2406),JU!C2406,"")</f>
        <v/>
      </c>
      <c r="D2406" s="73" t="str">
        <f>IF(OR($D$3=JU!$F2406,$D$3=JU!$I2406),JU!D2406,"")</f>
        <v/>
      </c>
      <c r="E2406" s="74" t="str">
        <f>IF(OR($D$3=JU!$F2406,$D$3=JU!$I2406),JU!E2406,"")</f>
        <v/>
      </c>
      <c r="F2406" s="72">
        <f>IF($D$3=JU!F2406,JU!H2406,0)</f>
        <v>0</v>
      </c>
      <c r="G2406" s="72">
        <f>IF($D$3=JU!I2406,JU!K2406,0)</f>
        <v>0</v>
      </c>
      <c r="H2406" s="72" t="e">
        <f t="shared" si="38"/>
        <v>#REF!</v>
      </c>
    </row>
    <row r="2407" spans="2:8" hidden="1">
      <c r="B2407" s="68" t="str">
        <f>IF(OR($D$3=JU!$F2407,$D$3=JU!$I2407),JU!B2407,"")</f>
        <v/>
      </c>
      <c r="C2407" s="6" t="str">
        <f>IF(OR($D$3=JU!$F2407,$D$3=JU!$I2407),JU!C2407,"")</f>
        <v/>
      </c>
      <c r="D2407" s="73" t="str">
        <f>IF(OR($D$3=JU!$F2407,$D$3=JU!$I2407),JU!D2407,"")</f>
        <v/>
      </c>
      <c r="E2407" s="74" t="str">
        <f>IF(OR($D$3=JU!$F2407,$D$3=JU!$I2407),JU!E2407,"")</f>
        <v/>
      </c>
      <c r="F2407" s="72">
        <f>IF($D$3=JU!F2407,JU!H2407,0)</f>
        <v>0</v>
      </c>
      <c r="G2407" s="72">
        <f>IF($D$3=JU!I2407,JU!K2407,0)</f>
        <v>0</v>
      </c>
      <c r="H2407" s="72" t="e">
        <f t="shared" si="38"/>
        <v>#REF!</v>
      </c>
    </row>
    <row r="2408" spans="2:8" hidden="1">
      <c r="B2408" s="68" t="str">
        <f>IF(OR($D$3=JU!$F2408,$D$3=JU!$I2408),JU!B2408,"")</f>
        <v/>
      </c>
      <c r="C2408" s="6" t="str">
        <f>IF(OR($D$3=JU!$F2408,$D$3=JU!$I2408),JU!C2408,"")</f>
        <v/>
      </c>
      <c r="D2408" s="73" t="str">
        <f>IF(OR($D$3=JU!$F2408,$D$3=JU!$I2408),JU!D2408,"")</f>
        <v/>
      </c>
      <c r="E2408" s="74" t="str">
        <f>IF(OR($D$3=JU!$F2408,$D$3=JU!$I2408),JU!E2408,"")</f>
        <v/>
      </c>
      <c r="F2408" s="72">
        <f>IF($D$3=JU!F2408,JU!H2408,0)</f>
        <v>0</v>
      </c>
      <c r="G2408" s="72">
        <f>IF($D$3=JU!I2408,JU!K2408,0)</f>
        <v>0</v>
      </c>
      <c r="H2408" s="72" t="e">
        <f t="shared" si="38"/>
        <v>#REF!</v>
      </c>
    </row>
    <row r="2409" spans="2:8" hidden="1">
      <c r="B2409" s="68" t="str">
        <f>IF(OR($D$3=JU!$F2409,$D$3=JU!$I2409),JU!B2409,"")</f>
        <v/>
      </c>
      <c r="C2409" s="6" t="str">
        <f>IF(OR($D$3=JU!$F2409,$D$3=JU!$I2409),JU!C2409,"")</f>
        <v/>
      </c>
      <c r="D2409" s="73" t="str">
        <f>IF(OR($D$3=JU!$F2409,$D$3=JU!$I2409),JU!D2409,"")</f>
        <v/>
      </c>
      <c r="E2409" s="74" t="str">
        <f>IF(OR($D$3=JU!$F2409,$D$3=JU!$I2409),JU!E2409,"")</f>
        <v/>
      </c>
      <c r="F2409" s="72">
        <f>IF($D$3=JU!F2409,JU!H2409,0)</f>
        <v>0</v>
      </c>
      <c r="G2409" s="72">
        <f>IF($D$3=JU!I2409,JU!K2409,0)</f>
        <v>0</v>
      </c>
      <c r="H2409" s="72" t="e">
        <f t="shared" si="38"/>
        <v>#REF!</v>
      </c>
    </row>
    <row r="2410" spans="2:8" hidden="1">
      <c r="B2410" s="68" t="str">
        <f>IF(OR($D$3=JU!$F2410,$D$3=JU!$I2410),JU!B2410,"")</f>
        <v/>
      </c>
      <c r="C2410" s="6" t="str">
        <f>IF(OR($D$3=JU!$F2410,$D$3=JU!$I2410),JU!C2410,"")</f>
        <v/>
      </c>
      <c r="D2410" s="73" t="str">
        <f>IF(OR($D$3=JU!$F2410,$D$3=JU!$I2410),JU!D2410,"")</f>
        <v/>
      </c>
      <c r="E2410" s="74" t="str">
        <f>IF(OR($D$3=JU!$F2410,$D$3=JU!$I2410),JU!E2410,"")</f>
        <v/>
      </c>
      <c r="F2410" s="72">
        <f>IF($D$3=JU!F2410,JU!H2410,0)</f>
        <v>0</v>
      </c>
      <c r="G2410" s="72">
        <f>IF($D$3=JU!I2410,JU!K2410,0)</f>
        <v>0</v>
      </c>
      <c r="H2410" s="72" t="e">
        <f t="shared" si="38"/>
        <v>#REF!</v>
      </c>
    </row>
    <row r="2411" spans="2:8" hidden="1">
      <c r="B2411" s="68" t="str">
        <f>IF(OR($D$3=JU!$F2411,$D$3=JU!$I2411),JU!B2411,"")</f>
        <v/>
      </c>
      <c r="C2411" s="6" t="str">
        <f>IF(OR($D$3=JU!$F2411,$D$3=JU!$I2411),JU!C2411,"")</f>
        <v/>
      </c>
      <c r="D2411" s="73" t="str">
        <f>IF(OR($D$3=JU!$F2411,$D$3=JU!$I2411),JU!D2411,"")</f>
        <v/>
      </c>
      <c r="E2411" s="74" t="str">
        <f>IF(OR($D$3=JU!$F2411,$D$3=JU!$I2411),JU!E2411,"")</f>
        <v/>
      </c>
      <c r="F2411" s="72">
        <f>IF($D$3=JU!F2411,JU!H2411,0)</f>
        <v>0</v>
      </c>
      <c r="G2411" s="72">
        <f>IF($D$3=JU!I2411,JU!K2411,0)</f>
        <v>0</v>
      </c>
      <c r="H2411" s="72" t="e">
        <f t="shared" si="38"/>
        <v>#REF!</v>
      </c>
    </row>
    <row r="2412" spans="2:8" hidden="1">
      <c r="B2412" s="68" t="str">
        <f>IF(OR($D$3=JU!$F2412,$D$3=JU!$I2412),JU!B2412,"")</f>
        <v/>
      </c>
      <c r="C2412" s="6" t="str">
        <f>IF(OR($D$3=JU!$F2412,$D$3=JU!$I2412),JU!C2412,"")</f>
        <v/>
      </c>
      <c r="D2412" s="73" t="str">
        <f>IF(OR($D$3=JU!$F2412,$D$3=JU!$I2412),JU!D2412,"")</f>
        <v/>
      </c>
      <c r="E2412" s="74" t="str">
        <f>IF(OR($D$3=JU!$F2412,$D$3=JU!$I2412),JU!E2412,"")</f>
        <v/>
      </c>
      <c r="F2412" s="72">
        <f>IF($D$3=JU!F2412,JU!H2412,0)</f>
        <v>0</v>
      </c>
      <c r="G2412" s="72">
        <f>IF($D$3=JU!I2412,JU!K2412,0)</f>
        <v>0</v>
      </c>
      <c r="H2412" s="72" t="e">
        <f t="shared" si="38"/>
        <v>#REF!</v>
      </c>
    </row>
    <row r="2413" spans="2:8" hidden="1">
      <c r="B2413" s="68" t="str">
        <f>IF(OR($D$3=JU!$F2413,$D$3=JU!$I2413),JU!B2413,"")</f>
        <v/>
      </c>
      <c r="C2413" s="6" t="str">
        <f>IF(OR($D$3=JU!$F2413,$D$3=JU!$I2413),JU!C2413,"")</f>
        <v/>
      </c>
      <c r="D2413" s="73" t="str">
        <f>IF(OR($D$3=JU!$F2413,$D$3=JU!$I2413),JU!D2413,"")</f>
        <v/>
      </c>
      <c r="E2413" s="74" t="str">
        <f>IF(OR($D$3=JU!$F2413,$D$3=JU!$I2413),JU!E2413,"")</f>
        <v/>
      </c>
      <c r="F2413" s="72">
        <f>IF($D$3=JU!F2413,JU!H2413,0)</f>
        <v>0</v>
      </c>
      <c r="G2413" s="72">
        <f>IF($D$3=JU!I2413,JU!K2413,0)</f>
        <v>0</v>
      </c>
      <c r="H2413" s="72" t="e">
        <f t="shared" si="38"/>
        <v>#REF!</v>
      </c>
    </row>
    <row r="2414" spans="2:8" hidden="1">
      <c r="B2414" s="68" t="str">
        <f>IF(OR($D$3=JU!$F2414,$D$3=JU!$I2414),JU!B2414,"")</f>
        <v/>
      </c>
      <c r="C2414" s="6" t="str">
        <f>IF(OR($D$3=JU!$F2414,$D$3=JU!$I2414),JU!C2414,"")</f>
        <v/>
      </c>
      <c r="D2414" s="73" t="str">
        <f>IF(OR($D$3=JU!$F2414,$D$3=JU!$I2414),JU!D2414,"")</f>
        <v/>
      </c>
      <c r="E2414" s="74" t="str">
        <f>IF(OR($D$3=JU!$F2414,$D$3=JU!$I2414),JU!E2414,"")</f>
        <v/>
      </c>
      <c r="F2414" s="72">
        <f>IF($D$3=JU!F2414,JU!H2414,0)</f>
        <v>0</v>
      </c>
      <c r="G2414" s="72">
        <f>IF($D$3=JU!I2414,JU!K2414,0)</f>
        <v>0</v>
      </c>
      <c r="H2414" s="72" t="e">
        <f t="shared" si="38"/>
        <v>#REF!</v>
      </c>
    </row>
    <row r="2415" spans="2:8" hidden="1">
      <c r="B2415" s="68" t="str">
        <f>IF(OR($D$3=JU!$F2415,$D$3=JU!$I2415),JU!B2415,"")</f>
        <v/>
      </c>
      <c r="C2415" s="6" t="str">
        <f>IF(OR($D$3=JU!$F2415,$D$3=JU!$I2415),JU!C2415,"")</f>
        <v/>
      </c>
      <c r="D2415" s="73" t="str">
        <f>IF(OR($D$3=JU!$F2415,$D$3=JU!$I2415),JU!D2415,"")</f>
        <v/>
      </c>
      <c r="E2415" s="74" t="str">
        <f>IF(OR($D$3=JU!$F2415,$D$3=JU!$I2415),JU!E2415,"")</f>
        <v/>
      </c>
      <c r="F2415" s="72">
        <f>IF($D$3=JU!F2415,JU!H2415,0)</f>
        <v>0</v>
      </c>
      <c r="G2415" s="72">
        <f>IF($D$3=JU!I2415,JU!K2415,0)</f>
        <v>0</v>
      </c>
      <c r="H2415" s="72" t="e">
        <f t="shared" si="38"/>
        <v>#REF!</v>
      </c>
    </row>
    <row r="2416" spans="2:8" hidden="1">
      <c r="B2416" s="68" t="str">
        <f>IF(OR($D$3=JU!$F2416,$D$3=JU!$I2416),JU!B2416,"")</f>
        <v/>
      </c>
      <c r="C2416" s="6" t="str">
        <f>IF(OR($D$3=JU!$F2416,$D$3=JU!$I2416),JU!C2416,"")</f>
        <v/>
      </c>
      <c r="D2416" s="73" t="str">
        <f>IF(OR($D$3=JU!$F2416,$D$3=JU!$I2416),JU!D2416,"")</f>
        <v/>
      </c>
      <c r="E2416" s="74" t="str">
        <f>IF(OR($D$3=JU!$F2416,$D$3=JU!$I2416),JU!E2416,"")</f>
        <v/>
      </c>
      <c r="F2416" s="72">
        <f>IF($D$3=JU!F2416,JU!H2416,0)</f>
        <v>0</v>
      </c>
      <c r="G2416" s="72">
        <f>IF($D$3=JU!I2416,JU!K2416,0)</f>
        <v>0</v>
      </c>
      <c r="H2416" s="72" t="e">
        <f t="shared" si="38"/>
        <v>#REF!</v>
      </c>
    </row>
    <row r="2417" spans="2:8" hidden="1">
      <c r="B2417" s="68" t="str">
        <f>IF(OR($D$3=JU!$F2417,$D$3=JU!$I2417),JU!B2417,"")</f>
        <v/>
      </c>
      <c r="C2417" s="6" t="str">
        <f>IF(OR($D$3=JU!$F2417,$D$3=JU!$I2417),JU!C2417,"")</f>
        <v/>
      </c>
      <c r="D2417" s="73" t="str">
        <f>IF(OR($D$3=JU!$F2417,$D$3=JU!$I2417),JU!D2417,"")</f>
        <v/>
      </c>
      <c r="E2417" s="74" t="str">
        <f>IF(OR($D$3=JU!$F2417,$D$3=JU!$I2417),JU!E2417,"")</f>
        <v/>
      </c>
      <c r="F2417" s="72">
        <f>IF($D$3=JU!F2417,JU!H2417,0)</f>
        <v>0</v>
      </c>
      <c r="G2417" s="72">
        <f>IF($D$3=JU!I2417,JU!K2417,0)</f>
        <v>0</v>
      </c>
      <c r="H2417" s="72" t="e">
        <f t="shared" si="38"/>
        <v>#REF!</v>
      </c>
    </row>
    <row r="2418" spans="2:8" hidden="1">
      <c r="B2418" s="68" t="str">
        <f>IF(OR($D$3=JU!$F2418,$D$3=JU!$I2418),JU!B2418,"")</f>
        <v/>
      </c>
      <c r="C2418" s="6" t="str">
        <f>IF(OR($D$3=JU!$F2418,$D$3=JU!$I2418),JU!C2418,"")</f>
        <v/>
      </c>
      <c r="D2418" s="73" t="str">
        <f>IF(OR($D$3=JU!$F2418,$D$3=JU!$I2418),JU!D2418,"")</f>
        <v/>
      </c>
      <c r="E2418" s="74" t="str">
        <f>IF(OR($D$3=JU!$F2418,$D$3=JU!$I2418),JU!E2418,"")</f>
        <v/>
      </c>
      <c r="F2418" s="72">
        <f>IF($D$3=JU!F2418,JU!H2418,0)</f>
        <v>0</v>
      </c>
      <c r="G2418" s="72">
        <f>IF($D$3=JU!I2418,JU!K2418,0)</f>
        <v>0</v>
      </c>
      <c r="H2418" s="72" t="e">
        <f t="shared" si="38"/>
        <v>#REF!</v>
      </c>
    </row>
    <row r="2419" spans="2:8" hidden="1">
      <c r="B2419" s="68" t="str">
        <f>IF(OR($D$3=JU!$F2419,$D$3=JU!$I2419),JU!B2419,"")</f>
        <v/>
      </c>
      <c r="C2419" s="6" t="str">
        <f>IF(OR($D$3=JU!$F2419,$D$3=JU!$I2419),JU!C2419,"")</f>
        <v/>
      </c>
      <c r="D2419" s="73" t="str">
        <f>IF(OR($D$3=JU!$F2419,$D$3=JU!$I2419),JU!D2419,"")</f>
        <v/>
      </c>
      <c r="E2419" s="74" t="str">
        <f>IF(OR($D$3=JU!$F2419,$D$3=JU!$I2419),JU!E2419,"")</f>
        <v/>
      </c>
      <c r="F2419" s="72">
        <f>IF($D$3=JU!F2419,JU!H2419,0)</f>
        <v>0</v>
      </c>
      <c r="G2419" s="72">
        <f>IF($D$3=JU!I2419,JU!K2419,0)</f>
        <v>0</v>
      </c>
      <c r="H2419" s="72" t="e">
        <f t="shared" si="38"/>
        <v>#REF!</v>
      </c>
    </row>
    <row r="2420" spans="2:8" hidden="1">
      <c r="B2420" s="68" t="str">
        <f>IF(OR($D$3=JU!$F2420,$D$3=JU!$I2420),JU!B2420,"")</f>
        <v/>
      </c>
      <c r="C2420" s="6" t="str">
        <f>IF(OR($D$3=JU!$F2420,$D$3=JU!$I2420),JU!C2420,"")</f>
        <v/>
      </c>
      <c r="D2420" s="73" t="str">
        <f>IF(OR($D$3=JU!$F2420,$D$3=JU!$I2420),JU!D2420,"")</f>
        <v/>
      </c>
      <c r="E2420" s="74" t="str">
        <f>IF(OR($D$3=JU!$F2420,$D$3=JU!$I2420),JU!E2420,"")</f>
        <v/>
      </c>
      <c r="F2420" s="72">
        <f>IF($D$3=JU!F2420,JU!H2420,0)</f>
        <v>0</v>
      </c>
      <c r="G2420" s="72">
        <f>IF($D$3=JU!I2420,JU!K2420,0)</f>
        <v>0</v>
      </c>
      <c r="H2420" s="72" t="e">
        <f t="shared" si="38"/>
        <v>#REF!</v>
      </c>
    </row>
    <row r="2421" spans="2:8" hidden="1">
      <c r="B2421" s="68" t="str">
        <f>IF(OR($D$3=JU!$F2421,$D$3=JU!$I2421),JU!B2421,"")</f>
        <v/>
      </c>
      <c r="C2421" s="6" t="str">
        <f>IF(OR($D$3=JU!$F2421,$D$3=JU!$I2421),JU!C2421,"")</f>
        <v/>
      </c>
      <c r="D2421" s="73" t="str">
        <f>IF(OR($D$3=JU!$F2421,$D$3=JU!$I2421),JU!D2421,"")</f>
        <v/>
      </c>
      <c r="E2421" s="74" t="str">
        <f>IF(OR($D$3=JU!$F2421,$D$3=JU!$I2421),JU!E2421,"")</f>
        <v/>
      </c>
      <c r="F2421" s="72">
        <f>IF($D$3=JU!F2421,JU!H2421,0)</f>
        <v>0</v>
      </c>
      <c r="G2421" s="72">
        <f>IF($D$3=JU!I2421,JU!K2421,0)</f>
        <v>0</v>
      </c>
      <c r="H2421" s="72" t="e">
        <f t="shared" si="38"/>
        <v>#REF!</v>
      </c>
    </row>
    <row r="2422" spans="2:8" hidden="1">
      <c r="B2422" s="68" t="str">
        <f>IF(OR($D$3=JU!$F2422,$D$3=JU!$I2422),JU!B2422,"")</f>
        <v/>
      </c>
      <c r="C2422" s="6" t="str">
        <f>IF(OR($D$3=JU!$F2422,$D$3=JU!$I2422),JU!C2422,"")</f>
        <v/>
      </c>
      <c r="D2422" s="73" t="str">
        <f>IF(OR($D$3=JU!$F2422,$D$3=JU!$I2422),JU!D2422,"")</f>
        <v/>
      </c>
      <c r="E2422" s="74" t="str">
        <f>IF(OR($D$3=JU!$F2422,$D$3=JU!$I2422),JU!E2422,"")</f>
        <v/>
      </c>
      <c r="F2422" s="72">
        <f>IF($D$3=JU!F2422,JU!H2422,0)</f>
        <v>0</v>
      </c>
      <c r="G2422" s="72">
        <f>IF($D$3=JU!I2422,JU!K2422,0)</f>
        <v>0</v>
      </c>
      <c r="H2422" s="72" t="e">
        <f t="shared" si="38"/>
        <v>#REF!</v>
      </c>
    </row>
    <row r="2423" spans="2:8" hidden="1">
      <c r="B2423" s="68" t="str">
        <f>IF(OR($D$3=JU!$F2423,$D$3=JU!$I2423),JU!B2423,"")</f>
        <v/>
      </c>
      <c r="C2423" s="6" t="str">
        <f>IF(OR($D$3=JU!$F2423,$D$3=JU!$I2423),JU!C2423,"")</f>
        <v/>
      </c>
      <c r="D2423" s="73" t="str">
        <f>IF(OR($D$3=JU!$F2423,$D$3=JU!$I2423),JU!D2423,"")</f>
        <v/>
      </c>
      <c r="E2423" s="74" t="str">
        <f>IF(OR($D$3=JU!$F2423,$D$3=JU!$I2423),JU!E2423,"")</f>
        <v/>
      </c>
      <c r="F2423" s="72">
        <f>IF($D$3=JU!F2423,JU!H2423,0)</f>
        <v>0</v>
      </c>
      <c r="G2423" s="72">
        <f>IF($D$3=JU!I2423,JU!K2423,0)</f>
        <v>0</v>
      </c>
      <c r="H2423" s="72" t="e">
        <f t="shared" si="38"/>
        <v>#REF!</v>
      </c>
    </row>
    <row r="2424" spans="2:8" hidden="1">
      <c r="B2424" s="68" t="str">
        <f>IF(OR($D$3=JU!$F2424,$D$3=JU!$I2424),JU!B2424,"")</f>
        <v/>
      </c>
      <c r="C2424" s="6" t="str">
        <f>IF(OR($D$3=JU!$F2424,$D$3=JU!$I2424),JU!C2424,"")</f>
        <v/>
      </c>
      <c r="D2424" s="73" t="str">
        <f>IF(OR($D$3=JU!$F2424,$D$3=JU!$I2424),JU!D2424,"")</f>
        <v/>
      </c>
      <c r="E2424" s="74" t="str">
        <f>IF(OR($D$3=JU!$F2424,$D$3=JU!$I2424),JU!E2424,"")</f>
        <v/>
      </c>
      <c r="F2424" s="72">
        <f>IF($D$3=JU!F2424,JU!H2424,0)</f>
        <v>0</v>
      </c>
      <c r="G2424" s="72">
        <f>IF($D$3=JU!I2424,JU!K2424,0)</f>
        <v>0</v>
      </c>
      <c r="H2424" s="72" t="e">
        <f t="shared" si="38"/>
        <v>#REF!</v>
      </c>
    </row>
    <row r="2425" spans="2:8" hidden="1">
      <c r="B2425" s="68" t="str">
        <f>IF(OR($D$3=JU!$F2425,$D$3=JU!$I2425),JU!B2425,"")</f>
        <v/>
      </c>
      <c r="C2425" s="6" t="str">
        <f>IF(OR($D$3=JU!$F2425,$D$3=JU!$I2425),JU!C2425,"")</f>
        <v/>
      </c>
      <c r="D2425" s="73" t="str">
        <f>IF(OR($D$3=JU!$F2425,$D$3=JU!$I2425),JU!D2425,"")</f>
        <v/>
      </c>
      <c r="E2425" s="74" t="str">
        <f>IF(OR($D$3=JU!$F2425,$D$3=JU!$I2425),JU!E2425,"")</f>
        <v/>
      </c>
      <c r="F2425" s="72">
        <f>IF($D$3=JU!F2425,JU!H2425,0)</f>
        <v>0</v>
      </c>
      <c r="G2425" s="72">
        <f>IF($D$3=JU!I2425,JU!K2425,0)</f>
        <v>0</v>
      </c>
      <c r="H2425" s="72" t="e">
        <f t="shared" si="38"/>
        <v>#REF!</v>
      </c>
    </row>
    <row r="2426" spans="2:8" hidden="1">
      <c r="B2426" s="68" t="str">
        <f>IF(OR($D$3=JU!$F2426,$D$3=JU!$I2426),JU!B2426,"")</f>
        <v/>
      </c>
      <c r="C2426" s="6" t="str">
        <f>IF(OR($D$3=JU!$F2426,$D$3=JU!$I2426),JU!C2426,"")</f>
        <v/>
      </c>
      <c r="D2426" s="73" t="str">
        <f>IF(OR($D$3=JU!$F2426,$D$3=JU!$I2426),JU!D2426,"")</f>
        <v/>
      </c>
      <c r="E2426" s="74" t="str">
        <f>IF(OR($D$3=JU!$F2426,$D$3=JU!$I2426),JU!E2426,"")</f>
        <v/>
      </c>
      <c r="F2426" s="72">
        <f>IF($D$3=JU!F2426,JU!H2426,0)</f>
        <v>0</v>
      </c>
      <c r="G2426" s="72">
        <f>IF($D$3=JU!I2426,JU!K2426,0)</f>
        <v>0</v>
      </c>
      <c r="H2426" s="72" t="e">
        <f t="shared" si="38"/>
        <v>#REF!</v>
      </c>
    </row>
    <row r="2427" spans="2:8" hidden="1">
      <c r="B2427" s="68" t="str">
        <f>IF(OR($D$3=JU!$F2427,$D$3=JU!$I2427),JU!B2427,"")</f>
        <v/>
      </c>
      <c r="C2427" s="6" t="str">
        <f>IF(OR($D$3=JU!$F2427,$D$3=JU!$I2427),JU!C2427,"")</f>
        <v/>
      </c>
      <c r="D2427" s="73" t="str">
        <f>IF(OR($D$3=JU!$F2427,$D$3=JU!$I2427),JU!D2427,"")</f>
        <v/>
      </c>
      <c r="E2427" s="74" t="str">
        <f>IF(OR($D$3=JU!$F2427,$D$3=JU!$I2427),JU!E2427,"")</f>
        <v/>
      </c>
      <c r="F2427" s="72">
        <f>IF($D$3=JU!F2427,JU!H2427,0)</f>
        <v>0</v>
      </c>
      <c r="G2427" s="72">
        <f>IF($D$3=JU!I2427,JU!K2427,0)</f>
        <v>0</v>
      </c>
      <c r="H2427" s="72" t="e">
        <f t="shared" si="38"/>
        <v>#REF!</v>
      </c>
    </row>
    <row r="2428" spans="2:8" hidden="1">
      <c r="B2428" s="68" t="str">
        <f>IF(OR($D$3=JU!$F2428,$D$3=JU!$I2428),JU!B2428,"")</f>
        <v/>
      </c>
      <c r="C2428" s="6" t="str">
        <f>IF(OR($D$3=JU!$F2428,$D$3=JU!$I2428),JU!C2428,"")</f>
        <v/>
      </c>
      <c r="D2428" s="73" t="str">
        <f>IF(OR($D$3=JU!$F2428,$D$3=JU!$I2428),JU!D2428,"")</f>
        <v/>
      </c>
      <c r="E2428" s="74" t="str">
        <f>IF(OR($D$3=JU!$F2428,$D$3=JU!$I2428),JU!E2428,"")</f>
        <v/>
      </c>
      <c r="F2428" s="72">
        <f>IF($D$3=JU!F2428,JU!H2428,0)</f>
        <v>0</v>
      </c>
      <c r="G2428" s="72">
        <f>IF($D$3=JU!I2428,JU!K2428,0)</f>
        <v>0</v>
      </c>
      <c r="H2428" s="72" t="e">
        <f t="shared" si="38"/>
        <v>#REF!</v>
      </c>
    </row>
    <row r="2429" spans="2:8" hidden="1">
      <c r="B2429" s="68" t="str">
        <f>IF(OR($D$3=JU!$F2429,$D$3=JU!$I2429),JU!B2429,"")</f>
        <v/>
      </c>
      <c r="C2429" s="6" t="str">
        <f>IF(OR($D$3=JU!$F2429,$D$3=JU!$I2429),JU!C2429,"")</f>
        <v/>
      </c>
      <c r="D2429" s="73" t="str">
        <f>IF(OR($D$3=JU!$F2429,$D$3=JU!$I2429),JU!D2429,"")</f>
        <v/>
      </c>
      <c r="E2429" s="74" t="str">
        <f>IF(OR($D$3=JU!$F2429,$D$3=JU!$I2429),JU!E2429,"")</f>
        <v/>
      </c>
      <c r="F2429" s="72">
        <f>IF($D$3=JU!F2429,JU!H2429,0)</f>
        <v>0</v>
      </c>
      <c r="G2429" s="72">
        <f>IF($D$3=JU!I2429,JU!K2429,0)</f>
        <v>0</v>
      </c>
      <c r="H2429" s="72" t="e">
        <f t="shared" si="38"/>
        <v>#REF!</v>
      </c>
    </row>
    <row r="2430" spans="2:8" hidden="1">
      <c r="B2430" s="68" t="str">
        <f>IF(OR($D$3=JU!$F2430,$D$3=JU!$I2430),JU!B2430,"")</f>
        <v/>
      </c>
      <c r="C2430" s="6" t="str">
        <f>IF(OR($D$3=JU!$F2430,$D$3=JU!$I2430),JU!C2430,"")</f>
        <v/>
      </c>
      <c r="D2430" s="73" t="str">
        <f>IF(OR($D$3=JU!$F2430,$D$3=JU!$I2430),JU!D2430,"")</f>
        <v/>
      </c>
      <c r="E2430" s="74" t="str">
        <f>IF(OR($D$3=JU!$F2430,$D$3=JU!$I2430),JU!E2430,"")</f>
        <v/>
      </c>
      <c r="F2430" s="72">
        <f>IF($D$3=JU!F2430,JU!H2430,0)</f>
        <v>0</v>
      </c>
      <c r="G2430" s="72">
        <f>IF($D$3=JU!I2430,JU!K2430,0)</f>
        <v>0</v>
      </c>
      <c r="H2430" s="72" t="e">
        <f t="shared" si="38"/>
        <v>#REF!</v>
      </c>
    </row>
    <row r="2431" spans="2:8" hidden="1">
      <c r="B2431" s="68" t="str">
        <f>IF(OR($D$3=JU!$F2431,$D$3=JU!$I2431),JU!B2431,"")</f>
        <v/>
      </c>
      <c r="C2431" s="6" t="str">
        <f>IF(OR($D$3=JU!$F2431,$D$3=JU!$I2431),JU!C2431,"")</f>
        <v/>
      </c>
      <c r="D2431" s="73" t="str">
        <f>IF(OR($D$3=JU!$F2431,$D$3=JU!$I2431),JU!D2431,"")</f>
        <v/>
      </c>
      <c r="E2431" s="74" t="str">
        <f>IF(OR($D$3=JU!$F2431,$D$3=JU!$I2431),JU!E2431,"")</f>
        <v/>
      </c>
      <c r="F2431" s="72">
        <f>IF($D$3=JU!F2431,JU!H2431,0)</f>
        <v>0</v>
      </c>
      <c r="G2431" s="72">
        <f>IF($D$3=JU!I2431,JU!K2431,0)</f>
        <v>0</v>
      </c>
      <c r="H2431" s="72" t="e">
        <f t="shared" si="38"/>
        <v>#REF!</v>
      </c>
    </row>
    <row r="2432" spans="2:8" hidden="1">
      <c r="B2432" s="68" t="str">
        <f>IF(OR($D$3=JU!$F2432,$D$3=JU!$I2432),JU!B2432,"")</f>
        <v/>
      </c>
      <c r="C2432" s="6" t="str">
        <f>IF(OR($D$3=JU!$F2432,$D$3=JU!$I2432),JU!C2432,"")</f>
        <v/>
      </c>
      <c r="D2432" s="73" t="str">
        <f>IF(OR($D$3=JU!$F2432,$D$3=JU!$I2432),JU!D2432,"")</f>
        <v/>
      </c>
      <c r="E2432" s="74" t="str">
        <f>IF(OR($D$3=JU!$F2432,$D$3=JU!$I2432),JU!E2432,"")</f>
        <v/>
      </c>
      <c r="F2432" s="72">
        <f>IF($D$3=JU!F2432,JU!H2432,0)</f>
        <v>0</v>
      </c>
      <c r="G2432" s="72">
        <f>IF($D$3=JU!I2432,JU!K2432,0)</f>
        <v>0</v>
      </c>
      <c r="H2432" s="72" t="e">
        <f t="shared" si="38"/>
        <v>#REF!</v>
      </c>
    </row>
    <row r="2433" spans="2:8" hidden="1">
      <c r="B2433" s="68" t="str">
        <f>IF(OR($D$3=JU!$F2433,$D$3=JU!$I2433),JU!B2433,"")</f>
        <v/>
      </c>
      <c r="C2433" s="6" t="str">
        <f>IF(OR($D$3=JU!$F2433,$D$3=JU!$I2433),JU!C2433,"")</f>
        <v/>
      </c>
      <c r="D2433" s="73" t="str">
        <f>IF(OR($D$3=JU!$F2433,$D$3=JU!$I2433),JU!D2433,"")</f>
        <v/>
      </c>
      <c r="E2433" s="74" t="str">
        <f>IF(OR($D$3=JU!$F2433,$D$3=JU!$I2433),JU!E2433,"")</f>
        <v/>
      </c>
      <c r="F2433" s="72">
        <f>IF($D$3=JU!F2433,JU!H2433,0)</f>
        <v>0</v>
      </c>
      <c r="G2433" s="72">
        <f>IF($D$3=JU!I2433,JU!K2433,0)</f>
        <v>0</v>
      </c>
      <c r="H2433" s="72" t="e">
        <f t="shared" si="38"/>
        <v>#REF!</v>
      </c>
    </row>
    <row r="2434" spans="2:8" hidden="1">
      <c r="B2434" s="68" t="str">
        <f>IF(OR($D$3=JU!$F2434,$D$3=JU!$I2434),JU!B2434,"")</f>
        <v/>
      </c>
      <c r="C2434" s="6" t="str">
        <f>IF(OR($D$3=JU!$F2434,$D$3=JU!$I2434),JU!C2434,"")</f>
        <v/>
      </c>
      <c r="D2434" s="73" t="str">
        <f>IF(OR($D$3=JU!$F2434,$D$3=JU!$I2434),JU!D2434,"")</f>
        <v/>
      </c>
      <c r="E2434" s="74" t="str">
        <f>IF(OR($D$3=JU!$F2434,$D$3=JU!$I2434),JU!E2434,"")</f>
        <v/>
      </c>
      <c r="F2434" s="72">
        <f>IF($D$3=JU!F2434,JU!H2434,0)</f>
        <v>0</v>
      </c>
      <c r="G2434" s="72">
        <f>IF($D$3=JU!I2434,JU!K2434,0)</f>
        <v>0</v>
      </c>
      <c r="H2434" s="72" t="e">
        <f t="shared" si="38"/>
        <v>#REF!</v>
      </c>
    </row>
    <row r="2435" spans="2:8" hidden="1">
      <c r="B2435" s="68" t="str">
        <f>IF(OR($D$3=JU!$F2435,$D$3=JU!$I2435),JU!B2435,"")</f>
        <v/>
      </c>
      <c r="C2435" s="6" t="str">
        <f>IF(OR($D$3=JU!$F2435,$D$3=JU!$I2435),JU!C2435,"")</f>
        <v/>
      </c>
      <c r="D2435" s="73" t="str">
        <f>IF(OR($D$3=JU!$F2435,$D$3=JU!$I2435),JU!D2435,"")</f>
        <v/>
      </c>
      <c r="E2435" s="74" t="str">
        <f>IF(OR($D$3=JU!$F2435,$D$3=JU!$I2435),JU!E2435,"")</f>
        <v/>
      </c>
      <c r="F2435" s="72">
        <f>IF($D$3=JU!F2435,JU!H2435,0)</f>
        <v>0</v>
      </c>
      <c r="G2435" s="72">
        <f>IF($D$3=JU!I2435,JU!K2435,0)</f>
        <v>0</v>
      </c>
      <c r="H2435" s="72" t="e">
        <f t="shared" si="38"/>
        <v>#REF!</v>
      </c>
    </row>
    <row r="2436" spans="2:8" hidden="1">
      <c r="B2436" s="68" t="str">
        <f>IF(OR($D$3=JU!$F2436,$D$3=JU!$I2436),JU!B2436,"")</f>
        <v/>
      </c>
      <c r="C2436" s="6" t="str">
        <f>IF(OR($D$3=JU!$F2436,$D$3=JU!$I2436),JU!C2436,"")</f>
        <v/>
      </c>
      <c r="D2436" s="73" t="str">
        <f>IF(OR($D$3=JU!$F2436,$D$3=JU!$I2436),JU!D2436,"")</f>
        <v/>
      </c>
      <c r="E2436" s="74" t="str">
        <f>IF(OR($D$3=JU!$F2436,$D$3=JU!$I2436),JU!E2436,"")</f>
        <v/>
      </c>
      <c r="F2436" s="72">
        <f>IF($D$3=JU!F2436,JU!H2436,0)</f>
        <v>0</v>
      </c>
      <c r="G2436" s="72">
        <f>IF($D$3=JU!I2436,JU!K2436,0)</f>
        <v>0</v>
      </c>
      <c r="H2436" s="72" t="e">
        <f t="shared" si="38"/>
        <v>#REF!</v>
      </c>
    </row>
    <row r="2437" spans="2:8" hidden="1">
      <c r="B2437" s="68" t="str">
        <f>IF(OR($D$3=JU!$F2437,$D$3=JU!$I2437),JU!B2437,"")</f>
        <v/>
      </c>
      <c r="C2437" s="6" t="str">
        <f>IF(OR($D$3=JU!$F2437,$D$3=JU!$I2437),JU!C2437,"")</f>
        <v/>
      </c>
      <c r="D2437" s="73" t="str">
        <f>IF(OR($D$3=JU!$F2437,$D$3=JU!$I2437),JU!D2437,"")</f>
        <v/>
      </c>
      <c r="E2437" s="74" t="str">
        <f>IF(OR($D$3=JU!$F2437,$D$3=JU!$I2437),JU!E2437,"")</f>
        <v/>
      </c>
      <c r="F2437" s="72">
        <f>IF($D$3=JU!F2437,JU!H2437,0)</f>
        <v>0</v>
      </c>
      <c r="G2437" s="72">
        <f>IF($D$3=JU!I2437,JU!K2437,0)</f>
        <v>0</v>
      </c>
      <c r="H2437" s="72" t="e">
        <f t="shared" si="38"/>
        <v>#REF!</v>
      </c>
    </row>
    <row r="2438" spans="2:8" hidden="1">
      <c r="B2438" s="68" t="str">
        <f>IF(OR($D$3=JU!$F2438,$D$3=JU!$I2438),JU!B2438,"")</f>
        <v/>
      </c>
      <c r="C2438" s="6" t="str">
        <f>IF(OR($D$3=JU!$F2438,$D$3=JU!$I2438),JU!C2438,"")</f>
        <v/>
      </c>
      <c r="D2438" s="73" t="str">
        <f>IF(OR($D$3=JU!$F2438,$D$3=JU!$I2438),JU!D2438,"")</f>
        <v/>
      </c>
      <c r="E2438" s="74" t="str">
        <f>IF(OR($D$3=JU!$F2438,$D$3=JU!$I2438),JU!E2438,"")</f>
        <v/>
      </c>
      <c r="F2438" s="72">
        <f>IF($D$3=JU!F2438,JU!H2438,0)</f>
        <v>0</v>
      </c>
      <c r="G2438" s="72">
        <f>IF($D$3=JU!I2438,JU!K2438,0)</f>
        <v>0</v>
      </c>
      <c r="H2438" s="72" t="e">
        <f t="shared" si="38"/>
        <v>#REF!</v>
      </c>
    </row>
    <row r="2439" spans="2:8" hidden="1">
      <c r="B2439" s="68" t="str">
        <f>IF(OR($D$3=JU!$F2439,$D$3=JU!$I2439),JU!B2439,"")</f>
        <v/>
      </c>
      <c r="C2439" s="6" t="str">
        <f>IF(OR($D$3=JU!$F2439,$D$3=JU!$I2439),JU!C2439,"")</f>
        <v/>
      </c>
      <c r="D2439" s="73" t="str">
        <f>IF(OR($D$3=JU!$F2439,$D$3=JU!$I2439),JU!D2439,"")</f>
        <v/>
      </c>
      <c r="E2439" s="74" t="str">
        <f>IF(OR($D$3=JU!$F2439,$D$3=JU!$I2439),JU!E2439,"")</f>
        <v/>
      </c>
      <c r="F2439" s="72">
        <f>IF($D$3=JU!F2439,JU!H2439,0)</f>
        <v>0</v>
      </c>
      <c r="G2439" s="72">
        <f>IF($D$3=JU!I2439,JU!K2439,0)</f>
        <v>0</v>
      </c>
      <c r="H2439" s="72" t="e">
        <f t="shared" si="38"/>
        <v>#REF!</v>
      </c>
    </row>
    <row r="2440" spans="2:8" hidden="1">
      <c r="B2440" s="68" t="str">
        <f>IF(OR($D$3=JU!$F2440,$D$3=JU!$I2440),JU!B2440,"")</f>
        <v/>
      </c>
      <c r="C2440" s="6" t="str">
        <f>IF(OR($D$3=JU!$F2440,$D$3=JU!$I2440),JU!C2440,"")</f>
        <v/>
      </c>
      <c r="D2440" s="73" t="str">
        <f>IF(OR($D$3=JU!$F2440,$D$3=JU!$I2440),JU!D2440,"")</f>
        <v/>
      </c>
      <c r="E2440" s="74" t="str">
        <f>IF(OR($D$3=JU!$F2440,$D$3=JU!$I2440),JU!E2440,"")</f>
        <v/>
      </c>
      <c r="F2440" s="72">
        <f>IF($D$3=JU!F2440,JU!H2440,0)</f>
        <v>0</v>
      </c>
      <c r="G2440" s="72">
        <f>IF($D$3=JU!I2440,JU!K2440,0)</f>
        <v>0</v>
      </c>
      <c r="H2440" s="72" t="e">
        <f t="shared" si="38"/>
        <v>#REF!</v>
      </c>
    </row>
    <row r="2441" spans="2:8" hidden="1">
      <c r="B2441" s="68" t="str">
        <f>IF(OR($D$3=JU!$F2441,$D$3=JU!$I2441),JU!B2441,"")</f>
        <v/>
      </c>
      <c r="C2441" s="6" t="str">
        <f>IF(OR($D$3=JU!$F2441,$D$3=JU!$I2441),JU!C2441,"")</f>
        <v/>
      </c>
      <c r="D2441" s="73" t="str">
        <f>IF(OR($D$3=JU!$F2441,$D$3=JU!$I2441),JU!D2441,"")</f>
        <v/>
      </c>
      <c r="E2441" s="74" t="str">
        <f>IF(OR($D$3=JU!$F2441,$D$3=JU!$I2441),JU!E2441,"")</f>
        <v/>
      </c>
      <c r="F2441" s="72">
        <f>IF($D$3=JU!F2441,JU!H2441,0)</f>
        <v>0</v>
      </c>
      <c r="G2441" s="72">
        <f>IF($D$3=JU!I2441,JU!K2441,0)</f>
        <v>0</v>
      </c>
      <c r="H2441" s="72" t="e">
        <f t="shared" si="38"/>
        <v>#REF!</v>
      </c>
    </row>
    <row r="2442" spans="2:8" hidden="1">
      <c r="B2442" s="68" t="str">
        <f>IF(OR($D$3=JU!$F2442,$D$3=JU!$I2442),JU!B2442,"")</f>
        <v/>
      </c>
      <c r="C2442" s="6" t="str">
        <f>IF(OR($D$3=JU!$F2442,$D$3=JU!$I2442),JU!C2442,"")</f>
        <v/>
      </c>
      <c r="D2442" s="73" t="str">
        <f>IF(OR($D$3=JU!$F2442,$D$3=JU!$I2442),JU!D2442,"")</f>
        <v/>
      </c>
      <c r="E2442" s="74" t="str">
        <f>IF(OR($D$3=JU!$F2442,$D$3=JU!$I2442),JU!E2442,"")</f>
        <v/>
      </c>
      <c r="F2442" s="72">
        <f>IF($D$3=JU!F2442,JU!H2442,0)</f>
        <v>0</v>
      </c>
      <c r="G2442" s="72">
        <f>IF($D$3=JU!I2442,JU!K2442,0)</f>
        <v>0</v>
      </c>
      <c r="H2442" s="72" t="e">
        <f t="shared" si="38"/>
        <v>#REF!</v>
      </c>
    </row>
    <row r="2443" spans="2:8" hidden="1">
      <c r="B2443" s="68" t="str">
        <f>IF(OR($D$3=JU!$F2443,$D$3=JU!$I2443),JU!B2443,"")</f>
        <v/>
      </c>
      <c r="C2443" s="6" t="str">
        <f>IF(OR($D$3=JU!$F2443,$D$3=JU!$I2443),JU!C2443,"")</f>
        <v/>
      </c>
      <c r="D2443" s="73" t="str">
        <f>IF(OR($D$3=JU!$F2443,$D$3=JU!$I2443),JU!D2443,"")</f>
        <v/>
      </c>
      <c r="E2443" s="74" t="str">
        <f>IF(OR($D$3=JU!$F2443,$D$3=JU!$I2443),JU!E2443,"")</f>
        <v/>
      </c>
      <c r="F2443" s="72">
        <f>IF($D$3=JU!F2443,JU!H2443,0)</f>
        <v>0</v>
      </c>
      <c r="G2443" s="72">
        <f>IF($D$3=JU!I2443,JU!K2443,0)</f>
        <v>0</v>
      </c>
      <c r="H2443" s="72" t="e">
        <f t="shared" si="38"/>
        <v>#REF!</v>
      </c>
    </row>
    <row r="2444" spans="2:8" hidden="1">
      <c r="B2444" s="68" t="str">
        <f>IF(OR($D$3=JU!$F2444,$D$3=JU!$I2444),JU!B2444,"")</f>
        <v/>
      </c>
      <c r="C2444" s="6" t="str">
        <f>IF(OR($D$3=JU!$F2444,$D$3=JU!$I2444),JU!C2444,"")</f>
        <v/>
      </c>
      <c r="D2444" s="73" t="str">
        <f>IF(OR($D$3=JU!$F2444,$D$3=JU!$I2444),JU!D2444,"")</f>
        <v/>
      </c>
      <c r="E2444" s="74" t="str">
        <f>IF(OR($D$3=JU!$F2444,$D$3=JU!$I2444),JU!E2444,"")</f>
        <v/>
      </c>
      <c r="F2444" s="72">
        <f>IF($D$3=JU!F2444,JU!H2444,0)</f>
        <v>0</v>
      </c>
      <c r="G2444" s="72">
        <f>IF($D$3=JU!I2444,JU!K2444,0)</f>
        <v>0</v>
      </c>
      <c r="H2444" s="72" t="e">
        <f t="shared" si="38"/>
        <v>#REF!</v>
      </c>
    </row>
    <row r="2445" spans="2:8" hidden="1">
      <c r="B2445" s="68" t="str">
        <f>IF(OR($D$3=JU!$F2445,$D$3=JU!$I2445),JU!B2445,"")</f>
        <v/>
      </c>
      <c r="C2445" s="6" t="str">
        <f>IF(OR($D$3=JU!$F2445,$D$3=JU!$I2445),JU!C2445,"")</f>
        <v/>
      </c>
      <c r="D2445" s="73" t="str">
        <f>IF(OR($D$3=JU!$F2445,$D$3=JU!$I2445),JU!D2445,"")</f>
        <v/>
      </c>
      <c r="E2445" s="74" t="str">
        <f>IF(OR($D$3=JU!$F2445,$D$3=JU!$I2445),JU!E2445,"")</f>
        <v/>
      </c>
      <c r="F2445" s="72">
        <f>IF($D$3=JU!F2445,JU!H2445,0)</f>
        <v>0</v>
      </c>
      <c r="G2445" s="72">
        <f>IF($D$3=JU!I2445,JU!K2445,0)</f>
        <v>0</v>
      </c>
      <c r="H2445" s="72" t="e">
        <f t="shared" si="38"/>
        <v>#REF!</v>
      </c>
    </row>
    <row r="2446" spans="2:8" hidden="1">
      <c r="B2446" s="68" t="str">
        <f>IF(OR($D$3=JU!$F2446,$D$3=JU!$I2446),JU!B2446,"")</f>
        <v/>
      </c>
      <c r="C2446" s="6" t="str">
        <f>IF(OR($D$3=JU!$F2446,$D$3=JU!$I2446),JU!C2446,"")</f>
        <v/>
      </c>
      <c r="D2446" s="73" t="str">
        <f>IF(OR($D$3=JU!$F2446,$D$3=JU!$I2446),JU!D2446,"")</f>
        <v/>
      </c>
      <c r="E2446" s="74" t="str">
        <f>IF(OR($D$3=JU!$F2446,$D$3=JU!$I2446),JU!E2446,"")</f>
        <v/>
      </c>
      <c r="F2446" s="72">
        <f>IF($D$3=JU!F2446,JU!H2446,0)</f>
        <v>0</v>
      </c>
      <c r="G2446" s="72">
        <f>IF($D$3=JU!I2446,JU!K2446,0)</f>
        <v>0</v>
      </c>
      <c r="H2446" s="72" t="e">
        <f t="shared" ref="H2446:H2509" si="39">IF($H$7="DEBET",H2445+F2446-G2446,H2445+G2446-F2446)</f>
        <v>#REF!</v>
      </c>
    </row>
    <row r="2447" spans="2:8" hidden="1">
      <c r="B2447" s="68" t="str">
        <f>IF(OR($D$3=JU!$F2447,$D$3=JU!$I2447),JU!B2447,"")</f>
        <v/>
      </c>
      <c r="C2447" s="6" t="str">
        <f>IF(OR($D$3=JU!$F2447,$D$3=JU!$I2447),JU!C2447,"")</f>
        <v/>
      </c>
      <c r="D2447" s="73" t="str">
        <f>IF(OR($D$3=JU!$F2447,$D$3=JU!$I2447),JU!D2447,"")</f>
        <v/>
      </c>
      <c r="E2447" s="74" t="str">
        <f>IF(OR($D$3=JU!$F2447,$D$3=JU!$I2447),JU!E2447,"")</f>
        <v/>
      </c>
      <c r="F2447" s="72">
        <f>IF($D$3=JU!F2447,JU!H2447,0)</f>
        <v>0</v>
      </c>
      <c r="G2447" s="72">
        <f>IF($D$3=JU!I2447,JU!K2447,0)</f>
        <v>0</v>
      </c>
      <c r="H2447" s="72" t="e">
        <f t="shared" si="39"/>
        <v>#REF!</v>
      </c>
    </row>
    <row r="2448" spans="2:8" hidden="1">
      <c r="B2448" s="68" t="str">
        <f>IF(OR($D$3=JU!$F2448,$D$3=JU!$I2448),JU!B2448,"")</f>
        <v/>
      </c>
      <c r="C2448" s="6" t="str">
        <f>IF(OR($D$3=JU!$F2448,$D$3=JU!$I2448),JU!C2448,"")</f>
        <v/>
      </c>
      <c r="D2448" s="73" t="str">
        <f>IF(OR($D$3=JU!$F2448,$D$3=JU!$I2448),JU!D2448,"")</f>
        <v/>
      </c>
      <c r="E2448" s="74" t="str">
        <f>IF(OR($D$3=JU!$F2448,$D$3=JU!$I2448),JU!E2448,"")</f>
        <v/>
      </c>
      <c r="F2448" s="72">
        <f>IF($D$3=JU!F2448,JU!H2448,0)</f>
        <v>0</v>
      </c>
      <c r="G2448" s="72">
        <f>IF($D$3=JU!I2448,JU!K2448,0)</f>
        <v>0</v>
      </c>
      <c r="H2448" s="72" t="e">
        <f t="shared" si="39"/>
        <v>#REF!</v>
      </c>
    </row>
    <row r="2449" spans="2:8" hidden="1">
      <c r="B2449" s="68" t="str">
        <f>IF(OR($D$3=JU!$F2449,$D$3=JU!$I2449),JU!B2449,"")</f>
        <v/>
      </c>
      <c r="C2449" s="6" t="str">
        <f>IF(OR($D$3=JU!$F2449,$D$3=JU!$I2449),JU!C2449,"")</f>
        <v/>
      </c>
      <c r="D2449" s="73" t="str">
        <f>IF(OR($D$3=JU!$F2449,$D$3=JU!$I2449),JU!D2449,"")</f>
        <v/>
      </c>
      <c r="E2449" s="74" t="str">
        <f>IF(OR($D$3=JU!$F2449,$D$3=JU!$I2449),JU!E2449,"")</f>
        <v/>
      </c>
      <c r="F2449" s="72">
        <f>IF($D$3=JU!F2449,JU!H2449,0)</f>
        <v>0</v>
      </c>
      <c r="G2449" s="72">
        <f>IF($D$3=JU!I2449,JU!K2449,0)</f>
        <v>0</v>
      </c>
      <c r="H2449" s="72" t="e">
        <f t="shared" si="39"/>
        <v>#REF!</v>
      </c>
    </row>
    <row r="2450" spans="2:8" hidden="1">
      <c r="B2450" s="68" t="str">
        <f>IF(OR($D$3=JU!$F2450,$D$3=JU!$I2450),JU!B2450,"")</f>
        <v/>
      </c>
      <c r="C2450" s="6" t="str">
        <f>IF(OR($D$3=JU!$F2450,$D$3=JU!$I2450),JU!C2450,"")</f>
        <v/>
      </c>
      <c r="D2450" s="73" t="str">
        <f>IF(OR($D$3=JU!$F2450,$D$3=JU!$I2450),JU!D2450,"")</f>
        <v/>
      </c>
      <c r="E2450" s="74" t="str">
        <f>IF(OR($D$3=JU!$F2450,$D$3=JU!$I2450),JU!E2450,"")</f>
        <v/>
      </c>
      <c r="F2450" s="72">
        <f>IF($D$3=JU!F2450,JU!H2450,0)</f>
        <v>0</v>
      </c>
      <c r="G2450" s="72">
        <f>IF($D$3=JU!I2450,JU!K2450,0)</f>
        <v>0</v>
      </c>
      <c r="H2450" s="72" t="e">
        <f t="shared" si="39"/>
        <v>#REF!</v>
      </c>
    </row>
    <row r="2451" spans="2:8" hidden="1">
      <c r="B2451" s="68" t="str">
        <f>IF(OR($D$3=JU!$F2451,$D$3=JU!$I2451),JU!B2451,"")</f>
        <v/>
      </c>
      <c r="C2451" s="6" t="str">
        <f>IF(OR($D$3=JU!$F2451,$D$3=JU!$I2451),JU!C2451,"")</f>
        <v/>
      </c>
      <c r="D2451" s="73" t="str">
        <f>IF(OR($D$3=JU!$F2451,$D$3=JU!$I2451),JU!D2451,"")</f>
        <v/>
      </c>
      <c r="E2451" s="74" t="str">
        <f>IF(OR($D$3=JU!$F2451,$D$3=JU!$I2451),JU!E2451,"")</f>
        <v/>
      </c>
      <c r="F2451" s="72">
        <f>IF($D$3=JU!F2451,JU!H2451,0)</f>
        <v>0</v>
      </c>
      <c r="G2451" s="72">
        <f>IF($D$3=JU!I2451,JU!K2451,0)</f>
        <v>0</v>
      </c>
      <c r="H2451" s="72" t="e">
        <f t="shared" si="39"/>
        <v>#REF!</v>
      </c>
    </row>
    <row r="2452" spans="2:8" hidden="1">
      <c r="B2452" s="68" t="str">
        <f>IF(OR($D$3=JU!$F2452,$D$3=JU!$I2452),JU!B2452,"")</f>
        <v/>
      </c>
      <c r="C2452" s="6" t="str">
        <f>IF(OR($D$3=JU!$F2452,$D$3=JU!$I2452),JU!C2452,"")</f>
        <v/>
      </c>
      <c r="D2452" s="73" t="str">
        <f>IF(OR($D$3=JU!$F2452,$D$3=JU!$I2452),JU!D2452,"")</f>
        <v/>
      </c>
      <c r="E2452" s="74" t="str">
        <f>IF(OR($D$3=JU!$F2452,$D$3=JU!$I2452),JU!E2452,"")</f>
        <v/>
      </c>
      <c r="F2452" s="72">
        <f>IF($D$3=JU!F2452,JU!H2452,0)</f>
        <v>0</v>
      </c>
      <c r="G2452" s="72">
        <f>IF($D$3=JU!I2452,JU!K2452,0)</f>
        <v>0</v>
      </c>
      <c r="H2452" s="72" t="e">
        <f t="shared" si="39"/>
        <v>#REF!</v>
      </c>
    </row>
    <row r="2453" spans="2:8" hidden="1">
      <c r="B2453" s="68" t="str">
        <f>IF(OR($D$3=JU!$F2453,$D$3=JU!$I2453),JU!B2453,"")</f>
        <v/>
      </c>
      <c r="C2453" s="6" t="str">
        <f>IF(OR($D$3=JU!$F2453,$D$3=JU!$I2453),JU!C2453,"")</f>
        <v/>
      </c>
      <c r="D2453" s="73" t="str">
        <f>IF(OR($D$3=JU!$F2453,$D$3=JU!$I2453),JU!D2453,"")</f>
        <v/>
      </c>
      <c r="E2453" s="74" t="str">
        <f>IF(OR($D$3=JU!$F2453,$D$3=JU!$I2453),JU!E2453,"")</f>
        <v/>
      </c>
      <c r="F2453" s="72">
        <f>IF($D$3=JU!F2453,JU!H2453,0)</f>
        <v>0</v>
      </c>
      <c r="G2453" s="72">
        <f>IF($D$3=JU!I2453,JU!K2453,0)</f>
        <v>0</v>
      </c>
      <c r="H2453" s="72" t="e">
        <f t="shared" si="39"/>
        <v>#REF!</v>
      </c>
    </row>
    <row r="2454" spans="2:8" hidden="1">
      <c r="B2454" s="68" t="str">
        <f>IF(OR($D$3=JU!$F2454,$D$3=JU!$I2454),JU!B2454,"")</f>
        <v/>
      </c>
      <c r="C2454" s="6" t="str">
        <f>IF(OR($D$3=JU!$F2454,$D$3=JU!$I2454),JU!C2454,"")</f>
        <v/>
      </c>
      <c r="D2454" s="73" t="str">
        <f>IF(OR($D$3=JU!$F2454,$D$3=JU!$I2454),JU!D2454,"")</f>
        <v/>
      </c>
      <c r="E2454" s="74" t="str">
        <f>IF(OR($D$3=JU!$F2454,$D$3=JU!$I2454),JU!E2454,"")</f>
        <v/>
      </c>
      <c r="F2454" s="72">
        <f>IF($D$3=JU!F2454,JU!H2454,0)</f>
        <v>0</v>
      </c>
      <c r="G2454" s="72">
        <f>IF($D$3=JU!I2454,JU!K2454,0)</f>
        <v>0</v>
      </c>
      <c r="H2454" s="72" t="e">
        <f t="shared" si="39"/>
        <v>#REF!</v>
      </c>
    </row>
    <row r="2455" spans="2:8" hidden="1">
      <c r="B2455" s="68" t="str">
        <f>IF(OR($D$3=JU!$F2455,$D$3=JU!$I2455),JU!B2455,"")</f>
        <v/>
      </c>
      <c r="C2455" s="6" t="str">
        <f>IF(OR($D$3=JU!$F2455,$D$3=JU!$I2455),JU!C2455,"")</f>
        <v/>
      </c>
      <c r="D2455" s="73" t="str">
        <f>IF(OR($D$3=JU!$F2455,$D$3=JU!$I2455),JU!D2455,"")</f>
        <v/>
      </c>
      <c r="E2455" s="74" t="str">
        <f>IF(OR($D$3=JU!$F2455,$D$3=JU!$I2455),JU!E2455,"")</f>
        <v/>
      </c>
      <c r="F2455" s="72">
        <f>IF($D$3=JU!F2455,JU!H2455,0)</f>
        <v>0</v>
      </c>
      <c r="G2455" s="72">
        <f>IF($D$3=JU!I2455,JU!K2455,0)</f>
        <v>0</v>
      </c>
      <c r="H2455" s="72" t="e">
        <f t="shared" si="39"/>
        <v>#REF!</v>
      </c>
    </row>
    <row r="2456" spans="2:8" hidden="1">
      <c r="B2456" s="68" t="str">
        <f>IF(OR($D$3=JU!$F2456,$D$3=JU!$I2456),JU!B2456,"")</f>
        <v/>
      </c>
      <c r="C2456" s="6" t="str">
        <f>IF(OR($D$3=JU!$F2456,$D$3=JU!$I2456),JU!C2456,"")</f>
        <v/>
      </c>
      <c r="D2456" s="73" t="str">
        <f>IF(OR($D$3=JU!$F2456,$D$3=JU!$I2456),JU!D2456,"")</f>
        <v/>
      </c>
      <c r="E2456" s="74" t="str">
        <f>IF(OR($D$3=JU!$F2456,$D$3=JU!$I2456),JU!E2456,"")</f>
        <v/>
      </c>
      <c r="F2456" s="72">
        <f>IF($D$3=JU!F2456,JU!H2456,0)</f>
        <v>0</v>
      </c>
      <c r="G2456" s="72">
        <f>IF($D$3=JU!I2456,JU!K2456,0)</f>
        <v>0</v>
      </c>
      <c r="H2456" s="72" t="e">
        <f t="shared" si="39"/>
        <v>#REF!</v>
      </c>
    </row>
    <row r="2457" spans="2:8" hidden="1">
      <c r="B2457" s="68" t="str">
        <f>IF(OR($D$3=JU!$F2457,$D$3=JU!$I2457),JU!B2457,"")</f>
        <v/>
      </c>
      <c r="C2457" s="6" t="str">
        <f>IF(OR($D$3=JU!$F2457,$D$3=JU!$I2457),JU!C2457,"")</f>
        <v/>
      </c>
      <c r="D2457" s="73" t="str">
        <f>IF(OR($D$3=JU!$F2457,$D$3=JU!$I2457),JU!D2457,"")</f>
        <v/>
      </c>
      <c r="E2457" s="74" t="str">
        <f>IF(OR($D$3=JU!$F2457,$D$3=JU!$I2457),JU!E2457,"")</f>
        <v/>
      </c>
      <c r="F2457" s="72">
        <f>IF($D$3=JU!F2457,JU!H2457,0)</f>
        <v>0</v>
      </c>
      <c r="G2457" s="72">
        <f>IF($D$3=JU!I2457,JU!K2457,0)</f>
        <v>0</v>
      </c>
      <c r="H2457" s="72" t="e">
        <f t="shared" si="39"/>
        <v>#REF!</v>
      </c>
    </row>
    <row r="2458" spans="2:8" hidden="1">
      <c r="B2458" s="68" t="str">
        <f>IF(OR($D$3=JU!$F2458,$D$3=JU!$I2458),JU!B2458,"")</f>
        <v/>
      </c>
      <c r="C2458" s="6" t="str">
        <f>IF(OR($D$3=JU!$F2458,$D$3=JU!$I2458),JU!C2458,"")</f>
        <v/>
      </c>
      <c r="D2458" s="73" t="str">
        <f>IF(OR($D$3=JU!$F2458,$D$3=JU!$I2458),JU!D2458,"")</f>
        <v/>
      </c>
      <c r="E2458" s="74" t="str">
        <f>IF(OR($D$3=JU!$F2458,$D$3=JU!$I2458),JU!E2458,"")</f>
        <v/>
      </c>
      <c r="F2458" s="72">
        <f>IF($D$3=JU!F2458,JU!H2458,0)</f>
        <v>0</v>
      </c>
      <c r="G2458" s="72">
        <f>IF($D$3=JU!I2458,JU!K2458,0)</f>
        <v>0</v>
      </c>
      <c r="H2458" s="72" t="e">
        <f t="shared" si="39"/>
        <v>#REF!</v>
      </c>
    </row>
    <row r="2459" spans="2:8" hidden="1">
      <c r="B2459" s="68" t="str">
        <f>IF(OR($D$3=JU!$F2459,$D$3=JU!$I2459),JU!B2459,"")</f>
        <v/>
      </c>
      <c r="C2459" s="6" t="str">
        <f>IF(OR($D$3=JU!$F2459,$D$3=JU!$I2459),JU!C2459,"")</f>
        <v/>
      </c>
      <c r="D2459" s="73" t="str">
        <f>IF(OR($D$3=JU!$F2459,$D$3=JU!$I2459),JU!D2459,"")</f>
        <v/>
      </c>
      <c r="E2459" s="74" t="str">
        <f>IF(OR($D$3=JU!$F2459,$D$3=JU!$I2459),JU!E2459,"")</f>
        <v/>
      </c>
      <c r="F2459" s="72">
        <f>IF($D$3=JU!F2459,JU!H2459,0)</f>
        <v>0</v>
      </c>
      <c r="G2459" s="72">
        <f>IF($D$3=JU!I2459,JU!K2459,0)</f>
        <v>0</v>
      </c>
      <c r="H2459" s="72" t="e">
        <f t="shared" si="39"/>
        <v>#REF!</v>
      </c>
    </row>
    <row r="2460" spans="2:8" hidden="1">
      <c r="B2460" s="68" t="str">
        <f>IF(OR($D$3=JU!$F2460,$D$3=JU!$I2460),JU!B2460,"")</f>
        <v/>
      </c>
      <c r="C2460" s="6" t="str">
        <f>IF(OR($D$3=JU!$F2460,$D$3=JU!$I2460),JU!C2460,"")</f>
        <v/>
      </c>
      <c r="D2460" s="73" t="str">
        <f>IF(OR($D$3=JU!$F2460,$D$3=JU!$I2460),JU!D2460,"")</f>
        <v/>
      </c>
      <c r="E2460" s="74" t="str">
        <f>IF(OR($D$3=JU!$F2460,$D$3=JU!$I2460),JU!E2460,"")</f>
        <v/>
      </c>
      <c r="F2460" s="72">
        <f>IF($D$3=JU!F2460,JU!H2460,0)</f>
        <v>0</v>
      </c>
      <c r="G2460" s="72">
        <f>IF($D$3=JU!I2460,JU!K2460,0)</f>
        <v>0</v>
      </c>
      <c r="H2460" s="72" t="e">
        <f t="shared" si="39"/>
        <v>#REF!</v>
      </c>
    </row>
    <row r="2461" spans="2:8" hidden="1">
      <c r="B2461" s="68" t="str">
        <f>IF(OR($D$3=JU!$F2461,$D$3=JU!$I2461),JU!B2461,"")</f>
        <v/>
      </c>
      <c r="C2461" s="6" t="str">
        <f>IF(OR($D$3=JU!$F2461,$D$3=JU!$I2461),JU!C2461,"")</f>
        <v/>
      </c>
      <c r="D2461" s="73" t="str">
        <f>IF(OR($D$3=JU!$F2461,$D$3=JU!$I2461),JU!D2461,"")</f>
        <v/>
      </c>
      <c r="E2461" s="74" t="str">
        <f>IF(OR($D$3=JU!$F2461,$D$3=JU!$I2461),JU!E2461,"")</f>
        <v/>
      </c>
      <c r="F2461" s="72">
        <f>IF($D$3=JU!F2461,JU!H2461,0)</f>
        <v>0</v>
      </c>
      <c r="G2461" s="72">
        <f>IF($D$3=JU!I2461,JU!K2461,0)</f>
        <v>0</v>
      </c>
      <c r="H2461" s="72" t="e">
        <f t="shared" si="39"/>
        <v>#REF!</v>
      </c>
    </row>
    <row r="2462" spans="2:8" hidden="1">
      <c r="B2462" s="68" t="str">
        <f>IF(OR($D$3=JU!$F2462,$D$3=JU!$I2462),JU!B2462,"")</f>
        <v/>
      </c>
      <c r="C2462" s="6" t="str">
        <f>IF(OR($D$3=JU!$F2462,$D$3=JU!$I2462),JU!C2462,"")</f>
        <v/>
      </c>
      <c r="D2462" s="73" t="str">
        <f>IF(OR($D$3=JU!$F2462,$D$3=JU!$I2462),JU!D2462,"")</f>
        <v/>
      </c>
      <c r="E2462" s="74" t="str">
        <f>IF(OR($D$3=JU!$F2462,$D$3=JU!$I2462),JU!E2462,"")</f>
        <v/>
      </c>
      <c r="F2462" s="72">
        <f>IF($D$3=JU!F2462,JU!H2462,0)</f>
        <v>0</v>
      </c>
      <c r="G2462" s="72">
        <f>IF($D$3=JU!I2462,JU!K2462,0)</f>
        <v>0</v>
      </c>
      <c r="H2462" s="72" t="e">
        <f t="shared" si="39"/>
        <v>#REF!</v>
      </c>
    </row>
    <row r="2463" spans="2:8" hidden="1">
      <c r="B2463" s="68" t="str">
        <f>IF(OR($D$3=JU!$F2463,$D$3=JU!$I2463),JU!B2463,"")</f>
        <v/>
      </c>
      <c r="C2463" s="6" t="str">
        <f>IF(OR($D$3=JU!$F2463,$D$3=JU!$I2463),JU!C2463,"")</f>
        <v/>
      </c>
      <c r="D2463" s="73" t="str">
        <f>IF(OR($D$3=JU!$F2463,$D$3=JU!$I2463),JU!D2463,"")</f>
        <v/>
      </c>
      <c r="E2463" s="74" t="str">
        <f>IF(OR($D$3=JU!$F2463,$D$3=JU!$I2463),JU!E2463,"")</f>
        <v/>
      </c>
      <c r="F2463" s="72">
        <f>IF($D$3=JU!F2463,JU!H2463,0)</f>
        <v>0</v>
      </c>
      <c r="G2463" s="72">
        <f>IF($D$3=JU!I2463,JU!K2463,0)</f>
        <v>0</v>
      </c>
      <c r="H2463" s="72" t="e">
        <f t="shared" si="39"/>
        <v>#REF!</v>
      </c>
    </row>
    <row r="2464" spans="2:8" hidden="1">
      <c r="B2464" s="68" t="str">
        <f>IF(OR($D$3=JU!$F2464,$D$3=JU!$I2464),JU!B2464,"")</f>
        <v/>
      </c>
      <c r="C2464" s="6" t="str">
        <f>IF(OR($D$3=JU!$F2464,$D$3=JU!$I2464),JU!C2464,"")</f>
        <v/>
      </c>
      <c r="D2464" s="73" t="str">
        <f>IF(OR($D$3=JU!$F2464,$D$3=JU!$I2464),JU!D2464,"")</f>
        <v/>
      </c>
      <c r="E2464" s="74" t="str">
        <f>IF(OR($D$3=JU!$F2464,$D$3=JU!$I2464),JU!E2464,"")</f>
        <v/>
      </c>
      <c r="F2464" s="72">
        <f>IF($D$3=JU!F2464,JU!H2464,0)</f>
        <v>0</v>
      </c>
      <c r="G2464" s="72">
        <f>IF($D$3=JU!I2464,JU!K2464,0)</f>
        <v>0</v>
      </c>
      <c r="H2464" s="72" t="e">
        <f t="shared" si="39"/>
        <v>#REF!</v>
      </c>
    </row>
    <row r="2465" spans="2:8" hidden="1">
      <c r="B2465" s="68" t="str">
        <f>IF(OR($D$3=JU!$F2465,$D$3=JU!$I2465),JU!B2465,"")</f>
        <v/>
      </c>
      <c r="C2465" s="6" t="str">
        <f>IF(OR($D$3=JU!$F2465,$D$3=JU!$I2465),JU!C2465,"")</f>
        <v/>
      </c>
      <c r="D2465" s="73" t="str">
        <f>IF(OR($D$3=JU!$F2465,$D$3=JU!$I2465),JU!D2465,"")</f>
        <v/>
      </c>
      <c r="E2465" s="74" t="str">
        <f>IF(OR($D$3=JU!$F2465,$D$3=JU!$I2465),JU!E2465,"")</f>
        <v/>
      </c>
      <c r="F2465" s="72">
        <f>IF($D$3=JU!F2465,JU!H2465,0)</f>
        <v>0</v>
      </c>
      <c r="G2465" s="72">
        <f>IF($D$3=JU!I2465,JU!K2465,0)</f>
        <v>0</v>
      </c>
      <c r="H2465" s="72" t="e">
        <f t="shared" si="39"/>
        <v>#REF!</v>
      </c>
    </row>
    <row r="2466" spans="2:8" hidden="1">
      <c r="B2466" s="68" t="str">
        <f>IF(OR($D$3=JU!$F2466,$D$3=JU!$I2466),JU!B2466,"")</f>
        <v/>
      </c>
      <c r="C2466" s="6" t="str">
        <f>IF(OR($D$3=JU!$F2466,$D$3=JU!$I2466),JU!C2466,"")</f>
        <v/>
      </c>
      <c r="D2466" s="73" t="str">
        <f>IF(OR($D$3=JU!$F2466,$D$3=JU!$I2466),JU!D2466,"")</f>
        <v/>
      </c>
      <c r="E2466" s="74" t="str">
        <f>IF(OR($D$3=JU!$F2466,$D$3=JU!$I2466),JU!E2466,"")</f>
        <v/>
      </c>
      <c r="F2466" s="72">
        <f>IF($D$3=JU!F2466,JU!H2466,0)</f>
        <v>0</v>
      </c>
      <c r="G2466" s="72">
        <f>IF($D$3=JU!I2466,JU!K2466,0)</f>
        <v>0</v>
      </c>
      <c r="H2466" s="72" t="e">
        <f t="shared" si="39"/>
        <v>#REF!</v>
      </c>
    </row>
    <row r="2467" spans="2:8" hidden="1">
      <c r="B2467" s="68" t="str">
        <f>IF(OR($D$3=JU!$F2467,$D$3=JU!$I2467),JU!B2467,"")</f>
        <v/>
      </c>
      <c r="C2467" s="6" t="str">
        <f>IF(OR($D$3=JU!$F2467,$D$3=JU!$I2467),JU!C2467,"")</f>
        <v/>
      </c>
      <c r="D2467" s="73" t="str">
        <f>IF(OR($D$3=JU!$F2467,$D$3=JU!$I2467),JU!D2467,"")</f>
        <v/>
      </c>
      <c r="E2467" s="74" t="str">
        <f>IF(OR($D$3=JU!$F2467,$D$3=JU!$I2467),JU!E2467,"")</f>
        <v/>
      </c>
      <c r="F2467" s="72">
        <f>IF($D$3=JU!F2467,JU!H2467,0)</f>
        <v>0</v>
      </c>
      <c r="G2467" s="72">
        <f>IF($D$3=JU!I2467,JU!K2467,0)</f>
        <v>0</v>
      </c>
      <c r="H2467" s="72" t="e">
        <f t="shared" si="39"/>
        <v>#REF!</v>
      </c>
    </row>
    <row r="2468" spans="2:8" hidden="1">
      <c r="B2468" s="68" t="str">
        <f>IF(OR($D$3=JU!$F2468,$D$3=JU!$I2468),JU!B2468,"")</f>
        <v/>
      </c>
      <c r="C2468" s="6" t="str">
        <f>IF(OR($D$3=JU!$F2468,$D$3=JU!$I2468),JU!C2468,"")</f>
        <v/>
      </c>
      <c r="D2468" s="73" t="str">
        <f>IF(OR($D$3=JU!$F2468,$D$3=JU!$I2468),JU!D2468,"")</f>
        <v/>
      </c>
      <c r="E2468" s="74" t="str">
        <f>IF(OR($D$3=JU!$F2468,$D$3=JU!$I2468),JU!E2468,"")</f>
        <v/>
      </c>
      <c r="F2468" s="72">
        <f>IF($D$3=JU!F2468,JU!H2468,0)</f>
        <v>0</v>
      </c>
      <c r="G2468" s="72">
        <f>IF($D$3=JU!I2468,JU!K2468,0)</f>
        <v>0</v>
      </c>
      <c r="H2468" s="72" t="e">
        <f t="shared" si="39"/>
        <v>#REF!</v>
      </c>
    </row>
    <row r="2469" spans="2:8" hidden="1">
      <c r="B2469" s="68" t="str">
        <f>IF(OR($D$3=JU!$F2469,$D$3=JU!$I2469),JU!B2469,"")</f>
        <v/>
      </c>
      <c r="C2469" s="6" t="str">
        <f>IF(OR($D$3=JU!$F2469,$D$3=JU!$I2469),JU!C2469,"")</f>
        <v/>
      </c>
      <c r="D2469" s="73" t="str">
        <f>IF(OR($D$3=JU!$F2469,$D$3=JU!$I2469),JU!D2469,"")</f>
        <v/>
      </c>
      <c r="E2469" s="74" t="str">
        <f>IF(OR($D$3=JU!$F2469,$D$3=JU!$I2469),JU!E2469,"")</f>
        <v/>
      </c>
      <c r="F2469" s="72">
        <f>IF($D$3=JU!F2469,JU!H2469,0)</f>
        <v>0</v>
      </c>
      <c r="G2469" s="72">
        <f>IF($D$3=JU!I2469,JU!K2469,0)</f>
        <v>0</v>
      </c>
      <c r="H2469" s="72" t="e">
        <f t="shared" si="39"/>
        <v>#REF!</v>
      </c>
    </row>
    <row r="2470" spans="2:8" hidden="1">
      <c r="B2470" s="68" t="str">
        <f>IF(OR($D$3=JU!$F2470,$D$3=JU!$I2470),JU!B2470,"")</f>
        <v/>
      </c>
      <c r="C2470" s="6" t="str">
        <f>IF(OR($D$3=JU!$F2470,$D$3=JU!$I2470),JU!C2470,"")</f>
        <v/>
      </c>
      <c r="D2470" s="73" t="str">
        <f>IF(OR($D$3=JU!$F2470,$D$3=JU!$I2470),JU!D2470,"")</f>
        <v/>
      </c>
      <c r="E2470" s="74" t="str">
        <f>IF(OR($D$3=JU!$F2470,$D$3=JU!$I2470),JU!E2470,"")</f>
        <v/>
      </c>
      <c r="F2470" s="72">
        <f>IF($D$3=JU!F2470,JU!H2470,0)</f>
        <v>0</v>
      </c>
      <c r="G2470" s="72">
        <f>IF($D$3=JU!I2470,JU!K2470,0)</f>
        <v>0</v>
      </c>
      <c r="H2470" s="72" t="e">
        <f t="shared" si="39"/>
        <v>#REF!</v>
      </c>
    </row>
    <row r="2471" spans="2:8" hidden="1">
      <c r="B2471" s="68" t="str">
        <f>IF(OR($D$3=JU!$F2471,$D$3=JU!$I2471),JU!B2471,"")</f>
        <v/>
      </c>
      <c r="C2471" s="6" t="str">
        <f>IF(OR($D$3=JU!$F2471,$D$3=JU!$I2471),JU!C2471,"")</f>
        <v/>
      </c>
      <c r="D2471" s="73" t="str">
        <f>IF(OR($D$3=JU!$F2471,$D$3=JU!$I2471),JU!D2471,"")</f>
        <v/>
      </c>
      <c r="E2471" s="74" t="str">
        <f>IF(OR($D$3=JU!$F2471,$D$3=JU!$I2471),JU!E2471,"")</f>
        <v/>
      </c>
      <c r="F2471" s="72">
        <f>IF($D$3=JU!F2471,JU!H2471,0)</f>
        <v>0</v>
      </c>
      <c r="G2471" s="72">
        <f>IF($D$3=JU!I2471,JU!K2471,0)</f>
        <v>0</v>
      </c>
      <c r="H2471" s="72" t="e">
        <f t="shared" si="39"/>
        <v>#REF!</v>
      </c>
    </row>
    <row r="2472" spans="2:8" hidden="1">
      <c r="B2472" s="68" t="str">
        <f>IF(OR($D$3=JU!$F2472,$D$3=JU!$I2472),JU!B2472,"")</f>
        <v/>
      </c>
      <c r="C2472" s="6" t="str">
        <f>IF(OR($D$3=JU!$F2472,$D$3=JU!$I2472),JU!C2472,"")</f>
        <v/>
      </c>
      <c r="D2472" s="73" t="str">
        <f>IF(OR($D$3=JU!$F2472,$D$3=JU!$I2472),JU!D2472,"")</f>
        <v/>
      </c>
      <c r="E2472" s="74" t="str">
        <f>IF(OR($D$3=JU!$F2472,$D$3=JU!$I2472),JU!E2472,"")</f>
        <v/>
      </c>
      <c r="F2472" s="72">
        <f>IF($D$3=JU!F2472,JU!H2472,0)</f>
        <v>0</v>
      </c>
      <c r="G2472" s="72">
        <f>IF($D$3=JU!I2472,JU!K2472,0)</f>
        <v>0</v>
      </c>
      <c r="H2472" s="72" t="e">
        <f t="shared" si="39"/>
        <v>#REF!</v>
      </c>
    </row>
    <row r="2473" spans="2:8" hidden="1">
      <c r="B2473" s="68" t="str">
        <f>IF(OR($D$3=JU!$F2473,$D$3=JU!$I2473),JU!B2473,"")</f>
        <v/>
      </c>
      <c r="C2473" s="6" t="str">
        <f>IF(OR($D$3=JU!$F2473,$D$3=JU!$I2473),JU!C2473,"")</f>
        <v/>
      </c>
      <c r="D2473" s="73" t="str">
        <f>IF(OR($D$3=JU!$F2473,$D$3=JU!$I2473),JU!D2473,"")</f>
        <v/>
      </c>
      <c r="E2473" s="74" t="str">
        <f>IF(OR($D$3=JU!$F2473,$D$3=JU!$I2473),JU!E2473,"")</f>
        <v/>
      </c>
      <c r="F2473" s="72">
        <f>IF($D$3=JU!F2473,JU!H2473,0)</f>
        <v>0</v>
      </c>
      <c r="G2473" s="72">
        <f>IF($D$3=JU!I2473,JU!K2473,0)</f>
        <v>0</v>
      </c>
      <c r="H2473" s="72" t="e">
        <f t="shared" si="39"/>
        <v>#REF!</v>
      </c>
    </row>
    <row r="2474" spans="2:8" hidden="1">
      <c r="B2474" s="68" t="str">
        <f>IF(OR($D$3=JU!$F2474,$D$3=JU!$I2474),JU!B2474,"")</f>
        <v/>
      </c>
      <c r="C2474" s="6" t="str">
        <f>IF(OR($D$3=JU!$F2474,$D$3=JU!$I2474),JU!C2474,"")</f>
        <v/>
      </c>
      <c r="D2474" s="73" t="str">
        <f>IF(OR($D$3=JU!$F2474,$D$3=JU!$I2474),JU!D2474,"")</f>
        <v/>
      </c>
      <c r="E2474" s="74" t="str">
        <f>IF(OR($D$3=JU!$F2474,$D$3=JU!$I2474),JU!E2474,"")</f>
        <v/>
      </c>
      <c r="F2474" s="72">
        <f>IF($D$3=JU!F2474,JU!H2474,0)</f>
        <v>0</v>
      </c>
      <c r="G2474" s="72">
        <f>IF($D$3=JU!I2474,JU!K2474,0)</f>
        <v>0</v>
      </c>
      <c r="H2474" s="72" t="e">
        <f t="shared" si="39"/>
        <v>#REF!</v>
      </c>
    </row>
    <row r="2475" spans="2:8" hidden="1">
      <c r="B2475" s="68" t="str">
        <f>IF(OR($D$3=JU!$F2475,$D$3=JU!$I2475),JU!B2475,"")</f>
        <v/>
      </c>
      <c r="C2475" s="6" t="str">
        <f>IF(OR($D$3=JU!$F2475,$D$3=JU!$I2475),JU!C2475,"")</f>
        <v/>
      </c>
      <c r="D2475" s="73" t="str">
        <f>IF(OR($D$3=JU!$F2475,$D$3=JU!$I2475),JU!D2475,"")</f>
        <v/>
      </c>
      <c r="E2475" s="74" t="str">
        <f>IF(OR($D$3=JU!$F2475,$D$3=JU!$I2475),JU!E2475,"")</f>
        <v/>
      </c>
      <c r="F2475" s="72">
        <f>IF($D$3=JU!F2475,JU!H2475,0)</f>
        <v>0</v>
      </c>
      <c r="G2475" s="72">
        <f>IF($D$3=JU!I2475,JU!K2475,0)</f>
        <v>0</v>
      </c>
      <c r="H2475" s="72" t="e">
        <f t="shared" si="39"/>
        <v>#REF!</v>
      </c>
    </row>
    <row r="2476" spans="2:8" hidden="1">
      <c r="B2476" s="68" t="str">
        <f>IF(OR($D$3=JU!$F2476,$D$3=JU!$I2476),JU!B2476,"")</f>
        <v/>
      </c>
      <c r="C2476" s="6" t="str">
        <f>IF(OR($D$3=JU!$F2476,$D$3=JU!$I2476),JU!C2476,"")</f>
        <v/>
      </c>
      <c r="D2476" s="73" t="str">
        <f>IF(OR($D$3=JU!$F2476,$D$3=JU!$I2476),JU!D2476,"")</f>
        <v/>
      </c>
      <c r="E2476" s="74" t="str">
        <f>IF(OR($D$3=JU!$F2476,$D$3=JU!$I2476),JU!E2476,"")</f>
        <v/>
      </c>
      <c r="F2476" s="72">
        <f>IF($D$3=JU!F2476,JU!H2476,0)</f>
        <v>0</v>
      </c>
      <c r="G2476" s="72">
        <f>IF($D$3=JU!I2476,JU!K2476,0)</f>
        <v>0</v>
      </c>
      <c r="H2476" s="72" t="e">
        <f t="shared" si="39"/>
        <v>#REF!</v>
      </c>
    </row>
    <row r="2477" spans="2:8" hidden="1">
      <c r="B2477" s="68" t="str">
        <f>IF(OR($D$3=JU!$F2477,$D$3=JU!$I2477),JU!B2477,"")</f>
        <v/>
      </c>
      <c r="C2477" s="6" t="str">
        <f>IF(OR($D$3=JU!$F2477,$D$3=JU!$I2477),JU!C2477,"")</f>
        <v/>
      </c>
      <c r="D2477" s="73" t="str">
        <f>IF(OR($D$3=JU!$F2477,$D$3=JU!$I2477),JU!D2477,"")</f>
        <v/>
      </c>
      <c r="E2477" s="74" t="str">
        <f>IF(OR($D$3=JU!$F2477,$D$3=JU!$I2477),JU!E2477,"")</f>
        <v/>
      </c>
      <c r="F2477" s="72">
        <f>IF($D$3=JU!F2477,JU!H2477,0)</f>
        <v>0</v>
      </c>
      <c r="G2477" s="72">
        <f>IF($D$3=JU!I2477,JU!K2477,0)</f>
        <v>0</v>
      </c>
      <c r="H2477" s="72" t="e">
        <f t="shared" si="39"/>
        <v>#REF!</v>
      </c>
    </row>
    <row r="2478" spans="2:8" hidden="1">
      <c r="B2478" s="68" t="str">
        <f>IF(OR($D$3=JU!$F2478,$D$3=JU!$I2478),JU!B2478,"")</f>
        <v/>
      </c>
      <c r="C2478" s="6" t="str">
        <f>IF(OR($D$3=JU!$F2478,$D$3=JU!$I2478),JU!C2478,"")</f>
        <v/>
      </c>
      <c r="D2478" s="73" t="str">
        <f>IF(OR($D$3=JU!$F2478,$D$3=JU!$I2478),JU!D2478,"")</f>
        <v/>
      </c>
      <c r="E2478" s="74" t="str">
        <f>IF(OR($D$3=JU!$F2478,$D$3=JU!$I2478),JU!E2478,"")</f>
        <v/>
      </c>
      <c r="F2478" s="72">
        <f>IF($D$3=JU!F2478,JU!H2478,0)</f>
        <v>0</v>
      </c>
      <c r="G2478" s="72">
        <f>IF($D$3=JU!I2478,JU!K2478,0)</f>
        <v>0</v>
      </c>
      <c r="H2478" s="72" t="e">
        <f t="shared" si="39"/>
        <v>#REF!</v>
      </c>
    </row>
    <row r="2479" spans="2:8" hidden="1">
      <c r="B2479" s="68" t="str">
        <f>IF(OR($D$3=JU!$F2479,$D$3=JU!$I2479),JU!B2479,"")</f>
        <v/>
      </c>
      <c r="C2479" s="6" t="str">
        <f>IF(OR($D$3=JU!$F2479,$D$3=JU!$I2479),JU!C2479,"")</f>
        <v/>
      </c>
      <c r="D2479" s="73" t="str">
        <f>IF(OR($D$3=JU!$F2479,$D$3=JU!$I2479),JU!D2479,"")</f>
        <v/>
      </c>
      <c r="E2479" s="74" t="str">
        <f>IF(OR($D$3=JU!$F2479,$D$3=JU!$I2479),JU!E2479,"")</f>
        <v/>
      </c>
      <c r="F2479" s="72">
        <f>IF($D$3=JU!F2479,JU!H2479,0)</f>
        <v>0</v>
      </c>
      <c r="G2479" s="72">
        <f>IF($D$3=JU!I2479,JU!K2479,0)</f>
        <v>0</v>
      </c>
      <c r="H2479" s="72" t="e">
        <f t="shared" si="39"/>
        <v>#REF!</v>
      </c>
    </row>
    <row r="2480" spans="2:8" hidden="1">
      <c r="B2480" s="68" t="str">
        <f>IF(OR($D$3=JU!$F2480,$D$3=JU!$I2480),JU!B2480,"")</f>
        <v/>
      </c>
      <c r="C2480" s="6" t="str">
        <f>IF(OR($D$3=JU!$F2480,$D$3=JU!$I2480),JU!C2480,"")</f>
        <v/>
      </c>
      <c r="D2480" s="73" t="str">
        <f>IF(OR($D$3=JU!$F2480,$D$3=JU!$I2480),JU!D2480,"")</f>
        <v/>
      </c>
      <c r="E2480" s="74" t="str">
        <f>IF(OR($D$3=JU!$F2480,$D$3=JU!$I2480),JU!E2480,"")</f>
        <v/>
      </c>
      <c r="F2480" s="72">
        <f>IF($D$3=JU!F2480,JU!H2480,0)</f>
        <v>0</v>
      </c>
      <c r="G2480" s="72">
        <f>IF($D$3=JU!I2480,JU!K2480,0)</f>
        <v>0</v>
      </c>
      <c r="H2480" s="72" t="e">
        <f t="shared" si="39"/>
        <v>#REF!</v>
      </c>
    </row>
    <row r="2481" spans="2:8" hidden="1">
      <c r="B2481" s="68" t="str">
        <f>IF(OR($D$3=JU!$F2481,$D$3=JU!$I2481),JU!B2481,"")</f>
        <v/>
      </c>
      <c r="C2481" s="6" t="str">
        <f>IF(OR($D$3=JU!$F2481,$D$3=JU!$I2481),JU!C2481,"")</f>
        <v/>
      </c>
      <c r="D2481" s="73" t="str">
        <f>IF(OR($D$3=JU!$F2481,$D$3=JU!$I2481),JU!D2481,"")</f>
        <v/>
      </c>
      <c r="E2481" s="74" t="str">
        <f>IF(OR($D$3=JU!$F2481,$D$3=JU!$I2481),JU!E2481,"")</f>
        <v/>
      </c>
      <c r="F2481" s="72">
        <f>IF($D$3=JU!F2481,JU!H2481,0)</f>
        <v>0</v>
      </c>
      <c r="G2481" s="72">
        <f>IF($D$3=JU!I2481,JU!K2481,0)</f>
        <v>0</v>
      </c>
      <c r="H2481" s="72" t="e">
        <f t="shared" si="39"/>
        <v>#REF!</v>
      </c>
    </row>
    <row r="2482" spans="2:8" hidden="1">
      <c r="B2482" s="68" t="str">
        <f>IF(OR($D$3=JU!$F2482,$D$3=JU!$I2482),JU!B2482,"")</f>
        <v/>
      </c>
      <c r="C2482" s="6" t="str">
        <f>IF(OR($D$3=JU!$F2482,$D$3=JU!$I2482),JU!C2482,"")</f>
        <v/>
      </c>
      <c r="D2482" s="73" t="str">
        <f>IF(OR($D$3=JU!$F2482,$D$3=JU!$I2482),JU!D2482,"")</f>
        <v/>
      </c>
      <c r="E2482" s="74" t="str">
        <f>IF(OR($D$3=JU!$F2482,$D$3=JU!$I2482),JU!E2482,"")</f>
        <v/>
      </c>
      <c r="F2482" s="72">
        <f>IF($D$3=JU!F2482,JU!H2482,0)</f>
        <v>0</v>
      </c>
      <c r="G2482" s="72">
        <f>IF($D$3=JU!I2482,JU!K2482,0)</f>
        <v>0</v>
      </c>
      <c r="H2482" s="72" t="e">
        <f t="shared" si="39"/>
        <v>#REF!</v>
      </c>
    </row>
    <row r="2483" spans="2:8" hidden="1">
      <c r="B2483" s="68" t="str">
        <f>IF(OR($D$3=JU!$F2483,$D$3=JU!$I2483),JU!B2483,"")</f>
        <v/>
      </c>
      <c r="C2483" s="6" t="str">
        <f>IF(OR($D$3=JU!$F2483,$D$3=JU!$I2483),JU!C2483,"")</f>
        <v/>
      </c>
      <c r="D2483" s="73" t="str">
        <f>IF(OR($D$3=JU!$F2483,$D$3=JU!$I2483),JU!D2483,"")</f>
        <v/>
      </c>
      <c r="E2483" s="74" t="str">
        <f>IF(OR($D$3=JU!$F2483,$D$3=JU!$I2483),JU!E2483,"")</f>
        <v/>
      </c>
      <c r="F2483" s="72">
        <f>IF($D$3=JU!F2483,JU!H2483,0)</f>
        <v>0</v>
      </c>
      <c r="G2483" s="72">
        <f>IF($D$3=JU!I2483,JU!K2483,0)</f>
        <v>0</v>
      </c>
      <c r="H2483" s="72" t="e">
        <f t="shared" si="39"/>
        <v>#REF!</v>
      </c>
    </row>
    <row r="2484" spans="2:8" hidden="1">
      <c r="B2484" s="68" t="str">
        <f>IF(OR($D$3=JU!$F2484,$D$3=JU!$I2484),JU!B2484,"")</f>
        <v/>
      </c>
      <c r="C2484" s="6" t="str">
        <f>IF(OR($D$3=JU!$F2484,$D$3=JU!$I2484),JU!C2484,"")</f>
        <v/>
      </c>
      <c r="D2484" s="73" t="str">
        <f>IF(OR($D$3=JU!$F2484,$D$3=JU!$I2484),JU!D2484,"")</f>
        <v/>
      </c>
      <c r="E2484" s="74" t="str">
        <f>IF(OR($D$3=JU!$F2484,$D$3=JU!$I2484),JU!E2484,"")</f>
        <v/>
      </c>
      <c r="F2484" s="72">
        <f>IF($D$3=JU!F2484,JU!H2484,0)</f>
        <v>0</v>
      </c>
      <c r="G2484" s="72">
        <f>IF($D$3=JU!I2484,JU!K2484,0)</f>
        <v>0</v>
      </c>
      <c r="H2484" s="72" t="e">
        <f t="shared" si="39"/>
        <v>#REF!</v>
      </c>
    </row>
    <row r="2485" spans="2:8" hidden="1">
      <c r="B2485" s="68" t="str">
        <f>IF(OR($D$3=JU!$F2485,$D$3=JU!$I2485),JU!B2485,"")</f>
        <v/>
      </c>
      <c r="C2485" s="6" t="str">
        <f>IF(OR($D$3=JU!$F2485,$D$3=JU!$I2485),JU!C2485,"")</f>
        <v/>
      </c>
      <c r="D2485" s="73" t="str">
        <f>IF(OR($D$3=JU!$F2485,$D$3=JU!$I2485),JU!D2485,"")</f>
        <v/>
      </c>
      <c r="E2485" s="74" t="str">
        <f>IF(OR($D$3=JU!$F2485,$D$3=JU!$I2485),JU!E2485,"")</f>
        <v/>
      </c>
      <c r="F2485" s="72">
        <f>IF($D$3=JU!F2485,JU!H2485,0)</f>
        <v>0</v>
      </c>
      <c r="G2485" s="72">
        <f>IF($D$3=JU!I2485,JU!K2485,0)</f>
        <v>0</v>
      </c>
      <c r="H2485" s="72" t="e">
        <f t="shared" si="39"/>
        <v>#REF!</v>
      </c>
    </row>
    <row r="2486" spans="2:8" hidden="1">
      <c r="B2486" s="68" t="str">
        <f>IF(OR($D$3=JU!$F2486,$D$3=JU!$I2486),JU!B2486,"")</f>
        <v/>
      </c>
      <c r="C2486" s="6" t="str">
        <f>IF(OR($D$3=JU!$F2486,$D$3=JU!$I2486),JU!C2486,"")</f>
        <v/>
      </c>
      <c r="D2486" s="73" t="str">
        <f>IF(OR($D$3=JU!$F2486,$D$3=JU!$I2486),JU!D2486,"")</f>
        <v/>
      </c>
      <c r="E2486" s="74" t="str">
        <f>IF(OR($D$3=JU!$F2486,$D$3=JU!$I2486),JU!E2486,"")</f>
        <v/>
      </c>
      <c r="F2486" s="72">
        <f>IF($D$3=JU!F2486,JU!H2486,0)</f>
        <v>0</v>
      </c>
      <c r="G2486" s="72">
        <f>IF($D$3=JU!I2486,JU!K2486,0)</f>
        <v>0</v>
      </c>
      <c r="H2486" s="72" t="e">
        <f t="shared" si="39"/>
        <v>#REF!</v>
      </c>
    </row>
    <row r="2487" spans="2:8" hidden="1">
      <c r="B2487" s="68" t="str">
        <f>IF(OR($D$3=JU!$F2487,$D$3=JU!$I2487),JU!B2487,"")</f>
        <v/>
      </c>
      <c r="C2487" s="6" t="str">
        <f>IF(OR($D$3=JU!$F2487,$D$3=JU!$I2487),JU!C2487,"")</f>
        <v/>
      </c>
      <c r="D2487" s="73" t="str">
        <f>IF(OR($D$3=JU!$F2487,$D$3=JU!$I2487),JU!D2487,"")</f>
        <v/>
      </c>
      <c r="E2487" s="74" t="str">
        <f>IF(OR($D$3=JU!$F2487,$D$3=JU!$I2487),JU!E2487,"")</f>
        <v/>
      </c>
      <c r="F2487" s="72">
        <f>IF($D$3=JU!F2487,JU!H2487,0)</f>
        <v>0</v>
      </c>
      <c r="G2487" s="72">
        <f>IF($D$3=JU!I2487,JU!K2487,0)</f>
        <v>0</v>
      </c>
      <c r="H2487" s="72" t="e">
        <f t="shared" si="39"/>
        <v>#REF!</v>
      </c>
    </row>
    <row r="2488" spans="2:8" hidden="1">
      <c r="B2488" s="68" t="str">
        <f>IF(OR($D$3=JU!$F2488,$D$3=JU!$I2488),JU!B2488,"")</f>
        <v/>
      </c>
      <c r="C2488" s="6" t="str">
        <f>IF(OR($D$3=JU!$F2488,$D$3=JU!$I2488),JU!C2488,"")</f>
        <v/>
      </c>
      <c r="D2488" s="73" t="str">
        <f>IF(OR($D$3=JU!$F2488,$D$3=JU!$I2488),JU!D2488,"")</f>
        <v/>
      </c>
      <c r="E2488" s="74" t="str">
        <f>IF(OR($D$3=JU!$F2488,$D$3=JU!$I2488),JU!E2488,"")</f>
        <v/>
      </c>
      <c r="F2488" s="72">
        <f>IF($D$3=JU!F2488,JU!H2488,0)</f>
        <v>0</v>
      </c>
      <c r="G2488" s="72">
        <f>IF($D$3=JU!I2488,JU!K2488,0)</f>
        <v>0</v>
      </c>
      <c r="H2488" s="72" t="e">
        <f t="shared" si="39"/>
        <v>#REF!</v>
      </c>
    </row>
    <row r="2489" spans="2:8" hidden="1">
      <c r="B2489" s="68" t="str">
        <f>IF(OR($D$3=JU!$F2489,$D$3=JU!$I2489),JU!B2489,"")</f>
        <v/>
      </c>
      <c r="C2489" s="6" t="str">
        <f>IF(OR($D$3=JU!$F2489,$D$3=JU!$I2489),JU!C2489,"")</f>
        <v/>
      </c>
      <c r="D2489" s="73" t="str">
        <f>IF(OR($D$3=JU!$F2489,$D$3=JU!$I2489),JU!D2489,"")</f>
        <v/>
      </c>
      <c r="E2489" s="74" t="str">
        <f>IF(OR($D$3=JU!$F2489,$D$3=JU!$I2489),JU!E2489,"")</f>
        <v/>
      </c>
      <c r="F2489" s="72">
        <f>IF($D$3=JU!F2489,JU!H2489,0)</f>
        <v>0</v>
      </c>
      <c r="G2489" s="72">
        <f>IF($D$3=JU!I2489,JU!K2489,0)</f>
        <v>0</v>
      </c>
      <c r="H2489" s="72" t="e">
        <f t="shared" si="39"/>
        <v>#REF!</v>
      </c>
    </row>
    <row r="2490" spans="2:8" hidden="1">
      <c r="B2490" s="68" t="str">
        <f>IF(OR($D$3=JU!$F2490,$D$3=JU!$I2490),JU!B2490,"")</f>
        <v/>
      </c>
      <c r="C2490" s="6" t="str">
        <f>IF(OR($D$3=JU!$F2490,$D$3=JU!$I2490),JU!C2490,"")</f>
        <v/>
      </c>
      <c r="D2490" s="73" t="str">
        <f>IF(OR($D$3=JU!$F2490,$D$3=JU!$I2490),JU!D2490,"")</f>
        <v/>
      </c>
      <c r="E2490" s="74" t="str">
        <f>IF(OR($D$3=JU!$F2490,$D$3=JU!$I2490),JU!E2490,"")</f>
        <v/>
      </c>
      <c r="F2490" s="72">
        <f>IF($D$3=JU!F2490,JU!H2490,0)</f>
        <v>0</v>
      </c>
      <c r="G2490" s="72">
        <f>IF($D$3=JU!I2490,JU!K2490,0)</f>
        <v>0</v>
      </c>
      <c r="H2490" s="72" t="e">
        <f t="shared" si="39"/>
        <v>#REF!</v>
      </c>
    </row>
    <row r="2491" spans="2:8" hidden="1">
      <c r="B2491" s="68" t="str">
        <f>IF(OR($D$3=JU!$F2491,$D$3=JU!$I2491),JU!B2491,"")</f>
        <v/>
      </c>
      <c r="C2491" s="6" t="str">
        <f>IF(OR($D$3=JU!$F2491,$D$3=JU!$I2491),JU!C2491,"")</f>
        <v/>
      </c>
      <c r="D2491" s="73" t="str">
        <f>IF(OR($D$3=JU!$F2491,$D$3=JU!$I2491),JU!D2491,"")</f>
        <v/>
      </c>
      <c r="E2491" s="74" t="str">
        <f>IF(OR($D$3=JU!$F2491,$D$3=JU!$I2491),JU!E2491,"")</f>
        <v/>
      </c>
      <c r="F2491" s="72">
        <f>IF($D$3=JU!F2491,JU!H2491,0)</f>
        <v>0</v>
      </c>
      <c r="G2491" s="72">
        <f>IF($D$3=JU!I2491,JU!K2491,0)</f>
        <v>0</v>
      </c>
      <c r="H2491" s="72" t="e">
        <f t="shared" si="39"/>
        <v>#REF!</v>
      </c>
    </row>
    <row r="2492" spans="2:8" hidden="1">
      <c r="B2492" s="68" t="str">
        <f>IF(OR($D$3=JU!$F2492,$D$3=JU!$I2492),JU!B2492,"")</f>
        <v/>
      </c>
      <c r="C2492" s="6" t="str">
        <f>IF(OR($D$3=JU!$F2492,$D$3=JU!$I2492),JU!C2492,"")</f>
        <v/>
      </c>
      <c r="D2492" s="73" t="str">
        <f>IF(OR($D$3=JU!$F2492,$D$3=JU!$I2492),JU!D2492,"")</f>
        <v/>
      </c>
      <c r="E2492" s="74" t="str">
        <f>IF(OR($D$3=JU!$F2492,$D$3=JU!$I2492),JU!E2492,"")</f>
        <v/>
      </c>
      <c r="F2492" s="72">
        <f>IF($D$3=JU!F2492,JU!H2492,0)</f>
        <v>0</v>
      </c>
      <c r="G2492" s="72">
        <f>IF($D$3=JU!I2492,JU!K2492,0)</f>
        <v>0</v>
      </c>
      <c r="H2492" s="72" t="e">
        <f t="shared" si="39"/>
        <v>#REF!</v>
      </c>
    </row>
    <row r="2493" spans="2:8" hidden="1">
      <c r="B2493" s="68" t="str">
        <f>IF(OR($D$3=JU!$F2493,$D$3=JU!$I2493),JU!B2493,"")</f>
        <v/>
      </c>
      <c r="C2493" s="6" t="str">
        <f>IF(OR($D$3=JU!$F2493,$D$3=JU!$I2493),JU!C2493,"")</f>
        <v/>
      </c>
      <c r="D2493" s="73" t="str">
        <f>IF(OR($D$3=JU!$F2493,$D$3=JU!$I2493),JU!D2493,"")</f>
        <v/>
      </c>
      <c r="E2493" s="74" t="str">
        <f>IF(OR($D$3=JU!$F2493,$D$3=JU!$I2493),JU!E2493,"")</f>
        <v/>
      </c>
      <c r="F2493" s="72">
        <f>IF($D$3=JU!F2493,JU!H2493,0)</f>
        <v>0</v>
      </c>
      <c r="G2493" s="72">
        <f>IF($D$3=JU!I2493,JU!K2493,0)</f>
        <v>0</v>
      </c>
      <c r="H2493" s="72" t="e">
        <f t="shared" si="39"/>
        <v>#REF!</v>
      </c>
    </row>
    <row r="2494" spans="2:8" hidden="1">
      <c r="B2494" s="68" t="str">
        <f>IF(OR($D$3=JU!$F2494,$D$3=JU!$I2494),JU!B2494,"")</f>
        <v/>
      </c>
      <c r="C2494" s="6" t="str">
        <f>IF(OR($D$3=JU!$F2494,$D$3=JU!$I2494),JU!C2494,"")</f>
        <v/>
      </c>
      <c r="D2494" s="73" t="str">
        <f>IF(OR($D$3=JU!$F2494,$D$3=JU!$I2494),JU!D2494,"")</f>
        <v/>
      </c>
      <c r="E2494" s="74" t="str">
        <f>IF(OR($D$3=JU!$F2494,$D$3=JU!$I2494),JU!E2494,"")</f>
        <v/>
      </c>
      <c r="F2494" s="72">
        <f>IF($D$3=JU!F2494,JU!H2494,0)</f>
        <v>0</v>
      </c>
      <c r="G2494" s="72">
        <f>IF($D$3=JU!I2494,JU!K2494,0)</f>
        <v>0</v>
      </c>
      <c r="H2494" s="72" t="e">
        <f t="shared" si="39"/>
        <v>#REF!</v>
      </c>
    </row>
    <row r="2495" spans="2:8" hidden="1">
      <c r="B2495" s="68" t="str">
        <f>IF(OR($D$3=JU!$F2495,$D$3=JU!$I2495),JU!B2495,"")</f>
        <v/>
      </c>
      <c r="C2495" s="6" t="str">
        <f>IF(OR($D$3=JU!$F2495,$D$3=JU!$I2495),JU!C2495,"")</f>
        <v/>
      </c>
      <c r="D2495" s="73" t="str">
        <f>IF(OR($D$3=JU!$F2495,$D$3=JU!$I2495),JU!D2495,"")</f>
        <v/>
      </c>
      <c r="E2495" s="74" t="str">
        <f>IF(OR($D$3=JU!$F2495,$D$3=JU!$I2495),JU!E2495,"")</f>
        <v/>
      </c>
      <c r="F2495" s="72">
        <f>IF($D$3=JU!F2495,JU!H2495,0)</f>
        <v>0</v>
      </c>
      <c r="G2495" s="72">
        <f>IF($D$3=JU!I2495,JU!K2495,0)</f>
        <v>0</v>
      </c>
      <c r="H2495" s="72" t="e">
        <f t="shared" si="39"/>
        <v>#REF!</v>
      </c>
    </row>
    <row r="2496" spans="2:8" hidden="1">
      <c r="B2496" s="68" t="str">
        <f>IF(OR($D$3=JU!$F2496,$D$3=JU!$I2496),JU!B2496,"")</f>
        <v/>
      </c>
      <c r="C2496" s="6" t="str">
        <f>IF(OR($D$3=JU!$F2496,$D$3=JU!$I2496),JU!C2496,"")</f>
        <v/>
      </c>
      <c r="D2496" s="73" t="str">
        <f>IF(OR($D$3=JU!$F2496,$D$3=JU!$I2496),JU!D2496,"")</f>
        <v/>
      </c>
      <c r="E2496" s="74" t="str">
        <f>IF(OR($D$3=JU!$F2496,$D$3=JU!$I2496),JU!E2496,"")</f>
        <v/>
      </c>
      <c r="F2496" s="72">
        <f>IF($D$3=JU!F2496,JU!H2496,0)</f>
        <v>0</v>
      </c>
      <c r="G2496" s="72">
        <f>IF($D$3=JU!I2496,JU!K2496,0)</f>
        <v>0</v>
      </c>
      <c r="H2496" s="72" t="e">
        <f t="shared" si="39"/>
        <v>#REF!</v>
      </c>
    </row>
    <row r="2497" spans="2:8" hidden="1">
      <c r="B2497" s="68" t="str">
        <f>IF(OR($D$3=JU!$F2497,$D$3=JU!$I2497),JU!B2497,"")</f>
        <v/>
      </c>
      <c r="C2497" s="6" t="str">
        <f>IF(OR($D$3=JU!$F2497,$D$3=JU!$I2497),JU!C2497,"")</f>
        <v/>
      </c>
      <c r="D2497" s="73" t="str">
        <f>IF(OR($D$3=JU!$F2497,$D$3=JU!$I2497),JU!D2497,"")</f>
        <v/>
      </c>
      <c r="E2497" s="74" t="str">
        <f>IF(OR($D$3=JU!$F2497,$D$3=JU!$I2497),JU!E2497,"")</f>
        <v/>
      </c>
      <c r="F2497" s="72">
        <f>IF($D$3=JU!F2497,JU!H2497,0)</f>
        <v>0</v>
      </c>
      <c r="G2497" s="72">
        <f>IF($D$3=JU!I2497,JU!K2497,0)</f>
        <v>0</v>
      </c>
      <c r="H2497" s="72" t="e">
        <f t="shared" si="39"/>
        <v>#REF!</v>
      </c>
    </row>
    <row r="2498" spans="2:8" hidden="1">
      <c r="B2498" s="68" t="str">
        <f>IF(OR($D$3=JU!$F2498,$D$3=JU!$I2498),JU!B2498,"")</f>
        <v/>
      </c>
      <c r="C2498" s="6" t="str">
        <f>IF(OR($D$3=JU!$F2498,$D$3=JU!$I2498),JU!C2498,"")</f>
        <v/>
      </c>
      <c r="D2498" s="73" t="str">
        <f>IF(OR($D$3=JU!$F2498,$D$3=JU!$I2498),JU!D2498,"")</f>
        <v/>
      </c>
      <c r="E2498" s="74" t="str">
        <f>IF(OR($D$3=JU!$F2498,$D$3=JU!$I2498),JU!E2498,"")</f>
        <v/>
      </c>
      <c r="F2498" s="72">
        <f>IF($D$3=JU!F2498,JU!H2498,0)</f>
        <v>0</v>
      </c>
      <c r="G2498" s="72">
        <f>IF($D$3=JU!I2498,JU!K2498,0)</f>
        <v>0</v>
      </c>
      <c r="H2498" s="72" t="e">
        <f t="shared" si="39"/>
        <v>#REF!</v>
      </c>
    </row>
    <row r="2499" spans="2:8" hidden="1">
      <c r="B2499" s="68" t="str">
        <f>IF(OR($D$3=JU!$F2499,$D$3=JU!$I2499),JU!B2499,"")</f>
        <v/>
      </c>
      <c r="C2499" s="6" t="str">
        <f>IF(OR($D$3=JU!$F2499,$D$3=JU!$I2499),JU!C2499,"")</f>
        <v/>
      </c>
      <c r="D2499" s="73" t="str">
        <f>IF(OR($D$3=JU!$F2499,$D$3=JU!$I2499),JU!D2499,"")</f>
        <v/>
      </c>
      <c r="E2499" s="74" t="str">
        <f>IF(OR($D$3=JU!$F2499,$D$3=JU!$I2499),JU!E2499,"")</f>
        <v/>
      </c>
      <c r="F2499" s="72">
        <f>IF($D$3=JU!F2499,JU!H2499,0)</f>
        <v>0</v>
      </c>
      <c r="G2499" s="72">
        <f>IF($D$3=JU!I2499,JU!K2499,0)</f>
        <v>0</v>
      </c>
      <c r="H2499" s="72" t="e">
        <f t="shared" si="39"/>
        <v>#REF!</v>
      </c>
    </row>
    <row r="2500" spans="2:8" hidden="1">
      <c r="B2500" s="68" t="str">
        <f>IF(OR($D$3=JU!$F2500,$D$3=JU!$I2500),JU!B2500,"")</f>
        <v/>
      </c>
      <c r="C2500" s="6" t="str">
        <f>IF(OR($D$3=JU!$F2500,$D$3=JU!$I2500),JU!C2500,"")</f>
        <v/>
      </c>
      <c r="D2500" s="73" t="str">
        <f>IF(OR($D$3=JU!$F2500,$D$3=JU!$I2500),JU!D2500,"")</f>
        <v/>
      </c>
      <c r="E2500" s="74" t="str">
        <f>IF(OR($D$3=JU!$F2500,$D$3=JU!$I2500),JU!E2500,"")</f>
        <v/>
      </c>
      <c r="F2500" s="72">
        <f>IF($D$3=JU!F2500,JU!H2500,0)</f>
        <v>0</v>
      </c>
      <c r="G2500" s="72">
        <f>IF($D$3=JU!I2500,JU!K2500,0)</f>
        <v>0</v>
      </c>
      <c r="H2500" s="72" t="e">
        <f t="shared" si="39"/>
        <v>#REF!</v>
      </c>
    </row>
    <row r="2501" spans="2:8" hidden="1">
      <c r="B2501" s="68" t="str">
        <f>IF(OR($D$3=JU!$F2501,$D$3=JU!$I2501),JU!B2501,"")</f>
        <v/>
      </c>
      <c r="C2501" s="6" t="str">
        <f>IF(OR($D$3=JU!$F2501,$D$3=JU!$I2501),JU!C2501,"")</f>
        <v/>
      </c>
      <c r="D2501" s="73" t="str">
        <f>IF(OR($D$3=JU!$F2501,$D$3=JU!$I2501),JU!D2501,"")</f>
        <v/>
      </c>
      <c r="E2501" s="74" t="str">
        <f>IF(OR($D$3=JU!$F2501,$D$3=JU!$I2501),JU!E2501,"")</f>
        <v/>
      </c>
      <c r="F2501" s="72">
        <f>IF($D$3=JU!F2501,JU!H2501,0)</f>
        <v>0</v>
      </c>
      <c r="G2501" s="72">
        <f>IF($D$3=JU!I2501,JU!K2501,0)</f>
        <v>0</v>
      </c>
      <c r="H2501" s="72" t="e">
        <f t="shared" si="39"/>
        <v>#REF!</v>
      </c>
    </row>
    <row r="2502" spans="2:8" hidden="1">
      <c r="B2502" s="68" t="str">
        <f>IF(OR($D$3=JU!$F2502,$D$3=JU!$I2502),JU!B2502,"")</f>
        <v/>
      </c>
      <c r="C2502" s="6" t="str">
        <f>IF(OR($D$3=JU!$F2502,$D$3=JU!$I2502),JU!C2502,"")</f>
        <v/>
      </c>
      <c r="D2502" s="73" t="str">
        <f>IF(OR($D$3=JU!$F2502,$D$3=JU!$I2502),JU!D2502,"")</f>
        <v/>
      </c>
      <c r="E2502" s="74" t="str">
        <f>IF(OR($D$3=JU!$F2502,$D$3=JU!$I2502),JU!E2502,"")</f>
        <v/>
      </c>
      <c r="F2502" s="72">
        <f>IF($D$3=JU!F2502,JU!H2502,0)</f>
        <v>0</v>
      </c>
      <c r="G2502" s="72">
        <f>IF($D$3=JU!I2502,JU!K2502,0)</f>
        <v>0</v>
      </c>
      <c r="H2502" s="72" t="e">
        <f t="shared" si="39"/>
        <v>#REF!</v>
      </c>
    </row>
    <row r="2503" spans="2:8" hidden="1">
      <c r="B2503" s="68" t="str">
        <f>IF(OR($D$3=JU!$F2503,$D$3=JU!$I2503),JU!B2503,"")</f>
        <v/>
      </c>
      <c r="C2503" s="6" t="str">
        <f>IF(OR($D$3=JU!$F2503,$D$3=JU!$I2503),JU!C2503,"")</f>
        <v/>
      </c>
      <c r="D2503" s="73" t="str">
        <f>IF(OR($D$3=JU!$F2503,$D$3=JU!$I2503),JU!D2503,"")</f>
        <v/>
      </c>
      <c r="E2503" s="74" t="str">
        <f>IF(OR($D$3=JU!$F2503,$D$3=JU!$I2503),JU!E2503,"")</f>
        <v/>
      </c>
      <c r="F2503" s="72">
        <f>IF($D$3=JU!F2503,JU!H2503,0)</f>
        <v>0</v>
      </c>
      <c r="G2503" s="72">
        <f>IF($D$3=JU!I2503,JU!K2503,0)</f>
        <v>0</v>
      </c>
      <c r="H2503" s="72" t="e">
        <f t="shared" si="39"/>
        <v>#REF!</v>
      </c>
    </row>
    <row r="2504" spans="2:8" hidden="1">
      <c r="B2504" s="68" t="str">
        <f>IF(OR($D$3=JU!$F2504,$D$3=JU!$I2504),JU!B2504,"")</f>
        <v/>
      </c>
      <c r="C2504" s="6" t="str">
        <f>IF(OR($D$3=JU!$F2504,$D$3=JU!$I2504),JU!C2504,"")</f>
        <v/>
      </c>
      <c r="D2504" s="73" t="str">
        <f>IF(OR($D$3=JU!$F2504,$D$3=JU!$I2504),JU!D2504,"")</f>
        <v/>
      </c>
      <c r="E2504" s="74" t="str">
        <f>IF(OR($D$3=JU!$F2504,$D$3=JU!$I2504),JU!E2504,"")</f>
        <v/>
      </c>
      <c r="F2504" s="72">
        <f>IF($D$3=JU!F2504,JU!H2504,0)</f>
        <v>0</v>
      </c>
      <c r="G2504" s="72">
        <f>IF($D$3=JU!I2504,JU!K2504,0)</f>
        <v>0</v>
      </c>
      <c r="H2504" s="72" t="e">
        <f t="shared" si="39"/>
        <v>#REF!</v>
      </c>
    </row>
    <row r="2505" spans="2:8" hidden="1">
      <c r="B2505" s="68" t="str">
        <f>IF(OR($D$3=JU!$F2505,$D$3=JU!$I2505),JU!B2505,"")</f>
        <v/>
      </c>
      <c r="C2505" s="6" t="str">
        <f>IF(OR($D$3=JU!$F2505,$D$3=JU!$I2505),JU!C2505,"")</f>
        <v/>
      </c>
      <c r="D2505" s="73" t="str">
        <f>IF(OR($D$3=JU!$F2505,$D$3=JU!$I2505),JU!D2505,"")</f>
        <v/>
      </c>
      <c r="E2505" s="74" t="str">
        <f>IF(OR($D$3=JU!$F2505,$D$3=JU!$I2505),JU!E2505,"")</f>
        <v/>
      </c>
      <c r="F2505" s="72">
        <f>IF($D$3=JU!F2505,JU!H2505,0)</f>
        <v>0</v>
      </c>
      <c r="G2505" s="72">
        <f>IF($D$3=JU!I2505,JU!K2505,0)</f>
        <v>0</v>
      </c>
      <c r="H2505" s="72" t="e">
        <f t="shared" si="39"/>
        <v>#REF!</v>
      </c>
    </row>
    <row r="2506" spans="2:8" hidden="1">
      <c r="B2506" s="68" t="str">
        <f>IF(OR($D$3=JU!$F2506,$D$3=JU!$I2506),JU!B2506,"")</f>
        <v/>
      </c>
      <c r="C2506" s="6" t="str">
        <f>IF(OR($D$3=JU!$F2506,$D$3=JU!$I2506),JU!C2506,"")</f>
        <v/>
      </c>
      <c r="D2506" s="73" t="str">
        <f>IF(OR($D$3=JU!$F2506,$D$3=JU!$I2506),JU!D2506,"")</f>
        <v/>
      </c>
      <c r="E2506" s="74" t="str">
        <f>IF(OR($D$3=JU!$F2506,$D$3=JU!$I2506),JU!E2506,"")</f>
        <v/>
      </c>
      <c r="F2506" s="72">
        <f>IF($D$3=JU!F2506,JU!H2506,0)</f>
        <v>0</v>
      </c>
      <c r="G2506" s="72">
        <f>IF($D$3=JU!I2506,JU!K2506,0)</f>
        <v>0</v>
      </c>
      <c r="H2506" s="72" t="e">
        <f t="shared" si="39"/>
        <v>#REF!</v>
      </c>
    </row>
    <row r="2507" spans="2:8" hidden="1">
      <c r="B2507" s="68" t="str">
        <f>IF(OR($D$3=JU!$F2507,$D$3=JU!$I2507),JU!B2507,"")</f>
        <v/>
      </c>
      <c r="C2507" s="6" t="str">
        <f>IF(OR($D$3=JU!$F2507,$D$3=JU!$I2507),JU!C2507,"")</f>
        <v/>
      </c>
      <c r="D2507" s="73" t="str">
        <f>IF(OR($D$3=JU!$F2507,$D$3=JU!$I2507),JU!D2507,"")</f>
        <v/>
      </c>
      <c r="E2507" s="74" t="str">
        <f>IF(OR($D$3=JU!$F2507,$D$3=JU!$I2507),JU!E2507,"")</f>
        <v/>
      </c>
      <c r="F2507" s="72">
        <f>IF($D$3=JU!F2507,JU!H2507,0)</f>
        <v>0</v>
      </c>
      <c r="G2507" s="72">
        <f>IF($D$3=JU!I2507,JU!K2507,0)</f>
        <v>0</v>
      </c>
      <c r="H2507" s="72" t="e">
        <f t="shared" si="39"/>
        <v>#REF!</v>
      </c>
    </row>
    <row r="2508" spans="2:8" hidden="1">
      <c r="B2508" s="68" t="str">
        <f>IF(OR($D$3=JU!$F2508,$D$3=JU!$I2508),JU!B2508,"")</f>
        <v/>
      </c>
      <c r="C2508" s="6" t="str">
        <f>IF(OR($D$3=JU!$F2508,$D$3=JU!$I2508),JU!C2508,"")</f>
        <v/>
      </c>
      <c r="D2508" s="73" t="str">
        <f>IF(OR($D$3=JU!$F2508,$D$3=JU!$I2508),JU!D2508,"")</f>
        <v/>
      </c>
      <c r="E2508" s="74" t="str">
        <f>IF(OR($D$3=JU!$F2508,$D$3=JU!$I2508),JU!E2508,"")</f>
        <v/>
      </c>
      <c r="F2508" s="72">
        <f>IF($D$3=JU!F2508,JU!H2508,0)</f>
        <v>0</v>
      </c>
      <c r="G2508" s="72">
        <f>IF($D$3=JU!I2508,JU!K2508,0)</f>
        <v>0</v>
      </c>
      <c r="H2508" s="72" t="e">
        <f t="shared" si="39"/>
        <v>#REF!</v>
      </c>
    </row>
    <row r="2509" spans="2:8" hidden="1">
      <c r="B2509" s="68" t="str">
        <f>IF(OR($D$3=JU!$F2509,$D$3=JU!$I2509),JU!B2509,"")</f>
        <v/>
      </c>
      <c r="C2509" s="6" t="str">
        <f>IF(OR($D$3=JU!$F2509,$D$3=JU!$I2509),JU!C2509,"")</f>
        <v/>
      </c>
      <c r="D2509" s="73" t="str">
        <f>IF(OR($D$3=JU!$F2509,$D$3=JU!$I2509),JU!D2509,"")</f>
        <v/>
      </c>
      <c r="E2509" s="74" t="str">
        <f>IF(OR($D$3=JU!$F2509,$D$3=JU!$I2509),JU!E2509,"")</f>
        <v/>
      </c>
      <c r="F2509" s="72">
        <f>IF($D$3=JU!F2509,JU!H2509,0)</f>
        <v>0</v>
      </c>
      <c r="G2509" s="72">
        <f>IF($D$3=JU!I2509,JU!K2509,0)</f>
        <v>0</v>
      </c>
      <c r="H2509" s="72" t="e">
        <f t="shared" si="39"/>
        <v>#REF!</v>
      </c>
    </row>
    <row r="2510" spans="2:8" hidden="1">
      <c r="B2510" s="68" t="str">
        <f>IF(OR($D$3=JU!$F2510,$D$3=JU!$I2510),JU!B2510,"")</f>
        <v/>
      </c>
      <c r="C2510" s="6" t="str">
        <f>IF(OR($D$3=JU!$F2510,$D$3=JU!$I2510),JU!C2510,"")</f>
        <v/>
      </c>
      <c r="D2510" s="73" t="str">
        <f>IF(OR($D$3=JU!$F2510,$D$3=JU!$I2510),JU!D2510,"")</f>
        <v/>
      </c>
      <c r="E2510" s="74" t="str">
        <f>IF(OR($D$3=JU!$F2510,$D$3=JU!$I2510),JU!E2510,"")</f>
        <v/>
      </c>
      <c r="F2510" s="72">
        <f>IF($D$3=JU!F2510,JU!H2510,0)</f>
        <v>0</v>
      </c>
      <c r="G2510" s="72">
        <f>IF($D$3=JU!I2510,JU!K2510,0)</f>
        <v>0</v>
      </c>
      <c r="H2510" s="72" t="e">
        <f t="shared" ref="H2510:H2573" si="40">IF($H$7="DEBET",H2509+F2510-G2510,H2509+G2510-F2510)</f>
        <v>#REF!</v>
      </c>
    </row>
    <row r="2511" spans="2:8" hidden="1">
      <c r="B2511" s="68" t="str">
        <f>IF(OR($D$3=JU!$F2511,$D$3=JU!$I2511),JU!B2511,"")</f>
        <v/>
      </c>
      <c r="C2511" s="6" t="str">
        <f>IF(OR($D$3=JU!$F2511,$D$3=JU!$I2511),JU!C2511,"")</f>
        <v/>
      </c>
      <c r="D2511" s="73" t="str">
        <f>IF(OR($D$3=JU!$F2511,$D$3=JU!$I2511),JU!D2511,"")</f>
        <v/>
      </c>
      <c r="E2511" s="74" t="str">
        <f>IF(OR($D$3=JU!$F2511,$D$3=JU!$I2511),JU!E2511,"")</f>
        <v/>
      </c>
      <c r="F2511" s="72">
        <f>IF($D$3=JU!F2511,JU!H2511,0)</f>
        <v>0</v>
      </c>
      <c r="G2511" s="72">
        <f>IF($D$3=JU!I2511,JU!K2511,0)</f>
        <v>0</v>
      </c>
      <c r="H2511" s="72" t="e">
        <f t="shared" si="40"/>
        <v>#REF!</v>
      </c>
    </row>
    <row r="2512" spans="2:8" hidden="1">
      <c r="B2512" s="68" t="str">
        <f>IF(OR($D$3=JU!$F2512,$D$3=JU!$I2512),JU!B2512,"")</f>
        <v/>
      </c>
      <c r="C2512" s="6" t="str">
        <f>IF(OR($D$3=JU!$F2512,$D$3=JU!$I2512),JU!C2512,"")</f>
        <v/>
      </c>
      <c r="D2512" s="73" t="str">
        <f>IF(OR($D$3=JU!$F2512,$D$3=JU!$I2512),JU!D2512,"")</f>
        <v/>
      </c>
      <c r="E2512" s="74" t="str">
        <f>IF(OR($D$3=JU!$F2512,$D$3=JU!$I2512),JU!E2512,"")</f>
        <v/>
      </c>
      <c r="F2512" s="72">
        <f>IF($D$3=JU!F2512,JU!H2512,0)</f>
        <v>0</v>
      </c>
      <c r="G2512" s="72">
        <f>IF($D$3=JU!I2512,JU!K2512,0)</f>
        <v>0</v>
      </c>
      <c r="H2512" s="72" t="e">
        <f t="shared" si="40"/>
        <v>#REF!</v>
      </c>
    </row>
    <row r="2513" spans="2:8" hidden="1">
      <c r="B2513" s="68" t="str">
        <f>IF(OR($D$3=JU!$F2513,$D$3=JU!$I2513),JU!B2513,"")</f>
        <v/>
      </c>
      <c r="C2513" s="6" t="str">
        <f>IF(OR($D$3=JU!$F2513,$D$3=JU!$I2513),JU!C2513,"")</f>
        <v/>
      </c>
      <c r="D2513" s="73" t="str">
        <f>IF(OR($D$3=JU!$F2513,$D$3=JU!$I2513),JU!D2513,"")</f>
        <v/>
      </c>
      <c r="E2513" s="74" t="str">
        <f>IF(OR($D$3=JU!$F2513,$D$3=JU!$I2513),JU!E2513,"")</f>
        <v/>
      </c>
      <c r="F2513" s="72">
        <f>IF($D$3=JU!F2513,JU!H2513,0)</f>
        <v>0</v>
      </c>
      <c r="G2513" s="72">
        <f>IF($D$3=JU!I2513,JU!K2513,0)</f>
        <v>0</v>
      </c>
      <c r="H2513" s="72" t="e">
        <f t="shared" si="40"/>
        <v>#REF!</v>
      </c>
    </row>
    <row r="2514" spans="2:8" hidden="1">
      <c r="B2514" s="68" t="str">
        <f>IF(OR($D$3=JU!$F2514,$D$3=JU!$I2514),JU!B2514,"")</f>
        <v/>
      </c>
      <c r="C2514" s="6" t="str">
        <f>IF(OR($D$3=JU!$F2514,$D$3=JU!$I2514),JU!C2514,"")</f>
        <v/>
      </c>
      <c r="D2514" s="73" t="str">
        <f>IF(OR($D$3=JU!$F2514,$D$3=JU!$I2514),JU!D2514,"")</f>
        <v/>
      </c>
      <c r="E2514" s="74" t="str">
        <f>IF(OR($D$3=JU!$F2514,$D$3=JU!$I2514),JU!E2514,"")</f>
        <v/>
      </c>
      <c r="F2514" s="72">
        <f>IF($D$3=JU!F2514,JU!H2514,0)</f>
        <v>0</v>
      </c>
      <c r="G2514" s="72">
        <f>IF($D$3=JU!I2514,JU!K2514,0)</f>
        <v>0</v>
      </c>
      <c r="H2514" s="72" t="e">
        <f t="shared" si="40"/>
        <v>#REF!</v>
      </c>
    </row>
    <row r="2515" spans="2:8" hidden="1">
      <c r="B2515" s="68" t="str">
        <f>IF(OR($D$3=JU!$F2515,$D$3=JU!$I2515),JU!B2515,"")</f>
        <v/>
      </c>
      <c r="C2515" s="6" t="str">
        <f>IF(OR($D$3=JU!$F2515,$D$3=JU!$I2515),JU!C2515,"")</f>
        <v/>
      </c>
      <c r="D2515" s="73" t="str">
        <f>IF(OR($D$3=JU!$F2515,$D$3=JU!$I2515),JU!D2515,"")</f>
        <v/>
      </c>
      <c r="E2515" s="74" t="str">
        <f>IF(OR($D$3=JU!$F2515,$D$3=JU!$I2515),JU!E2515,"")</f>
        <v/>
      </c>
      <c r="F2515" s="72">
        <f>IF($D$3=JU!F2515,JU!H2515,0)</f>
        <v>0</v>
      </c>
      <c r="G2515" s="72">
        <f>IF($D$3=JU!I2515,JU!K2515,0)</f>
        <v>0</v>
      </c>
      <c r="H2515" s="72" t="e">
        <f t="shared" si="40"/>
        <v>#REF!</v>
      </c>
    </row>
    <row r="2516" spans="2:8" hidden="1">
      <c r="B2516" s="68" t="str">
        <f>IF(OR($D$3=JU!$F2516,$D$3=JU!$I2516),JU!B2516,"")</f>
        <v/>
      </c>
      <c r="C2516" s="6" t="str">
        <f>IF(OR($D$3=JU!$F2516,$D$3=JU!$I2516),JU!C2516,"")</f>
        <v/>
      </c>
      <c r="D2516" s="73" t="str">
        <f>IF(OR($D$3=JU!$F2516,$D$3=JU!$I2516),JU!D2516,"")</f>
        <v/>
      </c>
      <c r="E2516" s="74" t="str">
        <f>IF(OR($D$3=JU!$F2516,$D$3=JU!$I2516),JU!E2516,"")</f>
        <v/>
      </c>
      <c r="F2516" s="72">
        <f>IF($D$3=JU!F2516,JU!H2516,0)</f>
        <v>0</v>
      </c>
      <c r="G2516" s="72">
        <f>IF($D$3=JU!I2516,JU!K2516,0)</f>
        <v>0</v>
      </c>
      <c r="H2516" s="72" t="e">
        <f t="shared" si="40"/>
        <v>#REF!</v>
      </c>
    </row>
    <row r="2517" spans="2:8" hidden="1">
      <c r="B2517" s="68" t="str">
        <f>IF(OR($D$3=JU!$F2517,$D$3=JU!$I2517),JU!B2517,"")</f>
        <v/>
      </c>
      <c r="C2517" s="6" t="str">
        <f>IF(OR($D$3=JU!$F2517,$D$3=JU!$I2517),JU!C2517,"")</f>
        <v/>
      </c>
      <c r="D2517" s="73" t="str">
        <f>IF(OR($D$3=JU!$F2517,$D$3=JU!$I2517),JU!D2517,"")</f>
        <v/>
      </c>
      <c r="E2517" s="74" t="str">
        <f>IF(OR($D$3=JU!$F2517,$D$3=JU!$I2517),JU!E2517,"")</f>
        <v/>
      </c>
      <c r="F2517" s="72">
        <f>IF($D$3=JU!F2517,JU!H2517,0)</f>
        <v>0</v>
      </c>
      <c r="G2517" s="72">
        <f>IF($D$3=JU!I2517,JU!K2517,0)</f>
        <v>0</v>
      </c>
      <c r="H2517" s="72" t="e">
        <f t="shared" si="40"/>
        <v>#REF!</v>
      </c>
    </row>
    <row r="2518" spans="2:8" hidden="1">
      <c r="B2518" s="68" t="str">
        <f>IF(OR($D$3=JU!$F2518,$D$3=JU!$I2518),JU!B2518,"")</f>
        <v/>
      </c>
      <c r="C2518" s="6" t="str">
        <f>IF(OR($D$3=JU!$F2518,$D$3=JU!$I2518),JU!C2518,"")</f>
        <v/>
      </c>
      <c r="D2518" s="73" t="str">
        <f>IF(OR($D$3=JU!$F2518,$D$3=JU!$I2518),JU!D2518,"")</f>
        <v/>
      </c>
      <c r="E2518" s="74" t="str">
        <f>IF(OR($D$3=JU!$F2518,$D$3=JU!$I2518),JU!E2518,"")</f>
        <v/>
      </c>
      <c r="F2518" s="72">
        <f>IF($D$3=JU!F2518,JU!H2518,0)</f>
        <v>0</v>
      </c>
      <c r="G2518" s="72">
        <f>IF($D$3=JU!I2518,JU!K2518,0)</f>
        <v>0</v>
      </c>
      <c r="H2518" s="72" t="e">
        <f t="shared" si="40"/>
        <v>#REF!</v>
      </c>
    </row>
    <row r="2519" spans="2:8" hidden="1">
      <c r="B2519" s="68" t="str">
        <f>IF(OR($D$3=JU!$F2519,$D$3=JU!$I2519),JU!B2519,"")</f>
        <v/>
      </c>
      <c r="C2519" s="6" t="str">
        <f>IF(OR($D$3=JU!$F2519,$D$3=JU!$I2519),JU!C2519,"")</f>
        <v/>
      </c>
      <c r="D2519" s="73" t="str">
        <f>IF(OR($D$3=JU!$F2519,$D$3=JU!$I2519),JU!D2519,"")</f>
        <v/>
      </c>
      <c r="E2519" s="74" t="str">
        <f>IF(OR($D$3=JU!$F2519,$D$3=JU!$I2519),JU!E2519,"")</f>
        <v/>
      </c>
      <c r="F2519" s="72">
        <f>IF($D$3=JU!F2519,JU!H2519,0)</f>
        <v>0</v>
      </c>
      <c r="G2519" s="72">
        <f>IF($D$3=JU!I2519,JU!K2519,0)</f>
        <v>0</v>
      </c>
      <c r="H2519" s="72" t="e">
        <f t="shared" si="40"/>
        <v>#REF!</v>
      </c>
    </row>
    <row r="2520" spans="2:8" hidden="1">
      <c r="B2520" s="68" t="str">
        <f>IF(OR($D$3=JU!$F2520,$D$3=JU!$I2520),JU!B2520,"")</f>
        <v/>
      </c>
      <c r="C2520" s="6" t="str">
        <f>IF(OR($D$3=JU!$F2520,$D$3=JU!$I2520),JU!C2520,"")</f>
        <v/>
      </c>
      <c r="D2520" s="73" t="str">
        <f>IF(OR($D$3=JU!$F2520,$D$3=JU!$I2520),JU!D2520,"")</f>
        <v/>
      </c>
      <c r="E2520" s="74" t="str">
        <f>IF(OR($D$3=JU!$F2520,$D$3=JU!$I2520),JU!E2520,"")</f>
        <v/>
      </c>
      <c r="F2520" s="72">
        <f>IF($D$3=JU!F2520,JU!H2520,0)</f>
        <v>0</v>
      </c>
      <c r="G2520" s="72">
        <f>IF($D$3=JU!I2520,JU!K2520,0)</f>
        <v>0</v>
      </c>
      <c r="H2520" s="72" t="e">
        <f t="shared" si="40"/>
        <v>#REF!</v>
      </c>
    </row>
    <row r="2521" spans="2:8" hidden="1">
      <c r="B2521" s="68" t="str">
        <f>IF(OR($D$3=JU!$F2521,$D$3=JU!$I2521),JU!B2521,"")</f>
        <v/>
      </c>
      <c r="C2521" s="6" t="str">
        <f>IF(OR($D$3=JU!$F2521,$D$3=JU!$I2521),JU!C2521,"")</f>
        <v/>
      </c>
      <c r="D2521" s="73" t="str">
        <f>IF(OR($D$3=JU!$F2521,$D$3=JU!$I2521),JU!D2521,"")</f>
        <v/>
      </c>
      <c r="E2521" s="74" t="str">
        <f>IF(OR($D$3=JU!$F2521,$D$3=JU!$I2521),JU!E2521,"")</f>
        <v/>
      </c>
      <c r="F2521" s="72">
        <f>IF($D$3=JU!F2521,JU!H2521,0)</f>
        <v>0</v>
      </c>
      <c r="G2521" s="72">
        <f>IF($D$3=JU!I2521,JU!K2521,0)</f>
        <v>0</v>
      </c>
      <c r="H2521" s="72" t="e">
        <f t="shared" si="40"/>
        <v>#REF!</v>
      </c>
    </row>
    <row r="2522" spans="2:8" hidden="1">
      <c r="B2522" s="68" t="str">
        <f>IF(OR($D$3=JU!$F2522,$D$3=JU!$I2522),JU!B2522,"")</f>
        <v/>
      </c>
      <c r="C2522" s="6" t="str">
        <f>IF(OR($D$3=JU!$F2522,$D$3=JU!$I2522),JU!C2522,"")</f>
        <v/>
      </c>
      <c r="D2522" s="73" t="str">
        <f>IF(OR($D$3=JU!$F2522,$D$3=JU!$I2522),JU!D2522,"")</f>
        <v/>
      </c>
      <c r="E2522" s="74" t="str">
        <f>IF(OR($D$3=JU!$F2522,$D$3=JU!$I2522),JU!E2522,"")</f>
        <v/>
      </c>
      <c r="F2522" s="72">
        <f>IF($D$3=JU!F2522,JU!H2522,0)</f>
        <v>0</v>
      </c>
      <c r="G2522" s="72">
        <f>IF($D$3=JU!I2522,JU!K2522,0)</f>
        <v>0</v>
      </c>
      <c r="H2522" s="72" t="e">
        <f t="shared" si="40"/>
        <v>#REF!</v>
      </c>
    </row>
    <row r="2523" spans="2:8" hidden="1">
      <c r="B2523" s="68" t="str">
        <f>IF(OR($D$3=JU!$F2523,$D$3=JU!$I2523),JU!B2523,"")</f>
        <v/>
      </c>
      <c r="C2523" s="6" t="str">
        <f>IF(OR($D$3=JU!$F2523,$D$3=JU!$I2523),JU!C2523,"")</f>
        <v/>
      </c>
      <c r="D2523" s="73" t="str">
        <f>IF(OR($D$3=JU!$F2523,$D$3=JU!$I2523),JU!D2523,"")</f>
        <v/>
      </c>
      <c r="E2523" s="74" t="str">
        <f>IF(OR($D$3=JU!$F2523,$D$3=JU!$I2523),JU!E2523,"")</f>
        <v/>
      </c>
      <c r="F2523" s="72">
        <f>IF($D$3=JU!F2523,JU!H2523,0)</f>
        <v>0</v>
      </c>
      <c r="G2523" s="72">
        <f>IF($D$3=JU!I2523,JU!K2523,0)</f>
        <v>0</v>
      </c>
      <c r="H2523" s="72" t="e">
        <f t="shared" si="40"/>
        <v>#REF!</v>
      </c>
    </row>
    <row r="2524" spans="2:8" hidden="1">
      <c r="B2524" s="68" t="str">
        <f>IF(OR($D$3=JU!$F2524,$D$3=JU!$I2524),JU!B2524,"")</f>
        <v/>
      </c>
      <c r="C2524" s="6" t="str">
        <f>IF(OR($D$3=JU!$F2524,$D$3=JU!$I2524),JU!C2524,"")</f>
        <v/>
      </c>
      <c r="D2524" s="73" t="str">
        <f>IF(OR($D$3=JU!$F2524,$D$3=JU!$I2524),JU!D2524,"")</f>
        <v/>
      </c>
      <c r="E2524" s="74" t="str">
        <f>IF(OR($D$3=JU!$F2524,$D$3=JU!$I2524),JU!E2524,"")</f>
        <v/>
      </c>
      <c r="F2524" s="72">
        <f>IF($D$3=JU!F2524,JU!H2524,0)</f>
        <v>0</v>
      </c>
      <c r="G2524" s="72">
        <f>IF($D$3=JU!I2524,JU!K2524,0)</f>
        <v>0</v>
      </c>
      <c r="H2524" s="72" t="e">
        <f t="shared" si="40"/>
        <v>#REF!</v>
      </c>
    </row>
    <row r="2525" spans="2:8" hidden="1">
      <c r="B2525" s="68" t="str">
        <f>IF(OR($D$3=JU!$F2525,$D$3=JU!$I2525),JU!B2525,"")</f>
        <v/>
      </c>
      <c r="C2525" s="6" t="str">
        <f>IF(OR($D$3=JU!$F2525,$D$3=JU!$I2525),JU!C2525,"")</f>
        <v/>
      </c>
      <c r="D2525" s="73" t="str">
        <f>IF(OR($D$3=JU!$F2525,$D$3=JU!$I2525),JU!D2525,"")</f>
        <v/>
      </c>
      <c r="E2525" s="74" t="str">
        <f>IF(OR($D$3=JU!$F2525,$D$3=JU!$I2525),JU!E2525,"")</f>
        <v/>
      </c>
      <c r="F2525" s="72">
        <f>IF($D$3=JU!F2525,JU!H2525,0)</f>
        <v>0</v>
      </c>
      <c r="G2525" s="72">
        <f>IF($D$3=JU!I2525,JU!K2525,0)</f>
        <v>0</v>
      </c>
      <c r="H2525" s="72" t="e">
        <f t="shared" si="40"/>
        <v>#REF!</v>
      </c>
    </row>
    <row r="2526" spans="2:8" hidden="1">
      <c r="B2526" s="68" t="str">
        <f>IF(OR($D$3=JU!$F2526,$D$3=JU!$I2526),JU!B2526,"")</f>
        <v/>
      </c>
      <c r="C2526" s="6" t="str">
        <f>IF(OR($D$3=JU!$F2526,$D$3=JU!$I2526),JU!C2526,"")</f>
        <v/>
      </c>
      <c r="D2526" s="73" t="str">
        <f>IF(OR($D$3=JU!$F2526,$D$3=JU!$I2526),JU!D2526,"")</f>
        <v/>
      </c>
      <c r="E2526" s="74" t="str">
        <f>IF(OR($D$3=JU!$F2526,$D$3=JU!$I2526),JU!E2526,"")</f>
        <v/>
      </c>
      <c r="F2526" s="72">
        <f>IF($D$3=JU!F2526,JU!H2526,0)</f>
        <v>0</v>
      </c>
      <c r="G2526" s="72">
        <f>IF($D$3=JU!I2526,JU!K2526,0)</f>
        <v>0</v>
      </c>
      <c r="H2526" s="72" t="e">
        <f t="shared" si="40"/>
        <v>#REF!</v>
      </c>
    </row>
    <row r="2527" spans="2:8" hidden="1">
      <c r="B2527" s="68" t="str">
        <f>IF(OR($D$3=JU!$F2527,$D$3=JU!$I2527),JU!B2527,"")</f>
        <v/>
      </c>
      <c r="C2527" s="6" t="str">
        <f>IF(OR($D$3=JU!$F2527,$D$3=JU!$I2527),JU!C2527,"")</f>
        <v/>
      </c>
      <c r="D2527" s="73" t="str">
        <f>IF(OR($D$3=JU!$F2527,$D$3=JU!$I2527),JU!D2527,"")</f>
        <v/>
      </c>
      <c r="E2527" s="74" t="str">
        <f>IF(OR($D$3=JU!$F2527,$D$3=JU!$I2527),JU!E2527,"")</f>
        <v/>
      </c>
      <c r="F2527" s="72">
        <f>IF($D$3=JU!F2527,JU!H2527,0)</f>
        <v>0</v>
      </c>
      <c r="G2527" s="72">
        <f>IF($D$3=JU!I2527,JU!K2527,0)</f>
        <v>0</v>
      </c>
      <c r="H2527" s="72" t="e">
        <f t="shared" si="40"/>
        <v>#REF!</v>
      </c>
    </row>
    <row r="2528" spans="2:8" hidden="1">
      <c r="B2528" s="68" t="str">
        <f>IF(OR($D$3=JU!$F2528,$D$3=JU!$I2528),JU!B2528,"")</f>
        <v/>
      </c>
      <c r="C2528" s="6" t="str">
        <f>IF(OR($D$3=JU!$F2528,$D$3=JU!$I2528),JU!C2528,"")</f>
        <v/>
      </c>
      <c r="D2528" s="73" t="str">
        <f>IF(OR($D$3=JU!$F2528,$D$3=JU!$I2528),JU!D2528,"")</f>
        <v/>
      </c>
      <c r="E2528" s="74" t="str">
        <f>IF(OR($D$3=JU!$F2528,$D$3=JU!$I2528),JU!E2528,"")</f>
        <v/>
      </c>
      <c r="F2528" s="72">
        <f>IF($D$3=JU!F2528,JU!H2528,0)</f>
        <v>0</v>
      </c>
      <c r="G2528" s="72">
        <f>IF($D$3=JU!I2528,JU!K2528,0)</f>
        <v>0</v>
      </c>
      <c r="H2528" s="72" t="e">
        <f t="shared" si="40"/>
        <v>#REF!</v>
      </c>
    </row>
    <row r="2529" spans="2:8" hidden="1">
      <c r="B2529" s="68" t="str">
        <f>IF(OR($D$3=JU!$F2529,$D$3=JU!$I2529),JU!B2529,"")</f>
        <v/>
      </c>
      <c r="C2529" s="6" t="str">
        <f>IF(OR($D$3=JU!$F2529,$D$3=JU!$I2529),JU!C2529,"")</f>
        <v/>
      </c>
      <c r="D2529" s="73" t="str">
        <f>IF(OR($D$3=JU!$F2529,$D$3=JU!$I2529),JU!D2529,"")</f>
        <v/>
      </c>
      <c r="E2529" s="74" t="str">
        <f>IF(OR($D$3=JU!$F2529,$D$3=JU!$I2529),JU!E2529,"")</f>
        <v/>
      </c>
      <c r="F2529" s="72">
        <f>IF($D$3=JU!F2529,JU!H2529,0)</f>
        <v>0</v>
      </c>
      <c r="G2529" s="72">
        <f>IF($D$3=JU!I2529,JU!K2529,0)</f>
        <v>0</v>
      </c>
      <c r="H2529" s="72" t="e">
        <f t="shared" si="40"/>
        <v>#REF!</v>
      </c>
    </row>
    <row r="2530" spans="2:8" hidden="1">
      <c r="B2530" s="68" t="str">
        <f>IF(OR($D$3=JU!$F2530,$D$3=JU!$I2530),JU!B2530,"")</f>
        <v/>
      </c>
      <c r="C2530" s="6" t="str">
        <f>IF(OR($D$3=JU!$F2530,$D$3=JU!$I2530),JU!C2530,"")</f>
        <v/>
      </c>
      <c r="D2530" s="73" t="str">
        <f>IF(OR($D$3=JU!$F2530,$D$3=JU!$I2530),JU!D2530,"")</f>
        <v/>
      </c>
      <c r="E2530" s="74" t="str">
        <f>IF(OR($D$3=JU!$F2530,$D$3=JU!$I2530),JU!E2530,"")</f>
        <v/>
      </c>
      <c r="F2530" s="72">
        <f>IF($D$3=JU!F2530,JU!H2530,0)</f>
        <v>0</v>
      </c>
      <c r="G2530" s="72">
        <f>IF($D$3=JU!I2530,JU!K2530,0)</f>
        <v>0</v>
      </c>
      <c r="H2530" s="72" t="e">
        <f t="shared" si="40"/>
        <v>#REF!</v>
      </c>
    </row>
    <row r="2531" spans="2:8" hidden="1">
      <c r="B2531" s="68" t="str">
        <f>IF(OR($D$3=JU!$F2531,$D$3=JU!$I2531),JU!B2531,"")</f>
        <v/>
      </c>
      <c r="C2531" s="6" t="str">
        <f>IF(OR($D$3=JU!$F2531,$D$3=JU!$I2531),JU!C2531,"")</f>
        <v/>
      </c>
      <c r="D2531" s="73" t="str">
        <f>IF(OR($D$3=JU!$F2531,$D$3=JU!$I2531),JU!D2531,"")</f>
        <v/>
      </c>
      <c r="E2531" s="74" t="str">
        <f>IF(OR($D$3=JU!$F2531,$D$3=JU!$I2531),JU!E2531,"")</f>
        <v/>
      </c>
      <c r="F2531" s="72">
        <f>IF($D$3=JU!F2531,JU!H2531,0)</f>
        <v>0</v>
      </c>
      <c r="G2531" s="72">
        <f>IF($D$3=JU!I2531,JU!K2531,0)</f>
        <v>0</v>
      </c>
      <c r="H2531" s="72" t="e">
        <f t="shared" si="40"/>
        <v>#REF!</v>
      </c>
    </row>
    <row r="2532" spans="2:8" hidden="1">
      <c r="B2532" s="68" t="str">
        <f>IF(OR($D$3=JU!$F2532,$D$3=JU!$I2532),JU!B2532,"")</f>
        <v/>
      </c>
      <c r="C2532" s="6" t="str">
        <f>IF(OR($D$3=JU!$F2532,$D$3=JU!$I2532),JU!C2532,"")</f>
        <v/>
      </c>
      <c r="D2532" s="73" t="str">
        <f>IF(OR($D$3=JU!$F2532,$D$3=JU!$I2532),JU!D2532,"")</f>
        <v/>
      </c>
      <c r="E2532" s="74" t="str">
        <f>IF(OR($D$3=JU!$F2532,$D$3=JU!$I2532),JU!E2532,"")</f>
        <v/>
      </c>
      <c r="F2532" s="72">
        <f>IF($D$3=JU!F2532,JU!H2532,0)</f>
        <v>0</v>
      </c>
      <c r="G2532" s="72">
        <f>IF($D$3=JU!I2532,JU!K2532,0)</f>
        <v>0</v>
      </c>
      <c r="H2532" s="72" t="e">
        <f t="shared" si="40"/>
        <v>#REF!</v>
      </c>
    </row>
    <row r="2533" spans="2:8" hidden="1">
      <c r="B2533" s="68" t="str">
        <f>IF(OR($D$3=JU!$F2533,$D$3=JU!$I2533),JU!B2533,"")</f>
        <v/>
      </c>
      <c r="C2533" s="6" t="str">
        <f>IF(OR($D$3=JU!$F2533,$D$3=JU!$I2533),JU!C2533,"")</f>
        <v/>
      </c>
      <c r="D2533" s="73" t="str">
        <f>IF(OR($D$3=JU!$F2533,$D$3=JU!$I2533),JU!D2533,"")</f>
        <v/>
      </c>
      <c r="E2533" s="74" t="str">
        <f>IF(OR($D$3=JU!$F2533,$D$3=JU!$I2533),JU!E2533,"")</f>
        <v/>
      </c>
      <c r="F2533" s="72">
        <f>IF($D$3=JU!F2533,JU!H2533,0)</f>
        <v>0</v>
      </c>
      <c r="G2533" s="72">
        <f>IF($D$3=JU!I2533,JU!K2533,0)</f>
        <v>0</v>
      </c>
      <c r="H2533" s="72" t="e">
        <f t="shared" si="40"/>
        <v>#REF!</v>
      </c>
    </row>
    <row r="2534" spans="2:8" hidden="1">
      <c r="B2534" s="68" t="str">
        <f>IF(OR($D$3=JU!$F2534,$D$3=JU!$I2534),JU!B2534,"")</f>
        <v/>
      </c>
      <c r="C2534" s="6" t="str">
        <f>IF(OR($D$3=JU!$F2534,$D$3=JU!$I2534),JU!C2534,"")</f>
        <v/>
      </c>
      <c r="D2534" s="73" t="str">
        <f>IF(OR($D$3=JU!$F2534,$D$3=JU!$I2534),JU!D2534,"")</f>
        <v/>
      </c>
      <c r="E2534" s="74" t="str">
        <f>IF(OR($D$3=JU!$F2534,$D$3=JU!$I2534),JU!E2534,"")</f>
        <v/>
      </c>
      <c r="F2534" s="72">
        <f>IF($D$3=JU!F2534,JU!H2534,0)</f>
        <v>0</v>
      </c>
      <c r="G2534" s="72">
        <f>IF($D$3=JU!I2534,JU!K2534,0)</f>
        <v>0</v>
      </c>
      <c r="H2534" s="72" t="e">
        <f t="shared" si="40"/>
        <v>#REF!</v>
      </c>
    </row>
    <row r="2535" spans="2:8" hidden="1">
      <c r="B2535" s="68" t="str">
        <f>IF(OR($D$3=JU!$F2535,$D$3=JU!$I2535),JU!B2535,"")</f>
        <v/>
      </c>
      <c r="C2535" s="6" t="str">
        <f>IF(OR($D$3=JU!$F2535,$D$3=JU!$I2535),JU!C2535,"")</f>
        <v/>
      </c>
      <c r="D2535" s="73" t="str">
        <f>IF(OR($D$3=JU!$F2535,$D$3=JU!$I2535),JU!D2535,"")</f>
        <v/>
      </c>
      <c r="E2535" s="74" t="str">
        <f>IF(OR($D$3=JU!$F2535,$D$3=JU!$I2535),JU!E2535,"")</f>
        <v/>
      </c>
      <c r="F2535" s="72">
        <f>IF($D$3=JU!F2535,JU!H2535,0)</f>
        <v>0</v>
      </c>
      <c r="G2535" s="72">
        <f>IF($D$3=JU!I2535,JU!K2535,0)</f>
        <v>0</v>
      </c>
      <c r="H2535" s="72" t="e">
        <f t="shared" si="40"/>
        <v>#REF!</v>
      </c>
    </row>
    <row r="2536" spans="2:8" hidden="1">
      <c r="B2536" s="68" t="str">
        <f>IF(OR($D$3=JU!$F2536,$D$3=JU!$I2536),JU!B2536,"")</f>
        <v/>
      </c>
      <c r="C2536" s="6" t="str">
        <f>IF(OR($D$3=JU!$F2536,$D$3=JU!$I2536),JU!C2536,"")</f>
        <v/>
      </c>
      <c r="D2536" s="73" t="str">
        <f>IF(OR($D$3=JU!$F2536,$D$3=JU!$I2536),JU!D2536,"")</f>
        <v/>
      </c>
      <c r="E2536" s="74" t="str">
        <f>IF(OR($D$3=JU!$F2536,$D$3=JU!$I2536),JU!E2536,"")</f>
        <v/>
      </c>
      <c r="F2536" s="72">
        <f>IF($D$3=JU!F2536,JU!H2536,0)</f>
        <v>0</v>
      </c>
      <c r="G2536" s="72">
        <f>IF($D$3=JU!I2536,JU!K2536,0)</f>
        <v>0</v>
      </c>
      <c r="H2536" s="72" t="e">
        <f t="shared" si="40"/>
        <v>#REF!</v>
      </c>
    </row>
    <row r="2537" spans="2:8" hidden="1">
      <c r="B2537" s="68" t="str">
        <f>IF(OR($D$3=JU!$F2537,$D$3=JU!$I2537),JU!B2537,"")</f>
        <v/>
      </c>
      <c r="C2537" s="6" t="str">
        <f>IF(OR($D$3=JU!$F2537,$D$3=JU!$I2537),JU!C2537,"")</f>
        <v/>
      </c>
      <c r="D2537" s="73" t="str">
        <f>IF(OR($D$3=JU!$F2537,$D$3=JU!$I2537),JU!D2537,"")</f>
        <v/>
      </c>
      <c r="E2537" s="74" t="str">
        <f>IF(OR($D$3=JU!$F2537,$D$3=JU!$I2537),JU!E2537,"")</f>
        <v/>
      </c>
      <c r="F2537" s="72">
        <f>IF($D$3=JU!F2537,JU!H2537,0)</f>
        <v>0</v>
      </c>
      <c r="G2537" s="72">
        <f>IF($D$3=JU!I2537,JU!K2537,0)</f>
        <v>0</v>
      </c>
      <c r="H2537" s="72" t="e">
        <f t="shared" si="40"/>
        <v>#REF!</v>
      </c>
    </row>
    <row r="2538" spans="2:8" hidden="1">
      <c r="B2538" s="68" t="str">
        <f>IF(OR($D$3=JU!$F2538,$D$3=JU!$I2538),JU!B2538,"")</f>
        <v/>
      </c>
      <c r="C2538" s="6" t="str">
        <f>IF(OR($D$3=JU!$F2538,$D$3=JU!$I2538),JU!C2538,"")</f>
        <v/>
      </c>
      <c r="D2538" s="73" t="str">
        <f>IF(OR($D$3=JU!$F2538,$D$3=JU!$I2538),JU!D2538,"")</f>
        <v/>
      </c>
      <c r="E2538" s="74" t="str">
        <f>IF(OR($D$3=JU!$F2538,$D$3=JU!$I2538),JU!E2538,"")</f>
        <v/>
      </c>
      <c r="F2538" s="72">
        <f>IF($D$3=JU!F2538,JU!H2538,0)</f>
        <v>0</v>
      </c>
      <c r="G2538" s="72">
        <f>IF($D$3=JU!I2538,JU!K2538,0)</f>
        <v>0</v>
      </c>
      <c r="H2538" s="72" t="e">
        <f t="shared" si="40"/>
        <v>#REF!</v>
      </c>
    </row>
    <row r="2539" spans="2:8" hidden="1">
      <c r="B2539" s="68" t="str">
        <f>IF(OR($D$3=JU!$F2539,$D$3=JU!$I2539),JU!B2539,"")</f>
        <v/>
      </c>
      <c r="C2539" s="6" t="str">
        <f>IF(OR($D$3=JU!$F2539,$D$3=JU!$I2539),JU!C2539,"")</f>
        <v/>
      </c>
      <c r="D2539" s="73" t="str">
        <f>IF(OR($D$3=JU!$F2539,$D$3=JU!$I2539),JU!D2539,"")</f>
        <v/>
      </c>
      <c r="E2539" s="74" t="str">
        <f>IF(OR($D$3=JU!$F2539,$D$3=JU!$I2539),JU!E2539,"")</f>
        <v/>
      </c>
      <c r="F2539" s="72">
        <f>IF($D$3=JU!F2539,JU!H2539,0)</f>
        <v>0</v>
      </c>
      <c r="G2539" s="72">
        <f>IF($D$3=JU!I2539,JU!K2539,0)</f>
        <v>0</v>
      </c>
      <c r="H2539" s="72" t="e">
        <f t="shared" si="40"/>
        <v>#REF!</v>
      </c>
    </row>
    <row r="2540" spans="2:8" hidden="1">
      <c r="B2540" s="68" t="str">
        <f>IF(OR($D$3=JU!$F2540,$D$3=JU!$I2540),JU!B2540,"")</f>
        <v/>
      </c>
      <c r="C2540" s="6" t="str">
        <f>IF(OR($D$3=JU!$F2540,$D$3=JU!$I2540),JU!C2540,"")</f>
        <v/>
      </c>
      <c r="D2540" s="73" t="str">
        <f>IF(OR($D$3=JU!$F2540,$D$3=JU!$I2540),JU!D2540,"")</f>
        <v/>
      </c>
      <c r="E2540" s="74" t="str">
        <f>IF(OR($D$3=JU!$F2540,$D$3=JU!$I2540),JU!E2540,"")</f>
        <v/>
      </c>
      <c r="F2540" s="72">
        <f>IF($D$3=JU!F2540,JU!H2540,0)</f>
        <v>0</v>
      </c>
      <c r="G2540" s="72">
        <f>IF($D$3=JU!I2540,JU!K2540,0)</f>
        <v>0</v>
      </c>
      <c r="H2540" s="72" t="e">
        <f t="shared" si="40"/>
        <v>#REF!</v>
      </c>
    </row>
    <row r="2541" spans="2:8" hidden="1">
      <c r="B2541" s="68" t="str">
        <f>IF(OR($D$3=JU!$F2541,$D$3=JU!$I2541),JU!B2541,"")</f>
        <v/>
      </c>
      <c r="C2541" s="6" t="str">
        <f>IF(OR($D$3=JU!$F2541,$D$3=JU!$I2541),JU!C2541,"")</f>
        <v/>
      </c>
      <c r="D2541" s="73" t="str">
        <f>IF(OR($D$3=JU!$F2541,$D$3=JU!$I2541),JU!D2541,"")</f>
        <v/>
      </c>
      <c r="E2541" s="74" t="str">
        <f>IF(OR($D$3=JU!$F2541,$D$3=JU!$I2541),JU!E2541,"")</f>
        <v/>
      </c>
      <c r="F2541" s="72">
        <f>IF($D$3=JU!F2541,JU!H2541,0)</f>
        <v>0</v>
      </c>
      <c r="G2541" s="72">
        <f>IF($D$3=JU!I2541,JU!K2541,0)</f>
        <v>0</v>
      </c>
      <c r="H2541" s="72" t="e">
        <f t="shared" si="40"/>
        <v>#REF!</v>
      </c>
    </row>
    <row r="2542" spans="2:8" hidden="1">
      <c r="B2542" s="68" t="str">
        <f>IF(OR($D$3=JU!$F2542,$D$3=JU!$I2542),JU!B2542,"")</f>
        <v/>
      </c>
      <c r="C2542" s="6" t="str">
        <f>IF(OR($D$3=JU!$F2542,$D$3=JU!$I2542),JU!C2542,"")</f>
        <v/>
      </c>
      <c r="D2542" s="73" t="str">
        <f>IF(OR($D$3=JU!$F2542,$D$3=JU!$I2542),JU!D2542,"")</f>
        <v/>
      </c>
      <c r="E2542" s="74" t="str">
        <f>IF(OR($D$3=JU!$F2542,$D$3=JU!$I2542),JU!E2542,"")</f>
        <v/>
      </c>
      <c r="F2542" s="72">
        <f>IF($D$3=JU!F2542,JU!H2542,0)</f>
        <v>0</v>
      </c>
      <c r="G2542" s="72">
        <f>IF($D$3=JU!I2542,JU!K2542,0)</f>
        <v>0</v>
      </c>
      <c r="H2542" s="72" t="e">
        <f t="shared" si="40"/>
        <v>#REF!</v>
      </c>
    </row>
    <row r="2543" spans="2:8" hidden="1">
      <c r="B2543" s="68" t="str">
        <f>IF(OR($D$3=JU!$F2543,$D$3=JU!$I2543),JU!B2543,"")</f>
        <v/>
      </c>
      <c r="C2543" s="6" t="str">
        <f>IF(OR($D$3=JU!$F2543,$D$3=JU!$I2543),JU!C2543,"")</f>
        <v/>
      </c>
      <c r="D2543" s="73" t="str">
        <f>IF(OR($D$3=JU!$F2543,$D$3=JU!$I2543),JU!D2543,"")</f>
        <v/>
      </c>
      <c r="E2543" s="74" t="str">
        <f>IF(OR($D$3=JU!$F2543,$D$3=JU!$I2543),JU!E2543,"")</f>
        <v/>
      </c>
      <c r="F2543" s="72">
        <f>IF($D$3=JU!F2543,JU!H2543,0)</f>
        <v>0</v>
      </c>
      <c r="G2543" s="72">
        <f>IF($D$3=JU!I2543,JU!K2543,0)</f>
        <v>0</v>
      </c>
      <c r="H2543" s="72" t="e">
        <f t="shared" si="40"/>
        <v>#REF!</v>
      </c>
    </row>
    <row r="2544" spans="2:8" hidden="1">
      <c r="B2544" s="68" t="str">
        <f>IF(OR($D$3=JU!$F2544,$D$3=JU!$I2544),JU!B2544,"")</f>
        <v/>
      </c>
      <c r="C2544" s="6" t="str">
        <f>IF(OR($D$3=JU!$F2544,$D$3=JU!$I2544),JU!C2544,"")</f>
        <v/>
      </c>
      <c r="D2544" s="73" t="str">
        <f>IF(OR($D$3=JU!$F2544,$D$3=JU!$I2544),JU!D2544,"")</f>
        <v/>
      </c>
      <c r="E2544" s="74" t="str">
        <f>IF(OR($D$3=JU!$F2544,$D$3=JU!$I2544),JU!E2544,"")</f>
        <v/>
      </c>
      <c r="F2544" s="72">
        <f>IF($D$3=JU!F2544,JU!H2544,0)</f>
        <v>0</v>
      </c>
      <c r="G2544" s="72">
        <f>IF($D$3=JU!I2544,JU!K2544,0)</f>
        <v>0</v>
      </c>
      <c r="H2544" s="72" t="e">
        <f t="shared" si="40"/>
        <v>#REF!</v>
      </c>
    </row>
    <row r="2545" spans="2:8" hidden="1">
      <c r="B2545" s="68" t="str">
        <f>IF(OR($D$3=JU!$F2545,$D$3=JU!$I2545),JU!B2545,"")</f>
        <v/>
      </c>
      <c r="C2545" s="6" t="str">
        <f>IF(OR($D$3=JU!$F2545,$D$3=JU!$I2545),JU!C2545,"")</f>
        <v/>
      </c>
      <c r="D2545" s="73" t="str">
        <f>IF(OR($D$3=JU!$F2545,$D$3=JU!$I2545),JU!D2545,"")</f>
        <v/>
      </c>
      <c r="E2545" s="74" t="str">
        <f>IF(OR($D$3=JU!$F2545,$D$3=JU!$I2545),JU!E2545,"")</f>
        <v/>
      </c>
      <c r="F2545" s="72">
        <f>IF($D$3=JU!F2545,JU!H2545,0)</f>
        <v>0</v>
      </c>
      <c r="G2545" s="72">
        <f>IF($D$3=JU!I2545,JU!K2545,0)</f>
        <v>0</v>
      </c>
      <c r="H2545" s="72" t="e">
        <f t="shared" si="40"/>
        <v>#REF!</v>
      </c>
    </row>
    <row r="2546" spans="2:8" hidden="1">
      <c r="B2546" s="68" t="str">
        <f>IF(OR($D$3=JU!$F2546,$D$3=JU!$I2546),JU!B2546,"")</f>
        <v/>
      </c>
      <c r="C2546" s="6" t="str">
        <f>IF(OR($D$3=JU!$F2546,$D$3=JU!$I2546),JU!C2546,"")</f>
        <v/>
      </c>
      <c r="D2546" s="73" t="str">
        <f>IF(OR($D$3=JU!$F2546,$D$3=JU!$I2546),JU!D2546,"")</f>
        <v/>
      </c>
      <c r="E2546" s="74" t="str">
        <f>IF(OR($D$3=JU!$F2546,$D$3=JU!$I2546),JU!E2546,"")</f>
        <v/>
      </c>
      <c r="F2546" s="72">
        <f>IF($D$3=JU!F2546,JU!H2546,0)</f>
        <v>0</v>
      </c>
      <c r="G2546" s="72">
        <f>IF($D$3=JU!I2546,JU!K2546,0)</f>
        <v>0</v>
      </c>
      <c r="H2546" s="72" t="e">
        <f t="shared" si="40"/>
        <v>#REF!</v>
      </c>
    </row>
    <row r="2547" spans="2:8" hidden="1">
      <c r="B2547" s="68" t="str">
        <f>IF(OR($D$3=JU!$F2547,$D$3=JU!$I2547),JU!B2547,"")</f>
        <v/>
      </c>
      <c r="C2547" s="6" t="str">
        <f>IF(OR($D$3=JU!$F2547,$D$3=JU!$I2547),JU!C2547,"")</f>
        <v/>
      </c>
      <c r="D2547" s="73" t="str">
        <f>IF(OR($D$3=JU!$F2547,$D$3=JU!$I2547),JU!D2547,"")</f>
        <v/>
      </c>
      <c r="E2547" s="74" t="str">
        <f>IF(OR($D$3=JU!$F2547,$D$3=JU!$I2547),JU!E2547,"")</f>
        <v/>
      </c>
      <c r="F2547" s="72">
        <f>IF($D$3=JU!F2547,JU!H2547,0)</f>
        <v>0</v>
      </c>
      <c r="G2547" s="72">
        <f>IF($D$3=JU!I2547,JU!K2547,0)</f>
        <v>0</v>
      </c>
      <c r="H2547" s="72" t="e">
        <f t="shared" si="40"/>
        <v>#REF!</v>
      </c>
    </row>
    <row r="2548" spans="2:8" hidden="1">
      <c r="B2548" s="68" t="str">
        <f>IF(OR($D$3=JU!$F2548,$D$3=JU!$I2548),JU!B2548,"")</f>
        <v/>
      </c>
      <c r="C2548" s="6" t="str">
        <f>IF(OR($D$3=JU!$F2548,$D$3=JU!$I2548),JU!C2548,"")</f>
        <v/>
      </c>
      <c r="D2548" s="73" t="str">
        <f>IF(OR($D$3=JU!$F2548,$D$3=JU!$I2548),JU!D2548,"")</f>
        <v/>
      </c>
      <c r="E2548" s="74" t="str">
        <f>IF(OR($D$3=JU!$F2548,$D$3=JU!$I2548),JU!E2548,"")</f>
        <v/>
      </c>
      <c r="F2548" s="72">
        <f>IF($D$3=JU!F2548,JU!H2548,0)</f>
        <v>0</v>
      </c>
      <c r="G2548" s="72">
        <f>IF($D$3=JU!I2548,JU!K2548,0)</f>
        <v>0</v>
      </c>
      <c r="H2548" s="72" t="e">
        <f t="shared" si="40"/>
        <v>#REF!</v>
      </c>
    </row>
    <row r="2549" spans="2:8" hidden="1">
      <c r="B2549" s="68" t="str">
        <f>IF(OR($D$3=JU!$F2549,$D$3=JU!$I2549),JU!B2549,"")</f>
        <v/>
      </c>
      <c r="C2549" s="6" t="str">
        <f>IF(OR($D$3=JU!$F2549,$D$3=JU!$I2549),JU!C2549,"")</f>
        <v/>
      </c>
      <c r="D2549" s="73" t="str">
        <f>IF(OR($D$3=JU!$F2549,$D$3=JU!$I2549),JU!D2549,"")</f>
        <v/>
      </c>
      <c r="E2549" s="74" t="str">
        <f>IF(OR($D$3=JU!$F2549,$D$3=JU!$I2549),JU!E2549,"")</f>
        <v/>
      </c>
      <c r="F2549" s="72">
        <f>IF($D$3=JU!F2549,JU!H2549,0)</f>
        <v>0</v>
      </c>
      <c r="G2549" s="72">
        <f>IF($D$3=JU!I2549,JU!K2549,0)</f>
        <v>0</v>
      </c>
      <c r="H2549" s="72" t="e">
        <f t="shared" si="40"/>
        <v>#REF!</v>
      </c>
    </row>
    <row r="2550" spans="2:8" hidden="1">
      <c r="B2550" s="68" t="str">
        <f>IF(OR($D$3=JU!$F2550,$D$3=JU!$I2550),JU!B2550,"")</f>
        <v/>
      </c>
      <c r="C2550" s="6" t="str">
        <f>IF(OR($D$3=JU!$F2550,$D$3=JU!$I2550),JU!C2550,"")</f>
        <v/>
      </c>
      <c r="D2550" s="73" t="str">
        <f>IF(OR($D$3=JU!$F2550,$D$3=JU!$I2550),JU!D2550,"")</f>
        <v/>
      </c>
      <c r="E2550" s="74" t="str">
        <f>IF(OR($D$3=JU!$F2550,$D$3=JU!$I2550),JU!E2550,"")</f>
        <v/>
      </c>
      <c r="F2550" s="72">
        <f>IF($D$3=JU!F2550,JU!H2550,0)</f>
        <v>0</v>
      </c>
      <c r="G2550" s="72">
        <f>IF($D$3=JU!I2550,JU!K2550,0)</f>
        <v>0</v>
      </c>
      <c r="H2550" s="72" t="e">
        <f t="shared" si="40"/>
        <v>#REF!</v>
      </c>
    </row>
    <row r="2551" spans="2:8" hidden="1">
      <c r="B2551" s="68" t="str">
        <f>IF(OR($D$3=JU!$F2551,$D$3=JU!$I2551),JU!B2551,"")</f>
        <v/>
      </c>
      <c r="C2551" s="6" t="str">
        <f>IF(OR($D$3=JU!$F2551,$D$3=JU!$I2551),JU!C2551,"")</f>
        <v/>
      </c>
      <c r="D2551" s="73" t="str">
        <f>IF(OR($D$3=JU!$F2551,$D$3=JU!$I2551),JU!D2551,"")</f>
        <v/>
      </c>
      <c r="E2551" s="74" t="str">
        <f>IF(OR($D$3=JU!$F2551,$D$3=JU!$I2551),JU!E2551,"")</f>
        <v/>
      </c>
      <c r="F2551" s="72">
        <f>IF($D$3=JU!F2551,JU!H2551,0)</f>
        <v>0</v>
      </c>
      <c r="G2551" s="72">
        <f>IF($D$3=JU!I2551,JU!K2551,0)</f>
        <v>0</v>
      </c>
      <c r="H2551" s="72" t="e">
        <f t="shared" si="40"/>
        <v>#REF!</v>
      </c>
    </row>
    <row r="2552" spans="2:8" hidden="1">
      <c r="B2552" s="68" t="str">
        <f>IF(OR($D$3=JU!$F2552,$D$3=JU!$I2552),JU!B2552,"")</f>
        <v/>
      </c>
      <c r="C2552" s="6" t="str">
        <f>IF(OR($D$3=JU!$F2552,$D$3=JU!$I2552),JU!C2552,"")</f>
        <v/>
      </c>
      <c r="D2552" s="73" t="str">
        <f>IF(OR($D$3=JU!$F2552,$D$3=JU!$I2552),JU!D2552,"")</f>
        <v/>
      </c>
      <c r="E2552" s="74" t="str">
        <f>IF(OR($D$3=JU!$F2552,$D$3=JU!$I2552),JU!E2552,"")</f>
        <v/>
      </c>
      <c r="F2552" s="72">
        <f>IF($D$3=JU!F2552,JU!H2552,0)</f>
        <v>0</v>
      </c>
      <c r="G2552" s="72">
        <f>IF($D$3=JU!I2552,JU!K2552,0)</f>
        <v>0</v>
      </c>
      <c r="H2552" s="72" t="e">
        <f t="shared" si="40"/>
        <v>#REF!</v>
      </c>
    </row>
    <row r="2553" spans="2:8" hidden="1">
      <c r="B2553" s="68" t="str">
        <f>IF(OR($D$3=JU!$F2553,$D$3=JU!$I2553),JU!B2553,"")</f>
        <v/>
      </c>
      <c r="C2553" s="6" t="str">
        <f>IF(OR($D$3=JU!$F2553,$D$3=JU!$I2553),JU!C2553,"")</f>
        <v/>
      </c>
      <c r="D2553" s="73" t="str">
        <f>IF(OR($D$3=JU!$F2553,$D$3=JU!$I2553),JU!D2553,"")</f>
        <v/>
      </c>
      <c r="E2553" s="74" t="str">
        <f>IF(OR($D$3=JU!$F2553,$D$3=JU!$I2553),JU!E2553,"")</f>
        <v/>
      </c>
      <c r="F2553" s="72">
        <f>IF($D$3=JU!F2553,JU!H2553,0)</f>
        <v>0</v>
      </c>
      <c r="G2553" s="72">
        <f>IF($D$3=JU!I2553,JU!K2553,0)</f>
        <v>0</v>
      </c>
      <c r="H2553" s="72" t="e">
        <f t="shared" si="40"/>
        <v>#REF!</v>
      </c>
    </row>
    <row r="2554" spans="2:8" hidden="1">
      <c r="B2554" s="68" t="str">
        <f>IF(OR($D$3=JU!$F2554,$D$3=JU!$I2554),JU!B2554,"")</f>
        <v/>
      </c>
      <c r="C2554" s="6" t="str">
        <f>IF(OR($D$3=JU!$F2554,$D$3=JU!$I2554),JU!C2554,"")</f>
        <v/>
      </c>
      <c r="D2554" s="73" t="str">
        <f>IF(OR($D$3=JU!$F2554,$D$3=JU!$I2554),JU!D2554,"")</f>
        <v/>
      </c>
      <c r="E2554" s="74" t="str">
        <f>IF(OR($D$3=JU!$F2554,$D$3=JU!$I2554),JU!E2554,"")</f>
        <v/>
      </c>
      <c r="F2554" s="72">
        <f>IF($D$3=JU!F2554,JU!H2554,0)</f>
        <v>0</v>
      </c>
      <c r="G2554" s="72">
        <f>IF($D$3=JU!I2554,JU!K2554,0)</f>
        <v>0</v>
      </c>
      <c r="H2554" s="72" t="e">
        <f t="shared" si="40"/>
        <v>#REF!</v>
      </c>
    </row>
    <row r="2555" spans="2:8" hidden="1">
      <c r="B2555" s="68" t="str">
        <f>IF(OR($D$3=JU!$F2555,$D$3=JU!$I2555),JU!B2555,"")</f>
        <v/>
      </c>
      <c r="C2555" s="6" t="str">
        <f>IF(OR($D$3=JU!$F2555,$D$3=JU!$I2555),JU!C2555,"")</f>
        <v/>
      </c>
      <c r="D2555" s="73" t="str">
        <f>IF(OR($D$3=JU!$F2555,$D$3=JU!$I2555),JU!D2555,"")</f>
        <v/>
      </c>
      <c r="E2555" s="74" t="str">
        <f>IF(OR($D$3=JU!$F2555,$D$3=JU!$I2555),JU!E2555,"")</f>
        <v/>
      </c>
      <c r="F2555" s="72">
        <f>IF($D$3=JU!F2555,JU!H2555,0)</f>
        <v>0</v>
      </c>
      <c r="G2555" s="72">
        <f>IF($D$3=JU!I2555,JU!K2555,0)</f>
        <v>0</v>
      </c>
      <c r="H2555" s="72" t="e">
        <f t="shared" si="40"/>
        <v>#REF!</v>
      </c>
    </row>
    <row r="2556" spans="2:8" hidden="1">
      <c r="B2556" s="68" t="str">
        <f>IF(OR($D$3=JU!$F2556,$D$3=JU!$I2556),JU!B2556,"")</f>
        <v/>
      </c>
      <c r="C2556" s="6" t="str">
        <f>IF(OR($D$3=JU!$F2556,$D$3=JU!$I2556),JU!C2556,"")</f>
        <v/>
      </c>
      <c r="D2556" s="73" t="str">
        <f>IF(OR($D$3=JU!$F2556,$D$3=JU!$I2556),JU!D2556,"")</f>
        <v/>
      </c>
      <c r="E2556" s="74" t="str">
        <f>IF(OR($D$3=JU!$F2556,$D$3=JU!$I2556),JU!E2556,"")</f>
        <v/>
      </c>
      <c r="F2556" s="72">
        <f>IF($D$3=JU!F2556,JU!H2556,0)</f>
        <v>0</v>
      </c>
      <c r="G2556" s="72">
        <f>IF($D$3=JU!I2556,JU!K2556,0)</f>
        <v>0</v>
      </c>
      <c r="H2556" s="72" t="e">
        <f t="shared" si="40"/>
        <v>#REF!</v>
      </c>
    </row>
    <row r="2557" spans="2:8" hidden="1">
      <c r="B2557" s="68" t="str">
        <f>IF(OR($D$3=JU!$F2557,$D$3=JU!$I2557),JU!B2557,"")</f>
        <v/>
      </c>
      <c r="C2557" s="6" t="str">
        <f>IF(OR($D$3=JU!$F2557,$D$3=JU!$I2557),JU!C2557,"")</f>
        <v/>
      </c>
      <c r="D2557" s="73" t="str">
        <f>IF(OR($D$3=JU!$F2557,$D$3=JU!$I2557),JU!D2557,"")</f>
        <v/>
      </c>
      <c r="E2557" s="74" t="str">
        <f>IF(OR($D$3=JU!$F2557,$D$3=JU!$I2557),JU!E2557,"")</f>
        <v/>
      </c>
      <c r="F2557" s="72">
        <f>IF($D$3=JU!F2557,JU!H2557,0)</f>
        <v>0</v>
      </c>
      <c r="G2557" s="72">
        <f>IF($D$3=JU!I2557,JU!K2557,0)</f>
        <v>0</v>
      </c>
      <c r="H2557" s="72" t="e">
        <f t="shared" si="40"/>
        <v>#REF!</v>
      </c>
    </row>
    <row r="2558" spans="2:8" hidden="1">
      <c r="B2558" s="68" t="str">
        <f>IF(OR($D$3=JU!$F2558,$D$3=JU!$I2558),JU!B2558,"")</f>
        <v/>
      </c>
      <c r="C2558" s="6" t="str">
        <f>IF(OR($D$3=JU!$F2558,$D$3=JU!$I2558),JU!C2558,"")</f>
        <v/>
      </c>
      <c r="D2558" s="73" t="str">
        <f>IF(OR($D$3=JU!$F2558,$D$3=JU!$I2558),JU!D2558,"")</f>
        <v/>
      </c>
      <c r="E2558" s="74" t="str">
        <f>IF(OR($D$3=JU!$F2558,$D$3=JU!$I2558),JU!E2558,"")</f>
        <v/>
      </c>
      <c r="F2558" s="72">
        <f>IF($D$3=JU!F2558,JU!H2558,0)</f>
        <v>0</v>
      </c>
      <c r="G2558" s="72">
        <f>IF($D$3=JU!I2558,JU!K2558,0)</f>
        <v>0</v>
      </c>
      <c r="H2558" s="72" t="e">
        <f t="shared" si="40"/>
        <v>#REF!</v>
      </c>
    </row>
    <row r="2559" spans="2:8" hidden="1">
      <c r="B2559" s="68" t="str">
        <f>IF(OR($D$3=JU!$F2559,$D$3=JU!$I2559),JU!B2559,"")</f>
        <v/>
      </c>
      <c r="C2559" s="6" t="str">
        <f>IF(OR($D$3=JU!$F2559,$D$3=JU!$I2559),JU!C2559,"")</f>
        <v/>
      </c>
      <c r="D2559" s="73" t="str">
        <f>IF(OR($D$3=JU!$F2559,$D$3=JU!$I2559),JU!D2559,"")</f>
        <v/>
      </c>
      <c r="E2559" s="74" t="str">
        <f>IF(OR($D$3=JU!$F2559,$D$3=JU!$I2559),JU!E2559,"")</f>
        <v/>
      </c>
      <c r="F2559" s="72">
        <f>IF($D$3=JU!F2559,JU!H2559,0)</f>
        <v>0</v>
      </c>
      <c r="G2559" s="72">
        <f>IF($D$3=JU!I2559,JU!K2559,0)</f>
        <v>0</v>
      </c>
      <c r="H2559" s="72" t="e">
        <f t="shared" si="40"/>
        <v>#REF!</v>
      </c>
    </row>
    <row r="2560" spans="2:8" hidden="1">
      <c r="B2560" s="68" t="str">
        <f>IF(OR($D$3=JU!$F2560,$D$3=JU!$I2560),JU!B2560,"")</f>
        <v/>
      </c>
      <c r="C2560" s="6" t="str">
        <f>IF(OR($D$3=JU!$F2560,$D$3=JU!$I2560),JU!C2560,"")</f>
        <v/>
      </c>
      <c r="D2560" s="73" t="str">
        <f>IF(OR($D$3=JU!$F2560,$D$3=JU!$I2560),JU!D2560,"")</f>
        <v/>
      </c>
      <c r="E2560" s="74" t="str">
        <f>IF(OR($D$3=JU!$F2560,$D$3=JU!$I2560),JU!E2560,"")</f>
        <v/>
      </c>
      <c r="F2560" s="72">
        <f>IF($D$3=JU!F2560,JU!H2560,0)</f>
        <v>0</v>
      </c>
      <c r="G2560" s="72">
        <f>IF($D$3=JU!I2560,JU!K2560,0)</f>
        <v>0</v>
      </c>
      <c r="H2560" s="72" t="e">
        <f t="shared" si="40"/>
        <v>#REF!</v>
      </c>
    </row>
    <row r="2561" spans="2:8" hidden="1">
      <c r="B2561" s="68" t="str">
        <f>IF(OR($D$3=JU!$F2561,$D$3=JU!$I2561),JU!B2561,"")</f>
        <v/>
      </c>
      <c r="C2561" s="6" t="str">
        <f>IF(OR($D$3=JU!$F2561,$D$3=JU!$I2561),JU!C2561,"")</f>
        <v/>
      </c>
      <c r="D2561" s="73" t="str">
        <f>IF(OR($D$3=JU!$F2561,$D$3=JU!$I2561),JU!D2561,"")</f>
        <v/>
      </c>
      <c r="E2561" s="74" t="str">
        <f>IF(OR($D$3=JU!$F2561,$D$3=JU!$I2561),JU!E2561,"")</f>
        <v/>
      </c>
      <c r="F2561" s="72">
        <f>IF($D$3=JU!F2561,JU!H2561,0)</f>
        <v>0</v>
      </c>
      <c r="G2561" s="72">
        <f>IF($D$3=JU!I2561,JU!K2561,0)</f>
        <v>0</v>
      </c>
      <c r="H2561" s="72" t="e">
        <f t="shared" si="40"/>
        <v>#REF!</v>
      </c>
    </row>
    <row r="2562" spans="2:8" hidden="1">
      <c r="B2562" s="68" t="str">
        <f>IF(OR($D$3=JU!$F2562,$D$3=JU!$I2562),JU!B2562,"")</f>
        <v/>
      </c>
      <c r="C2562" s="6" t="str">
        <f>IF(OR($D$3=JU!$F2562,$D$3=JU!$I2562),JU!C2562,"")</f>
        <v/>
      </c>
      <c r="D2562" s="73" t="str">
        <f>IF(OR($D$3=JU!$F2562,$D$3=JU!$I2562),JU!D2562,"")</f>
        <v/>
      </c>
      <c r="E2562" s="74" t="str">
        <f>IF(OR($D$3=JU!$F2562,$D$3=JU!$I2562),JU!E2562,"")</f>
        <v/>
      </c>
      <c r="F2562" s="72">
        <f>IF($D$3=JU!F2562,JU!H2562,0)</f>
        <v>0</v>
      </c>
      <c r="G2562" s="72">
        <f>IF($D$3=JU!I2562,JU!K2562,0)</f>
        <v>0</v>
      </c>
      <c r="H2562" s="72" t="e">
        <f t="shared" si="40"/>
        <v>#REF!</v>
      </c>
    </row>
    <row r="2563" spans="2:8" hidden="1">
      <c r="B2563" s="68" t="str">
        <f>IF(OR($D$3=JU!$F2563,$D$3=JU!$I2563),JU!B2563,"")</f>
        <v/>
      </c>
      <c r="C2563" s="6" t="str">
        <f>IF(OR($D$3=JU!$F2563,$D$3=JU!$I2563),JU!C2563,"")</f>
        <v/>
      </c>
      <c r="D2563" s="73" t="str">
        <f>IF(OR($D$3=JU!$F2563,$D$3=JU!$I2563),JU!D2563,"")</f>
        <v/>
      </c>
      <c r="E2563" s="74" t="str">
        <f>IF(OR($D$3=JU!$F2563,$D$3=JU!$I2563),JU!E2563,"")</f>
        <v/>
      </c>
      <c r="F2563" s="72">
        <f>IF($D$3=JU!F2563,JU!H2563,0)</f>
        <v>0</v>
      </c>
      <c r="G2563" s="72">
        <f>IF($D$3=JU!I2563,JU!K2563,0)</f>
        <v>0</v>
      </c>
      <c r="H2563" s="72" t="e">
        <f t="shared" si="40"/>
        <v>#REF!</v>
      </c>
    </row>
    <row r="2564" spans="2:8" hidden="1">
      <c r="B2564" s="68" t="str">
        <f>IF(OR($D$3=JU!$F2564,$D$3=JU!$I2564),JU!B2564,"")</f>
        <v/>
      </c>
      <c r="C2564" s="6" t="str">
        <f>IF(OR($D$3=JU!$F2564,$D$3=JU!$I2564),JU!C2564,"")</f>
        <v/>
      </c>
      <c r="D2564" s="73" t="str">
        <f>IF(OR($D$3=JU!$F2564,$D$3=JU!$I2564),JU!D2564,"")</f>
        <v/>
      </c>
      <c r="E2564" s="74" t="str">
        <f>IF(OR($D$3=JU!$F2564,$D$3=JU!$I2564),JU!E2564,"")</f>
        <v/>
      </c>
      <c r="F2564" s="72">
        <f>IF($D$3=JU!F2564,JU!H2564,0)</f>
        <v>0</v>
      </c>
      <c r="G2564" s="72">
        <f>IF($D$3=JU!I2564,JU!K2564,0)</f>
        <v>0</v>
      </c>
      <c r="H2564" s="72" t="e">
        <f t="shared" si="40"/>
        <v>#REF!</v>
      </c>
    </row>
    <row r="2565" spans="2:8" hidden="1">
      <c r="B2565" s="68" t="str">
        <f>IF(OR($D$3=JU!$F2565,$D$3=JU!$I2565),JU!B2565,"")</f>
        <v/>
      </c>
      <c r="C2565" s="6" t="str">
        <f>IF(OR($D$3=JU!$F2565,$D$3=JU!$I2565),JU!C2565,"")</f>
        <v/>
      </c>
      <c r="D2565" s="73" t="str">
        <f>IF(OR($D$3=JU!$F2565,$D$3=JU!$I2565),JU!D2565,"")</f>
        <v/>
      </c>
      <c r="E2565" s="74" t="str">
        <f>IF(OR($D$3=JU!$F2565,$D$3=JU!$I2565),JU!E2565,"")</f>
        <v/>
      </c>
      <c r="F2565" s="72">
        <f>IF($D$3=JU!F2565,JU!H2565,0)</f>
        <v>0</v>
      </c>
      <c r="G2565" s="72">
        <f>IF($D$3=JU!I2565,JU!K2565,0)</f>
        <v>0</v>
      </c>
      <c r="H2565" s="72" t="e">
        <f t="shared" si="40"/>
        <v>#REF!</v>
      </c>
    </row>
    <row r="2566" spans="2:8" hidden="1">
      <c r="B2566" s="68" t="str">
        <f>IF(OR($D$3=JU!$F2566,$D$3=JU!$I2566),JU!B2566,"")</f>
        <v/>
      </c>
      <c r="C2566" s="6" t="str">
        <f>IF(OR($D$3=JU!$F2566,$D$3=JU!$I2566),JU!C2566,"")</f>
        <v/>
      </c>
      <c r="D2566" s="73" t="str">
        <f>IF(OR($D$3=JU!$F2566,$D$3=JU!$I2566),JU!D2566,"")</f>
        <v/>
      </c>
      <c r="E2566" s="74" t="str">
        <f>IF(OR($D$3=JU!$F2566,$D$3=JU!$I2566),JU!E2566,"")</f>
        <v/>
      </c>
      <c r="F2566" s="72">
        <f>IF($D$3=JU!F2566,JU!H2566,0)</f>
        <v>0</v>
      </c>
      <c r="G2566" s="72">
        <f>IF($D$3=JU!I2566,JU!K2566,0)</f>
        <v>0</v>
      </c>
      <c r="H2566" s="72" t="e">
        <f t="shared" si="40"/>
        <v>#REF!</v>
      </c>
    </row>
    <row r="2567" spans="2:8" hidden="1">
      <c r="B2567" s="68" t="str">
        <f>IF(OR($D$3=JU!$F2567,$D$3=JU!$I2567),JU!B2567,"")</f>
        <v/>
      </c>
      <c r="C2567" s="6" t="str">
        <f>IF(OR($D$3=JU!$F2567,$D$3=JU!$I2567),JU!C2567,"")</f>
        <v/>
      </c>
      <c r="D2567" s="73" t="str">
        <f>IF(OR($D$3=JU!$F2567,$D$3=JU!$I2567),JU!D2567,"")</f>
        <v/>
      </c>
      <c r="E2567" s="74" t="str">
        <f>IF(OR($D$3=JU!$F2567,$D$3=JU!$I2567),JU!E2567,"")</f>
        <v/>
      </c>
      <c r="F2567" s="72">
        <f>IF($D$3=JU!F2567,JU!H2567,0)</f>
        <v>0</v>
      </c>
      <c r="G2567" s="72">
        <f>IF($D$3=JU!I2567,JU!K2567,0)</f>
        <v>0</v>
      </c>
      <c r="H2567" s="72" t="e">
        <f t="shared" si="40"/>
        <v>#REF!</v>
      </c>
    </row>
    <row r="2568" spans="2:8" hidden="1">
      <c r="B2568" s="68" t="str">
        <f>IF(OR($D$3=JU!$F2568,$D$3=JU!$I2568),JU!B2568,"")</f>
        <v/>
      </c>
      <c r="C2568" s="6" t="str">
        <f>IF(OR($D$3=JU!$F2568,$D$3=JU!$I2568),JU!C2568,"")</f>
        <v/>
      </c>
      <c r="D2568" s="73" t="str">
        <f>IF(OR($D$3=JU!$F2568,$D$3=JU!$I2568),JU!D2568,"")</f>
        <v/>
      </c>
      <c r="E2568" s="74" t="str">
        <f>IF(OR($D$3=JU!$F2568,$D$3=JU!$I2568),JU!E2568,"")</f>
        <v/>
      </c>
      <c r="F2568" s="72">
        <f>IF($D$3=JU!F2568,JU!H2568,0)</f>
        <v>0</v>
      </c>
      <c r="G2568" s="72">
        <f>IF($D$3=JU!I2568,JU!K2568,0)</f>
        <v>0</v>
      </c>
      <c r="H2568" s="72" t="e">
        <f t="shared" si="40"/>
        <v>#REF!</v>
      </c>
    </row>
    <row r="2569" spans="2:8" hidden="1">
      <c r="B2569" s="68" t="str">
        <f>IF(OR($D$3=JU!$F2569,$D$3=JU!$I2569),JU!B2569,"")</f>
        <v/>
      </c>
      <c r="C2569" s="6" t="str">
        <f>IF(OR($D$3=JU!$F2569,$D$3=JU!$I2569),JU!C2569,"")</f>
        <v/>
      </c>
      <c r="D2569" s="73" t="str">
        <f>IF(OR($D$3=JU!$F2569,$D$3=JU!$I2569),JU!D2569,"")</f>
        <v/>
      </c>
      <c r="E2569" s="74" t="str">
        <f>IF(OR($D$3=JU!$F2569,$D$3=JU!$I2569),JU!E2569,"")</f>
        <v/>
      </c>
      <c r="F2569" s="72">
        <f>IF($D$3=JU!F2569,JU!H2569,0)</f>
        <v>0</v>
      </c>
      <c r="G2569" s="72">
        <f>IF($D$3=JU!I2569,JU!K2569,0)</f>
        <v>0</v>
      </c>
      <c r="H2569" s="72" t="e">
        <f t="shared" si="40"/>
        <v>#REF!</v>
      </c>
    </row>
    <row r="2570" spans="2:8" hidden="1">
      <c r="B2570" s="68" t="str">
        <f>IF(OR($D$3=JU!$F2570,$D$3=JU!$I2570),JU!B2570,"")</f>
        <v/>
      </c>
      <c r="C2570" s="6" t="str">
        <f>IF(OR($D$3=JU!$F2570,$D$3=JU!$I2570),JU!C2570,"")</f>
        <v/>
      </c>
      <c r="D2570" s="73" t="str">
        <f>IF(OR($D$3=JU!$F2570,$D$3=JU!$I2570),JU!D2570,"")</f>
        <v/>
      </c>
      <c r="E2570" s="74" t="str">
        <f>IF(OR($D$3=JU!$F2570,$D$3=JU!$I2570),JU!E2570,"")</f>
        <v/>
      </c>
      <c r="F2570" s="72">
        <f>IF($D$3=JU!F2570,JU!H2570,0)</f>
        <v>0</v>
      </c>
      <c r="G2570" s="72">
        <f>IF($D$3=JU!I2570,JU!K2570,0)</f>
        <v>0</v>
      </c>
      <c r="H2570" s="72" t="e">
        <f t="shared" si="40"/>
        <v>#REF!</v>
      </c>
    </row>
    <row r="2571" spans="2:8" hidden="1">
      <c r="B2571" s="68" t="str">
        <f>IF(OR($D$3=JU!$F2571,$D$3=JU!$I2571),JU!B2571,"")</f>
        <v/>
      </c>
      <c r="C2571" s="6" t="str">
        <f>IF(OR($D$3=JU!$F2571,$D$3=JU!$I2571),JU!C2571,"")</f>
        <v/>
      </c>
      <c r="D2571" s="73" t="str">
        <f>IF(OR($D$3=JU!$F2571,$D$3=JU!$I2571),JU!D2571,"")</f>
        <v/>
      </c>
      <c r="E2571" s="74" t="str">
        <f>IF(OR($D$3=JU!$F2571,$D$3=JU!$I2571),JU!E2571,"")</f>
        <v/>
      </c>
      <c r="F2571" s="72">
        <f>IF($D$3=JU!F2571,JU!H2571,0)</f>
        <v>0</v>
      </c>
      <c r="G2571" s="72">
        <f>IF($D$3=JU!I2571,JU!K2571,0)</f>
        <v>0</v>
      </c>
      <c r="H2571" s="72" t="e">
        <f t="shared" si="40"/>
        <v>#REF!</v>
      </c>
    </row>
    <row r="2572" spans="2:8" hidden="1">
      <c r="B2572" s="68" t="str">
        <f>IF(OR($D$3=JU!$F2572,$D$3=JU!$I2572),JU!B2572,"")</f>
        <v/>
      </c>
      <c r="C2572" s="6" t="str">
        <f>IF(OR($D$3=JU!$F2572,$D$3=JU!$I2572),JU!C2572,"")</f>
        <v/>
      </c>
      <c r="D2572" s="73" t="str">
        <f>IF(OR($D$3=JU!$F2572,$D$3=JU!$I2572),JU!D2572,"")</f>
        <v/>
      </c>
      <c r="E2572" s="74" t="str">
        <f>IF(OR($D$3=JU!$F2572,$D$3=JU!$I2572),JU!E2572,"")</f>
        <v/>
      </c>
      <c r="F2572" s="72">
        <f>IF($D$3=JU!F2572,JU!H2572,0)</f>
        <v>0</v>
      </c>
      <c r="G2572" s="72">
        <f>IF($D$3=JU!I2572,JU!K2572,0)</f>
        <v>0</v>
      </c>
      <c r="H2572" s="72" t="e">
        <f t="shared" si="40"/>
        <v>#REF!</v>
      </c>
    </row>
    <row r="2573" spans="2:8" hidden="1">
      <c r="B2573" s="68" t="str">
        <f>IF(OR($D$3=JU!$F2573,$D$3=JU!$I2573),JU!B2573,"")</f>
        <v/>
      </c>
      <c r="C2573" s="6" t="str">
        <f>IF(OR($D$3=JU!$F2573,$D$3=JU!$I2573),JU!C2573,"")</f>
        <v/>
      </c>
      <c r="D2573" s="73" t="str">
        <f>IF(OR($D$3=JU!$F2573,$D$3=JU!$I2573),JU!D2573,"")</f>
        <v/>
      </c>
      <c r="E2573" s="74" t="str">
        <f>IF(OR($D$3=JU!$F2573,$D$3=JU!$I2573),JU!E2573,"")</f>
        <v/>
      </c>
      <c r="F2573" s="72">
        <f>IF($D$3=JU!F2573,JU!H2573,0)</f>
        <v>0</v>
      </c>
      <c r="G2573" s="72">
        <f>IF($D$3=JU!I2573,JU!K2573,0)</f>
        <v>0</v>
      </c>
      <c r="H2573" s="72" t="e">
        <f t="shared" si="40"/>
        <v>#REF!</v>
      </c>
    </row>
    <row r="2574" spans="2:8" hidden="1">
      <c r="B2574" s="68" t="str">
        <f>IF(OR($D$3=JU!$F2574,$D$3=JU!$I2574),JU!B2574,"")</f>
        <v/>
      </c>
      <c r="C2574" s="6" t="str">
        <f>IF(OR($D$3=JU!$F2574,$D$3=JU!$I2574),JU!C2574,"")</f>
        <v/>
      </c>
      <c r="D2574" s="73" t="str">
        <f>IF(OR($D$3=JU!$F2574,$D$3=JU!$I2574),JU!D2574,"")</f>
        <v/>
      </c>
      <c r="E2574" s="74" t="str">
        <f>IF(OR($D$3=JU!$F2574,$D$3=JU!$I2574),JU!E2574,"")</f>
        <v/>
      </c>
      <c r="F2574" s="72">
        <f>IF($D$3=JU!F2574,JU!H2574,0)</f>
        <v>0</v>
      </c>
      <c r="G2574" s="72">
        <f>IF($D$3=JU!I2574,JU!K2574,0)</f>
        <v>0</v>
      </c>
      <c r="H2574" s="72" t="e">
        <f t="shared" ref="H2574:H2637" si="41">IF($H$7="DEBET",H2573+F2574-G2574,H2573+G2574-F2574)</f>
        <v>#REF!</v>
      </c>
    </row>
    <row r="2575" spans="2:8" hidden="1">
      <c r="B2575" s="68" t="str">
        <f>IF(OR($D$3=JU!$F2575,$D$3=JU!$I2575),JU!B2575,"")</f>
        <v/>
      </c>
      <c r="C2575" s="6" t="str">
        <f>IF(OR($D$3=JU!$F2575,$D$3=JU!$I2575),JU!C2575,"")</f>
        <v/>
      </c>
      <c r="D2575" s="73" t="str">
        <f>IF(OR($D$3=JU!$F2575,$D$3=JU!$I2575),JU!D2575,"")</f>
        <v/>
      </c>
      <c r="E2575" s="74" t="str">
        <f>IF(OR($D$3=JU!$F2575,$D$3=JU!$I2575),JU!E2575,"")</f>
        <v/>
      </c>
      <c r="F2575" s="72">
        <f>IF($D$3=JU!F2575,JU!H2575,0)</f>
        <v>0</v>
      </c>
      <c r="G2575" s="72">
        <f>IF($D$3=JU!I2575,JU!K2575,0)</f>
        <v>0</v>
      </c>
      <c r="H2575" s="72" t="e">
        <f t="shared" si="41"/>
        <v>#REF!</v>
      </c>
    </row>
    <row r="2576" spans="2:8" hidden="1">
      <c r="B2576" s="68" t="str">
        <f>IF(OR($D$3=JU!$F2576,$D$3=JU!$I2576),JU!B2576,"")</f>
        <v/>
      </c>
      <c r="C2576" s="6" t="str">
        <f>IF(OR($D$3=JU!$F2576,$D$3=JU!$I2576),JU!C2576,"")</f>
        <v/>
      </c>
      <c r="D2576" s="73" t="str">
        <f>IF(OR($D$3=JU!$F2576,$D$3=JU!$I2576),JU!D2576,"")</f>
        <v/>
      </c>
      <c r="E2576" s="74" t="str">
        <f>IF(OR($D$3=JU!$F2576,$D$3=JU!$I2576),JU!E2576,"")</f>
        <v/>
      </c>
      <c r="F2576" s="72">
        <f>IF($D$3=JU!F2576,JU!H2576,0)</f>
        <v>0</v>
      </c>
      <c r="G2576" s="72">
        <f>IF($D$3=JU!I2576,JU!K2576,0)</f>
        <v>0</v>
      </c>
      <c r="H2576" s="72" t="e">
        <f t="shared" si="41"/>
        <v>#REF!</v>
      </c>
    </row>
    <row r="2577" spans="2:8" hidden="1">
      <c r="B2577" s="68" t="str">
        <f>IF(OR($D$3=JU!$F2577,$D$3=JU!$I2577),JU!B2577,"")</f>
        <v/>
      </c>
      <c r="C2577" s="6" t="str">
        <f>IF(OR($D$3=JU!$F2577,$D$3=JU!$I2577),JU!C2577,"")</f>
        <v/>
      </c>
      <c r="D2577" s="73" t="str">
        <f>IF(OR($D$3=JU!$F2577,$D$3=JU!$I2577),JU!D2577,"")</f>
        <v/>
      </c>
      <c r="E2577" s="74" t="str">
        <f>IF(OR($D$3=JU!$F2577,$D$3=JU!$I2577),JU!E2577,"")</f>
        <v/>
      </c>
      <c r="F2577" s="72">
        <f>IF($D$3=JU!F2577,JU!H2577,0)</f>
        <v>0</v>
      </c>
      <c r="G2577" s="72">
        <f>IF($D$3=JU!I2577,JU!K2577,0)</f>
        <v>0</v>
      </c>
      <c r="H2577" s="72" t="e">
        <f t="shared" si="41"/>
        <v>#REF!</v>
      </c>
    </row>
    <row r="2578" spans="2:8" hidden="1">
      <c r="B2578" s="68" t="str">
        <f>IF(OR($D$3=JU!$F2578,$D$3=JU!$I2578),JU!B2578,"")</f>
        <v/>
      </c>
      <c r="C2578" s="6" t="str">
        <f>IF(OR($D$3=JU!$F2578,$D$3=JU!$I2578),JU!C2578,"")</f>
        <v/>
      </c>
      <c r="D2578" s="73" t="str">
        <f>IF(OR($D$3=JU!$F2578,$D$3=JU!$I2578),JU!D2578,"")</f>
        <v/>
      </c>
      <c r="E2578" s="74" t="str">
        <f>IF(OR($D$3=JU!$F2578,$D$3=JU!$I2578),JU!E2578,"")</f>
        <v/>
      </c>
      <c r="F2578" s="72">
        <f>IF($D$3=JU!F2578,JU!H2578,0)</f>
        <v>0</v>
      </c>
      <c r="G2578" s="72">
        <f>IF($D$3=JU!I2578,JU!K2578,0)</f>
        <v>0</v>
      </c>
      <c r="H2578" s="72" t="e">
        <f t="shared" si="41"/>
        <v>#REF!</v>
      </c>
    </row>
    <row r="2579" spans="2:8" hidden="1">
      <c r="B2579" s="68" t="str">
        <f>IF(OR($D$3=JU!$F2579,$D$3=JU!$I2579),JU!B2579,"")</f>
        <v/>
      </c>
      <c r="C2579" s="6" t="str">
        <f>IF(OR($D$3=JU!$F2579,$D$3=JU!$I2579),JU!C2579,"")</f>
        <v/>
      </c>
      <c r="D2579" s="73" t="str">
        <f>IF(OR($D$3=JU!$F2579,$D$3=JU!$I2579),JU!D2579,"")</f>
        <v/>
      </c>
      <c r="E2579" s="74" t="str">
        <f>IF(OR($D$3=JU!$F2579,$D$3=JU!$I2579),JU!E2579,"")</f>
        <v/>
      </c>
      <c r="F2579" s="72">
        <f>IF($D$3=JU!F2579,JU!H2579,0)</f>
        <v>0</v>
      </c>
      <c r="G2579" s="72">
        <f>IF($D$3=JU!I2579,JU!K2579,0)</f>
        <v>0</v>
      </c>
      <c r="H2579" s="72" t="e">
        <f t="shared" si="41"/>
        <v>#REF!</v>
      </c>
    </row>
    <row r="2580" spans="2:8" hidden="1">
      <c r="B2580" s="68" t="str">
        <f>IF(OR($D$3=JU!$F2580,$D$3=JU!$I2580),JU!B2580,"")</f>
        <v/>
      </c>
      <c r="C2580" s="6" t="str">
        <f>IF(OR($D$3=JU!$F2580,$D$3=JU!$I2580),JU!C2580,"")</f>
        <v/>
      </c>
      <c r="D2580" s="73" t="str">
        <f>IF(OR($D$3=JU!$F2580,$D$3=JU!$I2580),JU!D2580,"")</f>
        <v/>
      </c>
      <c r="E2580" s="74" t="str">
        <f>IF(OR($D$3=JU!$F2580,$D$3=JU!$I2580),JU!E2580,"")</f>
        <v/>
      </c>
      <c r="F2580" s="72">
        <f>IF($D$3=JU!F2580,JU!H2580,0)</f>
        <v>0</v>
      </c>
      <c r="G2580" s="72">
        <f>IF($D$3=JU!I2580,JU!K2580,0)</f>
        <v>0</v>
      </c>
      <c r="H2580" s="72" t="e">
        <f t="shared" si="41"/>
        <v>#REF!</v>
      </c>
    </row>
    <row r="2581" spans="2:8" hidden="1">
      <c r="B2581" s="68" t="str">
        <f>IF(OR($D$3=JU!$F2581,$D$3=JU!$I2581),JU!B2581,"")</f>
        <v/>
      </c>
      <c r="C2581" s="6" t="str">
        <f>IF(OR($D$3=JU!$F2581,$D$3=JU!$I2581),JU!C2581,"")</f>
        <v/>
      </c>
      <c r="D2581" s="73" t="str">
        <f>IF(OR($D$3=JU!$F2581,$D$3=JU!$I2581),JU!D2581,"")</f>
        <v/>
      </c>
      <c r="E2581" s="74" t="str">
        <f>IF(OR($D$3=JU!$F2581,$D$3=JU!$I2581),JU!E2581,"")</f>
        <v/>
      </c>
      <c r="F2581" s="72">
        <f>IF($D$3=JU!F2581,JU!H2581,0)</f>
        <v>0</v>
      </c>
      <c r="G2581" s="72">
        <f>IF($D$3=JU!I2581,JU!K2581,0)</f>
        <v>0</v>
      </c>
      <c r="H2581" s="72" t="e">
        <f t="shared" si="41"/>
        <v>#REF!</v>
      </c>
    </row>
    <row r="2582" spans="2:8" hidden="1">
      <c r="B2582" s="68" t="str">
        <f>IF(OR($D$3=JU!$F2582,$D$3=JU!$I2582),JU!B2582,"")</f>
        <v/>
      </c>
      <c r="C2582" s="6" t="str">
        <f>IF(OR($D$3=JU!$F2582,$D$3=JU!$I2582),JU!C2582,"")</f>
        <v/>
      </c>
      <c r="D2582" s="73" t="str">
        <f>IF(OR($D$3=JU!$F2582,$D$3=JU!$I2582),JU!D2582,"")</f>
        <v/>
      </c>
      <c r="E2582" s="74" t="str">
        <f>IF(OR($D$3=JU!$F2582,$D$3=JU!$I2582),JU!E2582,"")</f>
        <v/>
      </c>
      <c r="F2582" s="72">
        <f>IF($D$3=JU!F2582,JU!H2582,0)</f>
        <v>0</v>
      </c>
      <c r="G2582" s="72">
        <f>IF($D$3=JU!I2582,JU!K2582,0)</f>
        <v>0</v>
      </c>
      <c r="H2582" s="72" t="e">
        <f t="shared" si="41"/>
        <v>#REF!</v>
      </c>
    </row>
    <row r="2583" spans="2:8" hidden="1">
      <c r="B2583" s="68" t="str">
        <f>IF(OR($D$3=JU!$F2583,$D$3=JU!$I2583),JU!B2583,"")</f>
        <v/>
      </c>
      <c r="C2583" s="6" t="str">
        <f>IF(OR($D$3=JU!$F2583,$D$3=JU!$I2583),JU!C2583,"")</f>
        <v/>
      </c>
      <c r="D2583" s="73" t="str">
        <f>IF(OR($D$3=JU!$F2583,$D$3=JU!$I2583),JU!D2583,"")</f>
        <v/>
      </c>
      <c r="E2583" s="74" t="str">
        <f>IF(OR($D$3=JU!$F2583,$D$3=JU!$I2583),JU!E2583,"")</f>
        <v/>
      </c>
      <c r="F2583" s="72">
        <f>IF($D$3=JU!F2583,JU!H2583,0)</f>
        <v>0</v>
      </c>
      <c r="G2583" s="72">
        <f>IF($D$3=JU!I2583,JU!K2583,0)</f>
        <v>0</v>
      </c>
      <c r="H2583" s="72" t="e">
        <f t="shared" si="41"/>
        <v>#REF!</v>
      </c>
    </row>
    <row r="2584" spans="2:8" hidden="1">
      <c r="B2584" s="68" t="str">
        <f>IF(OR($D$3=JU!$F2584,$D$3=JU!$I2584),JU!B2584,"")</f>
        <v/>
      </c>
      <c r="C2584" s="6" t="str">
        <f>IF(OR($D$3=JU!$F2584,$D$3=JU!$I2584),JU!C2584,"")</f>
        <v/>
      </c>
      <c r="D2584" s="73" t="str">
        <f>IF(OR($D$3=JU!$F2584,$D$3=JU!$I2584),JU!D2584,"")</f>
        <v/>
      </c>
      <c r="E2584" s="74" t="str">
        <f>IF(OR($D$3=JU!$F2584,$D$3=JU!$I2584),JU!E2584,"")</f>
        <v/>
      </c>
      <c r="F2584" s="72">
        <f>IF($D$3=JU!F2584,JU!H2584,0)</f>
        <v>0</v>
      </c>
      <c r="G2584" s="72">
        <f>IF($D$3=JU!I2584,JU!K2584,0)</f>
        <v>0</v>
      </c>
      <c r="H2584" s="72" t="e">
        <f t="shared" si="41"/>
        <v>#REF!</v>
      </c>
    </row>
    <row r="2585" spans="2:8" hidden="1">
      <c r="B2585" s="68" t="str">
        <f>IF(OR($D$3=JU!$F2585,$D$3=JU!$I2585),JU!B2585,"")</f>
        <v/>
      </c>
      <c r="C2585" s="6" t="str">
        <f>IF(OR($D$3=JU!$F2585,$D$3=JU!$I2585),JU!C2585,"")</f>
        <v/>
      </c>
      <c r="D2585" s="73" t="str">
        <f>IF(OR($D$3=JU!$F2585,$D$3=JU!$I2585),JU!D2585,"")</f>
        <v/>
      </c>
      <c r="E2585" s="74" t="str">
        <f>IF(OR($D$3=JU!$F2585,$D$3=JU!$I2585),JU!E2585,"")</f>
        <v/>
      </c>
      <c r="F2585" s="72">
        <f>IF($D$3=JU!F2585,JU!H2585,0)</f>
        <v>0</v>
      </c>
      <c r="G2585" s="72">
        <f>IF($D$3=JU!I2585,JU!K2585,0)</f>
        <v>0</v>
      </c>
      <c r="H2585" s="72" t="e">
        <f t="shared" si="41"/>
        <v>#REF!</v>
      </c>
    </row>
    <row r="2586" spans="2:8" hidden="1">
      <c r="B2586" s="68" t="str">
        <f>IF(OR($D$3=JU!$F2586,$D$3=JU!$I2586),JU!B2586,"")</f>
        <v/>
      </c>
      <c r="C2586" s="6" t="str">
        <f>IF(OR($D$3=JU!$F2586,$D$3=JU!$I2586),JU!C2586,"")</f>
        <v/>
      </c>
      <c r="D2586" s="73" t="str">
        <f>IF(OR($D$3=JU!$F2586,$D$3=JU!$I2586),JU!D2586,"")</f>
        <v/>
      </c>
      <c r="E2586" s="74" t="str">
        <f>IF(OR($D$3=JU!$F2586,$D$3=JU!$I2586),JU!E2586,"")</f>
        <v/>
      </c>
      <c r="F2586" s="72">
        <f>IF($D$3=JU!F2586,JU!H2586,0)</f>
        <v>0</v>
      </c>
      <c r="G2586" s="72">
        <f>IF($D$3=JU!I2586,JU!K2586,0)</f>
        <v>0</v>
      </c>
      <c r="H2586" s="72" t="e">
        <f t="shared" si="41"/>
        <v>#REF!</v>
      </c>
    </row>
    <row r="2587" spans="2:8" hidden="1">
      <c r="B2587" s="68" t="str">
        <f>IF(OR($D$3=JU!$F2587,$D$3=JU!$I2587),JU!B2587,"")</f>
        <v/>
      </c>
      <c r="C2587" s="6" t="str">
        <f>IF(OR($D$3=JU!$F2587,$D$3=JU!$I2587),JU!C2587,"")</f>
        <v/>
      </c>
      <c r="D2587" s="73" t="str">
        <f>IF(OR($D$3=JU!$F2587,$D$3=JU!$I2587),JU!D2587,"")</f>
        <v/>
      </c>
      <c r="E2587" s="74" t="str">
        <f>IF(OR($D$3=JU!$F2587,$D$3=JU!$I2587),JU!E2587,"")</f>
        <v/>
      </c>
      <c r="F2587" s="72">
        <f>IF($D$3=JU!F2587,JU!H2587,0)</f>
        <v>0</v>
      </c>
      <c r="G2587" s="72">
        <f>IF($D$3=JU!I2587,JU!K2587,0)</f>
        <v>0</v>
      </c>
      <c r="H2587" s="72" t="e">
        <f t="shared" si="41"/>
        <v>#REF!</v>
      </c>
    </row>
    <row r="2588" spans="2:8" hidden="1">
      <c r="B2588" s="68" t="str">
        <f>IF(OR($D$3=JU!$F2588,$D$3=JU!$I2588),JU!B2588,"")</f>
        <v/>
      </c>
      <c r="C2588" s="6" t="str">
        <f>IF(OR($D$3=JU!$F2588,$D$3=JU!$I2588),JU!C2588,"")</f>
        <v/>
      </c>
      <c r="D2588" s="73" t="str">
        <f>IF(OR($D$3=JU!$F2588,$D$3=JU!$I2588),JU!D2588,"")</f>
        <v/>
      </c>
      <c r="E2588" s="74" t="str">
        <f>IF(OR($D$3=JU!$F2588,$D$3=JU!$I2588),JU!E2588,"")</f>
        <v/>
      </c>
      <c r="F2588" s="72">
        <f>IF($D$3=JU!F2588,JU!H2588,0)</f>
        <v>0</v>
      </c>
      <c r="G2588" s="72">
        <f>IF($D$3=JU!I2588,JU!K2588,0)</f>
        <v>0</v>
      </c>
      <c r="H2588" s="72" t="e">
        <f t="shared" si="41"/>
        <v>#REF!</v>
      </c>
    </row>
    <row r="2589" spans="2:8" hidden="1">
      <c r="B2589" s="68" t="str">
        <f>IF(OR($D$3=JU!$F2589,$D$3=JU!$I2589),JU!B2589,"")</f>
        <v/>
      </c>
      <c r="C2589" s="6" t="str">
        <f>IF(OR($D$3=JU!$F2589,$D$3=JU!$I2589),JU!C2589,"")</f>
        <v/>
      </c>
      <c r="D2589" s="73" t="str">
        <f>IF(OR($D$3=JU!$F2589,$D$3=JU!$I2589),JU!D2589,"")</f>
        <v/>
      </c>
      <c r="E2589" s="74" t="str">
        <f>IF(OR($D$3=JU!$F2589,$D$3=JU!$I2589),JU!E2589,"")</f>
        <v/>
      </c>
      <c r="F2589" s="72">
        <f>IF($D$3=JU!F2589,JU!H2589,0)</f>
        <v>0</v>
      </c>
      <c r="G2589" s="72">
        <f>IF($D$3=JU!I2589,JU!K2589,0)</f>
        <v>0</v>
      </c>
      <c r="H2589" s="72" t="e">
        <f t="shared" si="41"/>
        <v>#REF!</v>
      </c>
    </row>
    <row r="2590" spans="2:8" hidden="1">
      <c r="B2590" s="68" t="str">
        <f>IF(OR($D$3=JU!$F2590,$D$3=JU!$I2590),JU!B2590,"")</f>
        <v/>
      </c>
      <c r="C2590" s="6" t="str">
        <f>IF(OR($D$3=JU!$F2590,$D$3=JU!$I2590),JU!C2590,"")</f>
        <v/>
      </c>
      <c r="D2590" s="73" t="str">
        <f>IF(OR($D$3=JU!$F2590,$D$3=JU!$I2590),JU!D2590,"")</f>
        <v/>
      </c>
      <c r="E2590" s="74" t="str">
        <f>IF(OR($D$3=JU!$F2590,$D$3=JU!$I2590),JU!E2590,"")</f>
        <v/>
      </c>
      <c r="F2590" s="72">
        <f>IF($D$3=JU!F2590,JU!H2590,0)</f>
        <v>0</v>
      </c>
      <c r="G2590" s="72">
        <f>IF($D$3=JU!I2590,JU!K2590,0)</f>
        <v>0</v>
      </c>
      <c r="H2590" s="72" t="e">
        <f t="shared" si="41"/>
        <v>#REF!</v>
      </c>
    </row>
    <row r="2591" spans="2:8" hidden="1">
      <c r="B2591" s="68" t="str">
        <f>IF(OR($D$3=JU!$F2591,$D$3=JU!$I2591),JU!B2591,"")</f>
        <v/>
      </c>
      <c r="C2591" s="6" t="str">
        <f>IF(OR($D$3=JU!$F2591,$D$3=JU!$I2591),JU!C2591,"")</f>
        <v/>
      </c>
      <c r="D2591" s="73" t="str">
        <f>IF(OR($D$3=JU!$F2591,$D$3=JU!$I2591),JU!D2591,"")</f>
        <v/>
      </c>
      <c r="E2591" s="74" t="str">
        <f>IF(OR($D$3=JU!$F2591,$D$3=JU!$I2591),JU!E2591,"")</f>
        <v/>
      </c>
      <c r="F2591" s="72">
        <f>IF($D$3=JU!F2591,JU!H2591,0)</f>
        <v>0</v>
      </c>
      <c r="G2591" s="72">
        <f>IF($D$3=JU!I2591,JU!K2591,0)</f>
        <v>0</v>
      </c>
      <c r="H2591" s="72" t="e">
        <f t="shared" si="41"/>
        <v>#REF!</v>
      </c>
    </row>
    <row r="2592" spans="2:8" hidden="1">
      <c r="B2592" s="68" t="str">
        <f>IF(OR($D$3=JU!$F2592,$D$3=JU!$I2592),JU!B2592,"")</f>
        <v/>
      </c>
      <c r="C2592" s="6" t="str">
        <f>IF(OR($D$3=JU!$F2592,$D$3=JU!$I2592),JU!C2592,"")</f>
        <v/>
      </c>
      <c r="D2592" s="73" t="str">
        <f>IF(OR($D$3=JU!$F2592,$D$3=JU!$I2592),JU!D2592,"")</f>
        <v/>
      </c>
      <c r="E2592" s="74" t="str">
        <f>IF(OR($D$3=JU!$F2592,$D$3=JU!$I2592),JU!E2592,"")</f>
        <v/>
      </c>
      <c r="F2592" s="72">
        <f>IF($D$3=JU!F2592,JU!H2592,0)</f>
        <v>0</v>
      </c>
      <c r="G2592" s="72">
        <f>IF($D$3=JU!I2592,JU!K2592,0)</f>
        <v>0</v>
      </c>
      <c r="H2592" s="72" t="e">
        <f t="shared" si="41"/>
        <v>#REF!</v>
      </c>
    </row>
    <row r="2593" spans="2:8" hidden="1">
      <c r="B2593" s="68" t="str">
        <f>IF(OR($D$3=JU!$F2593,$D$3=JU!$I2593),JU!B2593,"")</f>
        <v/>
      </c>
      <c r="C2593" s="6" t="str">
        <f>IF(OR($D$3=JU!$F2593,$D$3=JU!$I2593),JU!C2593,"")</f>
        <v/>
      </c>
      <c r="D2593" s="73" t="str">
        <f>IF(OR($D$3=JU!$F2593,$D$3=JU!$I2593),JU!D2593,"")</f>
        <v/>
      </c>
      <c r="E2593" s="74" t="str">
        <f>IF(OR($D$3=JU!$F2593,$D$3=JU!$I2593),JU!E2593,"")</f>
        <v/>
      </c>
      <c r="F2593" s="72">
        <f>IF($D$3=JU!F2593,JU!H2593,0)</f>
        <v>0</v>
      </c>
      <c r="G2593" s="72">
        <f>IF($D$3=JU!I2593,JU!K2593,0)</f>
        <v>0</v>
      </c>
      <c r="H2593" s="72" t="e">
        <f t="shared" si="41"/>
        <v>#REF!</v>
      </c>
    </row>
    <row r="2594" spans="2:8" hidden="1">
      <c r="B2594" s="68" t="str">
        <f>IF(OR($D$3=JU!$F2594,$D$3=JU!$I2594),JU!B2594,"")</f>
        <v/>
      </c>
      <c r="C2594" s="6" t="str">
        <f>IF(OR($D$3=JU!$F2594,$D$3=JU!$I2594),JU!C2594,"")</f>
        <v/>
      </c>
      <c r="D2594" s="73" t="str">
        <f>IF(OR($D$3=JU!$F2594,$D$3=JU!$I2594),JU!D2594,"")</f>
        <v/>
      </c>
      <c r="E2594" s="74" t="str">
        <f>IF(OR($D$3=JU!$F2594,$D$3=JU!$I2594),JU!E2594,"")</f>
        <v/>
      </c>
      <c r="F2594" s="72">
        <f>IF($D$3=JU!F2594,JU!H2594,0)</f>
        <v>0</v>
      </c>
      <c r="G2594" s="72">
        <f>IF($D$3=JU!I2594,JU!K2594,0)</f>
        <v>0</v>
      </c>
      <c r="H2594" s="72" t="e">
        <f t="shared" si="41"/>
        <v>#REF!</v>
      </c>
    </row>
    <row r="2595" spans="2:8" hidden="1">
      <c r="B2595" s="68" t="str">
        <f>IF(OR($D$3=JU!$F2595,$D$3=JU!$I2595),JU!B2595,"")</f>
        <v/>
      </c>
      <c r="C2595" s="6" t="str">
        <f>IF(OR($D$3=JU!$F2595,$D$3=JU!$I2595),JU!C2595,"")</f>
        <v/>
      </c>
      <c r="D2595" s="73" t="str">
        <f>IF(OR($D$3=JU!$F2595,$D$3=JU!$I2595),JU!D2595,"")</f>
        <v/>
      </c>
      <c r="E2595" s="74" t="str">
        <f>IF(OR($D$3=JU!$F2595,$D$3=JU!$I2595),JU!E2595,"")</f>
        <v/>
      </c>
      <c r="F2595" s="72">
        <f>IF($D$3=JU!F2595,JU!H2595,0)</f>
        <v>0</v>
      </c>
      <c r="G2595" s="72">
        <f>IF($D$3=JU!I2595,JU!K2595,0)</f>
        <v>0</v>
      </c>
      <c r="H2595" s="72" t="e">
        <f t="shared" si="41"/>
        <v>#REF!</v>
      </c>
    </row>
    <row r="2596" spans="2:8" hidden="1">
      <c r="B2596" s="68" t="str">
        <f>IF(OR($D$3=JU!$F2596,$D$3=JU!$I2596),JU!B2596,"")</f>
        <v/>
      </c>
      <c r="C2596" s="6" t="str">
        <f>IF(OR($D$3=JU!$F2596,$D$3=JU!$I2596),JU!C2596,"")</f>
        <v/>
      </c>
      <c r="D2596" s="73" t="str">
        <f>IF(OR($D$3=JU!$F2596,$D$3=JU!$I2596),JU!D2596,"")</f>
        <v/>
      </c>
      <c r="E2596" s="74" t="str">
        <f>IF(OR($D$3=JU!$F2596,$D$3=JU!$I2596),JU!E2596,"")</f>
        <v/>
      </c>
      <c r="F2596" s="72">
        <f>IF($D$3=JU!F2596,JU!H2596,0)</f>
        <v>0</v>
      </c>
      <c r="G2596" s="72">
        <f>IF($D$3=JU!I2596,JU!K2596,0)</f>
        <v>0</v>
      </c>
      <c r="H2596" s="72" t="e">
        <f t="shared" si="41"/>
        <v>#REF!</v>
      </c>
    </row>
    <row r="2597" spans="2:8" hidden="1">
      <c r="B2597" s="68" t="str">
        <f>IF(OR($D$3=JU!$F2597,$D$3=JU!$I2597),JU!B2597,"")</f>
        <v/>
      </c>
      <c r="C2597" s="6" t="str">
        <f>IF(OR($D$3=JU!$F2597,$D$3=JU!$I2597),JU!C2597,"")</f>
        <v/>
      </c>
      <c r="D2597" s="73" t="str">
        <f>IF(OR($D$3=JU!$F2597,$D$3=JU!$I2597),JU!D2597,"")</f>
        <v/>
      </c>
      <c r="E2597" s="74" t="str">
        <f>IF(OR($D$3=JU!$F2597,$D$3=JU!$I2597),JU!E2597,"")</f>
        <v/>
      </c>
      <c r="F2597" s="72">
        <f>IF($D$3=JU!F2597,JU!H2597,0)</f>
        <v>0</v>
      </c>
      <c r="G2597" s="72">
        <f>IF($D$3=JU!I2597,JU!K2597,0)</f>
        <v>0</v>
      </c>
      <c r="H2597" s="72" t="e">
        <f t="shared" si="41"/>
        <v>#REF!</v>
      </c>
    </row>
    <row r="2598" spans="2:8" hidden="1">
      <c r="B2598" s="68" t="str">
        <f>IF(OR($D$3=JU!$F2598,$D$3=JU!$I2598),JU!B2598,"")</f>
        <v/>
      </c>
      <c r="C2598" s="6" t="str">
        <f>IF(OR($D$3=JU!$F2598,$D$3=JU!$I2598),JU!C2598,"")</f>
        <v/>
      </c>
      <c r="D2598" s="73" t="str">
        <f>IF(OR($D$3=JU!$F2598,$D$3=JU!$I2598),JU!D2598,"")</f>
        <v/>
      </c>
      <c r="E2598" s="74" t="str">
        <f>IF(OR($D$3=JU!$F2598,$D$3=JU!$I2598),JU!E2598,"")</f>
        <v/>
      </c>
      <c r="F2598" s="72">
        <f>IF($D$3=JU!F2598,JU!H2598,0)</f>
        <v>0</v>
      </c>
      <c r="G2598" s="72">
        <f>IF($D$3=JU!I2598,JU!K2598,0)</f>
        <v>0</v>
      </c>
      <c r="H2598" s="72" t="e">
        <f t="shared" si="41"/>
        <v>#REF!</v>
      </c>
    </row>
    <row r="2599" spans="2:8" hidden="1">
      <c r="B2599" s="68" t="str">
        <f>IF(OR($D$3=JU!$F2599,$D$3=JU!$I2599),JU!B2599,"")</f>
        <v/>
      </c>
      <c r="C2599" s="6" t="str">
        <f>IF(OR($D$3=JU!$F2599,$D$3=JU!$I2599),JU!C2599,"")</f>
        <v/>
      </c>
      <c r="D2599" s="73" t="str">
        <f>IF(OR($D$3=JU!$F2599,$D$3=JU!$I2599),JU!D2599,"")</f>
        <v/>
      </c>
      <c r="E2599" s="74" t="str">
        <f>IF(OR($D$3=JU!$F2599,$D$3=JU!$I2599),JU!E2599,"")</f>
        <v/>
      </c>
      <c r="F2599" s="72">
        <f>IF($D$3=JU!F2599,JU!H2599,0)</f>
        <v>0</v>
      </c>
      <c r="G2599" s="72">
        <f>IF($D$3=JU!I2599,JU!K2599,0)</f>
        <v>0</v>
      </c>
      <c r="H2599" s="72" t="e">
        <f t="shared" si="41"/>
        <v>#REF!</v>
      </c>
    </row>
    <row r="2600" spans="2:8" hidden="1">
      <c r="B2600" s="68" t="str">
        <f>IF(OR($D$3=JU!$F2600,$D$3=JU!$I2600),JU!B2600,"")</f>
        <v/>
      </c>
      <c r="C2600" s="6" t="str">
        <f>IF(OR($D$3=JU!$F2600,$D$3=JU!$I2600),JU!C2600,"")</f>
        <v/>
      </c>
      <c r="D2600" s="73" t="str">
        <f>IF(OR($D$3=JU!$F2600,$D$3=JU!$I2600),JU!D2600,"")</f>
        <v/>
      </c>
      <c r="E2600" s="74" t="str">
        <f>IF(OR($D$3=JU!$F2600,$D$3=JU!$I2600),JU!E2600,"")</f>
        <v/>
      </c>
      <c r="F2600" s="72">
        <f>IF($D$3=JU!F2600,JU!H2600,0)</f>
        <v>0</v>
      </c>
      <c r="G2600" s="72">
        <f>IF($D$3=JU!I2600,JU!K2600,0)</f>
        <v>0</v>
      </c>
      <c r="H2600" s="72" t="e">
        <f t="shared" si="41"/>
        <v>#REF!</v>
      </c>
    </row>
    <row r="2601" spans="2:8" hidden="1">
      <c r="B2601" s="68" t="str">
        <f>IF(OR($D$3=JU!$F2601,$D$3=JU!$I2601),JU!B2601,"")</f>
        <v/>
      </c>
      <c r="C2601" s="6" t="str">
        <f>IF(OR($D$3=JU!$F2601,$D$3=JU!$I2601),JU!C2601,"")</f>
        <v/>
      </c>
      <c r="D2601" s="73" t="str">
        <f>IF(OR($D$3=JU!$F2601,$D$3=JU!$I2601),JU!D2601,"")</f>
        <v/>
      </c>
      <c r="E2601" s="74" t="str">
        <f>IF(OR($D$3=JU!$F2601,$D$3=JU!$I2601),JU!E2601,"")</f>
        <v/>
      </c>
      <c r="F2601" s="72">
        <f>IF($D$3=JU!F2601,JU!H2601,0)</f>
        <v>0</v>
      </c>
      <c r="G2601" s="72">
        <f>IF($D$3=JU!I2601,JU!K2601,0)</f>
        <v>0</v>
      </c>
      <c r="H2601" s="72" t="e">
        <f t="shared" si="41"/>
        <v>#REF!</v>
      </c>
    </row>
    <row r="2602" spans="2:8" hidden="1">
      <c r="B2602" s="68" t="str">
        <f>IF(OR($D$3=JU!$F2602,$D$3=JU!$I2602),JU!B2602,"")</f>
        <v/>
      </c>
      <c r="C2602" s="6" t="str">
        <f>IF(OR($D$3=JU!$F2602,$D$3=JU!$I2602),JU!C2602,"")</f>
        <v/>
      </c>
      <c r="D2602" s="73" t="str">
        <f>IF(OR($D$3=JU!$F2602,$D$3=JU!$I2602),JU!D2602,"")</f>
        <v/>
      </c>
      <c r="E2602" s="74" t="str">
        <f>IF(OR($D$3=JU!$F2602,$D$3=JU!$I2602),JU!E2602,"")</f>
        <v/>
      </c>
      <c r="F2602" s="72">
        <f>IF($D$3=JU!F2602,JU!H2602,0)</f>
        <v>0</v>
      </c>
      <c r="G2602" s="72">
        <f>IF($D$3=JU!I2602,JU!K2602,0)</f>
        <v>0</v>
      </c>
      <c r="H2602" s="72" t="e">
        <f t="shared" si="41"/>
        <v>#REF!</v>
      </c>
    </row>
    <row r="2603" spans="2:8" hidden="1">
      <c r="B2603" s="68" t="str">
        <f>IF(OR($D$3=JU!$F2603,$D$3=JU!$I2603),JU!B2603,"")</f>
        <v/>
      </c>
      <c r="C2603" s="6" t="str">
        <f>IF(OR($D$3=JU!$F2603,$D$3=JU!$I2603),JU!C2603,"")</f>
        <v/>
      </c>
      <c r="D2603" s="73" t="str">
        <f>IF(OR($D$3=JU!$F2603,$D$3=JU!$I2603),JU!D2603,"")</f>
        <v/>
      </c>
      <c r="E2603" s="74" t="str">
        <f>IF(OR($D$3=JU!$F2603,$D$3=JU!$I2603),JU!E2603,"")</f>
        <v/>
      </c>
      <c r="F2603" s="72">
        <f>IF($D$3=JU!F2603,JU!H2603,0)</f>
        <v>0</v>
      </c>
      <c r="G2603" s="72">
        <f>IF($D$3=JU!I2603,JU!K2603,0)</f>
        <v>0</v>
      </c>
      <c r="H2603" s="72" t="e">
        <f t="shared" si="41"/>
        <v>#REF!</v>
      </c>
    </row>
    <row r="2604" spans="2:8" hidden="1">
      <c r="B2604" s="68" t="str">
        <f>IF(OR($D$3=JU!$F2604,$D$3=JU!$I2604),JU!B2604,"")</f>
        <v/>
      </c>
      <c r="C2604" s="6" t="str">
        <f>IF(OR($D$3=JU!$F2604,$D$3=JU!$I2604),JU!C2604,"")</f>
        <v/>
      </c>
      <c r="D2604" s="73" t="str">
        <f>IF(OR($D$3=JU!$F2604,$D$3=JU!$I2604),JU!D2604,"")</f>
        <v/>
      </c>
      <c r="E2604" s="74" t="str">
        <f>IF(OR($D$3=JU!$F2604,$D$3=JU!$I2604),JU!E2604,"")</f>
        <v/>
      </c>
      <c r="F2604" s="72">
        <f>IF($D$3=JU!F2604,JU!H2604,0)</f>
        <v>0</v>
      </c>
      <c r="G2604" s="72">
        <f>IF($D$3=JU!I2604,JU!K2604,0)</f>
        <v>0</v>
      </c>
      <c r="H2604" s="72" t="e">
        <f t="shared" si="41"/>
        <v>#REF!</v>
      </c>
    </row>
    <row r="2605" spans="2:8" hidden="1">
      <c r="B2605" s="68" t="str">
        <f>IF(OR($D$3=JU!$F2605,$D$3=JU!$I2605),JU!B2605,"")</f>
        <v/>
      </c>
      <c r="C2605" s="6" t="str">
        <f>IF(OR($D$3=JU!$F2605,$D$3=JU!$I2605),JU!C2605,"")</f>
        <v/>
      </c>
      <c r="D2605" s="73" t="str">
        <f>IF(OR($D$3=JU!$F2605,$D$3=JU!$I2605),JU!D2605,"")</f>
        <v/>
      </c>
      <c r="E2605" s="74" t="str">
        <f>IF(OR($D$3=JU!$F2605,$D$3=JU!$I2605),JU!E2605,"")</f>
        <v/>
      </c>
      <c r="F2605" s="72">
        <f>IF($D$3=JU!F2605,JU!H2605,0)</f>
        <v>0</v>
      </c>
      <c r="G2605" s="72">
        <f>IF($D$3=JU!I2605,JU!K2605,0)</f>
        <v>0</v>
      </c>
      <c r="H2605" s="72" t="e">
        <f t="shared" si="41"/>
        <v>#REF!</v>
      </c>
    </row>
    <row r="2606" spans="2:8" hidden="1">
      <c r="B2606" s="68" t="str">
        <f>IF(OR($D$3=JU!$F2606,$D$3=JU!$I2606),JU!B2606,"")</f>
        <v/>
      </c>
      <c r="C2606" s="6" t="str">
        <f>IF(OR($D$3=JU!$F2606,$D$3=JU!$I2606),JU!C2606,"")</f>
        <v/>
      </c>
      <c r="D2606" s="73" t="str">
        <f>IF(OR($D$3=JU!$F2606,$D$3=JU!$I2606),JU!D2606,"")</f>
        <v/>
      </c>
      <c r="E2606" s="74" t="str">
        <f>IF(OR($D$3=JU!$F2606,$D$3=JU!$I2606),JU!E2606,"")</f>
        <v/>
      </c>
      <c r="F2606" s="72">
        <f>IF($D$3=JU!F2606,JU!H2606,0)</f>
        <v>0</v>
      </c>
      <c r="G2606" s="72">
        <f>IF($D$3=JU!I2606,JU!K2606,0)</f>
        <v>0</v>
      </c>
      <c r="H2606" s="72" t="e">
        <f t="shared" si="41"/>
        <v>#REF!</v>
      </c>
    </row>
    <row r="2607" spans="2:8" hidden="1">
      <c r="B2607" s="68" t="str">
        <f>IF(OR($D$3=JU!$F2607,$D$3=JU!$I2607),JU!B2607,"")</f>
        <v/>
      </c>
      <c r="C2607" s="6" t="str">
        <f>IF(OR($D$3=JU!$F2607,$D$3=JU!$I2607),JU!C2607,"")</f>
        <v/>
      </c>
      <c r="D2607" s="73" t="str">
        <f>IF(OR($D$3=JU!$F2607,$D$3=JU!$I2607),JU!D2607,"")</f>
        <v/>
      </c>
      <c r="E2607" s="74" t="str">
        <f>IF(OR($D$3=JU!$F2607,$D$3=JU!$I2607),JU!E2607,"")</f>
        <v/>
      </c>
      <c r="F2607" s="72">
        <f>IF($D$3=JU!F2607,JU!H2607,0)</f>
        <v>0</v>
      </c>
      <c r="G2607" s="72">
        <f>IF($D$3=JU!I2607,JU!K2607,0)</f>
        <v>0</v>
      </c>
      <c r="H2607" s="72" t="e">
        <f t="shared" si="41"/>
        <v>#REF!</v>
      </c>
    </row>
    <row r="2608" spans="2:8" hidden="1">
      <c r="B2608" s="68" t="str">
        <f>IF(OR($D$3=JU!$F2608,$D$3=JU!$I2608),JU!B2608,"")</f>
        <v/>
      </c>
      <c r="C2608" s="6" t="str">
        <f>IF(OR($D$3=JU!$F2608,$D$3=JU!$I2608),JU!C2608,"")</f>
        <v/>
      </c>
      <c r="D2608" s="73" t="str">
        <f>IF(OR($D$3=JU!$F2608,$D$3=JU!$I2608),JU!D2608,"")</f>
        <v/>
      </c>
      <c r="E2608" s="74" t="str">
        <f>IF(OR($D$3=JU!$F2608,$D$3=JU!$I2608),JU!E2608,"")</f>
        <v/>
      </c>
      <c r="F2608" s="72">
        <f>IF($D$3=JU!F2608,JU!H2608,0)</f>
        <v>0</v>
      </c>
      <c r="G2608" s="72">
        <f>IF($D$3=JU!I2608,JU!K2608,0)</f>
        <v>0</v>
      </c>
      <c r="H2608" s="72" t="e">
        <f t="shared" si="41"/>
        <v>#REF!</v>
      </c>
    </row>
    <row r="2609" spans="2:8" hidden="1">
      <c r="B2609" s="68" t="str">
        <f>IF(OR($D$3=JU!$F2609,$D$3=JU!$I2609),JU!B2609,"")</f>
        <v/>
      </c>
      <c r="C2609" s="6" t="str">
        <f>IF(OR($D$3=JU!$F2609,$D$3=JU!$I2609),JU!C2609,"")</f>
        <v/>
      </c>
      <c r="D2609" s="73" t="str">
        <f>IF(OR($D$3=JU!$F2609,$D$3=JU!$I2609),JU!D2609,"")</f>
        <v/>
      </c>
      <c r="E2609" s="74" t="str">
        <f>IF(OR($D$3=JU!$F2609,$D$3=JU!$I2609),JU!E2609,"")</f>
        <v/>
      </c>
      <c r="F2609" s="72">
        <f>IF($D$3=JU!F2609,JU!H2609,0)</f>
        <v>0</v>
      </c>
      <c r="G2609" s="72">
        <f>IF($D$3=JU!I2609,JU!K2609,0)</f>
        <v>0</v>
      </c>
      <c r="H2609" s="72" t="e">
        <f t="shared" si="41"/>
        <v>#REF!</v>
      </c>
    </row>
    <row r="2610" spans="2:8" hidden="1">
      <c r="B2610" s="68" t="str">
        <f>IF(OR($D$3=JU!$F2610,$D$3=JU!$I2610),JU!B2610,"")</f>
        <v/>
      </c>
      <c r="C2610" s="6" t="str">
        <f>IF(OR($D$3=JU!$F2610,$D$3=JU!$I2610),JU!C2610,"")</f>
        <v/>
      </c>
      <c r="D2610" s="73" t="str">
        <f>IF(OR($D$3=JU!$F2610,$D$3=JU!$I2610),JU!D2610,"")</f>
        <v/>
      </c>
      <c r="E2610" s="74" t="str">
        <f>IF(OR($D$3=JU!$F2610,$D$3=JU!$I2610),JU!E2610,"")</f>
        <v/>
      </c>
      <c r="F2610" s="72">
        <f>IF($D$3=JU!F2610,JU!H2610,0)</f>
        <v>0</v>
      </c>
      <c r="G2610" s="72">
        <f>IF($D$3=JU!I2610,JU!K2610,0)</f>
        <v>0</v>
      </c>
      <c r="H2610" s="72" t="e">
        <f t="shared" si="41"/>
        <v>#REF!</v>
      </c>
    </row>
    <row r="2611" spans="2:8" hidden="1">
      <c r="B2611" s="68" t="str">
        <f>IF(OR($D$3=JU!$F2611,$D$3=JU!$I2611),JU!B2611,"")</f>
        <v/>
      </c>
      <c r="C2611" s="6" t="str">
        <f>IF(OR($D$3=JU!$F2611,$D$3=JU!$I2611),JU!C2611,"")</f>
        <v/>
      </c>
      <c r="D2611" s="73" t="str">
        <f>IF(OR($D$3=JU!$F2611,$D$3=JU!$I2611),JU!D2611,"")</f>
        <v/>
      </c>
      <c r="E2611" s="74" t="str">
        <f>IF(OR($D$3=JU!$F2611,$D$3=JU!$I2611),JU!E2611,"")</f>
        <v/>
      </c>
      <c r="F2611" s="72">
        <f>IF($D$3=JU!F2611,JU!H2611,0)</f>
        <v>0</v>
      </c>
      <c r="G2611" s="72">
        <f>IF($D$3=JU!I2611,JU!K2611,0)</f>
        <v>0</v>
      </c>
      <c r="H2611" s="72" t="e">
        <f t="shared" si="41"/>
        <v>#REF!</v>
      </c>
    </row>
    <row r="2612" spans="2:8" hidden="1">
      <c r="B2612" s="68" t="str">
        <f>IF(OR($D$3=JU!$F2612,$D$3=JU!$I2612),JU!B2612,"")</f>
        <v/>
      </c>
      <c r="C2612" s="6" t="str">
        <f>IF(OR($D$3=JU!$F2612,$D$3=JU!$I2612),JU!C2612,"")</f>
        <v/>
      </c>
      <c r="D2612" s="73" t="str">
        <f>IF(OR($D$3=JU!$F2612,$D$3=JU!$I2612),JU!D2612,"")</f>
        <v/>
      </c>
      <c r="E2612" s="74" t="str">
        <f>IF(OR($D$3=JU!$F2612,$D$3=JU!$I2612),JU!E2612,"")</f>
        <v/>
      </c>
      <c r="F2612" s="72">
        <f>IF($D$3=JU!F2612,JU!H2612,0)</f>
        <v>0</v>
      </c>
      <c r="G2612" s="72">
        <f>IF($D$3=JU!I2612,JU!K2612,0)</f>
        <v>0</v>
      </c>
      <c r="H2612" s="72" t="e">
        <f t="shared" si="41"/>
        <v>#REF!</v>
      </c>
    </row>
    <row r="2613" spans="2:8" hidden="1">
      <c r="B2613" s="68" t="str">
        <f>IF(OR($D$3=JU!$F2613,$D$3=JU!$I2613),JU!B2613,"")</f>
        <v/>
      </c>
      <c r="C2613" s="6" t="str">
        <f>IF(OR($D$3=JU!$F2613,$D$3=JU!$I2613),JU!C2613,"")</f>
        <v/>
      </c>
      <c r="D2613" s="73" t="str">
        <f>IF(OR($D$3=JU!$F2613,$D$3=JU!$I2613),JU!D2613,"")</f>
        <v/>
      </c>
      <c r="E2613" s="74" t="str">
        <f>IF(OR($D$3=JU!$F2613,$D$3=JU!$I2613),JU!E2613,"")</f>
        <v/>
      </c>
      <c r="F2613" s="72">
        <f>IF($D$3=JU!F2613,JU!H2613,0)</f>
        <v>0</v>
      </c>
      <c r="G2613" s="72">
        <f>IF($D$3=JU!I2613,JU!K2613,0)</f>
        <v>0</v>
      </c>
      <c r="H2613" s="72" t="e">
        <f t="shared" si="41"/>
        <v>#REF!</v>
      </c>
    </row>
    <row r="2614" spans="2:8" hidden="1">
      <c r="B2614" s="68" t="str">
        <f>IF(OR($D$3=JU!$F2614,$D$3=JU!$I2614),JU!B2614,"")</f>
        <v/>
      </c>
      <c r="C2614" s="6" t="str">
        <f>IF(OR($D$3=JU!$F2614,$D$3=JU!$I2614),JU!C2614,"")</f>
        <v/>
      </c>
      <c r="D2614" s="73" t="str">
        <f>IF(OR($D$3=JU!$F2614,$D$3=JU!$I2614),JU!D2614,"")</f>
        <v/>
      </c>
      <c r="E2614" s="74" t="str">
        <f>IF(OR($D$3=JU!$F2614,$D$3=JU!$I2614),JU!E2614,"")</f>
        <v/>
      </c>
      <c r="F2614" s="72">
        <f>IF($D$3=JU!F2614,JU!H2614,0)</f>
        <v>0</v>
      </c>
      <c r="G2614" s="72">
        <f>IF($D$3=JU!I2614,JU!K2614,0)</f>
        <v>0</v>
      </c>
      <c r="H2614" s="72" t="e">
        <f t="shared" si="41"/>
        <v>#REF!</v>
      </c>
    </row>
    <row r="2615" spans="2:8" hidden="1">
      <c r="B2615" s="68" t="str">
        <f>IF(OR($D$3=JU!$F2615,$D$3=JU!$I2615),JU!B2615,"")</f>
        <v/>
      </c>
      <c r="C2615" s="6" t="str">
        <f>IF(OR($D$3=JU!$F2615,$D$3=JU!$I2615),JU!C2615,"")</f>
        <v/>
      </c>
      <c r="D2615" s="73" t="str">
        <f>IF(OR($D$3=JU!$F2615,$D$3=JU!$I2615),JU!D2615,"")</f>
        <v/>
      </c>
      <c r="E2615" s="74" t="str">
        <f>IF(OR($D$3=JU!$F2615,$D$3=JU!$I2615),JU!E2615,"")</f>
        <v/>
      </c>
      <c r="F2615" s="72">
        <f>IF($D$3=JU!F2615,JU!H2615,0)</f>
        <v>0</v>
      </c>
      <c r="G2615" s="72">
        <f>IF($D$3=JU!I2615,JU!K2615,0)</f>
        <v>0</v>
      </c>
      <c r="H2615" s="72" t="e">
        <f t="shared" si="41"/>
        <v>#REF!</v>
      </c>
    </row>
    <row r="2616" spans="2:8" hidden="1">
      <c r="B2616" s="68" t="str">
        <f>IF(OR($D$3=JU!$F2616,$D$3=JU!$I2616),JU!B2616,"")</f>
        <v/>
      </c>
      <c r="C2616" s="6" t="str">
        <f>IF(OR($D$3=JU!$F2616,$D$3=JU!$I2616),JU!C2616,"")</f>
        <v/>
      </c>
      <c r="D2616" s="73" t="str">
        <f>IF(OR($D$3=JU!$F2616,$D$3=JU!$I2616),JU!D2616,"")</f>
        <v/>
      </c>
      <c r="E2616" s="74" t="str">
        <f>IF(OR($D$3=JU!$F2616,$D$3=JU!$I2616),JU!E2616,"")</f>
        <v/>
      </c>
      <c r="F2616" s="72">
        <f>IF($D$3=JU!F2616,JU!H2616,0)</f>
        <v>0</v>
      </c>
      <c r="G2616" s="72">
        <f>IF($D$3=JU!I2616,JU!K2616,0)</f>
        <v>0</v>
      </c>
      <c r="H2616" s="72" t="e">
        <f t="shared" si="41"/>
        <v>#REF!</v>
      </c>
    </row>
    <row r="2617" spans="2:8" hidden="1">
      <c r="B2617" s="68" t="str">
        <f>IF(OR($D$3=JU!$F2617,$D$3=JU!$I2617),JU!B2617,"")</f>
        <v/>
      </c>
      <c r="C2617" s="6" t="str">
        <f>IF(OR($D$3=JU!$F2617,$D$3=JU!$I2617),JU!C2617,"")</f>
        <v/>
      </c>
      <c r="D2617" s="73" t="str">
        <f>IF(OR($D$3=JU!$F2617,$D$3=JU!$I2617),JU!D2617,"")</f>
        <v/>
      </c>
      <c r="E2617" s="74" t="str">
        <f>IF(OR($D$3=JU!$F2617,$D$3=JU!$I2617),JU!E2617,"")</f>
        <v/>
      </c>
      <c r="F2617" s="72">
        <f>IF($D$3=JU!F2617,JU!H2617,0)</f>
        <v>0</v>
      </c>
      <c r="G2617" s="72">
        <f>IF($D$3=JU!I2617,JU!K2617,0)</f>
        <v>0</v>
      </c>
      <c r="H2617" s="72" t="e">
        <f t="shared" si="41"/>
        <v>#REF!</v>
      </c>
    </row>
    <row r="2618" spans="2:8" hidden="1">
      <c r="B2618" s="68" t="str">
        <f>IF(OR($D$3=JU!$F2618,$D$3=JU!$I2618),JU!B2618,"")</f>
        <v/>
      </c>
      <c r="C2618" s="6" t="str">
        <f>IF(OR($D$3=JU!$F2618,$D$3=JU!$I2618),JU!C2618,"")</f>
        <v/>
      </c>
      <c r="D2618" s="73" t="str">
        <f>IF(OR($D$3=JU!$F2618,$D$3=JU!$I2618),JU!D2618,"")</f>
        <v/>
      </c>
      <c r="E2618" s="74" t="str">
        <f>IF(OR($D$3=JU!$F2618,$D$3=JU!$I2618),JU!E2618,"")</f>
        <v/>
      </c>
      <c r="F2618" s="72">
        <f>IF($D$3=JU!F2618,JU!H2618,0)</f>
        <v>0</v>
      </c>
      <c r="G2618" s="72">
        <f>IF($D$3=JU!I2618,JU!K2618,0)</f>
        <v>0</v>
      </c>
      <c r="H2618" s="72" t="e">
        <f t="shared" si="41"/>
        <v>#REF!</v>
      </c>
    </row>
    <row r="2619" spans="2:8" hidden="1">
      <c r="B2619" s="68" t="str">
        <f>IF(OR($D$3=JU!$F2619,$D$3=JU!$I2619),JU!B2619,"")</f>
        <v/>
      </c>
      <c r="C2619" s="6" t="str">
        <f>IF(OR($D$3=JU!$F2619,$D$3=JU!$I2619),JU!C2619,"")</f>
        <v/>
      </c>
      <c r="D2619" s="73" t="str">
        <f>IF(OR($D$3=JU!$F2619,$D$3=JU!$I2619),JU!D2619,"")</f>
        <v/>
      </c>
      <c r="E2619" s="74" t="str">
        <f>IF(OR($D$3=JU!$F2619,$D$3=JU!$I2619),JU!E2619,"")</f>
        <v/>
      </c>
      <c r="F2619" s="72">
        <f>IF($D$3=JU!F2619,JU!H2619,0)</f>
        <v>0</v>
      </c>
      <c r="G2619" s="72">
        <f>IF($D$3=JU!I2619,JU!K2619,0)</f>
        <v>0</v>
      </c>
      <c r="H2619" s="72" t="e">
        <f t="shared" si="41"/>
        <v>#REF!</v>
      </c>
    </row>
    <row r="2620" spans="2:8" hidden="1">
      <c r="B2620" s="68" t="str">
        <f>IF(OR($D$3=JU!$F2620,$D$3=JU!$I2620),JU!B2620,"")</f>
        <v/>
      </c>
      <c r="C2620" s="6" t="str">
        <f>IF(OR($D$3=JU!$F2620,$D$3=JU!$I2620),JU!C2620,"")</f>
        <v/>
      </c>
      <c r="D2620" s="73" t="str">
        <f>IF(OR($D$3=JU!$F2620,$D$3=JU!$I2620),JU!D2620,"")</f>
        <v/>
      </c>
      <c r="E2620" s="74" t="str">
        <f>IF(OR($D$3=JU!$F2620,$D$3=JU!$I2620),JU!E2620,"")</f>
        <v/>
      </c>
      <c r="F2620" s="72">
        <f>IF($D$3=JU!F2620,JU!H2620,0)</f>
        <v>0</v>
      </c>
      <c r="G2620" s="72">
        <f>IF($D$3=JU!I2620,JU!K2620,0)</f>
        <v>0</v>
      </c>
      <c r="H2620" s="72" t="e">
        <f t="shared" si="41"/>
        <v>#REF!</v>
      </c>
    </row>
    <row r="2621" spans="2:8" hidden="1">
      <c r="B2621" s="68" t="str">
        <f>IF(OR($D$3=JU!$F2621,$D$3=JU!$I2621),JU!B2621,"")</f>
        <v/>
      </c>
      <c r="C2621" s="6" t="str">
        <f>IF(OR($D$3=JU!$F2621,$D$3=JU!$I2621),JU!C2621,"")</f>
        <v/>
      </c>
      <c r="D2621" s="73" t="str">
        <f>IF(OR($D$3=JU!$F2621,$D$3=JU!$I2621),JU!D2621,"")</f>
        <v/>
      </c>
      <c r="E2621" s="74" t="str">
        <f>IF(OR($D$3=JU!$F2621,$D$3=JU!$I2621),JU!E2621,"")</f>
        <v/>
      </c>
      <c r="F2621" s="72">
        <f>IF($D$3=JU!F2621,JU!H2621,0)</f>
        <v>0</v>
      </c>
      <c r="G2621" s="72">
        <f>IF($D$3=JU!I2621,JU!K2621,0)</f>
        <v>0</v>
      </c>
      <c r="H2621" s="72" t="e">
        <f t="shared" si="41"/>
        <v>#REF!</v>
      </c>
    </row>
    <row r="2622" spans="2:8" hidden="1">
      <c r="B2622" s="68" t="str">
        <f>IF(OR($D$3=JU!$F2622,$D$3=JU!$I2622),JU!B2622,"")</f>
        <v/>
      </c>
      <c r="C2622" s="6" t="str">
        <f>IF(OR($D$3=JU!$F2622,$D$3=JU!$I2622),JU!C2622,"")</f>
        <v/>
      </c>
      <c r="D2622" s="73" t="str">
        <f>IF(OR($D$3=JU!$F2622,$D$3=JU!$I2622),JU!D2622,"")</f>
        <v/>
      </c>
      <c r="E2622" s="74" t="str">
        <f>IF(OR($D$3=JU!$F2622,$D$3=JU!$I2622),JU!E2622,"")</f>
        <v/>
      </c>
      <c r="F2622" s="72">
        <f>IF($D$3=JU!F2622,JU!H2622,0)</f>
        <v>0</v>
      </c>
      <c r="G2622" s="72">
        <f>IF($D$3=JU!I2622,JU!K2622,0)</f>
        <v>0</v>
      </c>
      <c r="H2622" s="72" t="e">
        <f t="shared" si="41"/>
        <v>#REF!</v>
      </c>
    </row>
    <row r="2623" spans="2:8" hidden="1">
      <c r="B2623" s="68" t="str">
        <f>IF(OR($D$3=JU!$F2623,$D$3=JU!$I2623),JU!B2623,"")</f>
        <v/>
      </c>
      <c r="C2623" s="6" t="str">
        <f>IF(OR($D$3=JU!$F2623,$D$3=JU!$I2623),JU!C2623,"")</f>
        <v/>
      </c>
      <c r="D2623" s="73" t="str">
        <f>IF(OR($D$3=JU!$F2623,$D$3=JU!$I2623),JU!D2623,"")</f>
        <v/>
      </c>
      <c r="E2623" s="74" t="str">
        <f>IF(OR($D$3=JU!$F2623,$D$3=JU!$I2623),JU!E2623,"")</f>
        <v/>
      </c>
      <c r="F2623" s="72">
        <f>IF($D$3=JU!F2623,JU!H2623,0)</f>
        <v>0</v>
      </c>
      <c r="G2623" s="72">
        <f>IF($D$3=JU!I2623,JU!K2623,0)</f>
        <v>0</v>
      </c>
      <c r="H2623" s="72" t="e">
        <f t="shared" si="41"/>
        <v>#REF!</v>
      </c>
    </row>
    <row r="2624" spans="2:8" hidden="1">
      <c r="B2624" s="68" t="str">
        <f>IF(OR($D$3=JU!$F2624,$D$3=JU!$I2624),JU!B2624,"")</f>
        <v/>
      </c>
      <c r="C2624" s="6" t="str">
        <f>IF(OR($D$3=JU!$F2624,$D$3=JU!$I2624),JU!C2624,"")</f>
        <v/>
      </c>
      <c r="D2624" s="73" t="str">
        <f>IF(OR($D$3=JU!$F2624,$D$3=JU!$I2624),JU!D2624,"")</f>
        <v/>
      </c>
      <c r="E2624" s="74" t="str">
        <f>IF(OR($D$3=JU!$F2624,$D$3=JU!$I2624),JU!E2624,"")</f>
        <v/>
      </c>
      <c r="F2624" s="72">
        <f>IF($D$3=JU!F2624,JU!H2624,0)</f>
        <v>0</v>
      </c>
      <c r="G2624" s="72">
        <f>IF($D$3=JU!I2624,JU!K2624,0)</f>
        <v>0</v>
      </c>
      <c r="H2624" s="72" t="e">
        <f t="shared" si="41"/>
        <v>#REF!</v>
      </c>
    </row>
    <row r="2625" spans="2:8" hidden="1">
      <c r="B2625" s="68" t="str">
        <f>IF(OR($D$3=JU!$F2625,$D$3=JU!$I2625),JU!B2625,"")</f>
        <v/>
      </c>
      <c r="C2625" s="6" t="str">
        <f>IF(OR($D$3=JU!$F2625,$D$3=JU!$I2625),JU!C2625,"")</f>
        <v/>
      </c>
      <c r="D2625" s="73" t="str">
        <f>IF(OR($D$3=JU!$F2625,$D$3=JU!$I2625),JU!D2625,"")</f>
        <v/>
      </c>
      <c r="E2625" s="74" t="str">
        <f>IF(OR($D$3=JU!$F2625,$D$3=JU!$I2625),JU!E2625,"")</f>
        <v/>
      </c>
      <c r="F2625" s="72">
        <f>IF($D$3=JU!F2625,JU!H2625,0)</f>
        <v>0</v>
      </c>
      <c r="G2625" s="72">
        <f>IF($D$3=JU!I2625,JU!K2625,0)</f>
        <v>0</v>
      </c>
      <c r="H2625" s="72" t="e">
        <f t="shared" si="41"/>
        <v>#REF!</v>
      </c>
    </row>
    <row r="2626" spans="2:8" hidden="1">
      <c r="B2626" s="68" t="str">
        <f>IF(OR($D$3=JU!$F2626,$D$3=JU!$I2626),JU!B2626,"")</f>
        <v/>
      </c>
      <c r="C2626" s="6" t="str">
        <f>IF(OR($D$3=JU!$F2626,$D$3=JU!$I2626),JU!C2626,"")</f>
        <v/>
      </c>
      <c r="D2626" s="73" t="str">
        <f>IF(OR($D$3=JU!$F2626,$D$3=JU!$I2626),JU!D2626,"")</f>
        <v/>
      </c>
      <c r="E2626" s="74" t="str">
        <f>IF(OR($D$3=JU!$F2626,$D$3=JU!$I2626),JU!E2626,"")</f>
        <v/>
      </c>
      <c r="F2626" s="72">
        <f>IF($D$3=JU!F2626,JU!H2626,0)</f>
        <v>0</v>
      </c>
      <c r="G2626" s="72">
        <f>IF($D$3=JU!I2626,JU!K2626,0)</f>
        <v>0</v>
      </c>
      <c r="H2626" s="72" t="e">
        <f t="shared" si="41"/>
        <v>#REF!</v>
      </c>
    </row>
    <row r="2627" spans="2:8" hidden="1">
      <c r="B2627" s="68" t="str">
        <f>IF(OR($D$3=JU!$F2627,$D$3=JU!$I2627),JU!B2627,"")</f>
        <v/>
      </c>
      <c r="C2627" s="6" t="str">
        <f>IF(OR($D$3=JU!$F2627,$D$3=JU!$I2627),JU!C2627,"")</f>
        <v/>
      </c>
      <c r="D2627" s="73" t="str">
        <f>IF(OR($D$3=JU!$F2627,$D$3=JU!$I2627),JU!D2627,"")</f>
        <v/>
      </c>
      <c r="E2627" s="74" t="str">
        <f>IF(OR($D$3=JU!$F2627,$D$3=JU!$I2627),JU!E2627,"")</f>
        <v/>
      </c>
      <c r="F2627" s="72">
        <f>IF($D$3=JU!F2627,JU!H2627,0)</f>
        <v>0</v>
      </c>
      <c r="G2627" s="72">
        <f>IF($D$3=JU!I2627,JU!K2627,0)</f>
        <v>0</v>
      </c>
      <c r="H2627" s="72" t="e">
        <f t="shared" si="41"/>
        <v>#REF!</v>
      </c>
    </row>
    <row r="2628" spans="2:8" hidden="1">
      <c r="B2628" s="68" t="str">
        <f>IF(OR($D$3=JU!$F2628,$D$3=JU!$I2628),JU!B2628,"")</f>
        <v/>
      </c>
      <c r="C2628" s="6" t="str">
        <f>IF(OR($D$3=JU!$F2628,$D$3=JU!$I2628),JU!C2628,"")</f>
        <v/>
      </c>
      <c r="D2628" s="73" t="str">
        <f>IF(OR($D$3=JU!$F2628,$D$3=JU!$I2628),JU!D2628,"")</f>
        <v/>
      </c>
      <c r="E2628" s="74" t="str">
        <f>IF(OR($D$3=JU!$F2628,$D$3=JU!$I2628),JU!E2628,"")</f>
        <v/>
      </c>
      <c r="F2628" s="72">
        <f>IF($D$3=JU!F2628,JU!H2628,0)</f>
        <v>0</v>
      </c>
      <c r="G2628" s="72">
        <f>IF($D$3=JU!I2628,JU!K2628,0)</f>
        <v>0</v>
      </c>
      <c r="H2628" s="72" t="e">
        <f t="shared" si="41"/>
        <v>#REF!</v>
      </c>
    </row>
    <row r="2629" spans="2:8" hidden="1">
      <c r="B2629" s="68" t="str">
        <f>IF(OR($D$3=JU!$F2629,$D$3=JU!$I2629),JU!B2629,"")</f>
        <v/>
      </c>
      <c r="C2629" s="6" t="str">
        <f>IF(OR($D$3=JU!$F2629,$D$3=JU!$I2629),JU!C2629,"")</f>
        <v/>
      </c>
      <c r="D2629" s="73" t="str">
        <f>IF(OR($D$3=JU!$F2629,$D$3=JU!$I2629),JU!D2629,"")</f>
        <v/>
      </c>
      <c r="E2629" s="74" t="str">
        <f>IF(OR($D$3=JU!$F2629,$D$3=JU!$I2629),JU!E2629,"")</f>
        <v/>
      </c>
      <c r="F2629" s="72">
        <f>IF($D$3=JU!F2629,JU!H2629,0)</f>
        <v>0</v>
      </c>
      <c r="G2629" s="72">
        <f>IF($D$3=JU!I2629,JU!K2629,0)</f>
        <v>0</v>
      </c>
      <c r="H2629" s="72" t="e">
        <f t="shared" si="41"/>
        <v>#REF!</v>
      </c>
    </row>
    <row r="2630" spans="2:8" hidden="1">
      <c r="B2630" s="68" t="str">
        <f>IF(OR($D$3=JU!$F2630,$D$3=JU!$I2630),JU!B2630,"")</f>
        <v/>
      </c>
      <c r="C2630" s="6" t="str">
        <f>IF(OR($D$3=JU!$F2630,$D$3=JU!$I2630),JU!C2630,"")</f>
        <v/>
      </c>
      <c r="D2630" s="73" t="str">
        <f>IF(OR($D$3=JU!$F2630,$D$3=JU!$I2630),JU!D2630,"")</f>
        <v/>
      </c>
      <c r="E2630" s="74" t="str">
        <f>IF(OR($D$3=JU!$F2630,$D$3=JU!$I2630),JU!E2630,"")</f>
        <v/>
      </c>
      <c r="F2630" s="72">
        <f>IF($D$3=JU!F2630,JU!H2630,0)</f>
        <v>0</v>
      </c>
      <c r="G2630" s="72">
        <f>IF($D$3=JU!I2630,JU!K2630,0)</f>
        <v>0</v>
      </c>
      <c r="H2630" s="72" t="e">
        <f t="shared" si="41"/>
        <v>#REF!</v>
      </c>
    </row>
    <row r="2631" spans="2:8" hidden="1">
      <c r="B2631" s="68" t="str">
        <f>IF(OR($D$3=JU!$F2631,$D$3=JU!$I2631),JU!B2631,"")</f>
        <v/>
      </c>
      <c r="C2631" s="6" t="str">
        <f>IF(OR($D$3=JU!$F2631,$D$3=JU!$I2631),JU!C2631,"")</f>
        <v/>
      </c>
      <c r="D2631" s="73" t="str">
        <f>IF(OR($D$3=JU!$F2631,$D$3=JU!$I2631),JU!D2631,"")</f>
        <v/>
      </c>
      <c r="E2631" s="74" t="str">
        <f>IF(OR($D$3=JU!$F2631,$D$3=JU!$I2631),JU!E2631,"")</f>
        <v/>
      </c>
      <c r="F2631" s="72">
        <f>IF($D$3=JU!F2631,JU!H2631,0)</f>
        <v>0</v>
      </c>
      <c r="G2631" s="72">
        <f>IF($D$3=JU!I2631,JU!K2631,0)</f>
        <v>0</v>
      </c>
      <c r="H2631" s="72" t="e">
        <f t="shared" si="41"/>
        <v>#REF!</v>
      </c>
    </row>
    <row r="2632" spans="2:8" hidden="1">
      <c r="B2632" s="68" t="str">
        <f>IF(OR($D$3=JU!$F2632,$D$3=JU!$I2632),JU!B2632,"")</f>
        <v/>
      </c>
      <c r="C2632" s="6" t="str">
        <f>IF(OR($D$3=JU!$F2632,$D$3=JU!$I2632),JU!C2632,"")</f>
        <v/>
      </c>
      <c r="D2632" s="73" t="str">
        <f>IF(OR($D$3=JU!$F2632,$D$3=JU!$I2632),JU!D2632,"")</f>
        <v/>
      </c>
      <c r="E2632" s="74" t="str">
        <f>IF(OR($D$3=JU!$F2632,$D$3=JU!$I2632),JU!E2632,"")</f>
        <v/>
      </c>
      <c r="F2632" s="72">
        <f>IF($D$3=JU!F2632,JU!H2632,0)</f>
        <v>0</v>
      </c>
      <c r="G2632" s="72">
        <f>IF($D$3=JU!I2632,JU!K2632,0)</f>
        <v>0</v>
      </c>
      <c r="H2632" s="72" t="e">
        <f t="shared" si="41"/>
        <v>#REF!</v>
      </c>
    </row>
    <row r="2633" spans="2:8" hidden="1">
      <c r="B2633" s="68" t="str">
        <f>IF(OR($D$3=JU!$F2633,$D$3=JU!$I2633),JU!B2633,"")</f>
        <v/>
      </c>
      <c r="C2633" s="6" t="str">
        <f>IF(OR($D$3=JU!$F2633,$D$3=JU!$I2633),JU!C2633,"")</f>
        <v/>
      </c>
      <c r="D2633" s="73" t="str">
        <f>IF(OR($D$3=JU!$F2633,$D$3=JU!$I2633),JU!D2633,"")</f>
        <v/>
      </c>
      <c r="E2633" s="74" t="str">
        <f>IF(OR($D$3=JU!$F2633,$D$3=JU!$I2633),JU!E2633,"")</f>
        <v/>
      </c>
      <c r="F2633" s="72">
        <f>IF($D$3=JU!F2633,JU!H2633,0)</f>
        <v>0</v>
      </c>
      <c r="G2633" s="72">
        <f>IF($D$3=JU!I2633,JU!K2633,0)</f>
        <v>0</v>
      </c>
      <c r="H2633" s="72" t="e">
        <f t="shared" si="41"/>
        <v>#REF!</v>
      </c>
    </row>
    <row r="2634" spans="2:8" hidden="1">
      <c r="B2634" s="68" t="str">
        <f>IF(OR($D$3=JU!$F2634,$D$3=JU!$I2634),JU!B2634,"")</f>
        <v/>
      </c>
      <c r="C2634" s="6" t="str">
        <f>IF(OR($D$3=JU!$F2634,$D$3=JU!$I2634),JU!C2634,"")</f>
        <v/>
      </c>
      <c r="D2634" s="73" t="str">
        <f>IF(OR($D$3=JU!$F2634,$D$3=JU!$I2634),JU!D2634,"")</f>
        <v/>
      </c>
      <c r="E2634" s="74" t="str">
        <f>IF(OR($D$3=JU!$F2634,$D$3=JU!$I2634),JU!E2634,"")</f>
        <v/>
      </c>
      <c r="F2634" s="72">
        <f>IF($D$3=JU!F2634,JU!H2634,0)</f>
        <v>0</v>
      </c>
      <c r="G2634" s="72">
        <f>IF($D$3=JU!I2634,JU!K2634,0)</f>
        <v>0</v>
      </c>
      <c r="H2634" s="72" t="e">
        <f t="shared" si="41"/>
        <v>#REF!</v>
      </c>
    </row>
    <row r="2635" spans="2:8" hidden="1">
      <c r="B2635" s="68" t="str">
        <f>IF(OR($D$3=JU!$F2635,$D$3=JU!$I2635),JU!B2635,"")</f>
        <v/>
      </c>
      <c r="C2635" s="6" t="str">
        <f>IF(OR($D$3=JU!$F2635,$D$3=JU!$I2635),JU!C2635,"")</f>
        <v/>
      </c>
      <c r="D2635" s="73" t="str">
        <f>IF(OR($D$3=JU!$F2635,$D$3=JU!$I2635),JU!D2635,"")</f>
        <v/>
      </c>
      <c r="E2635" s="74" t="str">
        <f>IF(OR($D$3=JU!$F2635,$D$3=JU!$I2635),JU!E2635,"")</f>
        <v/>
      </c>
      <c r="F2635" s="72">
        <f>IF($D$3=JU!F2635,JU!H2635,0)</f>
        <v>0</v>
      </c>
      <c r="G2635" s="72">
        <f>IF($D$3=JU!I2635,JU!K2635,0)</f>
        <v>0</v>
      </c>
      <c r="H2635" s="72" t="e">
        <f t="shared" si="41"/>
        <v>#REF!</v>
      </c>
    </row>
    <row r="2636" spans="2:8" hidden="1">
      <c r="B2636" s="68" t="str">
        <f>IF(OR($D$3=JU!$F2636,$D$3=JU!$I2636),JU!B2636,"")</f>
        <v/>
      </c>
      <c r="C2636" s="6" t="str">
        <f>IF(OR($D$3=JU!$F2636,$D$3=JU!$I2636),JU!C2636,"")</f>
        <v/>
      </c>
      <c r="D2636" s="73" t="str">
        <f>IF(OR($D$3=JU!$F2636,$D$3=JU!$I2636),JU!D2636,"")</f>
        <v/>
      </c>
      <c r="E2636" s="74" t="str">
        <f>IF(OR($D$3=JU!$F2636,$D$3=JU!$I2636),JU!E2636,"")</f>
        <v/>
      </c>
      <c r="F2636" s="72">
        <f>IF($D$3=JU!F2636,JU!H2636,0)</f>
        <v>0</v>
      </c>
      <c r="G2636" s="72">
        <f>IF($D$3=JU!I2636,JU!K2636,0)</f>
        <v>0</v>
      </c>
      <c r="H2636" s="72" t="e">
        <f t="shared" si="41"/>
        <v>#REF!</v>
      </c>
    </row>
    <row r="2637" spans="2:8" hidden="1">
      <c r="B2637" s="68" t="str">
        <f>IF(OR($D$3=JU!$F2637,$D$3=JU!$I2637),JU!B2637,"")</f>
        <v/>
      </c>
      <c r="C2637" s="6" t="str">
        <f>IF(OR($D$3=JU!$F2637,$D$3=JU!$I2637),JU!C2637,"")</f>
        <v/>
      </c>
      <c r="D2637" s="73" t="str">
        <f>IF(OR($D$3=JU!$F2637,$D$3=JU!$I2637),JU!D2637,"")</f>
        <v/>
      </c>
      <c r="E2637" s="74" t="str">
        <f>IF(OR($D$3=JU!$F2637,$D$3=JU!$I2637),JU!E2637,"")</f>
        <v/>
      </c>
      <c r="F2637" s="72">
        <f>IF($D$3=JU!F2637,JU!H2637,0)</f>
        <v>0</v>
      </c>
      <c r="G2637" s="72">
        <f>IF($D$3=JU!I2637,JU!K2637,0)</f>
        <v>0</v>
      </c>
      <c r="H2637" s="72" t="e">
        <f t="shared" si="41"/>
        <v>#REF!</v>
      </c>
    </row>
    <row r="2638" spans="2:8" hidden="1">
      <c r="B2638" s="68" t="str">
        <f>IF(OR($D$3=JU!$F2638,$D$3=JU!$I2638),JU!B2638,"")</f>
        <v/>
      </c>
      <c r="C2638" s="6" t="str">
        <f>IF(OR($D$3=JU!$F2638,$D$3=JU!$I2638),JU!C2638,"")</f>
        <v/>
      </c>
      <c r="D2638" s="73" t="str">
        <f>IF(OR($D$3=JU!$F2638,$D$3=JU!$I2638),JU!D2638,"")</f>
        <v/>
      </c>
      <c r="E2638" s="74" t="str">
        <f>IF(OR($D$3=JU!$F2638,$D$3=JU!$I2638),JU!E2638,"")</f>
        <v/>
      </c>
      <c r="F2638" s="72">
        <f>IF($D$3=JU!F2638,JU!H2638,0)</f>
        <v>0</v>
      </c>
      <c r="G2638" s="72">
        <f>IF($D$3=JU!I2638,JU!K2638,0)</f>
        <v>0</v>
      </c>
      <c r="H2638" s="72" t="e">
        <f t="shared" ref="H2638:H2701" si="42">IF($H$7="DEBET",H2637+F2638-G2638,H2637+G2638-F2638)</f>
        <v>#REF!</v>
      </c>
    </row>
    <row r="2639" spans="2:8" hidden="1">
      <c r="B2639" s="68" t="str">
        <f>IF(OR($D$3=JU!$F2639,$D$3=JU!$I2639),JU!B2639,"")</f>
        <v/>
      </c>
      <c r="C2639" s="6" t="str">
        <f>IF(OR($D$3=JU!$F2639,$D$3=JU!$I2639),JU!C2639,"")</f>
        <v/>
      </c>
      <c r="D2639" s="73" t="str">
        <f>IF(OR($D$3=JU!$F2639,$D$3=JU!$I2639),JU!D2639,"")</f>
        <v/>
      </c>
      <c r="E2639" s="74" t="str">
        <f>IF(OR($D$3=JU!$F2639,$D$3=JU!$I2639),JU!E2639,"")</f>
        <v/>
      </c>
      <c r="F2639" s="72">
        <f>IF($D$3=JU!F2639,JU!H2639,0)</f>
        <v>0</v>
      </c>
      <c r="G2639" s="72">
        <f>IF($D$3=JU!I2639,JU!K2639,0)</f>
        <v>0</v>
      </c>
      <c r="H2639" s="72" t="e">
        <f t="shared" si="42"/>
        <v>#REF!</v>
      </c>
    </row>
    <row r="2640" spans="2:8" hidden="1">
      <c r="B2640" s="68" t="str">
        <f>IF(OR($D$3=JU!$F2640,$D$3=JU!$I2640),JU!B2640,"")</f>
        <v/>
      </c>
      <c r="C2640" s="6" t="str">
        <f>IF(OR($D$3=JU!$F2640,$D$3=JU!$I2640),JU!C2640,"")</f>
        <v/>
      </c>
      <c r="D2640" s="73" t="str">
        <f>IF(OR($D$3=JU!$F2640,$D$3=JU!$I2640),JU!D2640,"")</f>
        <v/>
      </c>
      <c r="E2640" s="74" t="str">
        <f>IF(OR($D$3=JU!$F2640,$D$3=JU!$I2640),JU!E2640,"")</f>
        <v/>
      </c>
      <c r="F2640" s="72">
        <f>IF($D$3=JU!F2640,JU!H2640,0)</f>
        <v>0</v>
      </c>
      <c r="G2640" s="72">
        <f>IF($D$3=JU!I2640,JU!K2640,0)</f>
        <v>0</v>
      </c>
      <c r="H2640" s="72" t="e">
        <f t="shared" si="42"/>
        <v>#REF!</v>
      </c>
    </row>
    <row r="2641" spans="2:8" hidden="1">
      <c r="B2641" s="68" t="str">
        <f>IF(OR($D$3=JU!$F2641,$D$3=JU!$I2641),JU!B2641,"")</f>
        <v/>
      </c>
      <c r="C2641" s="6" t="str">
        <f>IF(OR($D$3=JU!$F2641,$D$3=JU!$I2641),JU!C2641,"")</f>
        <v/>
      </c>
      <c r="D2641" s="73" t="str">
        <f>IF(OR($D$3=JU!$F2641,$D$3=JU!$I2641),JU!D2641,"")</f>
        <v/>
      </c>
      <c r="E2641" s="74" t="str">
        <f>IF(OR($D$3=JU!$F2641,$D$3=JU!$I2641),JU!E2641,"")</f>
        <v/>
      </c>
      <c r="F2641" s="72">
        <f>IF($D$3=JU!F2641,JU!H2641,0)</f>
        <v>0</v>
      </c>
      <c r="G2641" s="72">
        <f>IF($D$3=JU!I2641,JU!K2641,0)</f>
        <v>0</v>
      </c>
      <c r="H2641" s="72" t="e">
        <f t="shared" si="42"/>
        <v>#REF!</v>
      </c>
    </row>
    <row r="2642" spans="2:8" hidden="1">
      <c r="B2642" s="68" t="str">
        <f>IF(OR($D$3=JU!$F2642,$D$3=JU!$I2642),JU!B2642,"")</f>
        <v/>
      </c>
      <c r="C2642" s="6" t="str">
        <f>IF(OR($D$3=JU!$F2642,$D$3=JU!$I2642),JU!C2642,"")</f>
        <v/>
      </c>
      <c r="D2642" s="73" t="str">
        <f>IF(OR($D$3=JU!$F2642,$D$3=JU!$I2642),JU!D2642,"")</f>
        <v/>
      </c>
      <c r="E2642" s="74" t="str">
        <f>IF(OR($D$3=JU!$F2642,$D$3=JU!$I2642),JU!E2642,"")</f>
        <v/>
      </c>
      <c r="F2642" s="72">
        <f>IF($D$3=JU!F2642,JU!H2642,0)</f>
        <v>0</v>
      </c>
      <c r="G2642" s="72">
        <f>IF($D$3=JU!I2642,JU!K2642,0)</f>
        <v>0</v>
      </c>
      <c r="H2642" s="72" t="e">
        <f t="shared" si="42"/>
        <v>#REF!</v>
      </c>
    </row>
    <row r="2643" spans="2:8" hidden="1">
      <c r="B2643" s="68" t="str">
        <f>IF(OR($D$3=JU!$F2643,$D$3=JU!$I2643),JU!B2643,"")</f>
        <v/>
      </c>
      <c r="C2643" s="6" t="str">
        <f>IF(OR($D$3=JU!$F2643,$D$3=JU!$I2643),JU!C2643,"")</f>
        <v/>
      </c>
      <c r="D2643" s="73" t="str">
        <f>IF(OR($D$3=JU!$F2643,$D$3=JU!$I2643),JU!D2643,"")</f>
        <v/>
      </c>
      <c r="E2643" s="74" t="str">
        <f>IF(OR($D$3=JU!$F2643,$D$3=JU!$I2643),JU!E2643,"")</f>
        <v/>
      </c>
      <c r="F2643" s="72">
        <f>IF($D$3=JU!F2643,JU!H2643,0)</f>
        <v>0</v>
      </c>
      <c r="G2643" s="72">
        <f>IF($D$3=JU!I2643,JU!K2643,0)</f>
        <v>0</v>
      </c>
      <c r="H2643" s="72" t="e">
        <f t="shared" si="42"/>
        <v>#REF!</v>
      </c>
    </row>
    <row r="2644" spans="2:8" hidden="1">
      <c r="B2644" s="68" t="str">
        <f>IF(OR($D$3=JU!$F2644,$D$3=JU!$I2644),JU!B2644,"")</f>
        <v/>
      </c>
      <c r="C2644" s="6" t="str">
        <f>IF(OR($D$3=JU!$F2644,$D$3=JU!$I2644),JU!C2644,"")</f>
        <v/>
      </c>
      <c r="D2644" s="73" t="str">
        <f>IF(OR($D$3=JU!$F2644,$D$3=JU!$I2644),JU!D2644,"")</f>
        <v/>
      </c>
      <c r="E2644" s="74" t="str">
        <f>IF(OR($D$3=JU!$F2644,$D$3=JU!$I2644),JU!E2644,"")</f>
        <v/>
      </c>
      <c r="F2644" s="72">
        <f>IF($D$3=JU!F2644,JU!H2644,0)</f>
        <v>0</v>
      </c>
      <c r="G2644" s="72">
        <f>IF($D$3=JU!I2644,JU!K2644,0)</f>
        <v>0</v>
      </c>
      <c r="H2644" s="72" t="e">
        <f t="shared" si="42"/>
        <v>#REF!</v>
      </c>
    </row>
    <row r="2645" spans="2:8" hidden="1">
      <c r="B2645" s="68" t="str">
        <f>IF(OR($D$3=JU!$F2645,$D$3=JU!$I2645),JU!B2645,"")</f>
        <v/>
      </c>
      <c r="C2645" s="6" t="str">
        <f>IF(OR($D$3=JU!$F2645,$D$3=JU!$I2645),JU!C2645,"")</f>
        <v/>
      </c>
      <c r="D2645" s="73" t="str">
        <f>IF(OR($D$3=JU!$F2645,$D$3=JU!$I2645),JU!D2645,"")</f>
        <v/>
      </c>
      <c r="E2645" s="74" t="str">
        <f>IF(OR($D$3=JU!$F2645,$D$3=JU!$I2645),JU!E2645,"")</f>
        <v/>
      </c>
      <c r="F2645" s="72">
        <f>IF($D$3=JU!F2645,JU!H2645,0)</f>
        <v>0</v>
      </c>
      <c r="G2645" s="72">
        <f>IF($D$3=JU!I2645,JU!K2645,0)</f>
        <v>0</v>
      </c>
      <c r="H2645" s="72" t="e">
        <f t="shared" si="42"/>
        <v>#REF!</v>
      </c>
    </row>
    <row r="2646" spans="2:8" hidden="1">
      <c r="B2646" s="68" t="str">
        <f>IF(OR($D$3=JU!$F2646,$D$3=JU!$I2646),JU!B2646,"")</f>
        <v/>
      </c>
      <c r="C2646" s="6" t="str">
        <f>IF(OR($D$3=JU!$F2646,$D$3=JU!$I2646),JU!C2646,"")</f>
        <v/>
      </c>
      <c r="D2646" s="73" t="str">
        <f>IF(OR($D$3=JU!$F2646,$D$3=JU!$I2646),JU!D2646,"")</f>
        <v/>
      </c>
      <c r="E2646" s="74" t="str">
        <f>IF(OR($D$3=JU!$F2646,$D$3=JU!$I2646),JU!E2646,"")</f>
        <v/>
      </c>
      <c r="F2646" s="72">
        <f>IF($D$3=JU!F2646,JU!H2646,0)</f>
        <v>0</v>
      </c>
      <c r="G2646" s="72">
        <f>IF($D$3=JU!I2646,JU!K2646,0)</f>
        <v>0</v>
      </c>
      <c r="H2646" s="72" t="e">
        <f t="shared" si="42"/>
        <v>#REF!</v>
      </c>
    </row>
    <row r="2647" spans="2:8" hidden="1">
      <c r="B2647" s="68" t="str">
        <f>IF(OR($D$3=JU!$F2647,$D$3=JU!$I2647),JU!B2647,"")</f>
        <v/>
      </c>
      <c r="C2647" s="6" t="str">
        <f>IF(OR($D$3=JU!$F2647,$D$3=JU!$I2647),JU!C2647,"")</f>
        <v/>
      </c>
      <c r="D2647" s="73" t="str">
        <f>IF(OR($D$3=JU!$F2647,$D$3=JU!$I2647),JU!D2647,"")</f>
        <v/>
      </c>
      <c r="E2647" s="74" t="str">
        <f>IF(OR($D$3=JU!$F2647,$D$3=JU!$I2647),JU!E2647,"")</f>
        <v/>
      </c>
      <c r="F2647" s="72">
        <f>IF($D$3=JU!F2647,JU!H2647,0)</f>
        <v>0</v>
      </c>
      <c r="G2647" s="72">
        <f>IF($D$3=JU!I2647,JU!K2647,0)</f>
        <v>0</v>
      </c>
      <c r="H2647" s="72" t="e">
        <f t="shared" si="42"/>
        <v>#REF!</v>
      </c>
    </row>
    <row r="2648" spans="2:8" hidden="1">
      <c r="B2648" s="68" t="str">
        <f>IF(OR($D$3=JU!$F2648,$D$3=JU!$I2648),JU!B2648,"")</f>
        <v/>
      </c>
      <c r="C2648" s="6" t="str">
        <f>IF(OR($D$3=JU!$F2648,$D$3=JU!$I2648),JU!C2648,"")</f>
        <v/>
      </c>
      <c r="D2648" s="73" t="str">
        <f>IF(OR($D$3=JU!$F2648,$D$3=JU!$I2648),JU!D2648,"")</f>
        <v/>
      </c>
      <c r="E2648" s="74" t="str">
        <f>IF(OR($D$3=JU!$F2648,$D$3=JU!$I2648),JU!E2648,"")</f>
        <v/>
      </c>
      <c r="F2648" s="72">
        <f>IF($D$3=JU!F2648,JU!H2648,0)</f>
        <v>0</v>
      </c>
      <c r="G2648" s="72">
        <f>IF($D$3=JU!I2648,JU!K2648,0)</f>
        <v>0</v>
      </c>
      <c r="H2648" s="72" t="e">
        <f t="shared" si="42"/>
        <v>#REF!</v>
      </c>
    </row>
    <row r="2649" spans="2:8" hidden="1">
      <c r="B2649" s="68" t="str">
        <f>IF(OR($D$3=JU!$F2649,$D$3=JU!$I2649),JU!B2649,"")</f>
        <v/>
      </c>
      <c r="C2649" s="6" t="str">
        <f>IF(OR($D$3=JU!$F2649,$D$3=JU!$I2649),JU!C2649,"")</f>
        <v/>
      </c>
      <c r="D2649" s="73" t="str">
        <f>IF(OR($D$3=JU!$F2649,$D$3=JU!$I2649),JU!D2649,"")</f>
        <v/>
      </c>
      <c r="E2649" s="74" t="str">
        <f>IF(OR($D$3=JU!$F2649,$D$3=JU!$I2649),JU!E2649,"")</f>
        <v/>
      </c>
      <c r="F2649" s="72">
        <f>IF($D$3=JU!F2649,JU!H2649,0)</f>
        <v>0</v>
      </c>
      <c r="G2649" s="72">
        <f>IF($D$3=JU!I2649,JU!K2649,0)</f>
        <v>0</v>
      </c>
      <c r="H2649" s="72" t="e">
        <f t="shared" si="42"/>
        <v>#REF!</v>
      </c>
    </row>
    <row r="2650" spans="2:8" hidden="1">
      <c r="B2650" s="68" t="str">
        <f>IF(OR($D$3=JU!$F2650,$D$3=JU!$I2650),JU!B2650,"")</f>
        <v/>
      </c>
      <c r="C2650" s="6" t="str">
        <f>IF(OR($D$3=JU!$F2650,$D$3=JU!$I2650),JU!C2650,"")</f>
        <v/>
      </c>
      <c r="D2650" s="73" t="str">
        <f>IF(OR($D$3=JU!$F2650,$D$3=JU!$I2650),JU!D2650,"")</f>
        <v/>
      </c>
      <c r="E2650" s="74" t="str">
        <f>IF(OR($D$3=JU!$F2650,$D$3=JU!$I2650),JU!E2650,"")</f>
        <v/>
      </c>
      <c r="F2650" s="72">
        <f>IF($D$3=JU!F2650,JU!H2650,0)</f>
        <v>0</v>
      </c>
      <c r="G2650" s="72">
        <f>IF($D$3=JU!I2650,JU!K2650,0)</f>
        <v>0</v>
      </c>
      <c r="H2650" s="72" t="e">
        <f t="shared" si="42"/>
        <v>#REF!</v>
      </c>
    </row>
    <row r="2651" spans="2:8" hidden="1">
      <c r="B2651" s="68" t="str">
        <f>IF(OR($D$3=JU!$F2651,$D$3=JU!$I2651),JU!B2651,"")</f>
        <v/>
      </c>
      <c r="C2651" s="6" t="str">
        <f>IF(OR($D$3=JU!$F2651,$D$3=JU!$I2651),JU!C2651,"")</f>
        <v/>
      </c>
      <c r="D2651" s="73" t="str">
        <f>IF(OR($D$3=JU!$F2651,$D$3=JU!$I2651),JU!D2651,"")</f>
        <v/>
      </c>
      <c r="E2651" s="74" t="str">
        <f>IF(OR($D$3=JU!$F2651,$D$3=JU!$I2651),JU!E2651,"")</f>
        <v/>
      </c>
      <c r="F2651" s="72">
        <f>IF($D$3=JU!F2651,JU!H2651,0)</f>
        <v>0</v>
      </c>
      <c r="G2651" s="72">
        <f>IF($D$3=JU!I2651,JU!K2651,0)</f>
        <v>0</v>
      </c>
      <c r="H2651" s="72" t="e">
        <f t="shared" si="42"/>
        <v>#REF!</v>
      </c>
    </row>
    <row r="2652" spans="2:8" hidden="1">
      <c r="B2652" s="68" t="str">
        <f>IF(OR($D$3=JU!$F2652,$D$3=JU!$I2652),JU!B2652,"")</f>
        <v/>
      </c>
      <c r="C2652" s="6" t="str">
        <f>IF(OR($D$3=JU!$F2652,$D$3=JU!$I2652),JU!C2652,"")</f>
        <v/>
      </c>
      <c r="D2652" s="73" t="str">
        <f>IF(OR($D$3=JU!$F2652,$D$3=JU!$I2652),JU!D2652,"")</f>
        <v/>
      </c>
      <c r="E2652" s="74" t="str">
        <f>IF(OR($D$3=JU!$F2652,$D$3=JU!$I2652),JU!E2652,"")</f>
        <v/>
      </c>
      <c r="F2652" s="72">
        <f>IF($D$3=JU!F2652,JU!H2652,0)</f>
        <v>0</v>
      </c>
      <c r="G2652" s="72">
        <f>IF($D$3=JU!I2652,JU!K2652,0)</f>
        <v>0</v>
      </c>
      <c r="H2652" s="72" t="e">
        <f t="shared" si="42"/>
        <v>#REF!</v>
      </c>
    </row>
    <row r="2653" spans="2:8" hidden="1">
      <c r="B2653" s="68" t="str">
        <f>IF(OR($D$3=JU!$F2653,$D$3=JU!$I2653),JU!B2653,"")</f>
        <v/>
      </c>
      <c r="C2653" s="6" t="str">
        <f>IF(OR($D$3=JU!$F2653,$D$3=JU!$I2653),JU!C2653,"")</f>
        <v/>
      </c>
      <c r="D2653" s="73" t="str">
        <f>IF(OR($D$3=JU!$F2653,$D$3=JU!$I2653),JU!D2653,"")</f>
        <v/>
      </c>
      <c r="E2653" s="74" t="str">
        <f>IF(OR($D$3=JU!$F2653,$D$3=JU!$I2653),JU!E2653,"")</f>
        <v/>
      </c>
      <c r="F2653" s="72">
        <f>IF($D$3=JU!F2653,JU!H2653,0)</f>
        <v>0</v>
      </c>
      <c r="G2653" s="72">
        <f>IF($D$3=JU!I2653,JU!K2653,0)</f>
        <v>0</v>
      </c>
      <c r="H2653" s="72" t="e">
        <f t="shared" si="42"/>
        <v>#REF!</v>
      </c>
    </row>
    <row r="2654" spans="2:8" hidden="1">
      <c r="B2654" s="68" t="str">
        <f>IF(OR($D$3=JU!$F2654,$D$3=JU!$I2654),JU!B2654,"")</f>
        <v/>
      </c>
      <c r="C2654" s="6" t="str">
        <f>IF(OR($D$3=JU!$F2654,$D$3=JU!$I2654),JU!C2654,"")</f>
        <v/>
      </c>
      <c r="D2654" s="73" t="str">
        <f>IF(OR($D$3=JU!$F2654,$D$3=JU!$I2654),JU!D2654,"")</f>
        <v/>
      </c>
      <c r="E2654" s="74" t="str">
        <f>IF(OR($D$3=JU!$F2654,$D$3=JU!$I2654),JU!E2654,"")</f>
        <v/>
      </c>
      <c r="F2654" s="72">
        <f>IF($D$3=JU!F2654,JU!H2654,0)</f>
        <v>0</v>
      </c>
      <c r="G2654" s="72">
        <f>IF($D$3=JU!I2654,JU!K2654,0)</f>
        <v>0</v>
      </c>
      <c r="H2654" s="72" t="e">
        <f t="shared" si="42"/>
        <v>#REF!</v>
      </c>
    </row>
    <row r="2655" spans="2:8" hidden="1">
      <c r="B2655" s="68" t="str">
        <f>IF(OR($D$3=JU!$F2655,$D$3=JU!$I2655),JU!B2655,"")</f>
        <v/>
      </c>
      <c r="C2655" s="6" t="str">
        <f>IF(OR($D$3=JU!$F2655,$D$3=JU!$I2655),JU!C2655,"")</f>
        <v/>
      </c>
      <c r="D2655" s="73" t="str">
        <f>IF(OR($D$3=JU!$F2655,$D$3=JU!$I2655),JU!D2655,"")</f>
        <v/>
      </c>
      <c r="E2655" s="74" t="str">
        <f>IF(OR($D$3=JU!$F2655,$D$3=JU!$I2655),JU!E2655,"")</f>
        <v/>
      </c>
      <c r="F2655" s="72">
        <f>IF($D$3=JU!F2655,JU!H2655,0)</f>
        <v>0</v>
      </c>
      <c r="G2655" s="72">
        <f>IF($D$3=JU!I2655,JU!K2655,0)</f>
        <v>0</v>
      </c>
      <c r="H2655" s="72" t="e">
        <f t="shared" si="42"/>
        <v>#REF!</v>
      </c>
    </row>
    <row r="2656" spans="2:8" hidden="1">
      <c r="B2656" s="68" t="str">
        <f>IF(OR($D$3=JU!$F2656,$D$3=JU!$I2656),JU!B2656,"")</f>
        <v/>
      </c>
      <c r="C2656" s="6" t="str">
        <f>IF(OR($D$3=JU!$F2656,$D$3=JU!$I2656),JU!C2656,"")</f>
        <v/>
      </c>
      <c r="D2656" s="73" t="str">
        <f>IF(OR($D$3=JU!$F2656,$D$3=JU!$I2656),JU!D2656,"")</f>
        <v/>
      </c>
      <c r="E2656" s="74" t="str">
        <f>IF(OR($D$3=JU!$F2656,$D$3=JU!$I2656),JU!E2656,"")</f>
        <v/>
      </c>
      <c r="F2656" s="72">
        <f>IF($D$3=JU!F2656,JU!H2656,0)</f>
        <v>0</v>
      </c>
      <c r="G2656" s="72">
        <f>IF($D$3=JU!I2656,JU!K2656,0)</f>
        <v>0</v>
      </c>
      <c r="H2656" s="72" t="e">
        <f t="shared" si="42"/>
        <v>#REF!</v>
      </c>
    </row>
    <row r="2657" spans="2:8" hidden="1">
      <c r="B2657" s="68" t="str">
        <f>IF(OR($D$3=JU!$F2657,$D$3=JU!$I2657),JU!B2657,"")</f>
        <v/>
      </c>
      <c r="C2657" s="6" t="str">
        <f>IF(OR($D$3=JU!$F2657,$D$3=JU!$I2657),JU!C2657,"")</f>
        <v/>
      </c>
      <c r="D2657" s="73" t="str">
        <f>IF(OR($D$3=JU!$F2657,$D$3=JU!$I2657),JU!D2657,"")</f>
        <v/>
      </c>
      <c r="E2657" s="74" t="str">
        <f>IF(OR($D$3=JU!$F2657,$D$3=JU!$I2657),JU!E2657,"")</f>
        <v/>
      </c>
      <c r="F2657" s="72">
        <f>IF($D$3=JU!F2657,JU!H2657,0)</f>
        <v>0</v>
      </c>
      <c r="G2657" s="72">
        <f>IF($D$3=JU!I2657,JU!K2657,0)</f>
        <v>0</v>
      </c>
      <c r="H2657" s="72" t="e">
        <f t="shared" si="42"/>
        <v>#REF!</v>
      </c>
    </row>
    <row r="2658" spans="2:8" hidden="1">
      <c r="B2658" s="68" t="str">
        <f>IF(OR($D$3=JU!$F2658,$D$3=JU!$I2658),JU!B2658,"")</f>
        <v/>
      </c>
      <c r="C2658" s="6" t="str">
        <f>IF(OR($D$3=JU!$F2658,$D$3=JU!$I2658),JU!C2658,"")</f>
        <v/>
      </c>
      <c r="D2658" s="73" t="str">
        <f>IF(OR($D$3=JU!$F2658,$D$3=JU!$I2658),JU!D2658,"")</f>
        <v/>
      </c>
      <c r="E2658" s="74" t="str">
        <f>IF(OR($D$3=JU!$F2658,$D$3=JU!$I2658),JU!E2658,"")</f>
        <v/>
      </c>
      <c r="F2658" s="72">
        <f>IF($D$3=JU!F2658,JU!H2658,0)</f>
        <v>0</v>
      </c>
      <c r="G2658" s="72">
        <f>IF($D$3=JU!I2658,JU!K2658,0)</f>
        <v>0</v>
      </c>
      <c r="H2658" s="72" t="e">
        <f t="shared" si="42"/>
        <v>#REF!</v>
      </c>
    </row>
    <row r="2659" spans="2:8" hidden="1">
      <c r="B2659" s="68" t="str">
        <f>IF(OR($D$3=JU!$F2659,$D$3=JU!$I2659),JU!B2659,"")</f>
        <v/>
      </c>
      <c r="C2659" s="6" t="str">
        <f>IF(OR($D$3=JU!$F2659,$D$3=JU!$I2659),JU!C2659,"")</f>
        <v/>
      </c>
      <c r="D2659" s="73" t="str">
        <f>IF(OR($D$3=JU!$F2659,$D$3=JU!$I2659),JU!D2659,"")</f>
        <v/>
      </c>
      <c r="E2659" s="74" t="str">
        <f>IF(OR($D$3=JU!$F2659,$D$3=JU!$I2659),JU!E2659,"")</f>
        <v/>
      </c>
      <c r="F2659" s="72">
        <f>IF($D$3=JU!F2659,JU!H2659,0)</f>
        <v>0</v>
      </c>
      <c r="G2659" s="72">
        <f>IF($D$3=JU!I2659,JU!K2659,0)</f>
        <v>0</v>
      </c>
      <c r="H2659" s="72" t="e">
        <f t="shared" si="42"/>
        <v>#REF!</v>
      </c>
    </row>
    <row r="2660" spans="2:8" hidden="1">
      <c r="B2660" s="68" t="str">
        <f>IF(OR($D$3=JU!$F2660,$D$3=JU!$I2660),JU!B2660,"")</f>
        <v/>
      </c>
      <c r="C2660" s="6" t="str">
        <f>IF(OR($D$3=JU!$F2660,$D$3=JU!$I2660),JU!C2660,"")</f>
        <v/>
      </c>
      <c r="D2660" s="73" t="str">
        <f>IF(OR($D$3=JU!$F2660,$D$3=JU!$I2660),JU!D2660,"")</f>
        <v/>
      </c>
      <c r="E2660" s="74" t="str">
        <f>IF(OR($D$3=JU!$F2660,$D$3=JU!$I2660),JU!E2660,"")</f>
        <v/>
      </c>
      <c r="F2660" s="72">
        <f>IF($D$3=JU!F2660,JU!H2660,0)</f>
        <v>0</v>
      </c>
      <c r="G2660" s="72">
        <f>IF($D$3=JU!I2660,JU!K2660,0)</f>
        <v>0</v>
      </c>
      <c r="H2660" s="72" t="e">
        <f t="shared" si="42"/>
        <v>#REF!</v>
      </c>
    </row>
    <row r="2661" spans="2:8" hidden="1">
      <c r="B2661" s="68" t="str">
        <f>IF(OR($D$3=JU!$F2661,$D$3=JU!$I2661),JU!B2661,"")</f>
        <v/>
      </c>
      <c r="C2661" s="6" t="str">
        <f>IF(OR($D$3=JU!$F2661,$D$3=JU!$I2661),JU!C2661,"")</f>
        <v/>
      </c>
      <c r="D2661" s="73" t="str">
        <f>IF(OR($D$3=JU!$F2661,$D$3=JU!$I2661),JU!D2661,"")</f>
        <v/>
      </c>
      <c r="E2661" s="74" t="str">
        <f>IF(OR($D$3=JU!$F2661,$D$3=JU!$I2661),JU!E2661,"")</f>
        <v/>
      </c>
      <c r="F2661" s="72">
        <f>IF($D$3=JU!F2661,JU!H2661,0)</f>
        <v>0</v>
      </c>
      <c r="G2661" s="72">
        <f>IF($D$3=JU!I2661,JU!K2661,0)</f>
        <v>0</v>
      </c>
      <c r="H2661" s="72" t="e">
        <f t="shared" si="42"/>
        <v>#REF!</v>
      </c>
    </row>
    <row r="2662" spans="2:8" hidden="1">
      <c r="B2662" s="68" t="str">
        <f>IF(OR($D$3=JU!$F2662,$D$3=JU!$I2662),JU!B2662,"")</f>
        <v/>
      </c>
      <c r="C2662" s="6" t="str">
        <f>IF(OR($D$3=JU!$F2662,$D$3=JU!$I2662),JU!C2662,"")</f>
        <v/>
      </c>
      <c r="D2662" s="73" t="str">
        <f>IF(OR($D$3=JU!$F2662,$D$3=JU!$I2662),JU!D2662,"")</f>
        <v/>
      </c>
      <c r="E2662" s="74" t="str">
        <f>IF(OR($D$3=JU!$F2662,$D$3=JU!$I2662),JU!E2662,"")</f>
        <v/>
      </c>
      <c r="F2662" s="72">
        <f>IF($D$3=JU!F2662,JU!H2662,0)</f>
        <v>0</v>
      </c>
      <c r="G2662" s="72">
        <f>IF($D$3=JU!I2662,JU!K2662,0)</f>
        <v>0</v>
      </c>
      <c r="H2662" s="72" t="e">
        <f t="shared" si="42"/>
        <v>#REF!</v>
      </c>
    </row>
    <row r="2663" spans="2:8" hidden="1">
      <c r="B2663" s="68" t="str">
        <f>IF(OR($D$3=JU!$F2663,$D$3=JU!$I2663),JU!B2663,"")</f>
        <v/>
      </c>
      <c r="C2663" s="6" t="str">
        <f>IF(OR($D$3=JU!$F2663,$D$3=JU!$I2663),JU!C2663,"")</f>
        <v/>
      </c>
      <c r="D2663" s="73" t="str">
        <f>IF(OR($D$3=JU!$F2663,$D$3=JU!$I2663),JU!D2663,"")</f>
        <v/>
      </c>
      <c r="E2663" s="74" t="str">
        <f>IF(OR($D$3=JU!$F2663,$D$3=JU!$I2663),JU!E2663,"")</f>
        <v/>
      </c>
      <c r="F2663" s="72">
        <f>IF($D$3=JU!F2663,JU!H2663,0)</f>
        <v>0</v>
      </c>
      <c r="G2663" s="72">
        <f>IF($D$3=JU!I2663,JU!K2663,0)</f>
        <v>0</v>
      </c>
      <c r="H2663" s="72" t="e">
        <f t="shared" si="42"/>
        <v>#REF!</v>
      </c>
    </row>
    <row r="2664" spans="2:8" hidden="1">
      <c r="B2664" s="68" t="str">
        <f>IF(OR($D$3=JU!$F2664,$D$3=JU!$I2664),JU!B2664,"")</f>
        <v/>
      </c>
      <c r="C2664" s="6" t="str">
        <f>IF(OR($D$3=JU!$F2664,$D$3=JU!$I2664),JU!C2664,"")</f>
        <v/>
      </c>
      <c r="D2664" s="73" t="str">
        <f>IF(OR($D$3=JU!$F2664,$D$3=JU!$I2664),JU!D2664,"")</f>
        <v/>
      </c>
      <c r="E2664" s="74" t="str">
        <f>IF(OR($D$3=JU!$F2664,$D$3=JU!$I2664),JU!E2664,"")</f>
        <v/>
      </c>
      <c r="F2664" s="72">
        <f>IF($D$3=JU!F2664,JU!H2664,0)</f>
        <v>0</v>
      </c>
      <c r="G2664" s="72">
        <f>IF($D$3=JU!I2664,JU!K2664,0)</f>
        <v>0</v>
      </c>
      <c r="H2664" s="72" t="e">
        <f t="shared" si="42"/>
        <v>#REF!</v>
      </c>
    </row>
    <row r="2665" spans="2:8" hidden="1">
      <c r="B2665" s="68" t="str">
        <f>IF(OR($D$3=JU!$F2665,$D$3=JU!$I2665),JU!B2665,"")</f>
        <v/>
      </c>
      <c r="C2665" s="6" t="str">
        <f>IF(OR($D$3=JU!$F2665,$D$3=JU!$I2665),JU!C2665,"")</f>
        <v/>
      </c>
      <c r="D2665" s="73" t="str">
        <f>IF(OR($D$3=JU!$F2665,$D$3=JU!$I2665),JU!D2665,"")</f>
        <v/>
      </c>
      <c r="E2665" s="74" t="str">
        <f>IF(OR($D$3=JU!$F2665,$D$3=JU!$I2665),JU!E2665,"")</f>
        <v/>
      </c>
      <c r="F2665" s="72">
        <f>IF($D$3=JU!F2665,JU!H2665,0)</f>
        <v>0</v>
      </c>
      <c r="G2665" s="72">
        <f>IF($D$3=JU!I2665,JU!K2665,0)</f>
        <v>0</v>
      </c>
      <c r="H2665" s="72" t="e">
        <f t="shared" si="42"/>
        <v>#REF!</v>
      </c>
    </row>
    <row r="2666" spans="2:8" hidden="1">
      <c r="B2666" s="68" t="str">
        <f>IF(OR($D$3=JU!$F2666,$D$3=JU!$I2666),JU!B2666,"")</f>
        <v/>
      </c>
      <c r="C2666" s="6" t="str">
        <f>IF(OR($D$3=JU!$F2666,$D$3=JU!$I2666),JU!C2666,"")</f>
        <v/>
      </c>
      <c r="D2666" s="73" t="str">
        <f>IF(OR($D$3=JU!$F2666,$D$3=JU!$I2666),JU!D2666,"")</f>
        <v/>
      </c>
      <c r="E2666" s="74" t="str">
        <f>IF(OR($D$3=JU!$F2666,$D$3=JU!$I2666),JU!E2666,"")</f>
        <v/>
      </c>
      <c r="F2666" s="72">
        <f>IF($D$3=JU!F2666,JU!H2666,0)</f>
        <v>0</v>
      </c>
      <c r="G2666" s="72">
        <f>IF($D$3=JU!I2666,JU!K2666,0)</f>
        <v>0</v>
      </c>
      <c r="H2666" s="72" t="e">
        <f t="shared" si="42"/>
        <v>#REF!</v>
      </c>
    </row>
    <row r="2667" spans="2:8" hidden="1">
      <c r="B2667" s="68" t="str">
        <f>IF(OR($D$3=JU!$F2667,$D$3=JU!$I2667),JU!B2667,"")</f>
        <v/>
      </c>
      <c r="C2667" s="6" t="str">
        <f>IF(OR($D$3=JU!$F2667,$D$3=JU!$I2667),JU!C2667,"")</f>
        <v/>
      </c>
      <c r="D2667" s="73" t="str">
        <f>IF(OR($D$3=JU!$F2667,$D$3=JU!$I2667),JU!D2667,"")</f>
        <v/>
      </c>
      <c r="E2667" s="74" t="str">
        <f>IF(OR($D$3=JU!$F2667,$D$3=JU!$I2667),JU!E2667,"")</f>
        <v/>
      </c>
      <c r="F2667" s="72">
        <f>IF($D$3=JU!F2667,JU!H2667,0)</f>
        <v>0</v>
      </c>
      <c r="G2667" s="72">
        <f>IF($D$3=JU!I2667,JU!K2667,0)</f>
        <v>0</v>
      </c>
      <c r="H2667" s="72" t="e">
        <f t="shared" si="42"/>
        <v>#REF!</v>
      </c>
    </row>
    <row r="2668" spans="2:8" hidden="1">
      <c r="B2668" s="68" t="str">
        <f>IF(OR($D$3=JU!$F2668,$D$3=JU!$I2668),JU!B2668,"")</f>
        <v/>
      </c>
      <c r="C2668" s="6" t="str">
        <f>IF(OR($D$3=JU!$F2668,$D$3=JU!$I2668),JU!C2668,"")</f>
        <v/>
      </c>
      <c r="D2668" s="73" t="str">
        <f>IF(OR($D$3=JU!$F2668,$D$3=JU!$I2668),JU!D2668,"")</f>
        <v/>
      </c>
      <c r="E2668" s="74" t="str">
        <f>IF(OR($D$3=JU!$F2668,$D$3=JU!$I2668),JU!E2668,"")</f>
        <v/>
      </c>
      <c r="F2668" s="72">
        <f>IF($D$3=JU!F2668,JU!H2668,0)</f>
        <v>0</v>
      </c>
      <c r="G2668" s="72">
        <f>IF($D$3=JU!I2668,JU!K2668,0)</f>
        <v>0</v>
      </c>
      <c r="H2668" s="72" t="e">
        <f t="shared" si="42"/>
        <v>#REF!</v>
      </c>
    </row>
    <row r="2669" spans="2:8" hidden="1">
      <c r="B2669" s="68" t="str">
        <f>IF(OR($D$3=JU!$F2669,$D$3=JU!$I2669),JU!B2669,"")</f>
        <v/>
      </c>
      <c r="C2669" s="6" t="str">
        <f>IF(OR($D$3=JU!$F2669,$D$3=JU!$I2669),JU!C2669,"")</f>
        <v/>
      </c>
      <c r="D2669" s="73" t="str">
        <f>IF(OR($D$3=JU!$F2669,$D$3=JU!$I2669),JU!D2669,"")</f>
        <v/>
      </c>
      <c r="E2669" s="74" t="str">
        <f>IF(OR($D$3=JU!$F2669,$D$3=JU!$I2669),JU!E2669,"")</f>
        <v/>
      </c>
      <c r="F2669" s="72">
        <f>IF($D$3=JU!F2669,JU!H2669,0)</f>
        <v>0</v>
      </c>
      <c r="G2669" s="72">
        <f>IF($D$3=JU!I2669,JU!K2669,0)</f>
        <v>0</v>
      </c>
      <c r="H2669" s="72" t="e">
        <f t="shared" si="42"/>
        <v>#REF!</v>
      </c>
    </row>
    <row r="2670" spans="2:8" hidden="1">
      <c r="B2670" s="68" t="str">
        <f>IF(OR($D$3=JU!$F2670,$D$3=JU!$I2670),JU!B2670,"")</f>
        <v/>
      </c>
      <c r="C2670" s="6" t="str">
        <f>IF(OR($D$3=JU!$F2670,$D$3=JU!$I2670),JU!C2670,"")</f>
        <v/>
      </c>
      <c r="D2670" s="73" t="str">
        <f>IF(OR($D$3=JU!$F2670,$D$3=JU!$I2670),JU!D2670,"")</f>
        <v/>
      </c>
      <c r="E2670" s="74" t="str">
        <f>IF(OR($D$3=JU!$F2670,$D$3=JU!$I2670),JU!E2670,"")</f>
        <v/>
      </c>
      <c r="F2670" s="72">
        <f>IF($D$3=JU!F2670,JU!H2670,0)</f>
        <v>0</v>
      </c>
      <c r="G2670" s="72">
        <f>IF($D$3=JU!I2670,JU!K2670,0)</f>
        <v>0</v>
      </c>
      <c r="H2670" s="72" t="e">
        <f t="shared" si="42"/>
        <v>#REF!</v>
      </c>
    </row>
    <row r="2671" spans="2:8" hidden="1">
      <c r="B2671" s="68" t="str">
        <f>IF(OR($D$3=JU!$F2671,$D$3=JU!$I2671),JU!B2671,"")</f>
        <v/>
      </c>
      <c r="C2671" s="6" t="str">
        <f>IF(OR($D$3=JU!$F2671,$D$3=JU!$I2671),JU!C2671,"")</f>
        <v/>
      </c>
      <c r="D2671" s="73" t="str">
        <f>IF(OR($D$3=JU!$F2671,$D$3=JU!$I2671),JU!D2671,"")</f>
        <v/>
      </c>
      <c r="E2671" s="74" t="str">
        <f>IF(OR($D$3=JU!$F2671,$D$3=JU!$I2671),JU!E2671,"")</f>
        <v/>
      </c>
      <c r="F2671" s="72">
        <f>IF($D$3=JU!F2671,JU!H2671,0)</f>
        <v>0</v>
      </c>
      <c r="G2671" s="72">
        <f>IF($D$3=JU!I2671,JU!K2671,0)</f>
        <v>0</v>
      </c>
      <c r="H2671" s="72" t="e">
        <f t="shared" si="42"/>
        <v>#REF!</v>
      </c>
    </row>
    <row r="2672" spans="2:8" hidden="1">
      <c r="B2672" s="68" t="str">
        <f>IF(OR($D$3=JU!$F2672,$D$3=JU!$I2672),JU!B2672,"")</f>
        <v/>
      </c>
      <c r="C2672" s="6" t="str">
        <f>IF(OR($D$3=JU!$F2672,$D$3=JU!$I2672),JU!C2672,"")</f>
        <v/>
      </c>
      <c r="D2672" s="73" t="str">
        <f>IF(OR($D$3=JU!$F2672,$D$3=JU!$I2672),JU!D2672,"")</f>
        <v/>
      </c>
      <c r="E2672" s="74" t="str">
        <f>IF(OR($D$3=JU!$F2672,$D$3=JU!$I2672),JU!E2672,"")</f>
        <v/>
      </c>
      <c r="F2672" s="72">
        <f>IF($D$3=JU!F2672,JU!H2672,0)</f>
        <v>0</v>
      </c>
      <c r="G2672" s="72">
        <f>IF($D$3=JU!I2672,JU!K2672,0)</f>
        <v>0</v>
      </c>
      <c r="H2672" s="72" t="e">
        <f t="shared" si="42"/>
        <v>#REF!</v>
      </c>
    </row>
    <row r="2673" spans="2:8" hidden="1">
      <c r="B2673" s="68" t="str">
        <f>IF(OR($D$3=JU!$F2673,$D$3=JU!$I2673),JU!B2673,"")</f>
        <v/>
      </c>
      <c r="C2673" s="6" t="str">
        <f>IF(OR($D$3=JU!$F2673,$D$3=JU!$I2673),JU!C2673,"")</f>
        <v/>
      </c>
      <c r="D2673" s="73" t="str">
        <f>IF(OR($D$3=JU!$F2673,$D$3=JU!$I2673),JU!D2673,"")</f>
        <v/>
      </c>
      <c r="E2673" s="74" t="str">
        <f>IF(OR($D$3=JU!$F2673,$D$3=JU!$I2673),JU!E2673,"")</f>
        <v/>
      </c>
      <c r="F2673" s="72">
        <f>IF($D$3=JU!F2673,JU!H2673,0)</f>
        <v>0</v>
      </c>
      <c r="G2673" s="72">
        <f>IF($D$3=JU!I2673,JU!K2673,0)</f>
        <v>0</v>
      </c>
      <c r="H2673" s="72" t="e">
        <f t="shared" si="42"/>
        <v>#REF!</v>
      </c>
    </row>
    <row r="2674" spans="2:8" hidden="1">
      <c r="B2674" s="68" t="str">
        <f>IF(OR($D$3=JU!$F2674,$D$3=JU!$I2674),JU!B2674,"")</f>
        <v/>
      </c>
      <c r="C2674" s="6" t="str">
        <f>IF(OR($D$3=JU!$F2674,$D$3=JU!$I2674),JU!C2674,"")</f>
        <v/>
      </c>
      <c r="D2674" s="73" t="str">
        <f>IF(OR($D$3=JU!$F2674,$D$3=JU!$I2674),JU!D2674,"")</f>
        <v/>
      </c>
      <c r="E2674" s="74" t="str">
        <f>IF(OR($D$3=JU!$F2674,$D$3=JU!$I2674),JU!E2674,"")</f>
        <v/>
      </c>
      <c r="F2674" s="72">
        <f>IF($D$3=JU!F2674,JU!H2674,0)</f>
        <v>0</v>
      </c>
      <c r="G2674" s="72">
        <f>IF($D$3=JU!I2674,JU!K2674,0)</f>
        <v>0</v>
      </c>
      <c r="H2674" s="72" t="e">
        <f t="shared" si="42"/>
        <v>#REF!</v>
      </c>
    </row>
    <row r="2675" spans="2:8" hidden="1">
      <c r="B2675" s="68" t="str">
        <f>IF(OR($D$3=JU!$F2675,$D$3=JU!$I2675),JU!B2675,"")</f>
        <v/>
      </c>
      <c r="C2675" s="6" t="str">
        <f>IF(OR($D$3=JU!$F2675,$D$3=JU!$I2675),JU!C2675,"")</f>
        <v/>
      </c>
      <c r="D2675" s="73" t="str">
        <f>IF(OR($D$3=JU!$F2675,$D$3=JU!$I2675),JU!D2675,"")</f>
        <v/>
      </c>
      <c r="E2675" s="74" t="str">
        <f>IF(OR($D$3=JU!$F2675,$D$3=JU!$I2675),JU!E2675,"")</f>
        <v/>
      </c>
      <c r="F2675" s="72">
        <f>IF($D$3=JU!F2675,JU!H2675,0)</f>
        <v>0</v>
      </c>
      <c r="G2675" s="72">
        <f>IF($D$3=JU!I2675,JU!K2675,0)</f>
        <v>0</v>
      </c>
      <c r="H2675" s="72" t="e">
        <f t="shared" si="42"/>
        <v>#REF!</v>
      </c>
    </row>
    <row r="2676" spans="2:8" hidden="1">
      <c r="B2676" s="68" t="str">
        <f>IF(OR($D$3=JU!$F2676,$D$3=JU!$I2676),JU!B2676,"")</f>
        <v/>
      </c>
      <c r="C2676" s="6" t="str">
        <f>IF(OR($D$3=JU!$F2676,$D$3=JU!$I2676),JU!C2676,"")</f>
        <v/>
      </c>
      <c r="D2676" s="73" t="str">
        <f>IF(OR($D$3=JU!$F2676,$D$3=JU!$I2676),JU!D2676,"")</f>
        <v/>
      </c>
      <c r="E2676" s="74" t="str">
        <f>IF(OR($D$3=JU!$F2676,$D$3=JU!$I2676),JU!E2676,"")</f>
        <v/>
      </c>
      <c r="F2676" s="72">
        <f>IF($D$3=JU!F2676,JU!H2676,0)</f>
        <v>0</v>
      </c>
      <c r="G2676" s="72">
        <f>IF($D$3=JU!I2676,JU!K2676,0)</f>
        <v>0</v>
      </c>
      <c r="H2676" s="72" t="e">
        <f t="shared" si="42"/>
        <v>#REF!</v>
      </c>
    </row>
    <row r="2677" spans="2:8" hidden="1">
      <c r="B2677" s="68" t="str">
        <f>IF(OR($D$3=JU!$F2677,$D$3=JU!$I2677),JU!B2677,"")</f>
        <v/>
      </c>
      <c r="C2677" s="6" t="str">
        <f>IF(OR($D$3=JU!$F2677,$D$3=JU!$I2677),JU!C2677,"")</f>
        <v/>
      </c>
      <c r="D2677" s="73" t="str">
        <f>IF(OR($D$3=JU!$F2677,$D$3=JU!$I2677),JU!D2677,"")</f>
        <v/>
      </c>
      <c r="E2677" s="74" t="str">
        <f>IF(OR($D$3=JU!$F2677,$D$3=JU!$I2677),JU!E2677,"")</f>
        <v/>
      </c>
      <c r="F2677" s="72">
        <f>IF($D$3=JU!F2677,JU!H2677,0)</f>
        <v>0</v>
      </c>
      <c r="G2677" s="72">
        <f>IF($D$3=JU!I2677,JU!K2677,0)</f>
        <v>0</v>
      </c>
      <c r="H2677" s="72" t="e">
        <f t="shared" si="42"/>
        <v>#REF!</v>
      </c>
    </row>
    <row r="2678" spans="2:8" hidden="1">
      <c r="B2678" s="68" t="str">
        <f>IF(OR($D$3=JU!$F2678,$D$3=JU!$I2678),JU!B2678,"")</f>
        <v/>
      </c>
      <c r="C2678" s="6" t="str">
        <f>IF(OR($D$3=JU!$F2678,$D$3=JU!$I2678),JU!C2678,"")</f>
        <v/>
      </c>
      <c r="D2678" s="73" t="str">
        <f>IF(OR($D$3=JU!$F2678,$D$3=JU!$I2678),JU!D2678,"")</f>
        <v/>
      </c>
      <c r="E2678" s="74" t="str">
        <f>IF(OR($D$3=JU!$F2678,$D$3=JU!$I2678),JU!E2678,"")</f>
        <v/>
      </c>
      <c r="F2678" s="72">
        <f>IF($D$3=JU!F2678,JU!H2678,0)</f>
        <v>0</v>
      </c>
      <c r="G2678" s="72">
        <f>IF($D$3=JU!I2678,JU!K2678,0)</f>
        <v>0</v>
      </c>
      <c r="H2678" s="72" t="e">
        <f t="shared" si="42"/>
        <v>#REF!</v>
      </c>
    </row>
    <row r="2679" spans="2:8" hidden="1">
      <c r="B2679" s="68" t="str">
        <f>IF(OR($D$3=JU!$F2679,$D$3=JU!$I2679),JU!B2679,"")</f>
        <v/>
      </c>
      <c r="C2679" s="6" t="str">
        <f>IF(OR($D$3=JU!$F2679,$D$3=JU!$I2679),JU!C2679,"")</f>
        <v/>
      </c>
      <c r="D2679" s="73" t="str">
        <f>IF(OR($D$3=JU!$F2679,$D$3=JU!$I2679),JU!D2679,"")</f>
        <v/>
      </c>
      <c r="E2679" s="74" t="str">
        <f>IF(OR($D$3=JU!$F2679,$D$3=JU!$I2679),JU!E2679,"")</f>
        <v/>
      </c>
      <c r="F2679" s="72">
        <f>IF($D$3=JU!F2679,JU!H2679,0)</f>
        <v>0</v>
      </c>
      <c r="G2679" s="72">
        <f>IF($D$3=JU!I2679,JU!K2679,0)</f>
        <v>0</v>
      </c>
      <c r="H2679" s="72" t="e">
        <f t="shared" si="42"/>
        <v>#REF!</v>
      </c>
    </row>
    <row r="2680" spans="2:8" hidden="1">
      <c r="B2680" s="68" t="str">
        <f>IF(OR($D$3=JU!$F2680,$D$3=JU!$I2680),JU!B2680,"")</f>
        <v/>
      </c>
      <c r="C2680" s="6" t="str">
        <f>IF(OR($D$3=JU!$F2680,$D$3=JU!$I2680),JU!C2680,"")</f>
        <v/>
      </c>
      <c r="D2680" s="73" t="str">
        <f>IF(OR($D$3=JU!$F2680,$D$3=JU!$I2680),JU!D2680,"")</f>
        <v/>
      </c>
      <c r="E2680" s="74" t="str">
        <f>IF(OR($D$3=JU!$F2680,$D$3=JU!$I2680),JU!E2680,"")</f>
        <v/>
      </c>
      <c r="F2680" s="72">
        <f>IF($D$3=JU!F2680,JU!H2680,0)</f>
        <v>0</v>
      </c>
      <c r="G2680" s="72">
        <f>IF($D$3=JU!I2680,JU!K2680,0)</f>
        <v>0</v>
      </c>
      <c r="H2680" s="72" t="e">
        <f t="shared" si="42"/>
        <v>#REF!</v>
      </c>
    </row>
    <row r="2681" spans="2:8" hidden="1">
      <c r="B2681" s="68" t="str">
        <f>IF(OR($D$3=JU!$F2681,$D$3=JU!$I2681),JU!B2681,"")</f>
        <v/>
      </c>
      <c r="C2681" s="6" t="str">
        <f>IF(OR($D$3=JU!$F2681,$D$3=JU!$I2681),JU!C2681,"")</f>
        <v/>
      </c>
      <c r="D2681" s="73" t="str">
        <f>IF(OR($D$3=JU!$F2681,$D$3=JU!$I2681),JU!D2681,"")</f>
        <v/>
      </c>
      <c r="E2681" s="74" t="str">
        <f>IF(OR($D$3=JU!$F2681,$D$3=JU!$I2681),JU!E2681,"")</f>
        <v/>
      </c>
      <c r="F2681" s="72">
        <f>IF($D$3=JU!F2681,JU!H2681,0)</f>
        <v>0</v>
      </c>
      <c r="G2681" s="72">
        <f>IF($D$3=JU!I2681,JU!K2681,0)</f>
        <v>0</v>
      </c>
      <c r="H2681" s="72" t="e">
        <f t="shared" si="42"/>
        <v>#REF!</v>
      </c>
    </row>
    <row r="2682" spans="2:8" hidden="1">
      <c r="B2682" s="68" t="str">
        <f>IF(OR($D$3=JU!$F2682,$D$3=JU!$I2682),JU!B2682,"")</f>
        <v/>
      </c>
      <c r="C2682" s="6" t="str">
        <f>IF(OR($D$3=JU!$F2682,$D$3=JU!$I2682),JU!C2682,"")</f>
        <v/>
      </c>
      <c r="D2682" s="73" t="str">
        <f>IF(OR($D$3=JU!$F2682,$D$3=JU!$I2682),JU!D2682,"")</f>
        <v/>
      </c>
      <c r="E2682" s="74" t="str">
        <f>IF(OR($D$3=JU!$F2682,$D$3=JU!$I2682),JU!E2682,"")</f>
        <v/>
      </c>
      <c r="F2682" s="72">
        <f>IF($D$3=JU!F2682,JU!H2682,0)</f>
        <v>0</v>
      </c>
      <c r="G2682" s="72">
        <f>IF($D$3=JU!I2682,JU!K2682,0)</f>
        <v>0</v>
      </c>
      <c r="H2682" s="72" t="e">
        <f t="shared" si="42"/>
        <v>#REF!</v>
      </c>
    </row>
    <row r="2683" spans="2:8" hidden="1">
      <c r="B2683" s="68" t="str">
        <f>IF(OR($D$3=JU!$F2683,$D$3=JU!$I2683),JU!B2683,"")</f>
        <v/>
      </c>
      <c r="C2683" s="6" t="str">
        <f>IF(OR($D$3=JU!$F2683,$D$3=JU!$I2683),JU!C2683,"")</f>
        <v/>
      </c>
      <c r="D2683" s="73" t="str">
        <f>IF(OR($D$3=JU!$F2683,$D$3=JU!$I2683),JU!D2683,"")</f>
        <v/>
      </c>
      <c r="E2683" s="74" t="str">
        <f>IF(OR($D$3=JU!$F2683,$D$3=JU!$I2683),JU!E2683,"")</f>
        <v/>
      </c>
      <c r="F2683" s="72">
        <f>IF($D$3=JU!F2683,JU!H2683,0)</f>
        <v>0</v>
      </c>
      <c r="G2683" s="72">
        <f>IF($D$3=JU!I2683,JU!K2683,0)</f>
        <v>0</v>
      </c>
      <c r="H2683" s="72" t="e">
        <f t="shared" si="42"/>
        <v>#REF!</v>
      </c>
    </row>
    <row r="2684" spans="2:8" hidden="1">
      <c r="B2684" s="68" t="str">
        <f>IF(OR($D$3=JU!$F2684,$D$3=JU!$I2684),JU!B2684,"")</f>
        <v/>
      </c>
      <c r="C2684" s="6" t="str">
        <f>IF(OR($D$3=JU!$F2684,$D$3=JU!$I2684),JU!C2684,"")</f>
        <v/>
      </c>
      <c r="D2684" s="73" t="str">
        <f>IF(OR($D$3=JU!$F2684,$D$3=JU!$I2684),JU!D2684,"")</f>
        <v/>
      </c>
      <c r="E2684" s="74" t="str">
        <f>IF(OR($D$3=JU!$F2684,$D$3=JU!$I2684),JU!E2684,"")</f>
        <v/>
      </c>
      <c r="F2684" s="72">
        <f>IF($D$3=JU!F2684,JU!H2684,0)</f>
        <v>0</v>
      </c>
      <c r="G2684" s="72">
        <f>IF($D$3=JU!I2684,JU!K2684,0)</f>
        <v>0</v>
      </c>
      <c r="H2684" s="72" t="e">
        <f t="shared" si="42"/>
        <v>#REF!</v>
      </c>
    </row>
    <row r="2685" spans="2:8" hidden="1">
      <c r="B2685" s="68" t="str">
        <f>IF(OR($D$3=JU!$F2685,$D$3=JU!$I2685),JU!B2685,"")</f>
        <v/>
      </c>
      <c r="C2685" s="6" t="str">
        <f>IF(OR($D$3=JU!$F2685,$D$3=JU!$I2685),JU!C2685,"")</f>
        <v/>
      </c>
      <c r="D2685" s="73" t="str">
        <f>IF(OR($D$3=JU!$F2685,$D$3=JU!$I2685),JU!D2685,"")</f>
        <v/>
      </c>
      <c r="E2685" s="74" t="str">
        <f>IF(OR($D$3=JU!$F2685,$D$3=JU!$I2685),JU!E2685,"")</f>
        <v/>
      </c>
      <c r="F2685" s="72">
        <f>IF($D$3=JU!F2685,JU!H2685,0)</f>
        <v>0</v>
      </c>
      <c r="G2685" s="72">
        <f>IF($D$3=JU!I2685,JU!K2685,0)</f>
        <v>0</v>
      </c>
      <c r="H2685" s="72" t="e">
        <f t="shared" si="42"/>
        <v>#REF!</v>
      </c>
    </row>
    <row r="2686" spans="2:8" hidden="1">
      <c r="B2686" s="68" t="str">
        <f>IF(OR($D$3=JU!$F2686,$D$3=JU!$I2686),JU!B2686,"")</f>
        <v/>
      </c>
      <c r="C2686" s="6" t="str">
        <f>IF(OR($D$3=JU!$F2686,$D$3=JU!$I2686),JU!C2686,"")</f>
        <v/>
      </c>
      <c r="D2686" s="73" t="str">
        <f>IF(OR($D$3=JU!$F2686,$D$3=JU!$I2686),JU!D2686,"")</f>
        <v/>
      </c>
      <c r="E2686" s="74" t="str">
        <f>IF(OR($D$3=JU!$F2686,$D$3=JU!$I2686),JU!E2686,"")</f>
        <v/>
      </c>
      <c r="F2686" s="72">
        <f>IF($D$3=JU!F2686,JU!H2686,0)</f>
        <v>0</v>
      </c>
      <c r="G2686" s="72">
        <f>IF($D$3=JU!I2686,JU!K2686,0)</f>
        <v>0</v>
      </c>
      <c r="H2686" s="72" t="e">
        <f t="shared" si="42"/>
        <v>#REF!</v>
      </c>
    </row>
    <row r="2687" spans="2:8" hidden="1">
      <c r="B2687" s="68" t="str">
        <f>IF(OR($D$3=JU!$F2687,$D$3=JU!$I2687),JU!B2687,"")</f>
        <v/>
      </c>
      <c r="C2687" s="6" t="str">
        <f>IF(OR($D$3=JU!$F2687,$D$3=JU!$I2687),JU!C2687,"")</f>
        <v/>
      </c>
      <c r="D2687" s="73" t="str">
        <f>IF(OR($D$3=JU!$F2687,$D$3=JU!$I2687),JU!D2687,"")</f>
        <v/>
      </c>
      <c r="E2687" s="74" t="str">
        <f>IF(OR($D$3=JU!$F2687,$D$3=JU!$I2687),JU!E2687,"")</f>
        <v/>
      </c>
      <c r="F2687" s="72">
        <f>IF($D$3=JU!F2687,JU!H2687,0)</f>
        <v>0</v>
      </c>
      <c r="G2687" s="72">
        <f>IF($D$3=JU!I2687,JU!K2687,0)</f>
        <v>0</v>
      </c>
      <c r="H2687" s="72" t="e">
        <f t="shared" si="42"/>
        <v>#REF!</v>
      </c>
    </row>
    <row r="2688" spans="2:8" hidden="1">
      <c r="B2688" s="68" t="str">
        <f>IF(OR($D$3=JU!$F2688,$D$3=JU!$I2688),JU!B2688,"")</f>
        <v/>
      </c>
      <c r="C2688" s="6" t="str">
        <f>IF(OR($D$3=JU!$F2688,$D$3=JU!$I2688),JU!C2688,"")</f>
        <v/>
      </c>
      <c r="D2688" s="73" t="str">
        <f>IF(OR($D$3=JU!$F2688,$D$3=JU!$I2688),JU!D2688,"")</f>
        <v/>
      </c>
      <c r="E2688" s="74" t="str">
        <f>IF(OR($D$3=JU!$F2688,$D$3=JU!$I2688),JU!E2688,"")</f>
        <v/>
      </c>
      <c r="F2688" s="72">
        <f>IF($D$3=JU!F2688,JU!H2688,0)</f>
        <v>0</v>
      </c>
      <c r="G2688" s="72">
        <f>IF($D$3=JU!I2688,JU!K2688,0)</f>
        <v>0</v>
      </c>
      <c r="H2688" s="72" t="e">
        <f t="shared" si="42"/>
        <v>#REF!</v>
      </c>
    </row>
    <row r="2689" spans="2:8" hidden="1">
      <c r="B2689" s="68" t="str">
        <f>IF(OR($D$3=JU!$F2689,$D$3=JU!$I2689),JU!B2689,"")</f>
        <v/>
      </c>
      <c r="C2689" s="6" t="str">
        <f>IF(OR($D$3=JU!$F2689,$D$3=JU!$I2689),JU!C2689,"")</f>
        <v/>
      </c>
      <c r="D2689" s="73" t="str">
        <f>IF(OR($D$3=JU!$F2689,$D$3=JU!$I2689),JU!D2689,"")</f>
        <v/>
      </c>
      <c r="E2689" s="74" t="str">
        <f>IF(OR($D$3=JU!$F2689,$D$3=JU!$I2689),JU!E2689,"")</f>
        <v/>
      </c>
      <c r="F2689" s="72">
        <f>IF($D$3=JU!F2689,JU!H2689,0)</f>
        <v>0</v>
      </c>
      <c r="G2689" s="72">
        <f>IF($D$3=JU!I2689,JU!K2689,0)</f>
        <v>0</v>
      </c>
      <c r="H2689" s="72" t="e">
        <f t="shared" si="42"/>
        <v>#REF!</v>
      </c>
    </row>
    <row r="2690" spans="2:8" hidden="1">
      <c r="B2690" s="68" t="str">
        <f>IF(OR($D$3=JU!$F2690,$D$3=JU!$I2690),JU!B2690,"")</f>
        <v/>
      </c>
      <c r="C2690" s="6" t="str">
        <f>IF(OR($D$3=JU!$F2690,$D$3=JU!$I2690),JU!C2690,"")</f>
        <v/>
      </c>
      <c r="D2690" s="73" t="str">
        <f>IF(OR($D$3=JU!$F2690,$D$3=JU!$I2690),JU!D2690,"")</f>
        <v/>
      </c>
      <c r="E2690" s="74" t="str">
        <f>IF(OR($D$3=JU!$F2690,$D$3=JU!$I2690),JU!E2690,"")</f>
        <v/>
      </c>
      <c r="F2690" s="72">
        <f>IF($D$3=JU!F2690,JU!H2690,0)</f>
        <v>0</v>
      </c>
      <c r="G2690" s="72">
        <f>IF($D$3=JU!I2690,JU!K2690,0)</f>
        <v>0</v>
      </c>
      <c r="H2690" s="72" t="e">
        <f t="shared" si="42"/>
        <v>#REF!</v>
      </c>
    </row>
    <row r="2691" spans="2:8" hidden="1">
      <c r="B2691" s="68" t="str">
        <f>IF(OR($D$3=JU!$F2691,$D$3=JU!$I2691),JU!B2691,"")</f>
        <v/>
      </c>
      <c r="C2691" s="6" t="str">
        <f>IF(OR($D$3=JU!$F2691,$D$3=JU!$I2691),JU!C2691,"")</f>
        <v/>
      </c>
      <c r="D2691" s="73" t="str">
        <f>IF(OR($D$3=JU!$F2691,$D$3=JU!$I2691),JU!D2691,"")</f>
        <v/>
      </c>
      <c r="E2691" s="74" t="str">
        <f>IF(OR($D$3=JU!$F2691,$D$3=JU!$I2691),JU!E2691,"")</f>
        <v/>
      </c>
      <c r="F2691" s="72">
        <f>IF($D$3=JU!F2691,JU!H2691,0)</f>
        <v>0</v>
      </c>
      <c r="G2691" s="72">
        <f>IF($D$3=JU!I2691,JU!K2691,0)</f>
        <v>0</v>
      </c>
      <c r="H2691" s="72" t="e">
        <f t="shared" si="42"/>
        <v>#REF!</v>
      </c>
    </row>
    <row r="2692" spans="2:8" hidden="1">
      <c r="B2692" s="68" t="str">
        <f>IF(OR($D$3=JU!$F2692,$D$3=JU!$I2692),JU!B2692,"")</f>
        <v/>
      </c>
      <c r="C2692" s="6" t="str">
        <f>IF(OR($D$3=JU!$F2692,$D$3=JU!$I2692),JU!C2692,"")</f>
        <v/>
      </c>
      <c r="D2692" s="73" t="str">
        <f>IF(OR($D$3=JU!$F2692,$D$3=JU!$I2692),JU!D2692,"")</f>
        <v/>
      </c>
      <c r="E2692" s="74" t="str">
        <f>IF(OR($D$3=JU!$F2692,$D$3=JU!$I2692),JU!E2692,"")</f>
        <v/>
      </c>
      <c r="F2692" s="72">
        <f>IF($D$3=JU!F2692,JU!H2692,0)</f>
        <v>0</v>
      </c>
      <c r="G2692" s="72">
        <f>IF($D$3=JU!I2692,JU!K2692,0)</f>
        <v>0</v>
      </c>
      <c r="H2692" s="72" t="e">
        <f t="shared" si="42"/>
        <v>#REF!</v>
      </c>
    </row>
    <row r="2693" spans="2:8" hidden="1">
      <c r="B2693" s="68" t="str">
        <f>IF(OR($D$3=JU!$F2693,$D$3=JU!$I2693),JU!B2693,"")</f>
        <v/>
      </c>
      <c r="C2693" s="6" t="str">
        <f>IF(OR($D$3=JU!$F2693,$D$3=JU!$I2693),JU!C2693,"")</f>
        <v/>
      </c>
      <c r="D2693" s="73" t="str">
        <f>IF(OR($D$3=JU!$F2693,$D$3=JU!$I2693),JU!D2693,"")</f>
        <v/>
      </c>
      <c r="E2693" s="74" t="str">
        <f>IF(OR($D$3=JU!$F2693,$D$3=JU!$I2693),JU!E2693,"")</f>
        <v/>
      </c>
      <c r="F2693" s="72">
        <f>IF($D$3=JU!F2693,JU!H2693,0)</f>
        <v>0</v>
      </c>
      <c r="G2693" s="72">
        <f>IF($D$3=JU!I2693,JU!K2693,0)</f>
        <v>0</v>
      </c>
      <c r="H2693" s="72" t="e">
        <f t="shared" si="42"/>
        <v>#REF!</v>
      </c>
    </row>
    <row r="2694" spans="2:8" hidden="1">
      <c r="B2694" s="68" t="str">
        <f>IF(OR($D$3=JU!$F2694,$D$3=JU!$I2694),JU!B2694,"")</f>
        <v/>
      </c>
      <c r="C2694" s="6" t="str">
        <f>IF(OR($D$3=JU!$F2694,$D$3=JU!$I2694),JU!C2694,"")</f>
        <v/>
      </c>
      <c r="D2694" s="73" t="str">
        <f>IF(OR($D$3=JU!$F2694,$D$3=JU!$I2694),JU!D2694,"")</f>
        <v/>
      </c>
      <c r="E2694" s="74" t="str">
        <f>IF(OR($D$3=JU!$F2694,$D$3=JU!$I2694),JU!E2694,"")</f>
        <v/>
      </c>
      <c r="F2694" s="72">
        <f>IF($D$3=JU!F2694,JU!H2694,0)</f>
        <v>0</v>
      </c>
      <c r="G2694" s="72">
        <f>IF($D$3=JU!I2694,JU!K2694,0)</f>
        <v>0</v>
      </c>
      <c r="H2694" s="72" t="e">
        <f t="shared" si="42"/>
        <v>#REF!</v>
      </c>
    </row>
    <row r="2695" spans="2:8" hidden="1">
      <c r="B2695" s="68" t="str">
        <f>IF(OR($D$3=JU!$F2695,$D$3=JU!$I2695),JU!B2695,"")</f>
        <v/>
      </c>
      <c r="C2695" s="6" t="str">
        <f>IF(OR($D$3=JU!$F2695,$D$3=JU!$I2695),JU!C2695,"")</f>
        <v/>
      </c>
      <c r="D2695" s="73" t="str">
        <f>IF(OR($D$3=JU!$F2695,$D$3=JU!$I2695),JU!D2695,"")</f>
        <v/>
      </c>
      <c r="E2695" s="74" t="str">
        <f>IF(OR($D$3=JU!$F2695,$D$3=JU!$I2695),JU!E2695,"")</f>
        <v/>
      </c>
      <c r="F2695" s="72">
        <f>IF($D$3=JU!F2695,JU!H2695,0)</f>
        <v>0</v>
      </c>
      <c r="G2695" s="72">
        <f>IF($D$3=JU!I2695,JU!K2695,0)</f>
        <v>0</v>
      </c>
      <c r="H2695" s="72" t="e">
        <f t="shared" si="42"/>
        <v>#REF!</v>
      </c>
    </row>
    <row r="2696" spans="2:8" hidden="1">
      <c r="B2696" s="68" t="str">
        <f>IF(OR($D$3=JU!$F2696,$D$3=JU!$I2696),JU!B2696,"")</f>
        <v/>
      </c>
      <c r="C2696" s="6" t="str">
        <f>IF(OR($D$3=JU!$F2696,$D$3=JU!$I2696),JU!C2696,"")</f>
        <v/>
      </c>
      <c r="D2696" s="73" t="str">
        <f>IF(OR($D$3=JU!$F2696,$D$3=JU!$I2696),JU!D2696,"")</f>
        <v/>
      </c>
      <c r="E2696" s="74" t="str">
        <f>IF(OR($D$3=JU!$F2696,$D$3=JU!$I2696),JU!E2696,"")</f>
        <v/>
      </c>
      <c r="F2696" s="72">
        <f>IF($D$3=JU!F2696,JU!H2696,0)</f>
        <v>0</v>
      </c>
      <c r="G2696" s="72">
        <f>IF($D$3=JU!I2696,JU!K2696,0)</f>
        <v>0</v>
      </c>
      <c r="H2696" s="72" t="e">
        <f t="shared" si="42"/>
        <v>#REF!</v>
      </c>
    </row>
    <row r="2697" spans="2:8" hidden="1">
      <c r="B2697" s="68" t="str">
        <f>IF(OR($D$3=JU!$F2697,$D$3=JU!$I2697),JU!B2697,"")</f>
        <v/>
      </c>
      <c r="C2697" s="6" t="str">
        <f>IF(OR($D$3=JU!$F2697,$D$3=JU!$I2697),JU!C2697,"")</f>
        <v/>
      </c>
      <c r="D2697" s="73" t="str">
        <f>IF(OR($D$3=JU!$F2697,$D$3=JU!$I2697),JU!D2697,"")</f>
        <v/>
      </c>
      <c r="E2697" s="74" t="str">
        <f>IF(OR($D$3=JU!$F2697,$D$3=JU!$I2697),JU!E2697,"")</f>
        <v/>
      </c>
      <c r="F2697" s="72">
        <f>IF($D$3=JU!F2697,JU!H2697,0)</f>
        <v>0</v>
      </c>
      <c r="G2697" s="72">
        <f>IF($D$3=JU!I2697,JU!K2697,0)</f>
        <v>0</v>
      </c>
      <c r="H2697" s="72" t="e">
        <f t="shared" si="42"/>
        <v>#REF!</v>
      </c>
    </row>
    <row r="2698" spans="2:8" hidden="1">
      <c r="B2698" s="68" t="str">
        <f>IF(OR($D$3=JU!$F2698,$D$3=JU!$I2698),JU!B2698,"")</f>
        <v/>
      </c>
      <c r="C2698" s="6" t="str">
        <f>IF(OR($D$3=JU!$F2698,$D$3=JU!$I2698),JU!C2698,"")</f>
        <v/>
      </c>
      <c r="D2698" s="73" t="str">
        <f>IF(OR($D$3=JU!$F2698,$D$3=JU!$I2698),JU!D2698,"")</f>
        <v/>
      </c>
      <c r="E2698" s="74" t="str">
        <f>IF(OR($D$3=JU!$F2698,$D$3=JU!$I2698),JU!E2698,"")</f>
        <v/>
      </c>
      <c r="F2698" s="72">
        <f>IF($D$3=JU!F2698,JU!H2698,0)</f>
        <v>0</v>
      </c>
      <c r="G2698" s="72">
        <f>IF($D$3=JU!I2698,JU!K2698,0)</f>
        <v>0</v>
      </c>
      <c r="H2698" s="72" t="e">
        <f t="shared" si="42"/>
        <v>#REF!</v>
      </c>
    </row>
    <row r="2699" spans="2:8" hidden="1">
      <c r="B2699" s="68" t="str">
        <f>IF(OR($D$3=JU!$F2699,$D$3=JU!$I2699),JU!B2699,"")</f>
        <v/>
      </c>
      <c r="C2699" s="6" t="str">
        <f>IF(OR($D$3=JU!$F2699,$D$3=JU!$I2699),JU!C2699,"")</f>
        <v/>
      </c>
      <c r="D2699" s="73" t="str">
        <f>IF(OR($D$3=JU!$F2699,$D$3=JU!$I2699),JU!D2699,"")</f>
        <v/>
      </c>
      <c r="E2699" s="74" t="str">
        <f>IF(OR($D$3=JU!$F2699,$D$3=JU!$I2699),JU!E2699,"")</f>
        <v/>
      </c>
      <c r="F2699" s="72">
        <f>IF($D$3=JU!F2699,JU!H2699,0)</f>
        <v>0</v>
      </c>
      <c r="G2699" s="72">
        <f>IF($D$3=JU!I2699,JU!K2699,0)</f>
        <v>0</v>
      </c>
      <c r="H2699" s="72" t="e">
        <f t="shared" si="42"/>
        <v>#REF!</v>
      </c>
    </row>
    <row r="2700" spans="2:8" hidden="1">
      <c r="B2700" s="68" t="str">
        <f>IF(OR($D$3=JU!$F2700,$D$3=JU!$I2700),JU!B2700,"")</f>
        <v/>
      </c>
      <c r="C2700" s="6" t="str">
        <f>IF(OR($D$3=JU!$F2700,$D$3=JU!$I2700),JU!C2700,"")</f>
        <v/>
      </c>
      <c r="D2700" s="73" t="str">
        <f>IF(OR($D$3=JU!$F2700,$D$3=JU!$I2700),JU!D2700,"")</f>
        <v/>
      </c>
      <c r="E2700" s="74" t="str">
        <f>IF(OR($D$3=JU!$F2700,$D$3=JU!$I2700),JU!E2700,"")</f>
        <v/>
      </c>
      <c r="F2700" s="72">
        <f>IF($D$3=JU!F2700,JU!H2700,0)</f>
        <v>0</v>
      </c>
      <c r="G2700" s="72">
        <f>IF($D$3=JU!I2700,JU!K2700,0)</f>
        <v>0</v>
      </c>
      <c r="H2700" s="72" t="e">
        <f t="shared" si="42"/>
        <v>#REF!</v>
      </c>
    </row>
    <row r="2701" spans="2:8" hidden="1">
      <c r="B2701" s="68" t="str">
        <f>IF(OR($D$3=JU!$F2701,$D$3=JU!$I2701),JU!B2701,"")</f>
        <v/>
      </c>
      <c r="C2701" s="6" t="str">
        <f>IF(OR($D$3=JU!$F2701,$D$3=JU!$I2701),JU!C2701,"")</f>
        <v/>
      </c>
      <c r="D2701" s="73" t="str">
        <f>IF(OR($D$3=JU!$F2701,$D$3=JU!$I2701),JU!D2701,"")</f>
        <v/>
      </c>
      <c r="E2701" s="74" t="str">
        <f>IF(OR($D$3=JU!$F2701,$D$3=JU!$I2701),JU!E2701,"")</f>
        <v/>
      </c>
      <c r="F2701" s="72">
        <f>IF($D$3=JU!F2701,JU!H2701,0)</f>
        <v>0</v>
      </c>
      <c r="G2701" s="72">
        <f>IF($D$3=JU!I2701,JU!K2701,0)</f>
        <v>0</v>
      </c>
      <c r="H2701" s="72" t="e">
        <f t="shared" si="42"/>
        <v>#REF!</v>
      </c>
    </row>
    <row r="2702" spans="2:8" hidden="1">
      <c r="B2702" s="68" t="str">
        <f>IF(OR($D$3=JU!$F2702,$D$3=JU!$I2702),JU!B2702,"")</f>
        <v/>
      </c>
      <c r="C2702" s="6" t="str">
        <f>IF(OR($D$3=JU!$F2702,$D$3=JU!$I2702),JU!C2702,"")</f>
        <v/>
      </c>
      <c r="D2702" s="73" t="str">
        <f>IF(OR($D$3=JU!$F2702,$D$3=JU!$I2702),JU!D2702,"")</f>
        <v/>
      </c>
      <c r="E2702" s="74" t="str">
        <f>IF(OR($D$3=JU!$F2702,$D$3=JU!$I2702),JU!E2702,"")</f>
        <v/>
      </c>
      <c r="F2702" s="72">
        <f>IF($D$3=JU!F2702,JU!H2702,0)</f>
        <v>0</v>
      </c>
      <c r="G2702" s="72">
        <f>IF($D$3=JU!I2702,JU!K2702,0)</f>
        <v>0</v>
      </c>
      <c r="H2702" s="72" t="e">
        <f t="shared" ref="H2702:H2765" si="43">IF($H$7="DEBET",H2701+F2702-G2702,H2701+G2702-F2702)</f>
        <v>#REF!</v>
      </c>
    </row>
    <row r="2703" spans="2:8" hidden="1">
      <c r="B2703" s="68" t="str">
        <f>IF(OR($D$3=JU!$F2703,$D$3=JU!$I2703),JU!B2703,"")</f>
        <v/>
      </c>
      <c r="C2703" s="6" t="str">
        <f>IF(OR($D$3=JU!$F2703,$D$3=JU!$I2703),JU!C2703,"")</f>
        <v/>
      </c>
      <c r="D2703" s="73" t="str">
        <f>IF(OR($D$3=JU!$F2703,$D$3=JU!$I2703),JU!D2703,"")</f>
        <v/>
      </c>
      <c r="E2703" s="74" t="str">
        <f>IF(OR($D$3=JU!$F2703,$D$3=JU!$I2703),JU!E2703,"")</f>
        <v/>
      </c>
      <c r="F2703" s="72">
        <f>IF($D$3=JU!F2703,JU!H2703,0)</f>
        <v>0</v>
      </c>
      <c r="G2703" s="72">
        <f>IF($D$3=JU!I2703,JU!K2703,0)</f>
        <v>0</v>
      </c>
      <c r="H2703" s="72" t="e">
        <f t="shared" si="43"/>
        <v>#REF!</v>
      </c>
    </row>
    <row r="2704" spans="2:8" hidden="1">
      <c r="B2704" s="68" t="str">
        <f>IF(OR($D$3=JU!$F2704,$D$3=JU!$I2704),JU!B2704,"")</f>
        <v/>
      </c>
      <c r="C2704" s="6" t="str">
        <f>IF(OR($D$3=JU!$F2704,$D$3=JU!$I2704),JU!C2704,"")</f>
        <v/>
      </c>
      <c r="D2704" s="73" t="str">
        <f>IF(OR($D$3=JU!$F2704,$D$3=JU!$I2704),JU!D2704,"")</f>
        <v/>
      </c>
      <c r="E2704" s="74" t="str">
        <f>IF(OR($D$3=JU!$F2704,$D$3=JU!$I2704),JU!E2704,"")</f>
        <v/>
      </c>
      <c r="F2704" s="72">
        <f>IF($D$3=JU!F2704,JU!H2704,0)</f>
        <v>0</v>
      </c>
      <c r="G2704" s="72">
        <f>IF($D$3=JU!I2704,JU!K2704,0)</f>
        <v>0</v>
      </c>
      <c r="H2704" s="72" t="e">
        <f t="shared" si="43"/>
        <v>#REF!</v>
      </c>
    </row>
    <row r="2705" spans="2:8" hidden="1">
      <c r="B2705" s="68" t="str">
        <f>IF(OR($D$3=JU!$F2705,$D$3=JU!$I2705),JU!B2705,"")</f>
        <v/>
      </c>
      <c r="C2705" s="6" t="str">
        <f>IF(OR($D$3=JU!$F2705,$D$3=JU!$I2705),JU!C2705,"")</f>
        <v/>
      </c>
      <c r="D2705" s="73" t="str">
        <f>IF(OR($D$3=JU!$F2705,$D$3=JU!$I2705),JU!D2705,"")</f>
        <v/>
      </c>
      <c r="E2705" s="74" t="str">
        <f>IF(OR($D$3=JU!$F2705,$D$3=JU!$I2705),JU!E2705,"")</f>
        <v/>
      </c>
      <c r="F2705" s="72">
        <f>IF($D$3=JU!F2705,JU!H2705,0)</f>
        <v>0</v>
      </c>
      <c r="G2705" s="72">
        <f>IF($D$3=JU!I2705,JU!K2705,0)</f>
        <v>0</v>
      </c>
      <c r="H2705" s="72" t="e">
        <f t="shared" si="43"/>
        <v>#REF!</v>
      </c>
    </row>
    <row r="2706" spans="2:8" hidden="1">
      <c r="B2706" s="68" t="str">
        <f>IF(OR($D$3=JU!$F2706,$D$3=JU!$I2706),JU!B2706,"")</f>
        <v/>
      </c>
      <c r="C2706" s="6" t="str">
        <f>IF(OR($D$3=JU!$F2706,$D$3=JU!$I2706),JU!C2706,"")</f>
        <v/>
      </c>
      <c r="D2706" s="73" t="str">
        <f>IF(OR($D$3=JU!$F2706,$D$3=JU!$I2706),JU!D2706,"")</f>
        <v/>
      </c>
      <c r="E2706" s="74" t="str">
        <f>IF(OR($D$3=JU!$F2706,$D$3=JU!$I2706),JU!E2706,"")</f>
        <v/>
      </c>
      <c r="F2706" s="72">
        <f>IF($D$3=JU!F2706,JU!H2706,0)</f>
        <v>0</v>
      </c>
      <c r="G2706" s="72">
        <f>IF($D$3=JU!I2706,JU!K2706,0)</f>
        <v>0</v>
      </c>
      <c r="H2706" s="72" t="e">
        <f t="shared" si="43"/>
        <v>#REF!</v>
      </c>
    </row>
    <row r="2707" spans="2:8" hidden="1">
      <c r="B2707" s="68" t="str">
        <f>IF(OR($D$3=JU!$F2707,$D$3=JU!$I2707),JU!B2707,"")</f>
        <v/>
      </c>
      <c r="C2707" s="6" t="str">
        <f>IF(OR($D$3=JU!$F2707,$D$3=JU!$I2707),JU!C2707,"")</f>
        <v/>
      </c>
      <c r="D2707" s="73" t="str">
        <f>IF(OR($D$3=JU!$F2707,$D$3=JU!$I2707),JU!D2707,"")</f>
        <v/>
      </c>
      <c r="E2707" s="74" t="str">
        <f>IF(OR($D$3=JU!$F2707,$D$3=JU!$I2707),JU!E2707,"")</f>
        <v/>
      </c>
      <c r="F2707" s="72">
        <f>IF($D$3=JU!F2707,JU!H2707,0)</f>
        <v>0</v>
      </c>
      <c r="G2707" s="72">
        <f>IF($D$3=JU!I2707,JU!K2707,0)</f>
        <v>0</v>
      </c>
      <c r="H2707" s="72" t="e">
        <f t="shared" si="43"/>
        <v>#REF!</v>
      </c>
    </row>
    <row r="2708" spans="2:8" hidden="1">
      <c r="B2708" s="68" t="str">
        <f>IF(OR($D$3=JU!$F2708,$D$3=JU!$I2708),JU!B2708,"")</f>
        <v/>
      </c>
      <c r="C2708" s="6" t="str">
        <f>IF(OR($D$3=JU!$F2708,$D$3=JU!$I2708),JU!C2708,"")</f>
        <v/>
      </c>
      <c r="D2708" s="73" t="str">
        <f>IF(OR($D$3=JU!$F2708,$D$3=JU!$I2708),JU!D2708,"")</f>
        <v/>
      </c>
      <c r="E2708" s="74" t="str">
        <f>IF(OR($D$3=JU!$F2708,$D$3=JU!$I2708),JU!E2708,"")</f>
        <v/>
      </c>
      <c r="F2708" s="72">
        <f>IF($D$3=JU!F2708,JU!H2708,0)</f>
        <v>0</v>
      </c>
      <c r="G2708" s="72">
        <f>IF($D$3=JU!I2708,JU!K2708,0)</f>
        <v>0</v>
      </c>
      <c r="H2708" s="72" t="e">
        <f t="shared" si="43"/>
        <v>#REF!</v>
      </c>
    </row>
    <row r="2709" spans="2:8" hidden="1">
      <c r="B2709" s="68" t="str">
        <f>IF(OR($D$3=JU!$F2709,$D$3=JU!$I2709),JU!B2709,"")</f>
        <v/>
      </c>
      <c r="C2709" s="6" t="str">
        <f>IF(OR($D$3=JU!$F2709,$D$3=JU!$I2709),JU!C2709,"")</f>
        <v/>
      </c>
      <c r="D2709" s="73" t="str">
        <f>IF(OR($D$3=JU!$F2709,$D$3=JU!$I2709),JU!D2709,"")</f>
        <v/>
      </c>
      <c r="E2709" s="74" t="str">
        <f>IF(OR($D$3=JU!$F2709,$D$3=JU!$I2709),JU!E2709,"")</f>
        <v/>
      </c>
      <c r="F2709" s="72">
        <f>IF($D$3=JU!F2709,JU!H2709,0)</f>
        <v>0</v>
      </c>
      <c r="G2709" s="72">
        <f>IF($D$3=JU!I2709,JU!K2709,0)</f>
        <v>0</v>
      </c>
      <c r="H2709" s="72" t="e">
        <f t="shared" si="43"/>
        <v>#REF!</v>
      </c>
    </row>
    <row r="2710" spans="2:8" hidden="1">
      <c r="B2710" s="68" t="str">
        <f>IF(OR($D$3=JU!$F2710,$D$3=JU!$I2710),JU!B2710,"")</f>
        <v/>
      </c>
      <c r="C2710" s="6" t="str">
        <f>IF(OR($D$3=JU!$F2710,$D$3=JU!$I2710),JU!C2710,"")</f>
        <v/>
      </c>
      <c r="D2710" s="73" t="str">
        <f>IF(OR($D$3=JU!$F2710,$D$3=JU!$I2710),JU!D2710,"")</f>
        <v/>
      </c>
      <c r="E2710" s="74" t="str">
        <f>IF(OR($D$3=JU!$F2710,$D$3=JU!$I2710),JU!E2710,"")</f>
        <v/>
      </c>
      <c r="F2710" s="72">
        <f>IF($D$3=JU!F2710,JU!H2710,0)</f>
        <v>0</v>
      </c>
      <c r="G2710" s="72">
        <f>IF($D$3=JU!I2710,JU!K2710,0)</f>
        <v>0</v>
      </c>
      <c r="H2710" s="72" t="e">
        <f t="shared" si="43"/>
        <v>#REF!</v>
      </c>
    </row>
    <row r="2711" spans="2:8" hidden="1">
      <c r="B2711" s="68" t="str">
        <f>IF(OR($D$3=JU!$F2711,$D$3=JU!$I2711),JU!B2711,"")</f>
        <v/>
      </c>
      <c r="C2711" s="6" t="str">
        <f>IF(OR($D$3=JU!$F2711,$D$3=JU!$I2711),JU!C2711,"")</f>
        <v/>
      </c>
      <c r="D2711" s="73" t="str">
        <f>IF(OR($D$3=JU!$F2711,$D$3=JU!$I2711),JU!D2711,"")</f>
        <v/>
      </c>
      <c r="E2711" s="74" t="str">
        <f>IF(OR($D$3=JU!$F2711,$D$3=JU!$I2711),JU!E2711,"")</f>
        <v/>
      </c>
      <c r="F2711" s="72">
        <f>IF($D$3=JU!F2711,JU!H2711,0)</f>
        <v>0</v>
      </c>
      <c r="G2711" s="72">
        <f>IF($D$3=JU!I2711,JU!K2711,0)</f>
        <v>0</v>
      </c>
      <c r="H2711" s="72" t="e">
        <f t="shared" si="43"/>
        <v>#REF!</v>
      </c>
    </row>
    <row r="2712" spans="2:8" hidden="1">
      <c r="B2712" s="68" t="str">
        <f>IF(OR($D$3=JU!$F2712,$D$3=JU!$I2712),JU!B2712,"")</f>
        <v/>
      </c>
      <c r="C2712" s="6" t="str">
        <f>IF(OR($D$3=JU!$F2712,$D$3=JU!$I2712),JU!C2712,"")</f>
        <v/>
      </c>
      <c r="D2712" s="73" t="str">
        <f>IF(OR($D$3=JU!$F2712,$D$3=JU!$I2712),JU!D2712,"")</f>
        <v/>
      </c>
      <c r="E2712" s="74" t="str">
        <f>IF(OR($D$3=JU!$F2712,$D$3=JU!$I2712),JU!E2712,"")</f>
        <v/>
      </c>
      <c r="F2712" s="72">
        <f>IF($D$3=JU!F2712,JU!H2712,0)</f>
        <v>0</v>
      </c>
      <c r="G2712" s="72">
        <f>IF($D$3=JU!I2712,JU!K2712,0)</f>
        <v>0</v>
      </c>
      <c r="H2712" s="72" t="e">
        <f t="shared" si="43"/>
        <v>#REF!</v>
      </c>
    </row>
    <row r="2713" spans="2:8" hidden="1">
      <c r="B2713" s="68" t="str">
        <f>IF(OR($D$3=JU!$F2713,$D$3=JU!$I2713),JU!B2713,"")</f>
        <v/>
      </c>
      <c r="C2713" s="6" t="str">
        <f>IF(OR($D$3=JU!$F2713,$D$3=JU!$I2713),JU!C2713,"")</f>
        <v/>
      </c>
      <c r="D2713" s="73" t="str">
        <f>IF(OR($D$3=JU!$F2713,$D$3=JU!$I2713),JU!D2713,"")</f>
        <v/>
      </c>
      <c r="E2713" s="74" t="str">
        <f>IF(OR($D$3=JU!$F2713,$D$3=JU!$I2713),JU!E2713,"")</f>
        <v/>
      </c>
      <c r="F2713" s="72">
        <f>IF($D$3=JU!F2713,JU!H2713,0)</f>
        <v>0</v>
      </c>
      <c r="G2713" s="72">
        <f>IF($D$3=JU!I2713,JU!K2713,0)</f>
        <v>0</v>
      </c>
      <c r="H2713" s="72" t="e">
        <f t="shared" si="43"/>
        <v>#REF!</v>
      </c>
    </row>
    <row r="2714" spans="2:8" hidden="1">
      <c r="B2714" s="68" t="str">
        <f>IF(OR($D$3=JU!$F2714,$D$3=JU!$I2714),JU!B2714,"")</f>
        <v/>
      </c>
      <c r="C2714" s="6" t="str">
        <f>IF(OR($D$3=JU!$F2714,$D$3=JU!$I2714),JU!C2714,"")</f>
        <v/>
      </c>
      <c r="D2714" s="73" t="str">
        <f>IF(OR($D$3=JU!$F2714,$D$3=JU!$I2714),JU!D2714,"")</f>
        <v/>
      </c>
      <c r="E2714" s="74" t="str">
        <f>IF(OR($D$3=JU!$F2714,$D$3=JU!$I2714),JU!E2714,"")</f>
        <v/>
      </c>
      <c r="F2714" s="72">
        <f>IF($D$3=JU!F2714,JU!H2714,0)</f>
        <v>0</v>
      </c>
      <c r="G2714" s="72">
        <f>IF($D$3=JU!I2714,JU!K2714,0)</f>
        <v>0</v>
      </c>
      <c r="H2714" s="72" t="e">
        <f t="shared" si="43"/>
        <v>#REF!</v>
      </c>
    </row>
    <row r="2715" spans="2:8" hidden="1">
      <c r="B2715" s="68" t="str">
        <f>IF(OR($D$3=JU!$F2715,$D$3=JU!$I2715),JU!B2715,"")</f>
        <v/>
      </c>
      <c r="C2715" s="6" t="str">
        <f>IF(OR($D$3=JU!$F2715,$D$3=JU!$I2715),JU!C2715,"")</f>
        <v/>
      </c>
      <c r="D2715" s="73" t="str">
        <f>IF(OR($D$3=JU!$F2715,$D$3=JU!$I2715),JU!D2715,"")</f>
        <v/>
      </c>
      <c r="E2715" s="74" t="str">
        <f>IF(OR($D$3=JU!$F2715,$D$3=JU!$I2715),JU!E2715,"")</f>
        <v/>
      </c>
      <c r="F2715" s="72">
        <f>IF($D$3=JU!F2715,JU!H2715,0)</f>
        <v>0</v>
      </c>
      <c r="G2715" s="72">
        <f>IF($D$3=JU!I2715,JU!K2715,0)</f>
        <v>0</v>
      </c>
      <c r="H2715" s="72" t="e">
        <f t="shared" si="43"/>
        <v>#REF!</v>
      </c>
    </row>
    <row r="2716" spans="2:8" hidden="1">
      <c r="B2716" s="68" t="str">
        <f>IF(OR($D$3=JU!$F2716,$D$3=JU!$I2716),JU!B2716,"")</f>
        <v/>
      </c>
      <c r="C2716" s="6" t="str">
        <f>IF(OR($D$3=JU!$F2716,$D$3=JU!$I2716),JU!C2716,"")</f>
        <v/>
      </c>
      <c r="D2716" s="73" t="str">
        <f>IF(OR($D$3=JU!$F2716,$D$3=JU!$I2716),JU!D2716,"")</f>
        <v/>
      </c>
      <c r="E2716" s="74" t="str">
        <f>IF(OR($D$3=JU!$F2716,$D$3=JU!$I2716),JU!E2716,"")</f>
        <v/>
      </c>
      <c r="F2716" s="72">
        <f>IF($D$3=JU!F2716,JU!H2716,0)</f>
        <v>0</v>
      </c>
      <c r="G2716" s="72">
        <f>IF($D$3=JU!I2716,JU!K2716,0)</f>
        <v>0</v>
      </c>
      <c r="H2716" s="72" t="e">
        <f t="shared" si="43"/>
        <v>#REF!</v>
      </c>
    </row>
    <row r="2717" spans="2:8" hidden="1">
      <c r="B2717" s="68" t="str">
        <f>IF(OR($D$3=JU!$F2717,$D$3=JU!$I2717),JU!B2717,"")</f>
        <v/>
      </c>
      <c r="C2717" s="6" t="str">
        <f>IF(OR($D$3=JU!$F2717,$D$3=JU!$I2717),JU!C2717,"")</f>
        <v/>
      </c>
      <c r="D2717" s="73" t="str">
        <f>IF(OR($D$3=JU!$F2717,$D$3=JU!$I2717),JU!D2717,"")</f>
        <v/>
      </c>
      <c r="E2717" s="74" t="str">
        <f>IF(OR($D$3=JU!$F2717,$D$3=JU!$I2717),JU!E2717,"")</f>
        <v/>
      </c>
      <c r="F2717" s="72">
        <f>IF($D$3=JU!F2717,JU!H2717,0)</f>
        <v>0</v>
      </c>
      <c r="G2717" s="72">
        <f>IF($D$3=JU!I2717,JU!K2717,0)</f>
        <v>0</v>
      </c>
      <c r="H2717" s="72" t="e">
        <f t="shared" si="43"/>
        <v>#REF!</v>
      </c>
    </row>
    <row r="2718" spans="2:8" hidden="1">
      <c r="B2718" s="68" t="str">
        <f>IF(OR($D$3=JU!$F2718,$D$3=JU!$I2718),JU!B2718,"")</f>
        <v/>
      </c>
      <c r="C2718" s="6" t="str">
        <f>IF(OR($D$3=JU!$F2718,$D$3=JU!$I2718),JU!C2718,"")</f>
        <v/>
      </c>
      <c r="D2718" s="73" t="str">
        <f>IF(OR($D$3=JU!$F2718,$D$3=JU!$I2718),JU!D2718,"")</f>
        <v/>
      </c>
      <c r="E2718" s="74" t="str">
        <f>IF(OR($D$3=JU!$F2718,$D$3=JU!$I2718),JU!E2718,"")</f>
        <v/>
      </c>
      <c r="F2718" s="72">
        <f>IF($D$3=JU!F2718,JU!H2718,0)</f>
        <v>0</v>
      </c>
      <c r="G2718" s="72">
        <f>IF($D$3=JU!I2718,JU!K2718,0)</f>
        <v>0</v>
      </c>
      <c r="H2718" s="72" t="e">
        <f t="shared" si="43"/>
        <v>#REF!</v>
      </c>
    </row>
    <row r="2719" spans="2:8" hidden="1">
      <c r="B2719" s="68" t="str">
        <f>IF(OR($D$3=JU!$F2719,$D$3=JU!$I2719),JU!B2719,"")</f>
        <v/>
      </c>
      <c r="C2719" s="6" t="str">
        <f>IF(OR($D$3=JU!$F2719,$D$3=JU!$I2719),JU!C2719,"")</f>
        <v/>
      </c>
      <c r="D2719" s="73" t="str">
        <f>IF(OR($D$3=JU!$F2719,$D$3=JU!$I2719),JU!D2719,"")</f>
        <v/>
      </c>
      <c r="E2719" s="74" t="str">
        <f>IF(OR($D$3=JU!$F2719,$D$3=JU!$I2719),JU!E2719,"")</f>
        <v/>
      </c>
      <c r="F2719" s="72">
        <f>IF($D$3=JU!F2719,JU!H2719,0)</f>
        <v>0</v>
      </c>
      <c r="G2719" s="72">
        <f>IF($D$3=JU!I2719,JU!K2719,0)</f>
        <v>0</v>
      </c>
      <c r="H2719" s="72" t="e">
        <f t="shared" si="43"/>
        <v>#REF!</v>
      </c>
    </row>
    <row r="2720" spans="2:8" hidden="1">
      <c r="B2720" s="68" t="str">
        <f>IF(OR($D$3=JU!$F2720,$D$3=JU!$I2720),JU!B2720,"")</f>
        <v/>
      </c>
      <c r="C2720" s="6" t="str">
        <f>IF(OR($D$3=JU!$F2720,$D$3=JU!$I2720),JU!C2720,"")</f>
        <v/>
      </c>
      <c r="D2720" s="73" t="str">
        <f>IF(OR($D$3=JU!$F2720,$D$3=JU!$I2720),JU!D2720,"")</f>
        <v/>
      </c>
      <c r="E2720" s="74" t="str">
        <f>IF(OR($D$3=JU!$F2720,$D$3=JU!$I2720),JU!E2720,"")</f>
        <v/>
      </c>
      <c r="F2720" s="72">
        <f>IF($D$3=JU!F2720,JU!H2720,0)</f>
        <v>0</v>
      </c>
      <c r="G2720" s="72">
        <f>IF($D$3=JU!I2720,JU!K2720,0)</f>
        <v>0</v>
      </c>
      <c r="H2720" s="72" t="e">
        <f t="shared" si="43"/>
        <v>#REF!</v>
      </c>
    </row>
    <row r="2721" spans="2:8" hidden="1">
      <c r="B2721" s="68" t="str">
        <f>IF(OR($D$3=JU!$F2721,$D$3=JU!$I2721),JU!B2721,"")</f>
        <v/>
      </c>
      <c r="C2721" s="6" t="str">
        <f>IF(OR($D$3=JU!$F2721,$D$3=JU!$I2721),JU!C2721,"")</f>
        <v/>
      </c>
      <c r="D2721" s="73" t="str">
        <f>IF(OR($D$3=JU!$F2721,$D$3=JU!$I2721),JU!D2721,"")</f>
        <v/>
      </c>
      <c r="E2721" s="74" t="str">
        <f>IF(OR($D$3=JU!$F2721,$D$3=JU!$I2721),JU!E2721,"")</f>
        <v/>
      </c>
      <c r="F2721" s="72">
        <f>IF($D$3=JU!F2721,JU!H2721,0)</f>
        <v>0</v>
      </c>
      <c r="G2721" s="72">
        <f>IF($D$3=JU!I2721,JU!K2721,0)</f>
        <v>0</v>
      </c>
      <c r="H2721" s="72" t="e">
        <f t="shared" si="43"/>
        <v>#REF!</v>
      </c>
    </row>
    <row r="2722" spans="2:8" hidden="1">
      <c r="B2722" s="68" t="str">
        <f>IF(OR($D$3=JU!$F2722,$D$3=JU!$I2722),JU!B2722,"")</f>
        <v/>
      </c>
      <c r="C2722" s="6" t="str">
        <f>IF(OR($D$3=JU!$F2722,$D$3=JU!$I2722),JU!C2722,"")</f>
        <v/>
      </c>
      <c r="D2722" s="73" t="str">
        <f>IF(OR($D$3=JU!$F2722,$D$3=JU!$I2722),JU!D2722,"")</f>
        <v/>
      </c>
      <c r="E2722" s="74" t="str">
        <f>IF(OR($D$3=JU!$F2722,$D$3=JU!$I2722),JU!E2722,"")</f>
        <v/>
      </c>
      <c r="F2722" s="72">
        <f>IF($D$3=JU!F2722,JU!H2722,0)</f>
        <v>0</v>
      </c>
      <c r="G2722" s="72">
        <f>IF($D$3=JU!I2722,JU!K2722,0)</f>
        <v>0</v>
      </c>
      <c r="H2722" s="72" t="e">
        <f t="shared" si="43"/>
        <v>#REF!</v>
      </c>
    </row>
    <row r="2723" spans="2:8" hidden="1">
      <c r="B2723" s="68" t="str">
        <f>IF(OR($D$3=JU!$F2723,$D$3=JU!$I2723),JU!B2723,"")</f>
        <v/>
      </c>
      <c r="C2723" s="6" t="str">
        <f>IF(OR($D$3=JU!$F2723,$D$3=JU!$I2723),JU!C2723,"")</f>
        <v/>
      </c>
      <c r="D2723" s="73" t="str">
        <f>IF(OR($D$3=JU!$F2723,$D$3=JU!$I2723),JU!D2723,"")</f>
        <v/>
      </c>
      <c r="E2723" s="74" t="str">
        <f>IF(OR($D$3=JU!$F2723,$D$3=JU!$I2723),JU!E2723,"")</f>
        <v/>
      </c>
      <c r="F2723" s="72">
        <f>IF($D$3=JU!F2723,JU!H2723,0)</f>
        <v>0</v>
      </c>
      <c r="G2723" s="72">
        <f>IF($D$3=JU!I2723,JU!K2723,0)</f>
        <v>0</v>
      </c>
      <c r="H2723" s="72" t="e">
        <f t="shared" si="43"/>
        <v>#REF!</v>
      </c>
    </row>
    <row r="2724" spans="2:8" hidden="1">
      <c r="B2724" s="68" t="str">
        <f>IF(OR($D$3=JU!$F2724,$D$3=JU!$I2724),JU!B2724,"")</f>
        <v/>
      </c>
      <c r="C2724" s="6" t="str">
        <f>IF(OR($D$3=JU!$F2724,$D$3=JU!$I2724),JU!C2724,"")</f>
        <v/>
      </c>
      <c r="D2724" s="73" t="str">
        <f>IF(OR($D$3=JU!$F2724,$D$3=JU!$I2724),JU!D2724,"")</f>
        <v/>
      </c>
      <c r="E2724" s="74" t="str">
        <f>IF(OR($D$3=JU!$F2724,$D$3=JU!$I2724),JU!E2724,"")</f>
        <v/>
      </c>
      <c r="F2724" s="72">
        <f>IF($D$3=JU!F2724,JU!H2724,0)</f>
        <v>0</v>
      </c>
      <c r="G2724" s="72">
        <f>IF($D$3=JU!I2724,JU!K2724,0)</f>
        <v>0</v>
      </c>
      <c r="H2724" s="72" t="e">
        <f t="shared" si="43"/>
        <v>#REF!</v>
      </c>
    </row>
    <row r="2725" spans="2:8" hidden="1">
      <c r="B2725" s="68" t="str">
        <f>IF(OR($D$3=JU!$F2725,$D$3=JU!$I2725),JU!B2725,"")</f>
        <v/>
      </c>
      <c r="C2725" s="6" t="str">
        <f>IF(OR($D$3=JU!$F2725,$D$3=JU!$I2725),JU!C2725,"")</f>
        <v/>
      </c>
      <c r="D2725" s="73" t="str">
        <f>IF(OR($D$3=JU!$F2725,$D$3=JU!$I2725),JU!D2725,"")</f>
        <v/>
      </c>
      <c r="E2725" s="74" t="str">
        <f>IF(OR($D$3=JU!$F2725,$D$3=JU!$I2725),JU!E2725,"")</f>
        <v/>
      </c>
      <c r="F2725" s="72">
        <f>IF($D$3=JU!F2725,JU!H2725,0)</f>
        <v>0</v>
      </c>
      <c r="G2725" s="72">
        <f>IF($D$3=JU!I2725,JU!K2725,0)</f>
        <v>0</v>
      </c>
      <c r="H2725" s="72" t="e">
        <f t="shared" si="43"/>
        <v>#REF!</v>
      </c>
    </row>
    <row r="2726" spans="2:8" hidden="1">
      <c r="B2726" s="68" t="str">
        <f>IF(OR($D$3=JU!$F2726,$D$3=JU!$I2726),JU!B2726,"")</f>
        <v/>
      </c>
      <c r="C2726" s="6" t="str">
        <f>IF(OR($D$3=JU!$F2726,$D$3=JU!$I2726),JU!C2726,"")</f>
        <v/>
      </c>
      <c r="D2726" s="73" t="str">
        <f>IF(OR($D$3=JU!$F2726,$D$3=JU!$I2726),JU!D2726,"")</f>
        <v/>
      </c>
      <c r="E2726" s="74" t="str">
        <f>IF(OR($D$3=JU!$F2726,$D$3=JU!$I2726),JU!E2726,"")</f>
        <v/>
      </c>
      <c r="F2726" s="72">
        <f>IF($D$3=JU!F2726,JU!H2726,0)</f>
        <v>0</v>
      </c>
      <c r="G2726" s="72">
        <f>IF($D$3=JU!I2726,JU!K2726,0)</f>
        <v>0</v>
      </c>
      <c r="H2726" s="72" t="e">
        <f t="shared" si="43"/>
        <v>#REF!</v>
      </c>
    </row>
    <row r="2727" spans="2:8" hidden="1">
      <c r="B2727" s="68" t="str">
        <f>IF(OR($D$3=JU!$F2727,$D$3=JU!$I2727),JU!B2727,"")</f>
        <v/>
      </c>
      <c r="C2727" s="6" t="str">
        <f>IF(OR($D$3=JU!$F2727,$D$3=JU!$I2727),JU!C2727,"")</f>
        <v/>
      </c>
      <c r="D2727" s="73" t="str">
        <f>IF(OR($D$3=JU!$F2727,$D$3=JU!$I2727),JU!D2727,"")</f>
        <v/>
      </c>
      <c r="E2727" s="74" t="str">
        <f>IF(OR($D$3=JU!$F2727,$D$3=JU!$I2727),JU!E2727,"")</f>
        <v/>
      </c>
      <c r="F2727" s="72">
        <f>IF($D$3=JU!F2727,JU!H2727,0)</f>
        <v>0</v>
      </c>
      <c r="G2727" s="72">
        <f>IF($D$3=JU!I2727,JU!K2727,0)</f>
        <v>0</v>
      </c>
      <c r="H2727" s="72" t="e">
        <f t="shared" si="43"/>
        <v>#REF!</v>
      </c>
    </row>
    <row r="2728" spans="2:8" hidden="1">
      <c r="B2728" s="68" t="str">
        <f>IF(OR($D$3=JU!$F2728,$D$3=JU!$I2728),JU!B2728,"")</f>
        <v/>
      </c>
      <c r="C2728" s="6" t="str">
        <f>IF(OR($D$3=JU!$F2728,$D$3=JU!$I2728),JU!C2728,"")</f>
        <v/>
      </c>
      <c r="D2728" s="73" t="str">
        <f>IF(OR($D$3=JU!$F2728,$D$3=JU!$I2728),JU!D2728,"")</f>
        <v/>
      </c>
      <c r="E2728" s="74" t="str">
        <f>IF(OR($D$3=JU!$F2728,$D$3=JU!$I2728),JU!E2728,"")</f>
        <v/>
      </c>
      <c r="F2728" s="72">
        <f>IF($D$3=JU!F2728,JU!H2728,0)</f>
        <v>0</v>
      </c>
      <c r="G2728" s="72">
        <f>IF($D$3=JU!I2728,JU!K2728,0)</f>
        <v>0</v>
      </c>
      <c r="H2728" s="72" t="e">
        <f t="shared" si="43"/>
        <v>#REF!</v>
      </c>
    </row>
    <row r="2729" spans="2:8" hidden="1">
      <c r="B2729" s="68" t="str">
        <f>IF(OR($D$3=JU!$F2729,$D$3=JU!$I2729),JU!B2729,"")</f>
        <v/>
      </c>
      <c r="C2729" s="6" t="str">
        <f>IF(OR($D$3=JU!$F2729,$D$3=JU!$I2729),JU!C2729,"")</f>
        <v/>
      </c>
      <c r="D2729" s="73" t="str">
        <f>IF(OR($D$3=JU!$F2729,$D$3=JU!$I2729),JU!D2729,"")</f>
        <v/>
      </c>
      <c r="E2729" s="74" t="str">
        <f>IF(OR($D$3=JU!$F2729,$D$3=JU!$I2729),JU!E2729,"")</f>
        <v/>
      </c>
      <c r="F2729" s="72">
        <f>IF($D$3=JU!F2729,JU!H2729,0)</f>
        <v>0</v>
      </c>
      <c r="G2729" s="72">
        <f>IF($D$3=JU!I2729,JU!K2729,0)</f>
        <v>0</v>
      </c>
      <c r="H2729" s="72" t="e">
        <f t="shared" si="43"/>
        <v>#REF!</v>
      </c>
    </row>
    <row r="2730" spans="2:8" hidden="1">
      <c r="B2730" s="68" t="str">
        <f>IF(OR($D$3=JU!$F2730,$D$3=JU!$I2730),JU!B2730,"")</f>
        <v/>
      </c>
      <c r="C2730" s="6" t="str">
        <f>IF(OR($D$3=JU!$F2730,$D$3=JU!$I2730),JU!C2730,"")</f>
        <v/>
      </c>
      <c r="D2730" s="73" t="str">
        <f>IF(OR($D$3=JU!$F2730,$D$3=JU!$I2730),JU!D2730,"")</f>
        <v/>
      </c>
      <c r="E2730" s="74" t="str">
        <f>IF(OR($D$3=JU!$F2730,$D$3=JU!$I2730),JU!E2730,"")</f>
        <v/>
      </c>
      <c r="F2730" s="72">
        <f>IF($D$3=JU!F2730,JU!H2730,0)</f>
        <v>0</v>
      </c>
      <c r="G2730" s="72">
        <f>IF($D$3=JU!I2730,JU!K2730,0)</f>
        <v>0</v>
      </c>
      <c r="H2730" s="72" t="e">
        <f t="shared" si="43"/>
        <v>#REF!</v>
      </c>
    </row>
    <row r="2731" spans="2:8" hidden="1">
      <c r="B2731" s="68" t="str">
        <f>IF(OR($D$3=JU!$F2731,$D$3=JU!$I2731),JU!B2731,"")</f>
        <v/>
      </c>
      <c r="C2731" s="6" t="str">
        <f>IF(OR($D$3=JU!$F2731,$D$3=JU!$I2731),JU!C2731,"")</f>
        <v/>
      </c>
      <c r="D2731" s="73" t="str">
        <f>IF(OR($D$3=JU!$F2731,$D$3=JU!$I2731),JU!D2731,"")</f>
        <v/>
      </c>
      <c r="E2731" s="74" t="str">
        <f>IF(OR($D$3=JU!$F2731,$D$3=JU!$I2731),JU!E2731,"")</f>
        <v/>
      </c>
      <c r="F2731" s="72">
        <f>IF($D$3=JU!F2731,JU!H2731,0)</f>
        <v>0</v>
      </c>
      <c r="G2731" s="72">
        <f>IF($D$3=JU!I2731,JU!K2731,0)</f>
        <v>0</v>
      </c>
      <c r="H2731" s="72" t="e">
        <f t="shared" si="43"/>
        <v>#REF!</v>
      </c>
    </row>
    <row r="2732" spans="2:8" hidden="1">
      <c r="B2732" s="68" t="str">
        <f>IF(OR($D$3=JU!$F2732,$D$3=JU!$I2732),JU!B2732,"")</f>
        <v/>
      </c>
      <c r="C2732" s="6" t="str">
        <f>IF(OR($D$3=JU!$F2732,$D$3=JU!$I2732),JU!C2732,"")</f>
        <v/>
      </c>
      <c r="D2732" s="73" t="str">
        <f>IF(OR($D$3=JU!$F2732,$D$3=JU!$I2732),JU!D2732,"")</f>
        <v/>
      </c>
      <c r="E2732" s="74" t="str">
        <f>IF(OR($D$3=JU!$F2732,$D$3=JU!$I2732),JU!E2732,"")</f>
        <v/>
      </c>
      <c r="F2732" s="72">
        <f>IF($D$3=JU!F2732,JU!H2732,0)</f>
        <v>0</v>
      </c>
      <c r="G2732" s="72">
        <f>IF($D$3=JU!I2732,JU!K2732,0)</f>
        <v>0</v>
      </c>
      <c r="H2732" s="72" t="e">
        <f t="shared" si="43"/>
        <v>#REF!</v>
      </c>
    </row>
    <row r="2733" spans="2:8" hidden="1">
      <c r="B2733" s="68" t="str">
        <f>IF(OR($D$3=JU!$F2733,$D$3=JU!$I2733),JU!B2733,"")</f>
        <v/>
      </c>
      <c r="C2733" s="6" t="str">
        <f>IF(OR($D$3=JU!$F2733,$D$3=JU!$I2733),JU!C2733,"")</f>
        <v/>
      </c>
      <c r="D2733" s="73" t="str">
        <f>IF(OR($D$3=JU!$F2733,$D$3=JU!$I2733),JU!D2733,"")</f>
        <v/>
      </c>
      <c r="E2733" s="74" t="str">
        <f>IF(OR($D$3=JU!$F2733,$D$3=JU!$I2733),JU!E2733,"")</f>
        <v/>
      </c>
      <c r="F2733" s="72">
        <f>IF($D$3=JU!F2733,JU!H2733,0)</f>
        <v>0</v>
      </c>
      <c r="G2733" s="72">
        <f>IF($D$3=JU!I2733,JU!K2733,0)</f>
        <v>0</v>
      </c>
      <c r="H2733" s="72" t="e">
        <f t="shared" si="43"/>
        <v>#REF!</v>
      </c>
    </row>
    <row r="2734" spans="2:8" hidden="1">
      <c r="B2734" s="68" t="str">
        <f>IF(OR($D$3=JU!$F2734,$D$3=JU!$I2734),JU!B2734,"")</f>
        <v/>
      </c>
      <c r="C2734" s="6" t="str">
        <f>IF(OR($D$3=JU!$F2734,$D$3=JU!$I2734),JU!C2734,"")</f>
        <v/>
      </c>
      <c r="D2734" s="73" t="str">
        <f>IF(OR($D$3=JU!$F2734,$D$3=JU!$I2734),JU!D2734,"")</f>
        <v/>
      </c>
      <c r="E2734" s="74" t="str">
        <f>IF(OR($D$3=JU!$F2734,$D$3=JU!$I2734),JU!E2734,"")</f>
        <v/>
      </c>
      <c r="F2734" s="72">
        <f>IF($D$3=JU!F2734,JU!H2734,0)</f>
        <v>0</v>
      </c>
      <c r="G2734" s="72">
        <f>IF($D$3=JU!I2734,JU!K2734,0)</f>
        <v>0</v>
      </c>
      <c r="H2734" s="72" t="e">
        <f t="shared" si="43"/>
        <v>#REF!</v>
      </c>
    </row>
    <row r="2735" spans="2:8" hidden="1">
      <c r="B2735" s="68" t="str">
        <f>IF(OR($D$3=JU!$F2735,$D$3=JU!$I2735),JU!B2735,"")</f>
        <v/>
      </c>
      <c r="C2735" s="6" t="str">
        <f>IF(OR($D$3=JU!$F2735,$D$3=JU!$I2735),JU!C2735,"")</f>
        <v/>
      </c>
      <c r="D2735" s="73" t="str">
        <f>IF(OR($D$3=JU!$F2735,$D$3=JU!$I2735),JU!D2735,"")</f>
        <v/>
      </c>
      <c r="E2735" s="74" t="str">
        <f>IF(OR($D$3=JU!$F2735,$D$3=JU!$I2735),JU!E2735,"")</f>
        <v/>
      </c>
      <c r="F2735" s="72">
        <f>IF($D$3=JU!F2735,JU!H2735,0)</f>
        <v>0</v>
      </c>
      <c r="G2735" s="72">
        <f>IF($D$3=JU!I2735,JU!K2735,0)</f>
        <v>0</v>
      </c>
      <c r="H2735" s="72" t="e">
        <f t="shared" si="43"/>
        <v>#REF!</v>
      </c>
    </row>
    <row r="2736" spans="2:8" hidden="1">
      <c r="B2736" s="68" t="str">
        <f>IF(OR($D$3=JU!$F2736,$D$3=JU!$I2736),JU!B2736,"")</f>
        <v/>
      </c>
      <c r="C2736" s="6" t="str">
        <f>IF(OR($D$3=JU!$F2736,$D$3=JU!$I2736),JU!C2736,"")</f>
        <v/>
      </c>
      <c r="D2736" s="73" t="str">
        <f>IF(OR($D$3=JU!$F2736,$D$3=JU!$I2736),JU!D2736,"")</f>
        <v/>
      </c>
      <c r="E2736" s="74" t="str">
        <f>IF(OR($D$3=JU!$F2736,$D$3=JU!$I2736),JU!E2736,"")</f>
        <v/>
      </c>
      <c r="F2736" s="72">
        <f>IF($D$3=JU!F2736,JU!H2736,0)</f>
        <v>0</v>
      </c>
      <c r="G2736" s="72">
        <f>IF($D$3=JU!I2736,JU!K2736,0)</f>
        <v>0</v>
      </c>
      <c r="H2736" s="72" t="e">
        <f t="shared" si="43"/>
        <v>#REF!</v>
      </c>
    </row>
    <row r="2737" spans="2:8" hidden="1">
      <c r="B2737" s="68" t="str">
        <f>IF(OR($D$3=JU!$F2737,$D$3=JU!$I2737),JU!B2737,"")</f>
        <v/>
      </c>
      <c r="C2737" s="6" t="str">
        <f>IF(OR($D$3=JU!$F2737,$D$3=JU!$I2737),JU!C2737,"")</f>
        <v/>
      </c>
      <c r="D2737" s="73" t="str">
        <f>IF(OR($D$3=JU!$F2737,$D$3=JU!$I2737),JU!D2737,"")</f>
        <v/>
      </c>
      <c r="E2737" s="74" t="str">
        <f>IF(OR($D$3=JU!$F2737,$D$3=JU!$I2737),JU!E2737,"")</f>
        <v/>
      </c>
      <c r="F2737" s="72">
        <f>IF($D$3=JU!F2737,JU!H2737,0)</f>
        <v>0</v>
      </c>
      <c r="G2737" s="72">
        <f>IF($D$3=JU!I2737,JU!K2737,0)</f>
        <v>0</v>
      </c>
      <c r="H2737" s="72" t="e">
        <f t="shared" si="43"/>
        <v>#REF!</v>
      </c>
    </row>
    <row r="2738" spans="2:8" hidden="1">
      <c r="B2738" s="68" t="str">
        <f>IF(OR($D$3=JU!$F2738,$D$3=JU!$I2738),JU!B2738,"")</f>
        <v/>
      </c>
      <c r="C2738" s="6" t="str">
        <f>IF(OR($D$3=JU!$F2738,$D$3=JU!$I2738),JU!C2738,"")</f>
        <v/>
      </c>
      <c r="D2738" s="73" t="str">
        <f>IF(OR($D$3=JU!$F2738,$D$3=JU!$I2738),JU!D2738,"")</f>
        <v/>
      </c>
      <c r="E2738" s="74" t="str">
        <f>IF(OR($D$3=JU!$F2738,$D$3=JU!$I2738),JU!E2738,"")</f>
        <v/>
      </c>
      <c r="F2738" s="72">
        <f>IF($D$3=JU!F2738,JU!H2738,0)</f>
        <v>0</v>
      </c>
      <c r="G2738" s="72">
        <f>IF($D$3=JU!I2738,JU!K2738,0)</f>
        <v>0</v>
      </c>
      <c r="H2738" s="72" t="e">
        <f t="shared" si="43"/>
        <v>#REF!</v>
      </c>
    </row>
    <row r="2739" spans="2:8" hidden="1">
      <c r="B2739" s="68" t="str">
        <f>IF(OR($D$3=JU!$F2739,$D$3=JU!$I2739),JU!B2739,"")</f>
        <v/>
      </c>
      <c r="C2739" s="6" t="str">
        <f>IF(OR($D$3=JU!$F2739,$D$3=JU!$I2739),JU!C2739,"")</f>
        <v/>
      </c>
      <c r="D2739" s="73" t="str">
        <f>IF(OR($D$3=JU!$F2739,$D$3=JU!$I2739),JU!D2739,"")</f>
        <v/>
      </c>
      <c r="E2739" s="74" t="str">
        <f>IF(OR($D$3=JU!$F2739,$D$3=JU!$I2739),JU!E2739,"")</f>
        <v/>
      </c>
      <c r="F2739" s="72">
        <f>IF($D$3=JU!F2739,JU!H2739,0)</f>
        <v>0</v>
      </c>
      <c r="G2739" s="72">
        <f>IF($D$3=JU!I2739,JU!K2739,0)</f>
        <v>0</v>
      </c>
      <c r="H2739" s="72" t="e">
        <f t="shared" si="43"/>
        <v>#REF!</v>
      </c>
    </row>
    <row r="2740" spans="2:8" hidden="1">
      <c r="B2740" s="68" t="str">
        <f>IF(OR($D$3=JU!$F2740,$D$3=JU!$I2740),JU!B2740,"")</f>
        <v/>
      </c>
      <c r="C2740" s="6" t="str">
        <f>IF(OR($D$3=JU!$F2740,$D$3=JU!$I2740),JU!C2740,"")</f>
        <v/>
      </c>
      <c r="D2740" s="73" t="str">
        <f>IF(OR($D$3=JU!$F2740,$D$3=JU!$I2740),JU!D2740,"")</f>
        <v/>
      </c>
      <c r="E2740" s="74" t="str">
        <f>IF(OR($D$3=JU!$F2740,$D$3=JU!$I2740),JU!E2740,"")</f>
        <v/>
      </c>
      <c r="F2740" s="72">
        <f>IF($D$3=JU!F2740,JU!H2740,0)</f>
        <v>0</v>
      </c>
      <c r="G2740" s="72">
        <f>IF($D$3=JU!I2740,JU!K2740,0)</f>
        <v>0</v>
      </c>
      <c r="H2740" s="72" t="e">
        <f t="shared" si="43"/>
        <v>#REF!</v>
      </c>
    </row>
    <row r="2741" spans="2:8" hidden="1">
      <c r="B2741" s="68" t="str">
        <f>IF(OR($D$3=JU!$F2741,$D$3=JU!$I2741),JU!B2741,"")</f>
        <v/>
      </c>
      <c r="C2741" s="6" t="str">
        <f>IF(OR($D$3=JU!$F2741,$D$3=JU!$I2741),JU!C2741,"")</f>
        <v/>
      </c>
      <c r="D2741" s="73" t="str">
        <f>IF(OR($D$3=JU!$F2741,$D$3=JU!$I2741),JU!D2741,"")</f>
        <v/>
      </c>
      <c r="E2741" s="74" t="str">
        <f>IF(OR($D$3=JU!$F2741,$D$3=JU!$I2741),JU!E2741,"")</f>
        <v/>
      </c>
      <c r="F2741" s="72">
        <f>IF($D$3=JU!F2741,JU!H2741,0)</f>
        <v>0</v>
      </c>
      <c r="G2741" s="72">
        <f>IF($D$3=JU!I2741,JU!K2741,0)</f>
        <v>0</v>
      </c>
      <c r="H2741" s="72" t="e">
        <f t="shared" si="43"/>
        <v>#REF!</v>
      </c>
    </row>
    <row r="2742" spans="2:8" hidden="1">
      <c r="B2742" s="68" t="str">
        <f>IF(OR($D$3=JU!$F2742,$D$3=JU!$I2742),JU!B2742,"")</f>
        <v/>
      </c>
      <c r="C2742" s="6" t="str">
        <f>IF(OR($D$3=JU!$F2742,$D$3=JU!$I2742),JU!C2742,"")</f>
        <v/>
      </c>
      <c r="D2742" s="73" t="str">
        <f>IF(OR($D$3=JU!$F2742,$D$3=JU!$I2742),JU!D2742,"")</f>
        <v/>
      </c>
      <c r="E2742" s="74" t="str">
        <f>IF(OR($D$3=JU!$F2742,$D$3=JU!$I2742),JU!E2742,"")</f>
        <v/>
      </c>
      <c r="F2742" s="72">
        <f>IF($D$3=JU!F2742,JU!H2742,0)</f>
        <v>0</v>
      </c>
      <c r="G2742" s="72">
        <f>IF($D$3=JU!I2742,JU!K2742,0)</f>
        <v>0</v>
      </c>
      <c r="H2742" s="72" t="e">
        <f t="shared" si="43"/>
        <v>#REF!</v>
      </c>
    </row>
    <row r="2743" spans="2:8" hidden="1">
      <c r="B2743" s="68" t="str">
        <f>IF(OR($D$3=JU!$F2743,$D$3=JU!$I2743),JU!B2743,"")</f>
        <v/>
      </c>
      <c r="C2743" s="6" t="str">
        <f>IF(OR($D$3=JU!$F2743,$D$3=JU!$I2743),JU!C2743,"")</f>
        <v/>
      </c>
      <c r="D2743" s="73" t="str">
        <f>IF(OR($D$3=JU!$F2743,$D$3=JU!$I2743),JU!D2743,"")</f>
        <v/>
      </c>
      <c r="E2743" s="74" t="str">
        <f>IF(OR($D$3=JU!$F2743,$D$3=JU!$I2743),JU!E2743,"")</f>
        <v/>
      </c>
      <c r="F2743" s="72">
        <f>IF($D$3=JU!F2743,JU!H2743,0)</f>
        <v>0</v>
      </c>
      <c r="G2743" s="72">
        <f>IF($D$3=JU!I2743,JU!K2743,0)</f>
        <v>0</v>
      </c>
      <c r="H2743" s="72" t="e">
        <f t="shared" si="43"/>
        <v>#REF!</v>
      </c>
    </row>
    <row r="2744" spans="2:8" hidden="1">
      <c r="B2744" s="68" t="str">
        <f>IF(OR($D$3=JU!$F2744,$D$3=JU!$I2744),JU!B2744,"")</f>
        <v/>
      </c>
      <c r="C2744" s="6" t="str">
        <f>IF(OR($D$3=JU!$F2744,$D$3=JU!$I2744),JU!C2744,"")</f>
        <v/>
      </c>
      <c r="D2744" s="73" t="str">
        <f>IF(OR($D$3=JU!$F2744,$D$3=JU!$I2744),JU!D2744,"")</f>
        <v/>
      </c>
      <c r="E2744" s="74" t="str">
        <f>IF(OR($D$3=JU!$F2744,$D$3=JU!$I2744),JU!E2744,"")</f>
        <v/>
      </c>
      <c r="F2744" s="72">
        <f>IF($D$3=JU!F2744,JU!H2744,0)</f>
        <v>0</v>
      </c>
      <c r="G2744" s="72">
        <f>IF($D$3=JU!I2744,JU!K2744,0)</f>
        <v>0</v>
      </c>
      <c r="H2744" s="72" t="e">
        <f t="shared" si="43"/>
        <v>#REF!</v>
      </c>
    </row>
    <row r="2745" spans="2:8" hidden="1">
      <c r="B2745" s="68" t="str">
        <f>IF(OR($D$3=JU!$F2745,$D$3=JU!$I2745),JU!B2745,"")</f>
        <v/>
      </c>
      <c r="C2745" s="6" t="str">
        <f>IF(OR($D$3=JU!$F2745,$D$3=JU!$I2745),JU!C2745,"")</f>
        <v/>
      </c>
      <c r="D2745" s="73" t="str">
        <f>IF(OR($D$3=JU!$F2745,$D$3=JU!$I2745),JU!D2745,"")</f>
        <v/>
      </c>
      <c r="E2745" s="74" t="str">
        <f>IF(OR($D$3=JU!$F2745,$D$3=JU!$I2745),JU!E2745,"")</f>
        <v/>
      </c>
      <c r="F2745" s="72">
        <f>IF($D$3=JU!F2745,JU!H2745,0)</f>
        <v>0</v>
      </c>
      <c r="G2745" s="72">
        <f>IF($D$3=JU!I2745,JU!K2745,0)</f>
        <v>0</v>
      </c>
      <c r="H2745" s="72" t="e">
        <f t="shared" si="43"/>
        <v>#REF!</v>
      </c>
    </row>
    <row r="2746" spans="2:8" hidden="1">
      <c r="B2746" s="68" t="str">
        <f>IF(OR($D$3=JU!$F2746,$D$3=JU!$I2746),JU!B2746,"")</f>
        <v/>
      </c>
      <c r="C2746" s="6" t="str">
        <f>IF(OR($D$3=JU!$F2746,$D$3=JU!$I2746),JU!C2746,"")</f>
        <v/>
      </c>
      <c r="D2746" s="73" t="str">
        <f>IF(OR($D$3=JU!$F2746,$D$3=JU!$I2746),JU!D2746,"")</f>
        <v/>
      </c>
      <c r="E2746" s="74" t="str">
        <f>IF(OR($D$3=JU!$F2746,$D$3=JU!$I2746),JU!E2746,"")</f>
        <v/>
      </c>
      <c r="F2746" s="72">
        <f>IF($D$3=JU!F2746,JU!H2746,0)</f>
        <v>0</v>
      </c>
      <c r="G2746" s="72">
        <f>IF($D$3=JU!I2746,JU!K2746,0)</f>
        <v>0</v>
      </c>
      <c r="H2746" s="72" t="e">
        <f t="shared" si="43"/>
        <v>#REF!</v>
      </c>
    </row>
    <row r="2747" spans="2:8" hidden="1">
      <c r="B2747" s="68" t="str">
        <f>IF(OR($D$3=JU!$F2747,$D$3=JU!$I2747),JU!B2747,"")</f>
        <v/>
      </c>
      <c r="C2747" s="6" t="str">
        <f>IF(OR($D$3=JU!$F2747,$D$3=JU!$I2747),JU!C2747,"")</f>
        <v/>
      </c>
      <c r="D2747" s="73" t="str">
        <f>IF(OR($D$3=JU!$F2747,$D$3=JU!$I2747),JU!D2747,"")</f>
        <v/>
      </c>
      <c r="E2747" s="74" t="str">
        <f>IF(OR($D$3=JU!$F2747,$D$3=JU!$I2747),JU!E2747,"")</f>
        <v/>
      </c>
      <c r="F2747" s="72">
        <f>IF($D$3=JU!F2747,JU!H2747,0)</f>
        <v>0</v>
      </c>
      <c r="G2747" s="72">
        <f>IF($D$3=JU!I2747,JU!K2747,0)</f>
        <v>0</v>
      </c>
      <c r="H2747" s="72" t="e">
        <f t="shared" si="43"/>
        <v>#REF!</v>
      </c>
    </row>
    <row r="2748" spans="2:8" hidden="1">
      <c r="B2748" s="68" t="str">
        <f>IF(OR($D$3=JU!$F2748,$D$3=JU!$I2748),JU!B2748,"")</f>
        <v/>
      </c>
      <c r="C2748" s="6" t="str">
        <f>IF(OR($D$3=JU!$F2748,$D$3=JU!$I2748),JU!C2748,"")</f>
        <v/>
      </c>
      <c r="D2748" s="73" t="str">
        <f>IF(OR($D$3=JU!$F2748,$D$3=JU!$I2748),JU!D2748,"")</f>
        <v/>
      </c>
      <c r="E2748" s="74" t="str">
        <f>IF(OR($D$3=JU!$F2748,$D$3=JU!$I2748),JU!E2748,"")</f>
        <v/>
      </c>
      <c r="F2748" s="72">
        <f>IF($D$3=JU!F2748,JU!H2748,0)</f>
        <v>0</v>
      </c>
      <c r="G2748" s="72">
        <f>IF($D$3=JU!I2748,JU!K2748,0)</f>
        <v>0</v>
      </c>
      <c r="H2748" s="72" t="e">
        <f t="shared" si="43"/>
        <v>#REF!</v>
      </c>
    </row>
    <row r="2749" spans="2:8" hidden="1">
      <c r="B2749" s="68" t="str">
        <f>IF(OR($D$3=JU!$F2749,$D$3=JU!$I2749),JU!B2749,"")</f>
        <v/>
      </c>
      <c r="C2749" s="6" t="str">
        <f>IF(OR($D$3=JU!$F2749,$D$3=JU!$I2749),JU!C2749,"")</f>
        <v/>
      </c>
      <c r="D2749" s="73" t="str">
        <f>IF(OR($D$3=JU!$F2749,$D$3=JU!$I2749),JU!D2749,"")</f>
        <v/>
      </c>
      <c r="E2749" s="74" t="str">
        <f>IF(OR($D$3=JU!$F2749,$D$3=JU!$I2749),JU!E2749,"")</f>
        <v/>
      </c>
      <c r="F2749" s="72">
        <f>IF($D$3=JU!F2749,JU!H2749,0)</f>
        <v>0</v>
      </c>
      <c r="G2749" s="72">
        <f>IF($D$3=JU!I2749,JU!K2749,0)</f>
        <v>0</v>
      </c>
      <c r="H2749" s="72" t="e">
        <f t="shared" si="43"/>
        <v>#REF!</v>
      </c>
    </row>
    <row r="2750" spans="2:8" hidden="1">
      <c r="B2750" s="68" t="str">
        <f>IF(OR($D$3=JU!$F2750,$D$3=JU!$I2750),JU!B2750,"")</f>
        <v/>
      </c>
      <c r="C2750" s="6" t="str">
        <f>IF(OR($D$3=JU!$F2750,$D$3=JU!$I2750),JU!C2750,"")</f>
        <v/>
      </c>
      <c r="D2750" s="73" t="str">
        <f>IF(OR($D$3=JU!$F2750,$D$3=JU!$I2750),JU!D2750,"")</f>
        <v/>
      </c>
      <c r="E2750" s="74" t="str">
        <f>IF(OR($D$3=JU!$F2750,$D$3=JU!$I2750),JU!E2750,"")</f>
        <v/>
      </c>
      <c r="F2750" s="72">
        <f>IF($D$3=JU!F2750,JU!H2750,0)</f>
        <v>0</v>
      </c>
      <c r="G2750" s="72">
        <f>IF($D$3=JU!I2750,JU!K2750,0)</f>
        <v>0</v>
      </c>
      <c r="H2750" s="72" t="e">
        <f t="shared" si="43"/>
        <v>#REF!</v>
      </c>
    </row>
    <row r="2751" spans="2:8" hidden="1">
      <c r="B2751" s="68" t="str">
        <f>IF(OR($D$3=JU!$F2751,$D$3=JU!$I2751),JU!B2751,"")</f>
        <v/>
      </c>
      <c r="C2751" s="6" t="str">
        <f>IF(OR($D$3=JU!$F2751,$D$3=JU!$I2751),JU!C2751,"")</f>
        <v/>
      </c>
      <c r="D2751" s="73" t="str">
        <f>IF(OR($D$3=JU!$F2751,$D$3=JU!$I2751),JU!D2751,"")</f>
        <v/>
      </c>
      <c r="E2751" s="74" t="str">
        <f>IF(OR($D$3=JU!$F2751,$D$3=JU!$I2751),JU!E2751,"")</f>
        <v/>
      </c>
      <c r="F2751" s="72">
        <f>IF($D$3=JU!F2751,JU!H2751,0)</f>
        <v>0</v>
      </c>
      <c r="G2751" s="72">
        <f>IF($D$3=JU!I2751,JU!K2751,0)</f>
        <v>0</v>
      </c>
      <c r="H2751" s="72" t="e">
        <f t="shared" si="43"/>
        <v>#REF!</v>
      </c>
    </row>
    <row r="2752" spans="2:8" hidden="1">
      <c r="B2752" s="68" t="str">
        <f>IF(OR($D$3=JU!$F2752,$D$3=JU!$I2752),JU!B2752,"")</f>
        <v/>
      </c>
      <c r="C2752" s="6" t="str">
        <f>IF(OR($D$3=JU!$F2752,$D$3=JU!$I2752),JU!C2752,"")</f>
        <v/>
      </c>
      <c r="D2752" s="73" t="str">
        <f>IF(OR($D$3=JU!$F2752,$D$3=JU!$I2752),JU!D2752,"")</f>
        <v/>
      </c>
      <c r="E2752" s="74" t="str">
        <f>IF(OR($D$3=JU!$F2752,$D$3=JU!$I2752),JU!E2752,"")</f>
        <v/>
      </c>
      <c r="F2752" s="72">
        <f>IF($D$3=JU!F2752,JU!H2752,0)</f>
        <v>0</v>
      </c>
      <c r="G2752" s="72">
        <f>IF($D$3=JU!I2752,JU!K2752,0)</f>
        <v>0</v>
      </c>
      <c r="H2752" s="72" t="e">
        <f t="shared" si="43"/>
        <v>#REF!</v>
      </c>
    </row>
    <row r="2753" spans="2:8" hidden="1">
      <c r="B2753" s="68" t="str">
        <f>IF(OR($D$3=JU!$F2753,$D$3=JU!$I2753),JU!B2753,"")</f>
        <v/>
      </c>
      <c r="C2753" s="6" t="str">
        <f>IF(OR($D$3=JU!$F2753,$D$3=JU!$I2753),JU!C2753,"")</f>
        <v/>
      </c>
      <c r="D2753" s="73" t="str">
        <f>IF(OR($D$3=JU!$F2753,$D$3=JU!$I2753),JU!D2753,"")</f>
        <v/>
      </c>
      <c r="E2753" s="74" t="str">
        <f>IF(OR($D$3=JU!$F2753,$D$3=JU!$I2753),JU!E2753,"")</f>
        <v/>
      </c>
      <c r="F2753" s="72">
        <f>IF($D$3=JU!F2753,JU!H2753,0)</f>
        <v>0</v>
      </c>
      <c r="G2753" s="72">
        <f>IF($D$3=JU!I2753,JU!K2753,0)</f>
        <v>0</v>
      </c>
      <c r="H2753" s="72" t="e">
        <f t="shared" si="43"/>
        <v>#REF!</v>
      </c>
    </row>
    <row r="2754" spans="2:8" hidden="1">
      <c r="B2754" s="68" t="str">
        <f>IF(OR($D$3=JU!$F2754,$D$3=JU!$I2754),JU!B2754,"")</f>
        <v/>
      </c>
      <c r="C2754" s="6" t="str">
        <f>IF(OR($D$3=JU!$F2754,$D$3=JU!$I2754),JU!C2754,"")</f>
        <v/>
      </c>
      <c r="D2754" s="73" t="str">
        <f>IF(OR($D$3=JU!$F2754,$D$3=JU!$I2754),JU!D2754,"")</f>
        <v/>
      </c>
      <c r="E2754" s="74" t="str">
        <f>IF(OR($D$3=JU!$F2754,$D$3=JU!$I2754),JU!E2754,"")</f>
        <v/>
      </c>
      <c r="F2754" s="72">
        <f>IF($D$3=JU!F2754,JU!H2754,0)</f>
        <v>0</v>
      </c>
      <c r="G2754" s="72">
        <f>IF($D$3=JU!I2754,JU!K2754,0)</f>
        <v>0</v>
      </c>
      <c r="H2754" s="72" t="e">
        <f t="shared" si="43"/>
        <v>#REF!</v>
      </c>
    </row>
    <row r="2755" spans="2:8" hidden="1">
      <c r="B2755" s="68" t="str">
        <f>IF(OR($D$3=JU!$F2755,$D$3=JU!$I2755),JU!B2755,"")</f>
        <v/>
      </c>
      <c r="C2755" s="6" t="str">
        <f>IF(OR($D$3=JU!$F2755,$D$3=JU!$I2755),JU!C2755,"")</f>
        <v/>
      </c>
      <c r="D2755" s="73" t="str">
        <f>IF(OR($D$3=JU!$F2755,$D$3=JU!$I2755),JU!D2755,"")</f>
        <v/>
      </c>
      <c r="E2755" s="74" t="str">
        <f>IF(OR($D$3=JU!$F2755,$D$3=JU!$I2755),JU!E2755,"")</f>
        <v/>
      </c>
      <c r="F2755" s="72">
        <f>IF($D$3=JU!F2755,JU!H2755,0)</f>
        <v>0</v>
      </c>
      <c r="G2755" s="72">
        <f>IF($D$3=JU!I2755,JU!K2755,0)</f>
        <v>0</v>
      </c>
      <c r="H2755" s="72" t="e">
        <f t="shared" si="43"/>
        <v>#REF!</v>
      </c>
    </row>
    <row r="2756" spans="2:8" hidden="1">
      <c r="B2756" s="68" t="str">
        <f>IF(OR($D$3=JU!$F2756,$D$3=JU!$I2756),JU!B2756,"")</f>
        <v/>
      </c>
      <c r="C2756" s="6" t="str">
        <f>IF(OR($D$3=JU!$F2756,$D$3=JU!$I2756),JU!C2756,"")</f>
        <v/>
      </c>
      <c r="D2756" s="73" t="str">
        <f>IF(OR($D$3=JU!$F2756,$D$3=JU!$I2756),JU!D2756,"")</f>
        <v/>
      </c>
      <c r="E2756" s="74" t="str">
        <f>IF(OR($D$3=JU!$F2756,$D$3=JU!$I2756),JU!E2756,"")</f>
        <v/>
      </c>
      <c r="F2756" s="72">
        <f>IF($D$3=JU!F2756,JU!H2756,0)</f>
        <v>0</v>
      </c>
      <c r="G2756" s="72">
        <f>IF($D$3=JU!I2756,JU!K2756,0)</f>
        <v>0</v>
      </c>
      <c r="H2756" s="72" t="e">
        <f t="shared" si="43"/>
        <v>#REF!</v>
      </c>
    </row>
    <row r="2757" spans="2:8" hidden="1">
      <c r="B2757" s="68" t="str">
        <f>IF(OR($D$3=JU!$F2757,$D$3=JU!$I2757),JU!B2757,"")</f>
        <v/>
      </c>
      <c r="C2757" s="6" t="str">
        <f>IF(OR($D$3=JU!$F2757,$D$3=JU!$I2757),JU!C2757,"")</f>
        <v/>
      </c>
      <c r="D2757" s="73" t="str">
        <f>IF(OR($D$3=JU!$F2757,$D$3=JU!$I2757),JU!D2757,"")</f>
        <v/>
      </c>
      <c r="E2757" s="74" t="str">
        <f>IF(OR($D$3=JU!$F2757,$D$3=JU!$I2757),JU!E2757,"")</f>
        <v/>
      </c>
      <c r="F2757" s="72">
        <f>IF($D$3=JU!F2757,JU!H2757,0)</f>
        <v>0</v>
      </c>
      <c r="G2757" s="72">
        <f>IF($D$3=JU!I2757,JU!K2757,0)</f>
        <v>0</v>
      </c>
      <c r="H2757" s="72" t="e">
        <f t="shared" si="43"/>
        <v>#REF!</v>
      </c>
    </row>
    <row r="2758" spans="2:8" hidden="1">
      <c r="B2758" s="68" t="str">
        <f>IF(OR($D$3=JU!$F2758,$D$3=JU!$I2758),JU!B2758,"")</f>
        <v/>
      </c>
      <c r="C2758" s="6" t="str">
        <f>IF(OR($D$3=JU!$F2758,$D$3=JU!$I2758),JU!C2758,"")</f>
        <v/>
      </c>
      <c r="D2758" s="73" t="str">
        <f>IF(OR($D$3=JU!$F2758,$D$3=JU!$I2758),JU!D2758,"")</f>
        <v/>
      </c>
      <c r="E2758" s="74" t="str">
        <f>IF(OR($D$3=JU!$F2758,$D$3=JU!$I2758),JU!E2758,"")</f>
        <v/>
      </c>
      <c r="F2758" s="72">
        <f>IF($D$3=JU!F2758,JU!H2758,0)</f>
        <v>0</v>
      </c>
      <c r="G2758" s="72">
        <f>IF($D$3=JU!I2758,JU!K2758,0)</f>
        <v>0</v>
      </c>
      <c r="H2758" s="72" t="e">
        <f t="shared" si="43"/>
        <v>#REF!</v>
      </c>
    </row>
    <row r="2759" spans="2:8" hidden="1">
      <c r="B2759" s="68" t="str">
        <f>IF(OR($D$3=JU!$F2759,$D$3=JU!$I2759),JU!B2759,"")</f>
        <v/>
      </c>
      <c r="C2759" s="6" t="str">
        <f>IF(OR($D$3=JU!$F2759,$D$3=JU!$I2759),JU!C2759,"")</f>
        <v/>
      </c>
      <c r="D2759" s="73" t="str">
        <f>IF(OR($D$3=JU!$F2759,$D$3=JU!$I2759),JU!D2759,"")</f>
        <v/>
      </c>
      <c r="E2759" s="74" t="str">
        <f>IF(OR($D$3=JU!$F2759,$D$3=JU!$I2759),JU!E2759,"")</f>
        <v/>
      </c>
      <c r="F2759" s="72">
        <f>IF($D$3=JU!F2759,JU!H2759,0)</f>
        <v>0</v>
      </c>
      <c r="G2759" s="72">
        <f>IF($D$3=JU!I2759,JU!K2759,0)</f>
        <v>0</v>
      </c>
      <c r="H2759" s="72" t="e">
        <f t="shared" si="43"/>
        <v>#REF!</v>
      </c>
    </row>
    <row r="2760" spans="2:8" hidden="1">
      <c r="B2760" s="68" t="str">
        <f>IF(OR($D$3=JU!$F2760,$D$3=JU!$I2760),JU!B2760,"")</f>
        <v/>
      </c>
      <c r="C2760" s="6" t="str">
        <f>IF(OR($D$3=JU!$F2760,$D$3=JU!$I2760),JU!C2760,"")</f>
        <v/>
      </c>
      <c r="D2760" s="73" t="str">
        <f>IF(OR($D$3=JU!$F2760,$D$3=JU!$I2760),JU!D2760,"")</f>
        <v/>
      </c>
      <c r="E2760" s="74" t="str">
        <f>IF(OR($D$3=JU!$F2760,$D$3=JU!$I2760),JU!E2760,"")</f>
        <v/>
      </c>
      <c r="F2760" s="72">
        <f>IF($D$3=JU!F2760,JU!H2760,0)</f>
        <v>0</v>
      </c>
      <c r="G2760" s="72">
        <f>IF($D$3=JU!I2760,JU!K2760,0)</f>
        <v>0</v>
      </c>
      <c r="H2760" s="72" t="e">
        <f t="shared" si="43"/>
        <v>#REF!</v>
      </c>
    </row>
    <row r="2761" spans="2:8" hidden="1">
      <c r="B2761" s="68" t="str">
        <f>IF(OR($D$3=JU!$F2761,$D$3=JU!$I2761),JU!B2761,"")</f>
        <v/>
      </c>
      <c r="C2761" s="6" t="str">
        <f>IF(OR($D$3=JU!$F2761,$D$3=JU!$I2761),JU!C2761,"")</f>
        <v/>
      </c>
      <c r="D2761" s="73" t="str">
        <f>IF(OR($D$3=JU!$F2761,$D$3=JU!$I2761),JU!D2761,"")</f>
        <v/>
      </c>
      <c r="E2761" s="74" t="str">
        <f>IF(OR($D$3=JU!$F2761,$D$3=JU!$I2761),JU!E2761,"")</f>
        <v/>
      </c>
      <c r="F2761" s="72">
        <f>IF($D$3=JU!F2761,JU!H2761,0)</f>
        <v>0</v>
      </c>
      <c r="G2761" s="72">
        <f>IF($D$3=JU!I2761,JU!K2761,0)</f>
        <v>0</v>
      </c>
      <c r="H2761" s="72" t="e">
        <f t="shared" si="43"/>
        <v>#REF!</v>
      </c>
    </row>
    <row r="2762" spans="2:8" hidden="1">
      <c r="B2762" s="68" t="str">
        <f>IF(OR($D$3=JU!$F2762,$D$3=JU!$I2762),JU!B2762,"")</f>
        <v/>
      </c>
      <c r="C2762" s="6" t="str">
        <f>IF(OR($D$3=JU!$F2762,$D$3=JU!$I2762),JU!C2762,"")</f>
        <v/>
      </c>
      <c r="D2762" s="73" t="str">
        <f>IF(OR($D$3=JU!$F2762,$D$3=JU!$I2762),JU!D2762,"")</f>
        <v/>
      </c>
      <c r="E2762" s="74" t="str">
        <f>IF(OR($D$3=JU!$F2762,$D$3=JU!$I2762),JU!E2762,"")</f>
        <v/>
      </c>
      <c r="F2762" s="72">
        <f>IF($D$3=JU!F2762,JU!H2762,0)</f>
        <v>0</v>
      </c>
      <c r="G2762" s="72">
        <f>IF($D$3=JU!I2762,JU!K2762,0)</f>
        <v>0</v>
      </c>
      <c r="H2762" s="72" t="e">
        <f t="shared" si="43"/>
        <v>#REF!</v>
      </c>
    </row>
    <row r="2763" spans="2:8" hidden="1">
      <c r="B2763" s="68" t="str">
        <f>IF(OR($D$3=JU!$F2763,$D$3=JU!$I2763),JU!B2763,"")</f>
        <v/>
      </c>
      <c r="C2763" s="6" t="str">
        <f>IF(OR($D$3=JU!$F2763,$D$3=JU!$I2763),JU!C2763,"")</f>
        <v/>
      </c>
      <c r="D2763" s="73" t="str">
        <f>IF(OR($D$3=JU!$F2763,$D$3=JU!$I2763),JU!D2763,"")</f>
        <v/>
      </c>
      <c r="E2763" s="74" t="str">
        <f>IF(OR($D$3=JU!$F2763,$D$3=JU!$I2763),JU!E2763,"")</f>
        <v/>
      </c>
      <c r="F2763" s="72">
        <f>IF($D$3=JU!F2763,JU!H2763,0)</f>
        <v>0</v>
      </c>
      <c r="G2763" s="72">
        <f>IF($D$3=JU!I2763,JU!K2763,0)</f>
        <v>0</v>
      </c>
      <c r="H2763" s="72" t="e">
        <f t="shared" si="43"/>
        <v>#REF!</v>
      </c>
    </row>
    <row r="2764" spans="2:8" hidden="1">
      <c r="B2764" s="68" t="str">
        <f>IF(OR($D$3=JU!$F2764,$D$3=JU!$I2764),JU!B2764,"")</f>
        <v/>
      </c>
      <c r="C2764" s="6" t="str">
        <f>IF(OR($D$3=JU!$F2764,$D$3=JU!$I2764),JU!C2764,"")</f>
        <v/>
      </c>
      <c r="D2764" s="73" t="str">
        <f>IF(OR($D$3=JU!$F2764,$D$3=JU!$I2764),JU!D2764,"")</f>
        <v/>
      </c>
      <c r="E2764" s="74" t="str">
        <f>IF(OR($D$3=JU!$F2764,$D$3=JU!$I2764),JU!E2764,"")</f>
        <v/>
      </c>
      <c r="F2764" s="72">
        <f>IF($D$3=JU!F2764,JU!H2764,0)</f>
        <v>0</v>
      </c>
      <c r="G2764" s="72">
        <f>IF($D$3=JU!I2764,JU!K2764,0)</f>
        <v>0</v>
      </c>
      <c r="H2764" s="72" t="e">
        <f t="shared" si="43"/>
        <v>#REF!</v>
      </c>
    </row>
    <row r="2765" spans="2:8" hidden="1">
      <c r="B2765" s="68" t="str">
        <f>IF(OR($D$3=JU!$F2765,$D$3=JU!$I2765),JU!B2765,"")</f>
        <v/>
      </c>
      <c r="C2765" s="6" t="str">
        <f>IF(OR($D$3=JU!$F2765,$D$3=JU!$I2765),JU!C2765,"")</f>
        <v/>
      </c>
      <c r="D2765" s="73" t="str">
        <f>IF(OR($D$3=JU!$F2765,$D$3=JU!$I2765),JU!D2765,"")</f>
        <v/>
      </c>
      <c r="E2765" s="74" t="str">
        <f>IF(OR($D$3=JU!$F2765,$D$3=JU!$I2765),JU!E2765,"")</f>
        <v/>
      </c>
      <c r="F2765" s="72">
        <f>IF($D$3=JU!F2765,JU!H2765,0)</f>
        <v>0</v>
      </c>
      <c r="G2765" s="72">
        <f>IF($D$3=JU!I2765,JU!K2765,0)</f>
        <v>0</v>
      </c>
      <c r="H2765" s="72" t="e">
        <f t="shared" si="43"/>
        <v>#REF!</v>
      </c>
    </row>
    <row r="2766" spans="2:8" hidden="1">
      <c r="B2766" s="68" t="str">
        <f>IF(OR($D$3=JU!$F2766,$D$3=JU!$I2766),JU!B2766,"")</f>
        <v/>
      </c>
      <c r="C2766" s="6" t="str">
        <f>IF(OR($D$3=JU!$F2766,$D$3=JU!$I2766),JU!C2766,"")</f>
        <v/>
      </c>
      <c r="D2766" s="73" t="str">
        <f>IF(OR($D$3=JU!$F2766,$D$3=JU!$I2766),JU!D2766,"")</f>
        <v/>
      </c>
      <c r="E2766" s="74" t="str">
        <f>IF(OR($D$3=JU!$F2766,$D$3=JU!$I2766),JU!E2766,"")</f>
        <v/>
      </c>
      <c r="F2766" s="72">
        <f>IF($D$3=JU!F2766,JU!H2766,0)</f>
        <v>0</v>
      </c>
      <c r="G2766" s="72">
        <f>IF($D$3=JU!I2766,JU!K2766,0)</f>
        <v>0</v>
      </c>
      <c r="H2766" s="72" t="e">
        <f t="shared" ref="H2766:H2829" si="44">IF($H$7="DEBET",H2765+F2766-G2766,H2765+G2766-F2766)</f>
        <v>#REF!</v>
      </c>
    </row>
    <row r="2767" spans="2:8" hidden="1">
      <c r="B2767" s="68" t="str">
        <f>IF(OR($D$3=JU!$F2767,$D$3=JU!$I2767),JU!B2767,"")</f>
        <v/>
      </c>
      <c r="C2767" s="6" t="str">
        <f>IF(OR($D$3=JU!$F2767,$D$3=JU!$I2767),JU!C2767,"")</f>
        <v/>
      </c>
      <c r="D2767" s="73" t="str">
        <f>IF(OR($D$3=JU!$F2767,$D$3=JU!$I2767),JU!D2767,"")</f>
        <v/>
      </c>
      <c r="E2767" s="74" t="str">
        <f>IF(OR($D$3=JU!$F2767,$D$3=JU!$I2767),JU!E2767,"")</f>
        <v/>
      </c>
      <c r="F2767" s="72">
        <f>IF($D$3=JU!F2767,JU!H2767,0)</f>
        <v>0</v>
      </c>
      <c r="G2767" s="72">
        <f>IF($D$3=JU!I2767,JU!K2767,0)</f>
        <v>0</v>
      </c>
      <c r="H2767" s="72" t="e">
        <f t="shared" si="44"/>
        <v>#REF!</v>
      </c>
    </row>
    <row r="2768" spans="2:8" hidden="1">
      <c r="B2768" s="68" t="str">
        <f>IF(OR($D$3=JU!$F2768,$D$3=JU!$I2768),JU!B2768,"")</f>
        <v/>
      </c>
      <c r="C2768" s="6" t="str">
        <f>IF(OR($D$3=JU!$F2768,$D$3=JU!$I2768),JU!C2768,"")</f>
        <v/>
      </c>
      <c r="D2768" s="73" t="str">
        <f>IF(OR($D$3=JU!$F2768,$D$3=JU!$I2768),JU!D2768,"")</f>
        <v/>
      </c>
      <c r="E2768" s="74" t="str">
        <f>IF(OR($D$3=JU!$F2768,$D$3=JU!$I2768),JU!E2768,"")</f>
        <v/>
      </c>
      <c r="F2768" s="72">
        <f>IF($D$3=JU!F2768,JU!H2768,0)</f>
        <v>0</v>
      </c>
      <c r="G2768" s="72">
        <f>IF($D$3=JU!I2768,JU!K2768,0)</f>
        <v>0</v>
      </c>
      <c r="H2768" s="72" t="e">
        <f t="shared" si="44"/>
        <v>#REF!</v>
      </c>
    </row>
    <row r="2769" spans="2:8" hidden="1">
      <c r="B2769" s="68" t="str">
        <f>IF(OR($D$3=JU!$F2769,$D$3=JU!$I2769),JU!B2769,"")</f>
        <v/>
      </c>
      <c r="C2769" s="6" t="str">
        <f>IF(OR($D$3=JU!$F2769,$D$3=JU!$I2769),JU!C2769,"")</f>
        <v/>
      </c>
      <c r="D2769" s="73" t="str">
        <f>IF(OR($D$3=JU!$F2769,$D$3=JU!$I2769),JU!D2769,"")</f>
        <v/>
      </c>
      <c r="E2769" s="74" t="str">
        <f>IF(OR($D$3=JU!$F2769,$D$3=JU!$I2769),JU!E2769,"")</f>
        <v/>
      </c>
      <c r="F2769" s="72">
        <f>IF($D$3=JU!F2769,JU!H2769,0)</f>
        <v>0</v>
      </c>
      <c r="G2769" s="72">
        <f>IF($D$3=JU!I2769,JU!K2769,0)</f>
        <v>0</v>
      </c>
      <c r="H2769" s="72" t="e">
        <f t="shared" si="44"/>
        <v>#REF!</v>
      </c>
    </row>
    <row r="2770" spans="2:8" hidden="1">
      <c r="B2770" s="68" t="str">
        <f>IF(OR($D$3=JU!$F2770,$D$3=JU!$I2770),JU!B2770,"")</f>
        <v/>
      </c>
      <c r="C2770" s="6" t="str">
        <f>IF(OR($D$3=JU!$F2770,$D$3=JU!$I2770),JU!C2770,"")</f>
        <v/>
      </c>
      <c r="D2770" s="73" t="str">
        <f>IF(OR($D$3=JU!$F2770,$D$3=JU!$I2770),JU!D2770,"")</f>
        <v/>
      </c>
      <c r="E2770" s="74" t="str">
        <f>IF(OR($D$3=JU!$F2770,$D$3=JU!$I2770),JU!E2770,"")</f>
        <v/>
      </c>
      <c r="F2770" s="72">
        <f>IF($D$3=JU!F2770,JU!H2770,0)</f>
        <v>0</v>
      </c>
      <c r="G2770" s="72">
        <f>IF($D$3=JU!I2770,JU!K2770,0)</f>
        <v>0</v>
      </c>
      <c r="H2770" s="72" t="e">
        <f t="shared" si="44"/>
        <v>#REF!</v>
      </c>
    </row>
    <row r="2771" spans="2:8" hidden="1">
      <c r="B2771" s="68" t="str">
        <f>IF(OR($D$3=JU!$F2771,$D$3=JU!$I2771),JU!B2771,"")</f>
        <v/>
      </c>
      <c r="C2771" s="6" t="str">
        <f>IF(OR($D$3=JU!$F2771,$D$3=JU!$I2771),JU!C2771,"")</f>
        <v/>
      </c>
      <c r="D2771" s="73" t="str">
        <f>IF(OR($D$3=JU!$F2771,$D$3=JU!$I2771),JU!D2771,"")</f>
        <v/>
      </c>
      <c r="E2771" s="74" t="str">
        <f>IF(OR($D$3=JU!$F2771,$D$3=JU!$I2771),JU!E2771,"")</f>
        <v/>
      </c>
      <c r="F2771" s="72">
        <f>IF($D$3=JU!F2771,JU!H2771,0)</f>
        <v>0</v>
      </c>
      <c r="G2771" s="72">
        <f>IF($D$3=JU!I2771,JU!K2771,0)</f>
        <v>0</v>
      </c>
      <c r="H2771" s="72" t="e">
        <f t="shared" si="44"/>
        <v>#REF!</v>
      </c>
    </row>
    <row r="2772" spans="2:8" hidden="1">
      <c r="B2772" s="68" t="str">
        <f>IF(OR($D$3=JU!$F2772,$D$3=JU!$I2772),JU!B2772,"")</f>
        <v/>
      </c>
      <c r="C2772" s="6" t="str">
        <f>IF(OR($D$3=JU!$F2772,$D$3=JU!$I2772),JU!C2772,"")</f>
        <v/>
      </c>
      <c r="D2772" s="73" t="str">
        <f>IF(OR($D$3=JU!$F2772,$D$3=JU!$I2772),JU!D2772,"")</f>
        <v/>
      </c>
      <c r="E2772" s="74" t="str">
        <f>IF(OR($D$3=JU!$F2772,$D$3=JU!$I2772),JU!E2772,"")</f>
        <v/>
      </c>
      <c r="F2772" s="72">
        <f>IF($D$3=JU!F2772,JU!H2772,0)</f>
        <v>0</v>
      </c>
      <c r="G2772" s="72">
        <f>IF($D$3=JU!I2772,JU!K2772,0)</f>
        <v>0</v>
      </c>
      <c r="H2772" s="72" t="e">
        <f t="shared" si="44"/>
        <v>#REF!</v>
      </c>
    </row>
    <row r="2773" spans="2:8" hidden="1">
      <c r="B2773" s="68" t="str">
        <f>IF(OR($D$3=JU!$F2773,$D$3=JU!$I2773),JU!B2773,"")</f>
        <v/>
      </c>
      <c r="C2773" s="6" t="str">
        <f>IF(OR($D$3=JU!$F2773,$D$3=JU!$I2773),JU!C2773,"")</f>
        <v/>
      </c>
      <c r="D2773" s="73" t="str">
        <f>IF(OR($D$3=JU!$F2773,$D$3=JU!$I2773),JU!D2773,"")</f>
        <v/>
      </c>
      <c r="E2773" s="74" t="str">
        <f>IF(OR($D$3=JU!$F2773,$D$3=JU!$I2773),JU!E2773,"")</f>
        <v/>
      </c>
      <c r="F2773" s="72">
        <f>IF($D$3=JU!F2773,JU!H2773,0)</f>
        <v>0</v>
      </c>
      <c r="G2773" s="72">
        <f>IF($D$3=JU!I2773,JU!K2773,0)</f>
        <v>0</v>
      </c>
      <c r="H2773" s="72" t="e">
        <f t="shared" si="44"/>
        <v>#REF!</v>
      </c>
    </row>
    <row r="2774" spans="2:8" hidden="1">
      <c r="B2774" s="68" t="str">
        <f>IF(OR($D$3=JU!$F2774,$D$3=JU!$I2774),JU!B2774,"")</f>
        <v/>
      </c>
      <c r="C2774" s="6" t="str">
        <f>IF(OR($D$3=JU!$F2774,$D$3=JU!$I2774),JU!C2774,"")</f>
        <v/>
      </c>
      <c r="D2774" s="73" t="str">
        <f>IF(OR($D$3=JU!$F2774,$D$3=JU!$I2774),JU!D2774,"")</f>
        <v/>
      </c>
      <c r="E2774" s="74" t="str">
        <f>IF(OR($D$3=JU!$F2774,$D$3=JU!$I2774),JU!E2774,"")</f>
        <v/>
      </c>
      <c r="F2774" s="72">
        <f>IF($D$3=JU!F2774,JU!H2774,0)</f>
        <v>0</v>
      </c>
      <c r="G2774" s="72">
        <f>IF($D$3=JU!I2774,JU!K2774,0)</f>
        <v>0</v>
      </c>
      <c r="H2774" s="72" t="e">
        <f t="shared" si="44"/>
        <v>#REF!</v>
      </c>
    </row>
    <row r="2775" spans="2:8" hidden="1">
      <c r="B2775" s="68" t="str">
        <f>IF(OR($D$3=JU!$F2775,$D$3=JU!$I2775),JU!B2775,"")</f>
        <v/>
      </c>
      <c r="C2775" s="6" t="str">
        <f>IF(OR($D$3=JU!$F2775,$D$3=JU!$I2775),JU!C2775,"")</f>
        <v/>
      </c>
      <c r="D2775" s="73" t="str">
        <f>IF(OR($D$3=JU!$F2775,$D$3=JU!$I2775),JU!D2775,"")</f>
        <v/>
      </c>
      <c r="E2775" s="74" t="str">
        <f>IF(OR($D$3=JU!$F2775,$D$3=JU!$I2775),JU!E2775,"")</f>
        <v/>
      </c>
      <c r="F2775" s="72">
        <f>IF($D$3=JU!F2775,JU!H2775,0)</f>
        <v>0</v>
      </c>
      <c r="G2775" s="72">
        <f>IF($D$3=JU!I2775,JU!K2775,0)</f>
        <v>0</v>
      </c>
      <c r="H2775" s="72" t="e">
        <f t="shared" si="44"/>
        <v>#REF!</v>
      </c>
    </row>
    <row r="2776" spans="2:8" hidden="1">
      <c r="B2776" s="68" t="str">
        <f>IF(OR($D$3=JU!$F2776,$D$3=JU!$I2776),JU!B2776,"")</f>
        <v/>
      </c>
      <c r="C2776" s="6" t="str">
        <f>IF(OR($D$3=JU!$F2776,$D$3=JU!$I2776),JU!C2776,"")</f>
        <v/>
      </c>
      <c r="D2776" s="73" t="str">
        <f>IF(OR($D$3=JU!$F2776,$D$3=JU!$I2776),JU!D2776,"")</f>
        <v/>
      </c>
      <c r="E2776" s="74" t="str">
        <f>IF(OR($D$3=JU!$F2776,$D$3=JU!$I2776),JU!E2776,"")</f>
        <v/>
      </c>
      <c r="F2776" s="72">
        <f>IF($D$3=JU!F2776,JU!H2776,0)</f>
        <v>0</v>
      </c>
      <c r="G2776" s="72">
        <f>IF($D$3=JU!I2776,JU!K2776,0)</f>
        <v>0</v>
      </c>
      <c r="H2776" s="72" t="e">
        <f t="shared" si="44"/>
        <v>#REF!</v>
      </c>
    </row>
    <row r="2777" spans="2:8" hidden="1">
      <c r="B2777" s="68" t="str">
        <f>IF(OR($D$3=JU!$F2777,$D$3=JU!$I2777),JU!B2777,"")</f>
        <v/>
      </c>
      <c r="C2777" s="6" t="str">
        <f>IF(OR($D$3=JU!$F2777,$D$3=JU!$I2777),JU!C2777,"")</f>
        <v/>
      </c>
      <c r="D2777" s="73" t="str">
        <f>IF(OR($D$3=JU!$F2777,$D$3=JU!$I2777),JU!D2777,"")</f>
        <v/>
      </c>
      <c r="E2777" s="74" t="str">
        <f>IF(OR($D$3=JU!$F2777,$D$3=JU!$I2777),JU!E2777,"")</f>
        <v/>
      </c>
      <c r="F2777" s="72">
        <f>IF($D$3=JU!F2777,JU!H2777,0)</f>
        <v>0</v>
      </c>
      <c r="G2777" s="72">
        <f>IF($D$3=JU!I2777,JU!K2777,0)</f>
        <v>0</v>
      </c>
      <c r="H2777" s="72" t="e">
        <f t="shared" si="44"/>
        <v>#REF!</v>
      </c>
    </row>
    <row r="2778" spans="2:8" hidden="1">
      <c r="B2778" s="68" t="str">
        <f>IF(OR($D$3=JU!$F2778,$D$3=JU!$I2778),JU!B2778,"")</f>
        <v/>
      </c>
      <c r="C2778" s="6" t="str">
        <f>IF(OR($D$3=JU!$F2778,$D$3=JU!$I2778),JU!C2778,"")</f>
        <v/>
      </c>
      <c r="D2778" s="73" t="str">
        <f>IF(OR($D$3=JU!$F2778,$D$3=JU!$I2778),JU!D2778,"")</f>
        <v/>
      </c>
      <c r="E2778" s="74" t="str">
        <f>IF(OR($D$3=JU!$F2778,$D$3=JU!$I2778),JU!E2778,"")</f>
        <v/>
      </c>
      <c r="F2778" s="72">
        <f>IF($D$3=JU!F2778,JU!H2778,0)</f>
        <v>0</v>
      </c>
      <c r="G2778" s="72">
        <f>IF($D$3=JU!I2778,JU!K2778,0)</f>
        <v>0</v>
      </c>
      <c r="H2778" s="72" t="e">
        <f t="shared" si="44"/>
        <v>#REF!</v>
      </c>
    </row>
    <row r="2779" spans="2:8" hidden="1">
      <c r="B2779" s="68" t="str">
        <f>IF(OR($D$3=JU!$F2779,$D$3=JU!$I2779),JU!B2779,"")</f>
        <v/>
      </c>
      <c r="C2779" s="6" t="str">
        <f>IF(OR($D$3=JU!$F2779,$D$3=JU!$I2779),JU!C2779,"")</f>
        <v/>
      </c>
      <c r="D2779" s="73" t="str">
        <f>IF(OR($D$3=JU!$F2779,$D$3=JU!$I2779),JU!D2779,"")</f>
        <v/>
      </c>
      <c r="E2779" s="74" t="str">
        <f>IF(OR($D$3=JU!$F2779,$D$3=JU!$I2779),JU!E2779,"")</f>
        <v/>
      </c>
      <c r="F2779" s="72">
        <f>IF($D$3=JU!F2779,JU!H2779,0)</f>
        <v>0</v>
      </c>
      <c r="G2779" s="72">
        <f>IF($D$3=JU!I2779,JU!K2779,0)</f>
        <v>0</v>
      </c>
      <c r="H2779" s="72" t="e">
        <f t="shared" si="44"/>
        <v>#REF!</v>
      </c>
    </row>
    <row r="2780" spans="2:8" hidden="1">
      <c r="B2780" s="68" t="str">
        <f>IF(OR($D$3=JU!$F2780,$D$3=JU!$I2780),JU!B2780,"")</f>
        <v/>
      </c>
      <c r="C2780" s="6" t="str">
        <f>IF(OR($D$3=JU!$F2780,$D$3=JU!$I2780),JU!C2780,"")</f>
        <v/>
      </c>
      <c r="D2780" s="73" t="str">
        <f>IF(OR($D$3=JU!$F2780,$D$3=JU!$I2780),JU!D2780,"")</f>
        <v/>
      </c>
      <c r="E2780" s="74" t="str">
        <f>IF(OR($D$3=JU!$F2780,$D$3=JU!$I2780),JU!E2780,"")</f>
        <v/>
      </c>
      <c r="F2780" s="72">
        <f>IF($D$3=JU!F2780,JU!H2780,0)</f>
        <v>0</v>
      </c>
      <c r="G2780" s="72">
        <f>IF($D$3=JU!I2780,JU!K2780,0)</f>
        <v>0</v>
      </c>
      <c r="H2780" s="72" t="e">
        <f t="shared" si="44"/>
        <v>#REF!</v>
      </c>
    </row>
    <row r="2781" spans="2:8" hidden="1">
      <c r="B2781" s="68" t="str">
        <f>IF(OR($D$3=JU!$F2781,$D$3=JU!$I2781),JU!B2781,"")</f>
        <v/>
      </c>
      <c r="C2781" s="6" t="str">
        <f>IF(OR($D$3=JU!$F2781,$D$3=JU!$I2781),JU!C2781,"")</f>
        <v/>
      </c>
      <c r="D2781" s="73" t="str">
        <f>IF(OR($D$3=JU!$F2781,$D$3=JU!$I2781),JU!D2781,"")</f>
        <v/>
      </c>
      <c r="E2781" s="74" t="str">
        <f>IF(OR($D$3=JU!$F2781,$D$3=JU!$I2781),JU!E2781,"")</f>
        <v/>
      </c>
      <c r="F2781" s="72">
        <f>IF($D$3=JU!F2781,JU!H2781,0)</f>
        <v>0</v>
      </c>
      <c r="G2781" s="72">
        <f>IF($D$3=JU!I2781,JU!K2781,0)</f>
        <v>0</v>
      </c>
      <c r="H2781" s="72" t="e">
        <f t="shared" si="44"/>
        <v>#REF!</v>
      </c>
    </row>
    <row r="2782" spans="2:8" hidden="1">
      <c r="B2782" s="68" t="str">
        <f>IF(OR($D$3=JU!$F2782,$D$3=JU!$I2782),JU!B2782,"")</f>
        <v/>
      </c>
      <c r="C2782" s="6" t="str">
        <f>IF(OR($D$3=JU!$F2782,$D$3=JU!$I2782),JU!C2782,"")</f>
        <v/>
      </c>
      <c r="D2782" s="73" t="str">
        <f>IF(OR($D$3=JU!$F2782,$D$3=JU!$I2782),JU!D2782,"")</f>
        <v/>
      </c>
      <c r="E2782" s="74" t="str">
        <f>IF(OR($D$3=JU!$F2782,$D$3=JU!$I2782),JU!E2782,"")</f>
        <v/>
      </c>
      <c r="F2782" s="72">
        <f>IF($D$3=JU!F2782,JU!H2782,0)</f>
        <v>0</v>
      </c>
      <c r="G2782" s="72">
        <f>IF($D$3=JU!I2782,JU!K2782,0)</f>
        <v>0</v>
      </c>
      <c r="H2782" s="72" t="e">
        <f t="shared" si="44"/>
        <v>#REF!</v>
      </c>
    </row>
    <row r="2783" spans="2:8" hidden="1">
      <c r="B2783" s="68" t="str">
        <f>IF(OR($D$3=JU!$F2783,$D$3=JU!$I2783),JU!B2783,"")</f>
        <v/>
      </c>
      <c r="C2783" s="6" t="str">
        <f>IF(OR($D$3=JU!$F2783,$D$3=JU!$I2783),JU!C2783,"")</f>
        <v/>
      </c>
      <c r="D2783" s="73" t="str">
        <f>IF(OR($D$3=JU!$F2783,$D$3=JU!$I2783),JU!D2783,"")</f>
        <v/>
      </c>
      <c r="E2783" s="74" t="str">
        <f>IF(OR($D$3=JU!$F2783,$D$3=JU!$I2783),JU!E2783,"")</f>
        <v/>
      </c>
      <c r="F2783" s="72">
        <f>IF($D$3=JU!F2783,JU!H2783,0)</f>
        <v>0</v>
      </c>
      <c r="G2783" s="72">
        <f>IF($D$3=JU!I2783,JU!K2783,0)</f>
        <v>0</v>
      </c>
      <c r="H2783" s="72" t="e">
        <f t="shared" si="44"/>
        <v>#REF!</v>
      </c>
    </row>
    <row r="2784" spans="2:8" hidden="1">
      <c r="B2784" s="68" t="str">
        <f>IF(OR($D$3=JU!$F2784,$D$3=JU!$I2784),JU!B2784,"")</f>
        <v/>
      </c>
      <c r="C2784" s="6" t="str">
        <f>IF(OR($D$3=JU!$F2784,$D$3=JU!$I2784),JU!C2784,"")</f>
        <v/>
      </c>
      <c r="D2784" s="73" t="str">
        <f>IF(OR($D$3=JU!$F2784,$D$3=JU!$I2784),JU!D2784,"")</f>
        <v/>
      </c>
      <c r="E2784" s="74" t="str">
        <f>IF(OR($D$3=JU!$F2784,$D$3=JU!$I2784),JU!E2784,"")</f>
        <v/>
      </c>
      <c r="F2784" s="72">
        <f>IF($D$3=JU!F2784,JU!H2784,0)</f>
        <v>0</v>
      </c>
      <c r="G2784" s="72">
        <f>IF($D$3=JU!I2784,JU!K2784,0)</f>
        <v>0</v>
      </c>
      <c r="H2784" s="72" t="e">
        <f t="shared" si="44"/>
        <v>#REF!</v>
      </c>
    </row>
    <row r="2785" spans="2:8" hidden="1">
      <c r="B2785" s="68" t="str">
        <f>IF(OR($D$3=JU!$F2785,$D$3=JU!$I2785),JU!B2785,"")</f>
        <v/>
      </c>
      <c r="C2785" s="6" t="str">
        <f>IF(OR($D$3=JU!$F2785,$D$3=JU!$I2785),JU!C2785,"")</f>
        <v/>
      </c>
      <c r="D2785" s="73" t="str">
        <f>IF(OR($D$3=JU!$F2785,$D$3=JU!$I2785),JU!D2785,"")</f>
        <v/>
      </c>
      <c r="E2785" s="74" t="str">
        <f>IF(OR($D$3=JU!$F2785,$D$3=JU!$I2785),JU!E2785,"")</f>
        <v/>
      </c>
      <c r="F2785" s="72">
        <f>IF($D$3=JU!F2785,JU!H2785,0)</f>
        <v>0</v>
      </c>
      <c r="G2785" s="72">
        <f>IF($D$3=JU!I2785,JU!K2785,0)</f>
        <v>0</v>
      </c>
      <c r="H2785" s="72" t="e">
        <f t="shared" si="44"/>
        <v>#REF!</v>
      </c>
    </row>
    <row r="2786" spans="2:8" hidden="1">
      <c r="B2786" s="68" t="str">
        <f>IF(OR($D$3=JU!$F2786,$D$3=JU!$I2786),JU!B2786,"")</f>
        <v/>
      </c>
      <c r="C2786" s="6" t="str">
        <f>IF(OR($D$3=JU!$F2786,$D$3=JU!$I2786),JU!C2786,"")</f>
        <v/>
      </c>
      <c r="D2786" s="73" t="str">
        <f>IF(OR($D$3=JU!$F2786,$D$3=JU!$I2786),JU!D2786,"")</f>
        <v/>
      </c>
      <c r="E2786" s="74" t="str">
        <f>IF(OR($D$3=JU!$F2786,$D$3=JU!$I2786),JU!E2786,"")</f>
        <v/>
      </c>
      <c r="F2786" s="72">
        <f>IF($D$3=JU!F2786,JU!H2786,0)</f>
        <v>0</v>
      </c>
      <c r="G2786" s="72">
        <f>IF($D$3=JU!I2786,JU!K2786,0)</f>
        <v>0</v>
      </c>
      <c r="H2786" s="72" t="e">
        <f t="shared" si="44"/>
        <v>#REF!</v>
      </c>
    </row>
    <row r="2787" spans="2:8" hidden="1">
      <c r="B2787" s="68" t="str">
        <f>IF(OR($D$3=JU!$F2787,$D$3=JU!$I2787),JU!B2787,"")</f>
        <v/>
      </c>
      <c r="C2787" s="6" t="str">
        <f>IF(OR($D$3=JU!$F2787,$D$3=JU!$I2787),JU!C2787,"")</f>
        <v/>
      </c>
      <c r="D2787" s="73" t="str">
        <f>IF(OR($D$3=JU!$F2787,$D$3=JU!$I2787),JU!D2787,"")</f>
        <v/>
      </c>
      <c r="E2787" s="74" t="str">
        <f>IF(OR($D$3=JU!$F2787,$D$3=JU!$I2787),JU!E2787,"")</f>
        <v/>
      </c>
      <c r="F2787" s="72">
        <f>IF($D$3=JU!F2787,JU!H2787,0)</f>
        <v>0</v>
      </c>
      <c r="G2787" s="72">
        <f>IF($D$3=JU!I2787,JU!K2787,0)</f>
        <v>0</v>
      </c>
      <c r="H2787" s="72" t="e">
        <f t="shared" si="44"/>
        <v>#REF!</v>
      </c>
    </row>
    <row r="2788" spans="2:8" hidden="1">
      <c r="B2788" s="68" t="str">
        <f>IF(OR($D$3=JU!$F2788,$D$3=JU!$I2788),JU!B2788,"")</f>
        <v/>
      </c>
      <c r="C2788" s="6" t="str">
        <f>IF(OR($D$3=JU!$F2788,$D$3=JU!$I2788),JU!C2788,"")</f>
        <v/>
      </c>
      <c r="D2788" s="73" t="str">
        <f>IF(OR($D$3=JU!$F2788,$D$3=JU!$I2788),JU!D2788,"")</f>
        <v/>
      </c>
      <c r="E2788" s="74" t="str">
        <f>IF(OR($D$3=JU!$F2788,$D$3=JU!$I2788),JU!E2788,"")</f>
        <v/>
      </c>
      <c r="F2788" s="72">
        <f>IF($D$3=JU!F2788,JU!H2788,0)</f>
        <v>0</v>
      </c>
      <c r="G2788" s="72">
        <f>IF($D$3=JU!I2788,JU!K2788,0)</f>
        <v>0</v>
      </c>
      <c r="H2788" s="72" t="e">
        <f t="shared" si="44"/>
        <v>#REF!</v>
      </c>
    </row>
    <row r="2789" spans="2:8" hidden="1">
      <c r="B2789" s="68" t="str">
        <f>IF(OR($D$3=JU!$F2789,$D$3=JU!$I2789),JU!B2789,"")</f>
        <v/>
      </c>
      <c r="C2789" s="6" t="str">
        <f>IF(OR($D$3=JU!$F2789,$D$3=JU!$I2789),JU!C2789,"")</f>
        <v/>
      </c>
      <c r="D2789" s="73" t="str">
        <f>IF(OR($D$3=JU!$F2789,$D$3=JU!$I2789),JU!D2789,"")</f>
        <v/>
      </c>
      <c r="E2789" s="74" t="str">
        <f>IF(OR($D$3=JU!$F2789,$D$3=JU!$I2789),JU!E2789,"")</f>
        <v/>
      </c>
      <c r="F2789" s="72">
        <f>IF($D$3=JU!F2789,JU!H2789,0)</f>
        <v>0</v>
      </c>
      <c r="G2789" s="72">
        <f>IF($D$3=JU!I2789,JU!K2789,0)</f>
        <v>0</v>
      </c>
      <c r="H2789" s="72" t="e">
        <f t="shared" si="44"/>
        <v>#REF!</v>
      </c>
    </row>
    <row r="2790" spans="2:8" hidden="1">
      <c r="B2790" s="68" t="str">
        <f>IF(OR($D$3=JU!$F2790,$D$3=JU!$I2790),JU!B2790,"")</f>
        <v/>
      </c>
      <c r="C2790" s="6" t="str">
        <f>IF(OR($D$3=JU!$F2790,$D$3=JU!$I2790),JU!C2790,"")</f>
        <v/>
      </c>
      <c r="D2790" s="73" t="str">
        <f>IF(OR($D$3=JU!$F2790,$D$3=JU!$I2790),JU!D2790,"")</f>
        <v/>
      </c>
      <c r="E2790" s="74" t="str">
        <f>IF(OR($D$3=JU!$F2790,$D$3=JU!$I2790),JU!E2790,"")</f>
        <v/>
      </c>
      <c r="F2790" s="72">
        <f>IF($D$3=JU!F2790,JU!H2790,0)</f>
        <v>0</v>
      </c>
      <c r="G2790" s="72">
        <f>IF($D$3=JU!I2790,JU!K2790,0)</f>
        <v>0</v>
      </c>
      <c r="H2790" s="72" t="e">
        <f t="shared" si="44"/>
        <v>#REF!</v>
      </c>
    </row>
    <row r="2791" spans="2:8" hidden="1">
      <c r="B2791" s="68" t="str">
        <f>IF(OR($D$3=JU!$F2791,$D$3=JU!$I2791),JU!B2791,"")</f>
        <v/>
      </c>
      <c r="C2791" s="6" t="str">
        <f>IF(OR($D$3=JU!$F2791,$D$3=JU!$I2791),JU!C2791,"")</f>
        <v/>
      </c>
      <c r="D2791" s="73" t="str">
        <f>IF(OR($D$3=JU!$F2791,$D$3=JU!$I2791),JU!D2791,"")</f>
        <v/>
      </c>
      <c r="E2791" s="74" t="str">
        <f>IF(OR($D$3=JU!$F2791,$D$3=JU!$I2791),JU!E2791,"")</f>
        <v/>
      </c>
      <c r="F2791" s="72">
        <f>IF($D$3=JU!F2791,JU!H2791,0)</f>
        <v>0</v>
      </c>
      <c r="G2791" s="72">
        <f>IF($D$3=JU!I2791,JU!K2791,0)</f>
        <v>0</v>
      </c>
      <c r="H2791" s="72" t="e">
        <f t="shared" si="44"/>
        <v>#REF!</v>
      </c>
    </row>
    <row r="2792" spans="2:8" hidden="1">
      <c r="B2792" s="68" t="str">
        <f>IF(OR($D$3=JU!$F2792,$D$3=JU!$I2792),JU!B2792,"")</f>
        <v/>
      </c>
      <c r="C2792" s="6" t="str">
        <f>IF(OR($D$3=JU!$F2792,$D$3=JU!$I2792),JU!C2792,"")</f>
        <v/>
      </c>
      <c r="D2792" s="73" t="str">
        <f>IF(OR($D$3=JU!$F2792,$D$3=JU!$I2792),JU!D2792,"")</f>
        <v/>
      </c>
      <c r="E2792" s="74" t="str">
        <f>IF(OR($D$3=JU!$F2792,$D$3=JU!$I2792),JU!E2792,"")</f>
        <v/>
      </c>
      <c r="F2792" s="72">
        <f>IF($D$3=JU!F2792,JU!H2792,0)</f>
        <v>0</v>
      </c>
      <c r="G2792" s="72">
        <f>IF($D$3=JU!I2792,JU!K2792,0)</f>
        <v>0</v>
      </c>
      <c r="H2792" s="72" t="e">
        <f t="shared" si="44"/>
        <v>#REF!</v>
      </c>
    </row>
    <row r="2793" spans="2:8" hidden="1">
      <c r="B2793" s="68" t="str">
        <f>IF(OR($D$3=JU!$F2793,$D$3=JU!$I2793),JU!B2793,"")</f>
        <v/>
      </c>
      <c r="C2793" s="6" t="str">
        <f>IF(OR($D$3=JU!$F2793,$D$3=JU!$I2793),JU!C2793,"")</f>
        <v/>
      </c>
      <c r="D2793" s="73" t="str">
        <f>IF(OR($D$3=JU!$F2793,$D$3=JU!$I2793),JU!D2793,"")</f>
        <v/>
      </c>
      <c r="E2793" s="74" t="str">
        <f>IF(OR($D$3=JU!$F2793,$D$3=JU!$I2793),JU!E2793,"")</f>
        <v/>
      </c>
      <c r="F2793" s="72">
        <f>IF($D$3=JU!F2793,JU!H2793,0)</f>
        <v>0</v>
      </c>
      <c r="G2793" s="72">
        <f>IF($D$3=JU!I2793,JU!K2793,0)</f>
        <v>0</v>
      </c>
      <c r="H2793" s="72" t="e">
        <f t="shared" si="44"/>
        <v>#REF!</v>
      </c>
    </row>
    <row r="2794" spans="2:8" hidden="1">
      <c r="B2794" s="68" t="str">
        <f>IF(OR($D$3=JU!$F2794,$D$3=JU!$I2794),JU!B2794,"")</f>
        <v/>
      </c>
      <c r="C2794" s="6" t="str">
        <f>IF(OR($D$3=JU!$F2794,$D$3=JU!$I2794),JU!C2794,"")</f>
        <v/>
      </c>
      <c r="D2794" s="73" t="str">
        <f>IF(OR($D$3=JU!$F2794,$D$3=JU!$I2794),JU!D2794,"")</f>
        <v/>
      </c>
      <c r="E2794" s="74" t="str">
        <f>IF(OR($D$3=JU!$F2794,$D$3=JU!$I2794),JU!E2794,"")</f>
        <v/>
      </c>
      <c r="F2794" s="72">
        <f>IF($D$3=JU!F2794,JU!H2794,0)</f>
        <v>0</v>
      </c>
      <c r="G2794" s="72">
        <f>IF($D$3=JU!I2794,JU!K2794,0)</f>
        <v>0</v>
      </c>
      <c r="H2794" s="72" t="e">
        <f t="shared" si="44"/>
        <v>#REF!</v>
      </c>
    </row>
    <row r="2795" spans="2:8" hidden="1">
      <c r="B2795" s="68" t="str">
        <f>IF(OR($D$3=JU!$F2795,$D$3=JU!$I2795),JU!B2795,"")</f>
        <v/>
      </c>
      <c r="C2795" s="6" t="str">
        <f>IF(OR($D$3=JU!$F2795,$D$3=JU!$I2795),JU!C2795,"")</f>
        <v/>
      </c>
      <c r="D2795" s="73" t="str">
        <f>IF(OR($D$3=JU!$F2795,$D$3=JU!$I2795),JU!D2795,"")</f>
        <v/>
      </c>
      <c r="E2795" s="74" t="str">
        <f>IF(OR($D$3=JU!$F2795,$D$3=JU!$I2795),JU!E2795,"")</f>
        <v/>
      </c>
      <c r="F2795" s="72">
        <f>IF($D$3=JU!F2795,JU!H2795,0)</f>
        <v>0</v>
      </c>
      <c r="G2795" s="72">
        <f>IF($D$3=JU!I2795,JU!K2795,0)</f>
        <v>0</v>
      </c>
      <c r="H2795" s="72" t="e">
        <f t="shared" si="44"/>
        <v>#REF!</v>
      </c>
    </row>
    <row r="2796" spans="2:8" hidden="1">
      <c r="B2796" s="68" t="str">
        <f>IF(OR($D$3=JU!$F2796,$D$3=JU!$I2796),JU!B2796,"")</f>
        <v/>
      </c>
      <c r="C2796" s="6" t="str">
        <f>IF(OR($D$3=JU!$F2796,$D$3=JU!$I2796),JU!C2796,"")</f>
        <v/>
      </c>
      <c r="D2796" s="73" t="str">
        <f>IF(OR($D$3=JU!$F2796,$D$3=JU!$I2796),JU!D2796,"")</f>
        <v/>
      </c>
      <c r="E2796" s="74" t="str">
        <f>IF(OR($D$3=JU!$F2796,$D$3=JU!$I2796),JU!E2796,"")</f>
        <v/>
      </c>
      <c r="F2796" s="72">
        <f>IF($D$3=JU!F2796,JU!H2796,0)</f>
        <v>0</v>
      </c>
      <c r="G2796" s="72">
        <f>IF($D$3=JU!I2796,JU!K2796,0)</f>
        <v>0</v>
      </c>
      <c r="H2796" s="72" t="e">
        <f t="shared" si="44"/>
        <v>#REF!</v>
      </c>
    </row>
    <row r="2797" spans="2:8" hidden="1">
      <c r="B2797" s="68" t="str">
        <f>IF(OR($D$3=JU!$F2797,$D$3=JU!$I2797),JU!B2797,"")</f>
        <v/>
      </c>
      <c r="C2797" s="6" t="str">
        <f>IF(OR($D$3=JU!$F2797,$D$3=JU!$I2797),JU!C2797,"")</f>
        <v/>
      </c>
      <c r="D2797" s="73" t="str">
        <f>IF(OR($D$3=JU!$F2797,$D$3=JU!$I2797),JU!D2797,"")</f>
        <v/>
      </c>
      <c r="E2797" s="74" t="str">
        <f>IF(OR($D$3=JU!$F2797,$D$3=JU!$I2797),JU!E2797,"")</f>
        <v/>
      </c>
      <c r="F2797" s="72">
        <f>IF($D$3=JU!F2797,JU!H2797,0)</f>
        <v>0</v>
      </c>
      <c r="G2797" s="72">
        <f>IF($D$3=JU!I2797,JU!K2797,0)</f>
        <v>0</v>
      </c>
      <c r="H2797" s="72" t="e">
        <f t="shared" si="44"/>
        <v>#REF!</v>
      </c>
    </row>
    <row r="2798" spans="2:8" hidden="1">
      <c r="B2798" s="68" t="str">
        <f>IF(OR($D$3=JU!$F2798,$D$3=JU!$I2798),JU!B2798,"")</f>
        <v/>
      </c>
      <c r="C2798" s="6" t="str">
        <f>IF(OR($D$3=JU!$F2798,$D$3=JU!$I2798),JU!C2798,"")</f>
        <v/>
      </c>
      <c r="D2798" s="73" t="str">
        <f>IF(OR($D$3=JU!$F2798,$D$3=JU!$I2798),JU!D2798,"")</f>
        <v/>
      </c>
      <c r="E2798" s="74" t="str">
        <f>IF(OR($D$3=JU!$F2798,$D$3=JU!$I2798),JU!E2798,"")</f>
        <v/>
      </c>
      <c r="F2798" s="72">
        <f>IF($D$3=JU!F2798,JU!H2798,0)</f>
        <v>0</v>
      </c>
      <c r="G2798" s="72">
        <f>IF($D$3=JU!I2798,JU!K2798,0)</f>
        <v>0</v>
      </c>
      <c r="H2798" s="72" t="e">
        <f t="shared" si="44"/>
        <v>#REF!</v>
      </c>
    </row>
    <row r="2799" spans="2:8" hidden="1">
      <c r="B2799" s="68" t="str">
        <f>IF(OR($D$3=JU!$F2799,$D$3=JU!$I2799),JU!B2799,"")</f>
        <v/>
      </c>
      <c r="C2799" s="6" t="str">
        <f>IF(OR($D$3=JU!$F2799,$D$3=JU!$I2799),JU!C2799,"")</f>
        <v/>
      </c>
      <c r="D2799" s="73" t="str">
        <f>IF(OR($D$3=JU!$F2799,$D$3=JU!$I2799),JU!D2799,"")</f>
        <v/>
      </c>
      <c r="E2799" s="74" t="str">
        <f>IF(OR($D$3=JU!$F2799,$D$3=JU!$I2799),JU!E2799,"")</f>
        <v/>
      </c>
      <c r="F2799" s="72">
        <f>IF($D$3=JU!F2799,JU!H2799,0)</f>
        <v>0</v>
      </c>
      <c r="G2799" s="72">
        <f>IF($D$3=JU!I2799,JU!K2799,0)</f>
        <v>0</v>
      </c>
      <c r="H2799" s="72" t="e">
        <f t="shared" si="44"/>
        <v>#REF!</v>
      </c>
    </row>
    <row r="2800" spans="2:8" hidden="1">
      <c r="B2800" s="68" t="str">
        <f>IF(OR($D$3=JU!$F2800,$D$3=JU!$I2800),JU!B2800,"")</f>
        <v/>
      </c>
      <c r="C2800" s="6" t="str">
        <f>IF(OR($D$3=JU!$F2800,$D$3=JU!$I2800),JU!C2800,"")</f>
        <v/>
      </c>
      <c r="D2800" s="73" t="str">
        <f>IF(OR($D$3=JU!$F2800,$D$3=JU!$I2800),JU!D2800,"")</f>
        <v/>
      </c>
      <c r="E2800" s="74" t="str">
        <f>IF(OR($D$3=JU!$F2800,$D$3=JU!$I2800),JU!E2800,"")</f>
        <v/>
      </c>
      <c r="F2800" s="72">
        <f>IF($D$3=JU!F2800,JU!H2800,0)</f>
        <v>0</v>
      </c>
      <c r="G2800" s="72">
        <f>IF($D$3=JU!I2800,JU!K2800,0)</f>
        <v>0</v>
      </c>
      <c r="H2800" s="72" t="e">
        <f t="shared" si="44"/>
        <v>#REF!</v>
      </c>
    </row>
    <row r="2801" spans="2:8" hidden="1">
      <c r="B2801" s="68" t="str">
        <f>IF(OR($D$3=JU!$F2801,$D$3=JU!$I2801),JU!B2801,"")</f>
        <v/>
      </c>
      <c r="C2801" s="6" t="str">
        <f>IF(OR($D$3=JU!$F2801,$D$3=JU!$I2801),JU!C2801,"")</f>
        <v/>
      </c>
      <c r="D2801" s="73" t="str">
        <f>IF(OR($D$3=JU!$F2801,$D$3=JU!$I2801),JU!D2801,"")</f>
        <v/>
      </c>
      <c r="E2801" s="74" t="str">
        <f>IF(OR($D$3=JU!$F2801,$D$3=JU!$I2801),JU!E2801,"")</f>
        <v/>
      </c>
      <c r="F2801" s="72">
        <f>IF($D$3=JU!F2801,JU!H2801,0)</f>
        <v>0</v>
      </c>
      <c r="G2801" s="72">
        <f>IF($D$3=JU!I2801,JU!K2801,0)</f>
        <v>0</v>
      </c>
      <c r="H2801" s="72" t="e">
        <f t="shared" si="44"/>
        <v>#REF!</v>
      </c>
    </row>
    <row r="2802" spans="2:8" hidden="1">
      <c r="B2802" s="68" t="str">
        <f>IF(OR($D$3=JU!$F2802,$D$3=JU!$I2802),JU!B2802,"")</f>
        <v/>
      </c>
      <c r="C2802" s="6" t="str">
        <f>IF(OR($D$3=JU!$F2802,$D$3=JU!$I2802),JU!C2802,"")</f>
        <v/>
      </c>
      <c r="D2802" s="73" t="str">
        <f>IF(OR($D$3=JU!$F2802,$D$3=JU!$I2802),JU!D2802,"")</f>
        <v/>
      </c>
      <c r="E2802" s="74" t="str">
        <f>IF(OR($D$3=JU!$F2802,$D$3=JU!$I2802),JU!E2802,"")</f>
        <v/>
      </c>
      <c r="F2802" s="72">
        <f>IF($D$3=JU!F2802,JU!H2802,0)</f>
        <v>0</v>
      </c>
      <c r="G2802" s="72">
        <f>IF($D$3=JU!I2802,JU!K2802,0)</f>
        <v>0</v>
      </c>
      <c r="H2802" s="72" t="e">
        <f t="shared" si="44"/>
        <v>#REF!</v>
      </c>
    </row>
    <row r="2803" spans="2:8" hidden="1">
      <c r="B2803" s="68" t="str">
        <f>IF(OR($D$3=JU!$F2803,$D$3=JU!$I2803),JU!B2803,"")</f>
        <v/>
      </c>
      <c r="C2803" s="6" t="str">
        <f>IF(OR($D$3=JU!$F2803,$D$3=JU!$I2803),JU!C2803,"")</f>
        <v/>
      </c>
      <c r="D2803" s="73" t="str">
        <f>IF(OR($D$3=JU!$F2803,$D$3=JU!$I2803),JU!D2803,"")</f>
        <v/>
      </c>
      <c r="E2803" s="74" t="str">
        <f>IF(OR($D$3=JU!$F2803,$D$3=JU!$I2803),JU!E2803,"")</f>
        <v/>
      </c>
      <c r="F2803" s="72">
        <f>IF($D$3=JU!F2803,JU!H2803,0)</f>
        <v>0</v>
      </c>
      <c r="G2803" s="72">
        <f>IF($D$3=JU!I2803,JU!K2803,0)</f>
        <v>0</v>
      </c>
      <c r="H2803" s="72" t="e">
        <f t="shared" si="44"/>
        <v>#REF!</v>
      </c>
    </row>
    <row r="2804" spans="2:8" hidden="1">
      <c r="B2804" s="68" t="str">
        <f>IF(OR($D$3=JU!$F2804,$D$3=JU!$I2804),JU!B2804,"")</f>
        <v/>
      </c>
      <c r="C2804" s="6" t="str">
        <f>IF(OR($D$3=JU!$F2804,$D$3=JU!$I2804),JU!C2804,"")</f>
        <v/>
      </c>
      <c r="D2804" s="73" t="str">
        <f>IF(OR($D$3=JU!$F2804,$D$3=JU!$I2804),JU!D2804,"")</f>
        <v/>
      </c>
      <c r="E2804" s="74" t="str">
        <f>IF(OR($D$3=JU!$F2804,$D$3=JU!$I2804),JU!E2804,"")</f>
        <v/>
      </c>
      <c r="F2804" s="72">
        <f>IF($D$3=JU!F2804,JU!H2804,0)</f>
        <v>0</v>
      </c>
      <c r="G2804" s="72">
        <f>IF($D$3=JU!I2804,JU!K2804,0)</f>
        <v>0</v>
      </c>
      <c r="H2804" s="72" t="e">
        <f t="shared" si="44"/>
        <v>#REF!</v>
      </c>
    </row>
    <row r="2805" spans="2:8" hidden="1">
      <c r="B2805" s="68" t="str">
        <f>IF(OR($D$3=JU!$F2805,$D$3=JU!$I2805),JU!B2805,"")</f>
        <v/>
      </c>
      <c r="C2805" s="6" t="str">
        <f>IF(OR($D$3=JU!$F2805,$D$3=JU!$I2805),JU!C2805,"")</f>
        <v/>
      </c>
      <c r="D2805" s="73" t="str">
        <f>IF(OR($D$3=JU!$F2805,$D$3=JU!$I2805),JU!D2805,"")</f>
        <v/>
      </c>
      <c r="E2805" s="74" t="str">
        <f>IF(OR($D$3=JU!$F2805,$D$3=JU!$I2805),JU!E2805,"")</f>
        <v/>
      </c>
      <c r="F2805" s="72">
        <f>IF($D$3=JU!F2805,JU!H2805,0)</f>
        <v>0</v>
      </c>
      <c r="G2805" s="72">
        <f>IF($D$3=JU!I2805,JU!K2805,0)</f>
        <v>0</v>
      </c>
      <c r="H2805" s="72" t="e">
        <f t="shared" si="44"/>
        <v>#REF!</v>
      </c>
    </row>
    <row r="2806" spans="2:8" hidden="1">
      <c r="B2806" s="68" t="str">
        <f>IF(OR($D$3=JU!$F2806,$D$3=JU!$I2806),JU!B2806,"")</f>
        <v/>
      </c>
      <c r="C2806" s="6" t="str">
        <f>IF(OR($D$3=JU!$F2806,$D$3=JU!$I2806),JU!C2806,"")</f>
        <v/>
      </c>
      <c r="D2806" s="73" t="str">
        <f>IF(OR($D$3=JU!$F2806,$D$3=JU!$I2806),JU!D2806,"")</f>
        <v/>
      </c>
      <c r="E2806" s="74" t="str">
        <f>IF(OR($D$3=JU!$F2806,$D$3=JU!$I2806),JU!E2806,"")</f>
        <v/>
      </c>
      <c r="F2806" s="72">
        <f>IF($D$3=JU!F2806,JU!H2806,0)</f>
        <v>0</v>
      </c>
      <c r="G2806" s="72">
        <f>IF($D$3=JU!I2806,JU!K2806,0)</f>
        <v>0</v>
      </c>
      <c r="H2806" s="72" t="e">
        <f t="shared" si="44"/>
        <v>#REF!</v>
      </c>
    </row>
    <row r="2807" spans="2:8" hidden="1">
      <c r="B2807" s="68" t="str">
        <f>IF(OR($D$3=JU!$F2807,$D$3=JU!$I2807),JU!B2807,"")</f>
        <v/>
      </c>
      <c r="C2807" s="6" t="str">
        <f>IF(OR($D$3=JU!$F2807,$D$3=JU!$I2807),JU!C2807,"")</f>
        <v/>
      </c>
      <c r="D2807" s="73" t="str">
        <f>IF(OR($D$3=JU!$F2807,$D$3=JU!$I2807),JU!D2807,"")</f>
        <v/>
      </c>
      <c r="E2807" s="74" t="str">
        <f>IF(OR($D$3=JU!$F2807,$D$3=JU!$I2807),JU!E2807,"")</f>
        <v/>
      </c>
      <c r="F2807" s="72">
        <f>IF($D$3=JU!F2807,JU!H2807,0)</f>
        <v>0</v>
      </c>
      <c r="G2807" s="72">
        <f>IF($D$3=JU!I2807,JU!K2807,0)</f>
        <v>0</v>
      </c>
      <c r="H2807" s="72" t="e">
        <f t="shared" si="44"/>
        <v>#REF!</v>
      </c>
    </row>
    <row r="2808" spans="2:8" hidden="1">
      <c r="B2808" s="68" t="str">
        <f>IF(OR($D$3=JU!$F2808,$D$3=JU!$I2808),JU!B2808,"")</f>
        <v/>
      </c>
      <c r="C2808" s="6" t="str">
        <f>IF(OR($D$3=JU!$F2808,$D$3=JU!$I2808),JU!C2808,"")</f>
        <v/>
      </c>
      <c r="D2808" s="73" t="str">
        <f>IF(OR($D$3=JU!$F2808,$D$3=JU!$I2808),JU!D2808,"")</f>
        <v/>
      </c>
      <c r="E2808" s="74" t="str">
        <f>IF(OR($D$3=JU!$F2808,$D$3=JU!$I2808),JU!E2808,"")</f>
        <v/>
      </c>
      <c r="F2808" s="72">
        <f>IF($D$3=JU!F2808,JU!H2808,0)</f>
        <v>0</v>
      </c>
      <c r="G2808" s="72">
        <f>IF($D$3=JU!I2808,JU!K2808,0)</f>
        <v>0</v>
      </c>
      <c r="H2808" s="72" t="e">
        <f t="shared" si="44"/>
        <v>#REF!</v>
      </c>
    </row>
    <row r="2809" spans="2:8" hidden="1">
      <c r="B2809" s="68" t="str">
        <f>IF(OR($D$3=JU!$F2809,$D$3=JU!$I2809),JU!B2809,"")</f>
        <v/>
      </c>
      <c r="C2809" s="6" t="str">
        <f>IF(OR($D$3=JU!$F2809,$D$3=JU!$I2809),JU!C2809,"")</f>
        <v/>
      </c>
      <c r="D2809" s="73" t="str">
        <f>IF(OR($D$3=JU!$F2809,$D$3=JU!$I2809),JU!D2809,"")</f>
        <v/>
      </c>
      <c r="E2809" s="74" t="str">
        <f>IF(OR($D$3=JU!$F2809,$D$3=JU!$I2809),JU!E2809,"")</f>
        <v/>
      </c>
      <c r="F2809" s="72">
        <f>IF($D$3=JU!F2809,JU!H2809,0)</f>
        <v>0</v>
      </c>
      <c r="G2809" s="72">
        <f>IF($D$3=JU!I2809,JU!K2809,0)</f>
        <v>0</v>
      </c>
      <c r="H2809" s="72" t="e">
        <f t="shared" si="44"/>
        <v>#REF!</v>
      </c>
    </row>
    <row r="2810" spans="2:8" hidden="1">
      <c r="B2810" s="68" t="str">
        <f>IF(OR($D$3=JU!$F2810,$D$3=JU!$I2810),JU!B2810,"")</f>
        <v/>
      </c>
      <c r="C2810" s="6" t="str">
        <f>IF(OR($D$3=JU!$F2810,$D$3=JU!$I2810),JU!C2810,"")</f>
        <v/>
      </c>
      <c r="D2810" s="73" t="str">
        <f>IF(OR($D$3=JU!$F2810,$D$3=JU!$I2810),JU!D2810,"")</f>
        <v/>
      </c>
      <c r="E2810" s="74" t="str">
        <f>IF(OR($D$3=JU!$F2810,$D$3=JU!$I2810),JU!E2810,"")</f>
        <v/>
      </c>
      <c r="F2810" s="72">
        <f>IF($D$3=JU!F2810,JU!H2810,0)</f>
        <v>0</v>
      </c>
      <c r="G2810" s="72">
        <f>IF($D$3=JU!I2810,JU!K2810,0)</f>
        <v>0</v>
      </c>
      <c r="H2810" s="72" t="e">
        <f t="shared" si="44"/>
        <v>#REF!</v>
      </c>
    </row>
    <row r="2811" spans="2:8" hidden="1">
      <c r="B2811" s="68" t="str">
        <f>IF(OR($D$3=JU!$F2811,$D$3=JU!$I2811),JU!B2811,"")</f>
        <v/>
      </c>
      <c r="C2811" s="6" t="str">
        <f>IF(OR($D$3=JU!$F2811,$D$3=JU!$I2811),JU!C2811,"")</f>
        <v/>
      </c>
      <c r="D2811" s="73" t="str">
        <f>IF(OR($D$3=JU!$F2811,$D$3=JU!$I2811),JU!D2811,"")</f>
        <v/>
      </c>
      <c r="E2811" s="74" t="str">
        <f>IF(OR($D$3=JU!$F2811,$D$3=JU!$I2811),JU!E2811,"")</f>
        <v/>
      </c>
      <c r="F2811" s="72">
        <f>IF($D$3=JU!F2811,JU!H2811,0)</f>
        <v>0</v>
      </c>
      <c r="G2811" s="72">
        <f>IF($D$3=JU!I2811,JU!K2811,0)</f>
        <v>0</v>
      </c>
      <c r="H2811" s="72" t="e">
        <f t="shared" si="44"/>
        <v>#REF!</v>
      </c>
    </row>
    <row r="2812" spans="2:8" hidden="1">
      <c r="B2812" s="68" t="str">
        <f>IF(OR($D$3=JU!$F2812,$D$3=JU!$I2812),JU!B2812,"")</f>
        <v/>
      </c>
      <c r="C2812" s="6" t="str">
        <f>IF(OR($D$3=JU!$F2812,$D$3=JU!$I2812),JU!C2812,"")</f>
        <v/>
      </c>
      <c r="D2812" s="73" t="str">
        <f>IF(OR($D$3=JU!$F2812,$D$3=JU!$I2812),JU!D2812,"")</f>
        <v/>
      </c>
      <c r="E2812" s="74" t="str">
        <f>IF(OR($D$3=JU!$F2812,$D$3=JU!$I2812),JU!E2812,"")</f>
        <v/>
      </c>
      <c r="F2812" s="72">
        <f>IF($D$3=JU!F2812,JU!H2812,0)</f>
        <v>0</v>
      </c>
      <c r="G2812" s="72">
        <f>IF($D$3=JU!I2812,JU!K2812,0)</f>
        <v>0</v>
      </c>
      <c r="H2812" s="72" t="e">
        <f t="shared" si="44"/>
        <v>#REF!</v>
      </c>
    </row>
    <row r="2813" spans="2:8" hidden="1">
      <c r="B2813" s="68" t="str">
        <f>IF(OR($D$3=JU!$F2813,$D$3=JU!$I2813),JU!B2813,"")</f>
        <v/>
      </c>
      <c r="C2813" s="6" t="str">
        <f>IF(OR($D$3=JU!$F2813,$D$3=JU!$I2813),JU!C2813,"")</f>
        <v/>
      </c>
      <c r="D2813" s="73" t="str">
        <f>IF(OR($D$3=JU!$F2813,$D$3=JU!$I2813),JU!D2813,"")</f>
        <v/>
      </c>
      <c r="E2813" s="74" t="str">
        <f>IF(OR($D$3=JU!$F2813,$D$3=JU!$I2813),JU!E2813,"")</f>
        <v/>
      </c>
      <c r="F2813" s="72">
        <f>IF($D$3=JU!F2813,JU!H2813,0)</f>
        <v>0</v>
      </c>
      <c r="G2813" s="72">
        <f>IF($D$3=JU!I2813,JU!K2813,0)</f>
        <v>0</v>
      </c>
      <c r="H2813" s="72" t="e">
        <f t="shared" si="44"/>
        <v>#REF!</v>
      </c>
    </row>
    <row r="2814" spans="2:8" hidden="1">
      <c r="B2814" s="68" t="str">
        <f>IF(OR($D$3=JU!$F2814,$D$3=JU!$I2814),JU!B2814,"")</f>
        <v/>
      </c>
      <c r="C2814" s="6" t="str">
        <f>IF(OR($D$3=JU!$F2814,$D$3=JU!$I2814),JU!C2814,"")</f>
        <v/>
      </c>
      <c r="D2814" s="73" t="str">
        <f>IF(OR($D$3=JU!$F2814,$D$3=JU!$I2814),JU!D2814,"")</f>
        <v/>
      </c>
      <c r="E2814" s="74" t="str">
        <f>IF(OR($D$3=JU!$F2814,$D$3=JU!$I2814),JU!E2814,"")</f>
        <v/>
      </c>
      <c r="F2814" s="72">
        <f>IF($D$3=JU!F2814,JU!H2814,0)</f>
        <v>0</v>
      </c>
      <c r="G2814" s="72">
        <f>IF($D$3=JU!I2814,JU!K2814,0)</f>
        <v>0</v>
      </c>
      <c r="H2814" s="72" t="e">
        <f t="shared" si="44"/>
        <v>#REF!</v>
      </c>
    </row>
    <row r="2815" spans="2:8" hidden="1">
      <c r="B2815" s="68" t="str">
        <f>IF(OR($D$3=JU!$F2815,$D$3=JU!$I2815),JU!B2815,"")</f>
        <v/>
      </c>
      <c r="C2815" s="6" t="str">
        <f>IF(OR($D$3=JU!$F2815,$D$3=JU!$I2815),JU!C2815,"")</f>
        <v/>
      </c>
      <c r="D2815" s="73" t="str">
        <f>IF(OR($D$3=JU!$F2815,$D$3=JU!$I2815),JU!D2815,"")</f>
        <v/>
      </c>
      <c r="E2815" s="74" t="str">
        <f>IF(OR($D$3=JU!$F2815,$D$3=JU!$I2815),JU!E2815,"")</f>
        <v/>
      </c>
      <c r="F2815" s="72">
        <f>IF($D$3=JU!F2815,JU!H2815,0)</f>
        <v>0</v>
      </c>
      <c r="G2815" s="72">
        <f>IF($D$3=JU!I2815,JU!K2815,0)</f>
        <v>0</v>
      </c>
      <c r="H2815" s="72" t="e">
        <f t="shared" si="44"/>
        <v>#REF!</v>
      </c>
    </row>
    <row r="2816" spans="2:8" hidden="1">
      <c r="B2816" s="68" t="str">
        <f>IF(OR($D$3=JU!$F2816,$D$3=JU!$I2816),JU!B2816,"")</f>
        <v/>
      </c>
      <c r="C2816" s="6" t="str">
        <f>IF(OR($D$3=JU!$F2816,$D$3=JU!$I2816),JU!C2816,"")</f>
        <v/>
      </c>
      <c r="D2816" s="73" t="str">
        <f>IF(OR($D$3=JU!$F2816,$D$3=JU!$I2816),JU!D2816,"")</f>
        <v/>
      </c>
      <c r="E2816" s="74" t="str">
        <f>IF(OR($D$3=JU!$F2816,$D$3=JU!$I2816),JU!E2816,"")</f>
        <v/>
      </c>
      <c r="F2816" s="72">
        <f>IF($D$3=JU!F2816,JU!H2816,0)</f>
        <v>0</v>
      </c>
      <c r="G2816" s="72">
        <f>IF($D$3=JU!I2816,JU!K2816,0)</f>
        <v>0</v>
      </c>
      <c r="H2816" s="72" t="e">
        <f t="shared" si="44"/>
        <v>#REF!</v>
      </c>
    </row>
    <row r="2817" spans="2:8" hidden="1">
      <c r="B2817" s="68" t="str">
        <f>IF(OR($D$3=JU!$F2817,$D$3=JU!$I2817),JU!B2817,"")</f>
        <v/>
      </c>
      <c r="C2817" s="6" t="str">
        <f>IF(OR($D$3=JU!$F2817,$D$3=JU!$I2817),JU!C2817,"")</f>
        <v/>
      </c>
      <c r="D2817" s="73" t="str">
        <f>IF(OR($D$3=JU!$F2817,$D$3=JU!$I2817),JU!D2817,"")</f>
        <v/>
      </c>
      <c r="E2817" s="74" t="str">
        <f>IF(OR($D$3=JU!$F2817,$D$3=JU!$I2817),JU!E2817,"")</f>
        <v/>
      </c>
      <c r="F2817" s="72">
        <f>IF($D$3=JU!F2817,JU!H2817,0)</f>
        <v>0</v>
      </c>
      <c r="G2817" s="72">
        <f>IF($D$3=JU!I2817,JU!K2817,0)</f>
        <v>0</v>
      </c>
      <c r="H2817" s="72" t="e">
        <f t="shared" si="44"/>
        <v>#REF!</v>
      </c>
    </row>
    <row r="2818" spans="2:8" hidden="1">
      <c r="B2818" s="68" t="str">
        <f>IF(OR($D$3=JU!$F2818,$D$3=JU!$I2818),JU!B2818,"")</f>
        <v/>
      </c>
      <c r="C2818" s="6" t="str">
        <f>IF(OR($D$3=JU!$F2818,$D$3=JU!$I2818),JU!C2818,"")</f>
        <v/>
      </c>
      <c r="D2818" s="73" t="str">
        <f>IF(OR($D$3=JU!$F2818,$D$3=JU!$I2818),JU!D2818,"")</f>
        <v/>
      </c>
      <c r="E2818" s="74" t="str">
        <f>IF(OR($D$3=JU!$F2818,$D$3=JU!$I2818),JU!E2818,"")</f>
        <v/>
      </c>
      <c r="F2818" s="72">
        <f>IF($D$3=JU!F2818,JU!H2818,0)</f>
        <v>0</v>
      </c>
      <c r="G2818" s="72">
        <f>IF($D$3=JU!I2818,JU!K2818,0)</f>
        <v>0</v>
      </c>
      <c r="H2818" s="72" t="e">
        <f t="shared" si="44"/>
        <v>#REF!</v>
      </c>
    </row>
    <row r="2819" spans="2:8" hidden="1">
      <c r="B2819" s="68" t="str">
        <f>IF(OR($D$3=JU!$F2819,$D$3=JU!$I2819),JU!B2819,"")</f>
        <v/>
      </c>
      <c r="C2819" s="6" t="str">
        <f>IF(OR($D$3=JU!$F2819,$D$3=JU!$I2819),JU!C2819,"")</f>
        <v/>
      </c>
      <c r="D2819" s="73" t="str">
        <f>IF(OR($D$3=JU!$F2819,$D$3=JU!$I2819),JU!D2819,"")</f>
        <v/>
      </c>
      <c r="E2819" s="74" t="str">
        <f>IF(OR($D$3=JU!$F2819,$D$3=JU!$I2819),JU!E2819,"")</f>
        <v/>
      </c>
      <c r="F2819" s="72">
        <f>IF($D$3=JU!F2819,JU!H2819,0)</f>
        <v>0</v>
      </c>
      <c r="G2819" s="72">
        <f>IF($D$3=JU!I2819,JU!K2819,0)</f>
        <v>0</v>
      </c>
      <c r="H2819" s="72" t="e">
        <f t="shared" si="44"/>
        <v>#REF!</v>
      </c>
    </row>
    <row r="2820" spans="2:8" hidden="1">
      <c r="B2820" s="68" t="str">
        <f>IF(OR($D$3=JU!$F2820,$D$3=JU!$I2820),JU!B2820,"")</f>
        <v/>
      </c>
      <c r="C2820" s="6" t="str">
        <f>IF(OR($D$3=JU!$F2820,$D$3=JU!$I2820),JU!C2820,"")</f>
        <v/>
      </c>
      <c r="D2820" s="73" t="str">
        <f>IF(OR($D$3=JU!$F2820,$D$3=JU!$I2820),JU!D2820,"")</f>
        <v/>
      </c>
      <c r="E2820" s="74" t="str">
        <f>IF(OR($D$3=JU!$F2820,$D$3=JU!$I2820),JU!E2820,"")</f>
        <v/>
      </c>
      <c r="F2820" s="72">
        <f>IF($D$3=JU!F2820,JU!H2820,0)</f>
        <v>0</v>
      </c>
      <c r="G2820" s="72">
        <f>IF($D$3=JU!I2820,JU!K2820,0)</f>
        <v>0</v>
      </c>
      <c r="H2820" s="72" t="e">
        <f t="shared" si="44"/>
        <v>#REF!</v>
      </c>
    </row>
    <row r="2821" spans="2:8" hidden="1">
      <c r="B2821" s="68" t="str">
        <f>IF(OR($D$3=JU!$F2821,$D$3=JU!$I2821),JU!B2821,"")</f>
        <v/>
      </c>
      <c r="C2821" s="6" t="str">
        <f>IF(OR($D$3=JU!$F2821,$D$3=JU!$I2821),JU!C2821,"")</f>
        <v/>
      </c>
      <c r="D2821" s="73" t="str">
        <f>IF(OR($D$3=JU!$F2821,$D$3=JU!$I2821),JU!D2821,"")</f>
        <v/>
      </c>
      <c r="E2821" s="74" t="str">
        <f>IF(OR($D$3=JU!$F2821,$D$3=JU!$I2821),JU!E2821,"")</f>
        <v/>
      </c>
      <c r="F2821" s="72">
        <f>IF($D$3=JU!F2821,JU!H2821,0)</f>
        <v>0</v>
      </c>
      <c r="G2821" s="72">
        <f>IF($D$3=JU!I2821,JU!K2821,0)</f>
        <v>0</v>
      </c>
      <c r="H2821" s="72" t="e">
        <f t="shared" si="44"/>
        <v>#REF!</v>
      </c>
    </row>
    <row r="2822" spans="2:8" hidden="1">
      <c r="B2822" s="68" t="str">
        <f>IF(OR($D$3=JU!$F2822,$D$3=JU!$I2822),JU!B2822,"")</f>
        <v/>
      </c>
      <c r="C2822" s="6" t="str">
        <f>IF(OR($D$3=JU!$F2822,$D$3=JU!$I2822),JU!C2822,"")</f>
        <v/>
      </c>
      <c r="D2822" s="73" t="str">
        <f>IF(OR($D$3=JU!$F2822,$D$3=JU!$I2822),JU!D2822,"")</f>
        <v/>
      </c>
      <c r="E2822" s="74" t="str">
        <f>IF(OR($D$3=JU!$F2822,$D$3=JU!$I2822),JU!E2822,"")</f>
        <v/>
      </c>
      <c r="F2822" s="72">
        <f>IF($D$3=JU!F2822,JU!H2822,0)</f>
        <v>0</v>
      </c>
      <c r="G2822" s="72">
        <f>IF($D$3=JU!I2822,JU!K2822,0)</f>
        <v>0</v>
      </c>
      <c r="H2822" s="72" t="e">
        <f t="shared" si="44"/>
        <v>#REF!</v>
      </c>
    </row>
    <row r="2823" spans="2:8" hidden="1">
      <c r="B2823" s="68" t="str">
        <f>IF(OR($D$3=JU!$F2823,$D$3=JU!$I2823),JU!B2823,"")</f>
        <v/>
      </c>
      <c r="C2823" s="6" t="str">
        <f>IF(OR($D$3=JU!$F2823,$D$3=JU!$I2823),JU!C2823,"")</f>
        <v/>
      </c>
      <c r="D2823" s="73" t="str">
        <f>IF(OR($D$3=JU!$F2823,$D$3=JU!$I2823),JU!D2823,"")</f>
        <v/>
      </c>
      <c r="E2823" s="74" t="str">
        <f>IF(OR($D$3=JU!$F2823,$D$3=JU!$I2823),JU!E2823,"")</f>
        <v/>
      </c>
      <c r="F2823" s="72">
        <f>IF($D$3=JU!F2823,JU!H2823,0)</f>
        <v>0</v>
      </c>
      <c r="G2823" s="72">
        <f>IF($D$3=JU!I2823,JU!K2823,0)</f>
        <v>0</v>
      </c>
      <c r="H2823" s="72" t="e">
        <f t="shared" si="44"/>
        <v>#REF!</v>
      </c>
    </row>
    <row r="2824" spans="2:8" hidden="1">
      <c r="B2824" s="68" t="str">
        <f>IF(OR($D$3=JU!$F2824,$D$3=JU!$I2824),JU!B2824,"")</f>
        <v/>
      </c>
      <c r="C2824" s="6" t="str">
        <f>IF(OR($D$3=JU!$F2824,$D$3=JU!$I2824),JU!C2824,"")</f>
        <v/>
      </c>
      <c r="D2824" s="73" t="str">
        <f>IF(OR($D$3=JU!$F2824,$D$3=JU!$I2824),JU!D2824,"")</f>
        <v/>
      </c>
      <c r="E2824" s="74" t="str">
        <f>IF(OR($D$3=JU!$F2824,$D$3=JU!$I2824),JU!E2824,"")</f>
        <v/>
      </c>
      <c r="F2824" s="72">
        <f>IF($D$3=JU!F2824,JU!H2824,0)</f>
        <v>0</v>
      </c>
      <c r="G2824" s="72">
        <f>IF($D$3=JU!I2824,JU!K2824,0)</f>
        <v>0</v>
      </c>
      <c r="H2824" s="72" t="e">
        <f t="shared" si="44"/>
        <v>#REF!</v>
      </c>
    </row>
    <row r="2825" spans="2:8" hidden="1">
      <c r="B2825" s="68" t="str">
        <f>IF(OR($D$3=JU!$F2825,$D$3=JU!$I2825),JU!B2825,"")</f>
        <v/>
      </c>
      <c r="C2825" s="6" t="str">
        <f>IF(OR($D$3=JU!$F2825,$D$3=JU!$I2825),JU!C2825,"")</f>
        <v/>
      </c>
      <c r="D2825" s="73" t="str">
        <f>IF(OR($D$3=JU!$F2825,$D$3=JU!$I2825),JU!D2825,"")</f>
        <v/>
      </c>
      <c r="E2825" s="74" t="str">
        <f>IF(OR($D$3=JU!$F2825,$D$3=JU!$I2825),JU!E2825,"")</f>
        <v/>
      </c>
      <c r="F2825" s="72">
        <f>IF($D$3=JU!F2825,JU!H2825,0)</f>
        <v>0</v>
      </c>
      <c r="G2825" s="72">
        <f>IF($D$3=JU!I2825,JU!K2825,0)</f>
        <v>0</v>
      </c>
      <c r="H2825" s="72" t="e">
        <f t="shared" si="44"/>
        <v>#REF!</v>
      </c>
    </row>
    <row r="2826" spans="2:8" hidden="1">
      <c r="B2826" s="68" t="str">
        <f>IF(OR($D$3=JU!$F2826,$D$3=JU!$I2826),JU!B2826,"")</f>
        <v/>
      </c>
      <c r="C2826" s="6" t="str">
        <f>IF(OR($D$3=JU!$F2826,$D$3=JU!$I2826),JU!C2826,"")</f>
        <v/>
      </c>
      <c r="D2826" s="73" t="str">
        <f>IF(OR($D$3=JU!$F2826,$D$3=JU!$I2826),JU!D2826,"")</f>
        <v/>
      </c>
      <c r="E2826" s="74" t="str">
        <f>IF(OR($D$3=JU!$F2826,$D$3=JU!$I2826),JU!E2826,"")</f>
        <v/>
      </c>
      <c r="F2826" s="72">
        <f>IF($D$3=JU!F2826,JU!H2826,0)</f>
        <v>0</v>
      </c>
      <c r="G2826" s="72">
        <f>IF($D$3=JU!I2826,JU!K2826,0)</f>
        <v>0</v>
      </c>
      <c r="H2826" s="72" t="e">
        <f t="shared" si="44"/>
        <v>#REF!</v>
      </c>
    </row>
    <row r="2827" spans="2:8" hidden="1">
      <c r="B2827" s="68" t="str">
        <f>IF(OR($D$3=JU!$F2827,$D$3=JU!$I2827),JU!B2827,"")</f>
        <v/>
      </c>
      <c r="C2827" s="6" t="str">
        <f>IF(OR($D$3=JU!$F2827,$D$3=JU!$I2827),JU!C2827,"")</f>
        <v/>
      </c>
      <c r="D2827" s="73" t="str">
        <f>IF(OR($D$3=JU!$F2827,$D$3=JU!$I2827),JU!D2827,"")</f>
        <v/>
      </c>
      <c r="E2827" s="74" t="str">
        <f>IF(OR($D$3=JU!$F2827,$D$3=JU!$I2827),JU!E2827,"")</f>
        <v/>
      </c>
      <c r="F2827" s="72">
        <f>IF($D$3=JU!F2827,JU!H2827,0)</f>
        <v>0</v>
      </c>
      <c r="G2827" s="72">
        <f>IF($D$3=JU!I2827,JU!K2827,0)</f>
        <v>0</v>
      </c>
      <c r="H2827" s="72" t="e">
        <f t="shared" si="44"/>
        <v>#REF!</v>
      </c>
    </row>
    <row r="2828" spans="2:8" hidden="1">
      <c r="B2828" s="68" t="str">
        <f>IF(OR($D$3=JU!$F2828,$D$3=JU!$I2828),JU!B2828,"")</f>
        <v/>
      </c>
      <c r="C2828" s="6" t="str">
        <f>IF(OR($D$3=JU!$F2828,$D$3=JU!$I2828),JU!C2828,"")</f>
        <v/>
      </c>
      <c r="D2828" s="73" t="str">
        <f>IF(OR($D$3=JU!$F2828,$D$3=JU!$I2828),JU!D2828,"")</f>
        <v/>
      </c>
      <c r="E2828" s="74" t="str">
        <f>IF(OR($D$3=JU!$F2828,$D$3=JU!$I2828),JU!E2828,"")</f>
        <v/>
      </c>
      <c r="F2828" s="72">
        <f>IF($D$3=JU!F2828,JU!H2828,0)</f>
        <v>0</v>
      </c>
      <c r="G2828" s="72">
        <f>IF($D$3=JU!I2828,JU!K2828,0)</f>
        <v>0</v>
      </c>
      <c r="H2828" s="72" t="e">
        <f t="shared" si="44"/>
        <v>#REF!</v>
      </c>
    </row>
    <row r="2829" spans="2:8" hidden="1">
      <c r="B2829" s="68" t="str">
        <f>IF(OR($D$3=JU!$F2829,$D$3=JU!$I2829),JU!B2829,"")</f>
        <v/>
      </c>
      <c r="C2829" s="6" t="str">
        <f>IF(OR($D$3=JU!$F2829,$D$3=JU!$I2829),JU!C2829,"")</f>
        <v/>
      </c>
      <c r="D2829" s="73" t="str">
        <f>IF(OR($D$3=JU!$F2829,$D$3=JU!$I2829),JU!D2829,"")</f>
        <v/>
      </c>
      <c r="E2829" s="74" t="str">
        <f>IF(OR($D$3=JU!$F2829,$D$3=JU!$I2829),JU!E2829,"")</f>
        <v/>
      </c>
      <c r="F2829" s="72">
        <f>IF($D$3=JU!F2829,JU!H2829,0)</f>
        <v>0</v>
      </c>
      <c r="G2829" s="72">
        <f>IF($D$3=JU!I2829,JU!K2829,0)</f>
        <v>0</v>
      </c>
      <c r="H2829" s="72" t="e">
        <f t="shared" si="44"/>
        <v>#REF!</v>
      </c>
    </row>
    <row r="2830" spans="2:8" hidden="1">
      <c r="B2830" s="68" t="str">
        <f>IF(OR($D$3=JU!$F2830,$D$3=JU!$I2830),JU!B2830,"")</f>
        <v/>
      </c>
      <c r="C2830" s="6" t="str">
        <f>IF(OR($D$3=JU!$F2830,$D$3=JU!$I2830),JU!C2830,"")</f>
        <v/>
      </c>
      <c r="D2830" s="73" t="str">
        <f>IF(OR($D$3=JU!$F2830,$D$3=JU!$I2830),JU!D2830,"")</f>
        <v/>
      </c>
      <c r="E2830" s="74" t="str">
        <f>IF(OR($D$3=JU!$F2830,$D$3=JU!$I2830),JU!E2830,"")</f>
        <v/>
      </c>
      <c r="F2830" s="72">
        <f>IF($D$3=JU!F2830,JU!H2830,0)</f>
        <v>0</v>
      </c>
      <c r="G2830" s="72">
        <f>IF($D$3=JU!I2830,JU!K2830,0)</f>
        <v>0</v>
      </c>
      <c r="H2830" s="72" t="e">
        <f t="shared" ref="H2830:H2893" si="45">IF($H$7="DEBET",H2829+F2830-G2830,H2829+G2830-F2830)</f>
        <v>#REF!</v>
      </c>
    </row>
    <row r="2831" spans="2:8" hidden="1">
      <c r="B2831" s="68" t="str">
        <f>IF(OR($D$3=JU!$F2831,$D$3=JU!$I2831),JU!B2831,"")</f>
        <v/>
      </c>
      <c r="C2831" s="6" t="str">
        <f>IF(OR($D$3=JU!$F2831,$D$3=JU!$I2831),JU!C2831,"")</f>
        <v/>
      </c>
      <c r="D2831" s="73" t="str">
        <f>IF(OR($D$3=JU!$F2831,$D$3=JU!$I2831),JU!D2831,"")</f>
        <v/>
      </c>
      <c r="E2831" s="74" t="str">
        <f>IF(OR($D$3=JU!$F2831,$D$3=JU!$I2831),JU!E2831,"")</f>
        <v/>
      </c>
      <c r="F2831" s="72">
        <f>IF($D$3=JU!F2831,JU!H2831,0)</f>
        <v>0</v>
      </c>
      <c r="G2831" s="72">
        <f>IF($D$3=JU!I2831,JU!K2831,0)</f>
        <v>0</v>
      </c>
      <c r="H2831" s="72" t="e">
        <f t="shared" si="45"/>
        <v>#REF!</v>
      </c>
    </row>
    <row r="2832" spans="2:8" hidden="1">
      <c r="B2832" s="68" t="str">
        <f>IF(OR($D$3=JU!$F2832,$D$3=JU!$I2832),JU!B2832,"")</f>
        <v/>
      </c>
      <c r="C2832" s="6" t="str">
        <f>IF(OR($D$3=JU!$F2832,$D$3=JU!$I2832),JU!C2832,"")</f>
        <v/>
      </c>
      <c r="D2832" s="73" t="str">
        <f>IF(OR($D$3=JU!$F2832,$D$3=JU!$I2832),JU!D2832,"")</f>
        <v/>
      </c>
      <c r="E2832" s="74" t="str">
        <f>IF(OR($D$3=JU!$F2832,$D$3=JU!$I2832),JU!E2832,"")</f>
        <v/>
      </c>
      <c r="F2832" s="72">
        <f>IF($D$3=JU!F2832,JU!H2832,0)</f>
        <v>0</v>
      </c>
      <c r="G2832" s="72">
        <f>IF($D$3=JU!I2832,JU!K2832,0)</f>
        <v>0</v>
      </c>
      <c r="H2832" s="72" t="e">
        <f t="shared" si="45"/>
        <v>#REF!</v>
      </c>
    </row>
    <row r="2833" spans="2:8" hidden="1">
      <c r="B2833" s="68" t="str">
        <f>IF(OR($D$3=JU!$F2833,$D$3=JU!$I2833),JU!B2833,"")</f>
        <v/>
      </c>
      <c r="C2833" s="6" t="str">
        <f>IF(OR($D$3=JU!$F2833,$D$3=JU!$I2833),JU!C2833,"")</f>
        <v/>
      </c>
      <c r="D2833" s="73" t="str">
        <f>IF(OR($D$3=JU!$F2833,$D$3=JU!$I2833),JU!D2833,"")</f>
        <v/>
      </c>
      <c r="E2833" s="74" t="str">
        <f>IF(OR($D$3=JU!$F2833,$D$3=JU!$I2833),JU!E2833,"")</f>
        <v/>
      </c>
      <c r="F2833" s="72">
        <f>IF($D$3=JU!F2833,JU!H2833,0)</f>
        <v>0</v>
      </c>
      <c r="G2833" s="72">
        <f>IF($D$3=JU!I2833,JU!K2833,0)</f>
        <v>0</v>
      </c>
      <c r="H2833" s="72" t="e">
        <f t="shared" si="45"/>
        <v>#REF!</v>
      </c>
    </row>
    <row r="2834" spans="2:8" hidden="1">
      <c r="B2834" s="68" t="str">
        <f>IF(OR($D$3=JU!$F2834,$D$3=JU!$I2834),JU!B2834,"")</f>
        <v/>
      </c>
      <c r="C2834" s="6" t="str">
        <f>IF(OR($D$3=JU!$F2834,$D$3=JU!$I2834),JU!C2834,"")</f>
        <v/>
      </c>
      <c r="D2834" s="73" t="str">
        <f>IF(OR($D$3=JU!$F2834,$D$3=JU!$I2834),JU!D2834,"")</f>
        <v/>
      </c>
      <c r="E2834" s="74" t="str">
        <f>IF(OR($D$3=JU!$F2834,$D$3=JU!$I2834),JU!E2834,"")</f>
        <v/>
      </c>
      <c r="F2834" s="72">
        <f>IF($D$3=JU!F2834,JU!H2834,0)</f>
        <v>0</v>
      </c>
      <c r="G2834" s="72">
        <f>IF($D$3=JU!I2834,JU!K2834,0)</f>
        <v>0</v>
      </c>
      <c r="H2834" s="72" t="e">
        <f t="shared" si="45"/>
        <v>#REF!</v>
      </c>
    </row>
    <row r="2835" spans="2:8" hidden="1">
      <c r="B2835" s="68" t="str">
        <f>IF(OR($D$3=JU!$F2835,$D$3=JU!$I2835),JU!B2835,"")</f>
        <v/>
      </c>
      <c r="C2835" s="6" t="str">
        <f>IF(OR($D$3=JU!$F2835,$D$3=JU!$I2835),JU!C2835,"")</f>
        <v/>
      </c>
      <c r="D2835" s="73" t="str">
        <f>IF(OR($D$3=JU!$F2835,$D$3=JU!$I2835),JU!D2835,"")</f>
        <v/>
      </c>
      <c r="E2835" s="74" t="str">
        <f>IF(OR($D$3=JU!$F2835,$D$3=JU!$I2835),JU!E2835,"")</f>
        <v/>
      </c>
      <c r="F2835" s="72">
        <f>IF($D$3=JU!F2835,JU!H2835,0)</f>
        <v>0</v>
      </c>
      <c r="G2835" s="72">
        <f>IF($D$3=JU!I2835,JU!K2835,0)</f>
        <v>0</v>
      </c>
      <c r="H2835" s="72" t="e">
        <f t="shared" si="45"/>
        <v>#REF!</v>
      </c>
    </row>
    <row r="2836" spans="2:8" hidden="1">
      <c r="B2836" s="68" t="str">
        <f>IF(OR($D$3=JU!$F2836,$D$3=JU!$I2836),JU!B2836,"")</f>
        <v/>
      </c>
      <c r="C2836" s="6" t="str">
        <f>IF(OR($D$3=JU!$F2836,$D$3=JU!$I2836),JU!C2836,"")</f>
        <v/>
      </c>
      <c r="D2836" s="73" t="str">
        <f>IF(OR($D$3=JU!$F2836,$D$3=JU!$I2836),JU!D2836,"")</f>
        <v/>
      </c>
      <c r="E2836" s="74" t="str">
        <f>IF(OR($D$3=JU!$F2836,$D$3=JU!$I2836),JU!E2836,"")</f>
        <v/>
      </c>
      <c r="F2836" s="72">
        <f>IF($D$3=JU!F2836,JU!H2836,0)</f>
        <v>0</v>
      </c>
      <c r="G2836" s="72">
        <f>IF($D$3=JU!I2836,JU!K2836,0)</f>
        <v>0</v>
      </c>
      <c r="H2836" s="72" t="e">
        <f t="shared" si="45"/>
        <v>#REF!</v>
      </c>
    </row>
    <row r="2837" spans="2:8" hidden="1">
      <c r="B2837" s="68" t="str">
        <f>IF(OR($D$3=JU!$F2837,$D$3=JU!$I2837),JU!B2837,"")</f>
        <v/>
      </c>
      <c r="C2837" s="6" t="str">
        <f>IF(OR($D$3=JU!$F2837,$D$3=JU!$I2837),JU!C2837,"")</f>
        <v/>
      </c>
      <c r="D2837" s="73" t="str">
        <f>IF(OR($D$3=JU!$F2837,$D$3=JU!$I2837),JU!D2837,"")</f>
        <v/>
      </c>
      <c r="E2837" s="74" t="str">
        <f>IF(OR($D$3=JU!$F2837,$D$3=JU!$I2837),JU!E2837,"")</f>
        <v/>
      </c>
      <c r="F2837" s="72">
        <f>IF($D$3=JU!F2837,JU!H2837,0)</f>
        <v>0</v>
      </c>
      <c r="G2837" s="72">
        <f>IF($D$3=JU!I2837,JU!K2837,0)</f>
        <v>0</v>
      </c>
      <c r="H2837" s="72" t="e">
        <f t="shared" si="45"/>
        <v>#REF!</v>
      </c>
    </row>
    <row r="2838" spans="2:8" hidden="1">
      <c r="B2838" s="68" t="str">
        <f>IF(OR($D$3=JU!$F2838,$D$3=JU!$I2838),JU!B2838,"")</f>
        <v/>
      </c>
      <c r="C2838" s="6" t="str">
        <f>IF(OR($D$3=JU!$F2838,$D$3=JU!$I2838),JU!C2838,"")</f>
        <v/>
      </c>
      <c r="D2838" s="73" t="str">
        <f>IF(OR($D$3=JU!$F2838,$D$3=JU!$I2838),JU!D2838,"")</f>
        <v/>
      </c>
      <c r="E2838" s="74" t="str">
        <f>IF(OR($D$3=JU!$F2838,$D$3=JU!$I2838),JU!E2838,"")</f>
        <v/>
      </c>
      <c r="F2838" s="72">
        <f>IF($D$3=JU!F2838,JU!H2838,0)</f>
        <v>0</v>
      </c>
      <c r="G2838" s="72">
        <f>IF($D$3=JU!I2838,JU!K2838,0)</f>
        <v>0</v>
      </c>
      <c r="H2838" s="72" t="e">
        <f t="shared" si="45"/>
        <v>#REF!</v>
      </c>
    </row>
    <row r="2839" spans="2:8" hidden="1">
      <c r="B2839" s="68" t="str">
        <f>IF(OR($D$3=JU!$F2839,$D$3=JU!$I2839),JU!B2839,"")</f>
        <v/>
      </c>
      <c r="C2839" s="6" t="str">
        <f>IF(OR($D$3=JU!$F2839,$D$3=JU!$I2839),JU!C2839,"")</f>
        <v/>
      </c>
      <c r="D2839" s="73" t="str">
        <f>IF(OR($D$3=JU!$F2839,$D$3=JU!$I2839),JU!D2839,"")</f>
        <v/>
      </c>
      <c r="E2839" s="74" t="str">
        <f>IF(OR($D$3=JU!$F2839,$D$3=JU!$I2839),JU!E2839,"")</f>
        <v/>
      </c>
      <c r="F2839" s="72">
        <f>IF($D$3=JU!F2839,JU!H2839,0)</f>
        <v>0</v>
      </c>
      <c r="G2839" s="72">
        <f>IF($D$3=JU!I2839,JU!K2839,0)</f>
        <v>0</v>
      </c>
      <c r="H2839" s="72" t="e">
        <f t="shared" si="45"/>
        <v>#REF!</v>
      </c>
    </row>
    <row r="2840" spans="2:8" hidden="1">
      <c r="B2840" s="68" t="str">
        <f>IF(OR($D$3=JU!$F2840,$D$3=JU!$I2840),JU!B2840,"")</f>
        <v/>
      </c>
      <c r="C2840" s="6" t="str">
        <f>IF(OR($D$3=JU!$F2840,$D$3=JU!$I2840),JU!C2840,"")</f>
        <v/>
      </c>
      <c r="D2840" s="73" t="str">
        <f>IF(OR($D$3=JU!$F2840,$D$3=JU!$I2840),JU!D2840,"")</f>
        <v/>
      </c>
      <c r="E2840" s="74" t="str">
        <f>IF(OR($D$3=JU!$F2840,$D$3=JU!$I2840),JU!E2840,"")</f>
        <v/>
      </c>
      <c r="F2840" s="72">
        <f>IF($D$3=JU!F2840,JU!H2840,0)</f>
        <v>0</v>
      </c>
      <c r="G2840" s="72">
        <f>IF($D$3=JU!I2840,JU!K2840,0)</f>
        <v>0</v>
      </c>
      <c r="H2840" s="72" t="e">
        <f t="shared" si="45"/>
        <v>#REF!</v>
      </c>
    </row>
    <row r="2841" spans="2:8" hidden="1">
      <c r="B2841" s="68" t="str">
        <f>IF(OR($D$3=JU!$F2841,$D$3=JU!$I2841),JU!B2841,"")</f>
        <v/>
      </c>
      <c r="C2841" s="6" t="str">
        <f>IF(OR($D$3=JU!$F2841,$D$3=JU!$I2841),JU!C2841,"")</f>
        <v/>
      </c>
      <c r="D2841" s="73" t="str">
        <f>IF(OR($D$3=JU!$F2841,$D$3=JU!$I2841),JU!D2841,"")</f>
        <v/>
      </c>
      <c r="E2841" s="74" t="str">
        <f>IF(OR($D$3=JU!$F2841,$D$3=JU!$I2841),JU!E2841,"")</f>
        <v/>
      </c>
      <c r="F2841" s="72">
        <f>IF($D$3=JU!F2841,JU!H2841,0)</f>
        <v>0</v>
      </c>
      <c r="G2841" s="72">
        <f>IF($D$3=JU!I2841,JU!K2841,0)</f>
        <v>0</v>
      </c>
      <c r="H2841" s="72" t="e">
        <f t="shared" si="45"/>
        <v>#REF!</v>
      </c>
    </row>
    <row r="2842" spans="2:8" hidden="1">
      <c r="B2842" s="68" t="str">
        <f>IF(OR($D$3=JU!$F2842,$D$3=JU!$I2842),JU!B2842,"")</f>
        <v/>
      </c>
      <c r="C2842" s="6" t="str">
        <f>IF(OR($D$3=JU!$F2842,$D$3=JU!$I2842),JU!C2842,"")</f>
        <v/>
      </c>
      <c r="D2842" s="73" t="str">
        <f>IF(OR($D$3=JU!$F2842,$D$3=JU!$I2842),JU!D2842,"")</f>
        <v/>
      </c>
      <c r="E2842" s="74" t="str">
        <f>IF(OR($D$3=JU!$F2842,$D$3=JU!$I2842),JU!E2842,"")</f>
        <v/>
      </c>
      <c r="F2842" s="72">
        <f>IF($D$3=JU!F2842,JU!H2842,0)</f>
        <v>0</v>
      </c>
      <c r="G2842" s="72">
        <f>IF($D$3=JU!I2842,JU!K2842,0)</f>
        <v>0</v>
      </c>
      <c r="H2842" s="72" t="e">
        <f t="shared" si="45"/>
        <v>#REF!</v>
      </c>
    </row>
    <row r="2843" spans="2:8" hidden="1">
      <c r="B2843" s="68" t="str">
        <f>IF(OR($D$3=JU!$F2843,$D$3=JU!$I2843),JU!B2843,"")</f>
        <v/>
      </c>
      <c r="C2843" s="6" t="str">
        <f>IF(OR($D$3=JU!$F2843,$D$3=JU!$I2843),JU!C2843,"")</f>
        <v/>
      </c>
      <c r="D2843" s="73" t="str">
        <f>IF(OR($D$3=JU!$F2843,$D$3=JU!$I2843),JU!D2843,"")</f>
        <v/>
      </c>
      <c r="E2843" s="74" t="str">
        <f>IF(OR($D$3=JU!$F2843,$D$3=JU!$I2843),JU!E2843,"")</f>
        <v/>
      </c>
      <c r="F2843" s="72">
        <f>IF($D$3=JU!F2843,JU!H2843,0)</f>
        <v>0</v>
      </c>
      <c r="G2843" s="72">
        <f>IF($D$3=JU!I2843,JU!K2843,0)</f>
        <v>0</v>
      </c>
      <c r="H2843" s="72" t="e">
        <f t="shared" si="45"/>
        <v>#REF!</v>
      </c>
    </row>
    <row r="2844" spans="2:8" hidden="1">
      <c r="B2844" s="68" t="str">
        <f>IF(OR($D$3=JU!$F2844,$D$3=JU!$I2844),JU!B2844,"")</f>
        <v/>
      </c>
      <c r="C2844" s="6" t="str">
        <f>IF(OR($D$3=JU!$F2844,$D$3=JU!$I2844),JU!C2844,"")</f>
        <v/>
      </c>
      <c r="D2844" s="73" t="str">
        <f>IF(OR($D$3=JU!$F2844,$D$3=JU!$I2844),JU!D2844,"")</f>
        <v/>
      </c>
      <c r="E2844" s="74" t="str">
        <f>IF(OR($D$3=JU!$F2844,$D$3=JU!$I2844),JU!E2844,"")</f>
        <v/>
      </c>
      <c r="F2844" s="72">
        <f>IF($D$3=JU!F2844,JU!H2844,0)</f>
        <v>0</v>
      </c>
      <c r="G2844" s="72">
        <f>IF($D$3=JU!I2844,JU!K2844,0)</f>
        <v>0</v>
      </c>
      <c r="H2844" s="72" t="e">
        <f t="shared" si="45"/>
        <v>#REF!</v>
      </c>
    </row>
    <row r="2845" spans="2:8" hidden="1">
      <c r="B2845" s="68" t="str">
        <f>IF(OR($D$3=JU!$F2845,$D$3=JU!$I2845),JU!B2845,"")</f>
        <v/>
      </c>
      <c r="C2845" s="6" t="str">
        <f>IF(OR($D$3=JU!$F2845,$D$3=JU!$I2845),JU!C2845,"")</f>
        <v/>
      </c>
      <c r="D2845" s="73" t="str">
        <f>IF(OR($D$3=JU!$F2845,$D$3=JU!$I2845),JU!D2845,"")</f>
        <v/>
      </c>
      <c r="E2845" s="74" t="str">
        <f>IF(OR($D$3=JU!$F2845,$D$3=JU!$I2845),JU!E2845,"")</f>
        <v/>
      </c>
      <c r="F2845" s="72">
        <f>IF($D$3=JU!F2845,JU!H2845,0)</f>
        <v>0</v>
      </c>
      <c r="G2845" s="72">
        <f>IF($D$3=JU!I2845,JU!K2845,0)</f>
        <v>0</v>
      </c>
      <c r="H2845" s="72" t="e">
        <f t="shared" si="45"/>
        <v>#REF!</v>
      </c>
    </row>
    <row r="2846" spans="2:8" hidden="1">
      <c r="B2846" s="68" t="str">
        <f>IF(OR($D$3=JU!$F2846,$D$3=JU!$I2846),JU!B2846,"")</f>
        <v/>
      </c>
      <c r="C2846" s="6" t="str">
        <f>IF(OR($D$3=JU!$F2846,$D$3=JU!$I2846),JU!C2846,"")</f>
        <v/>
      </c>
      <c r="D2846" s="73" t="str">
        <f>IF(OR($D$3=JU!$F2846,$D$3=JU!$I2846),JU!D2846,"")</f>
        <v/>
      </c>
      <c r="E2846" s="74" t="str">
        <f>IF(OR($D$3=JU!$F2846,$D$3=JU!$I2846),JU!E2846,"")</f>
        <v/>
      </c>
      <c r="F2846" s="72">
        <f>IF($D$3=JU!F2846,JU!H2846,0)</f>
        <v>0</v>
      </c>
      <c r="G2846" s="72">
        <f>IF($D$3=JU!I2846,JU!K2846,0)</f>
        <v>0</v>
      </c>
      <c r="H2846" s="72" t="e">
        <f t="shared" si="45"/>
        <v>#REF!</v>
      </c>
    </row>
    <row r="2847" spans="2:8" hidden="1">
      <c r="B2847" s="68" t="str">
        <f>IF(OR($D$3=JU!$F2847,$D$3=JU!$I2847),JU!B2847,"")</f>
        <v/>
      </c>
      <c r="C2847" s="6" t="str">
        <f>IF(OR($D$3=JU!$F2847,$D$3=JU!$I2847),JU!C2847,"")</f>
        <v/>
      </c>
      <c r="D2847" s="73" t="str">
        <f>IF(OR($D$3=JU!$F2847,$D$3=JU!$I2847),JU!D2847,"")</f>
        <v/>
      </c>
      <c r="E2847" s="74" t="str">
        <f>IF(OR($D$3=JU!$F2847,$D$3=JU!$I2847),JU!E2847,"")</f>
        <v/>
      </c>
      <c r="F2847" s="72">
        <f>IF($D$3=JU!F2847,JU!H2847,0)</f>
        <v>0</v>
      </c>
      <c r="G2847" s="72">
        <f>IF($D$3=JU!I2847,JU!K2847,0)</f>
        <v>0</v>
      </c>
      <c r="H2847" s="72" t="e">
        <f t="shared" si="45"/>
        <v>#REF!</v>
      </c>
    </row>
    <row r="2848" spans="2:8" hidden="1">
      <c r="B2848" s="68" t="str">
        <f>IF(OR($D$3=JU!$F2848,$D$3=JU!$I2848),JU!B2848,"")</f>
        <v/>
      </c>
      <c r="C2848" s="6" t="str">
        <f>IF(OR($D$3=JU!$F2848,$D$3=JU!$I2848),JU!C2848,"")</f>
        <v/>
      </c>
      <c r="D2848" s="73" t="str">
        <f>IF(OR($D$3=JU!$F2848,$D$3=JU!$I2848),JU!D2848,"")</f>
        <v/>
      </c>
      <c r="E2848" s="74" t="str">
        <f>IF(OR($D$3=JU!$F2848,$D$3=JU!$I2848),JU!E2848,"")</f>
        <v/>
      </c>
      <c r="F2848" s="72">
        <f>IF($D$3=JU!F2848,JU!H2848,0)</f>
        <v>0</v>
      </c>
      <c r="G2848" s="72">
        <f>IF($D$3=JU!I2848,JU!K2848,0)</f>
        <v>0</v>
      </c>
      <c r="H2848" s="72" t="e">
        <f t="shared" si="45"/>
        <v>#REF!</v>
      </c>
    </row>
    <row r="2849" spans="2:8" hidden="1">
      <c r="B2849" s="68" t="str">
        <f>IF(OR($D$3=JU!$F2849,$D$3=JU!$I2849),JU!B2849,"")</f>
        <v/>
      </c>
      <c r="C2849" s="6" t="str">
        <f>IF(OR($D$3=JU!$F2849,$D$3=JU!$I2849),JU!C2849,"")</f>
        <v/>
      </c>
      <c r="D2849" s="73" t="str">
        <f>IF(OR($D$3=JU!$F2849,$D$3=JU!$I2849),JU!D2849,"")</f>
        <v/>
      </c>
      <c r="E2849" s="74" t="str">
        <f>IF(OR($D$3=JU!$F2849,$D$3=JU!$I2849),JU!E2849,"")</f>
        <v/>
      </c>
      <c r="F2849" s="72">
        <f>IF($D$3=JU!F2849,JU!H2849,0)</f>
        <v>0</v>
      </c>
      <c r="G2849" s="72">
        <f>IF($D$3=JU!I2849,JU!K2849,0)</f>
        <v>0</v>
      </c>
      <c r="H2849" s="72" t="e">
        <f t="shared" si="45"/>
        <v>#REF!</v>
      </c>
    </row>
    <row r="2850" spans="2:8" hidden="1">
      <c r="B2850" s="68" t="str">
        <f>IF(OR($D$3=JU!$F2850,$D$3=JU!$I2850),JU!B2850,"")</f>
        <v/>
      </c>
      <c r="C2850" s="6" t="str">
        <f>IF(OR($D$3=JU!$F2850,$D$3=JU!$I2850),JU!C2850,"")</f>
        <v/>
      </c>
      <c r="D2850" s="73" t="str">
        <f>IF(OR($D$3=JU!$F2850,$D$3=JU!$I2850),JU!D2850,"")</f>
        <v/>
      </c>
      <c r="E2850" s="74" t="str">
        <f>IF(OR($D$3=JU!$F2850,$D$3=JU!$I2850),JU!E2850,"")</f>
        <v/>
      </c>
      <c r="F2850" s="72">
        <f>IF($D$3=JU!F2850,JU!H2850,0)</f>
        <v>0</v>
      </c>
      <c r="G2850" s="72">
        <f>IF($D$3=JU!I2850,JU!K2850,0)</f>
        <v>0</v>
      </c>
      <c r="H2850" s="72" t="e">
        <f t="shared" si="45"/>
        <v>#REF!</v>
      </c>
    </row>
    <row r="2851" spans="2:8" hidden="1">
      <c r="B2851" s="68" t="str">
        <f>IF(OR($D$3=JU!$F2851,$D$3=JU!$I2851),JU!B2851,"")</f>
        <v/>
      </c>
      <c r="C2851" s="6" t="str">
        <f>IF(OR($D$3=JU!$F2851,$D$3=JU!$I2851),JU!C2851,"")</f>
        <v/>
      </c>
      <c r="D2851" s="73" t="str">
        <f>IF(OR($D$3=JU!$F2851,$D$3=JU!$I2851),JU!D2851,"")</f>
        <v/>
      </c>
      <c r="E2851" s="74" t="str">
        <f>IF(OR($D$3=JU!$F2851,$D$3=JU!$I2851),JU!E2851,"")</f>
        <v/>
      </c>
      <c r="F2851" s="72">
        <f>IF($D$3=JU!F2851,JU!H2851,0)</f>
        <v>0</v>
      </c>
      <c r="G2851" s="72">
        <f>IF($D$3=JU!I2851,JU!K2851,0)</f>
        <v>0</v>
      </c>
      <c r="H2851" s="72" t="e">
        <f t="shared" si="45"/>
        <v>#REF!</v>
      </c>
    </row>
    <row r="2852" spans="2:8" hidden="1">
      <c r="B2852" s="68" t="str">
        <f>IF(OR($D$3=JU!$F2852,$D$3=JU!$I2852),JU!B2852,"")</f>
        <v/>
      </c>
      <c r="C2852" s="6" t="str">
        <f>IF(OR($D$3=JU!$F2852,$D$3=JU!$I2852),JU!C2852,"")</f>
        <v/>
      </c>
      <c r="D2852" s="73" t="str">
        <f>IF(OR($D$3=JU!$F2852,$D$3=JU!$I2852),JU!D2852,"")</f>
        <v/>
      </c>
      <c r="E2852" s="74" t="str">
        <f>IF(OR($D$3=JU!$F2852,$D$3=JU!$I2852),JU!E2852,"")</f>
        <v/>
      </c>
      <c r="F2852" s="72">
        <f>IF($D$3=JU!F2852,JU!H2852,0)</f>
        <v>0</v>
      </c>
      <c r="G2852" s="72">
        <f>IF($D$3=JU!I2852,JU!K2852,0)</f>
        <v>0</v>
      </c>
      <c r="H2852" s="72" t="e">
        <f t="shared" si="45"/>
        <v>#REF!</v>
      </c>
    </row>
    <row r="2853" spans="2:8" hidden="1">
      <c r="B2853" s="68" t="str">
        <f>IF(OR($D$3=JU!$F2853,$D$3=JU!$I2853),JU!B2853,"")</f>
        <v/>
      </c>
      <c r="C2853" s="6" t="str">
        <f>IF(OR($D$3=JU!$F2853,$D$3=JU!$I2853),JU!C2853,"")</f>
        <v/>
      </c>
      <c r="D2853" s="73" t="str">
        <f>IF(OR($D$3=JU!$F2853,$D$3=JU!$I2853),JU!D2853,"")</f>
        <v/>
      </c>
      <c r="E2853" s="74" t="str">
        <f>IF(OR($D$3=JU!$F2853,$D$3=JU!$I2853),JU!E2853,"")</f>
        <v/>
      </c>
      <c r="F2853" s="72">
        <f>IF($D$3=JU!F2853,JU!H2853,0)</f>
        <v>0</v>
      </c>
      <c r="G2853" s="72">
        <f>IF($D$3=JU!I2853,JU!K2853,0)</f>
        <v>0</v>
      </c>
      <c r="H2853" s="72" t="e">
        <f t="shared" si="45"/>
        <v>#REF!</v>
      </c>
    </row>
    <row r="2854" spans="2:8" hidden="1">
      <c r="B2854" s="68" t="str">
        <f>IF(OR($D$3=JU!$F2854,$D$3=JU!$I2854),JU!B2854,"")</f>
        <v/>
      </c>
      <c r="C2854" s="6" t="str">
        <f>IF(OR($D$3=JU!$F2854,$D$3=JU!$I2854),JU!C2854,"")</f>
        <v/>
      </c>
      <c r="D2854" s="73" t="str">
        <f>IF(OR($D$3=JU!$F2854,$D$3=JU!$I2854),JU!D2854,"")</f>
        <v/>
      </c>
      <c r="E2854" s="74" t="str">
        <f>IF(OR($D$3=JU!$F2854,$D$3=JU!$I2854),JU!E2854,"")</f>
        <v/>
      </c>
      <c r="F2854" s="72">
        <f>IF($D$3=JU!F2854,JU!H2854,0)</f>
        <v>0</v>
      </c>
      <c r="G2854" s="72">
        <f>IF($D$3=JU!I2854,JU!K2854,0)</f>
        <v>0</v>
      </c>
      <c r="H2854" s="72" t="e">
        <f t="shared" si="45"/>
        <v>#REF!</v>
      </c>
    </row>
    <row r="2855" spans="2:8" hidden="1">
      <c r="B2855" s="68" t="str">
        <f>IF(OR($D$3=JU!$F2855,$D$3=JU!$I2855),JU!B2855,"")</f>
        <v/>
      </c>
      <c r="C2855" s="6" t="str">
        <f>IF(OR($D$3=JU!$F2855,$D$3=JU!$I2855),JU!C2855,"")</f>
        <v/>
      </c>
      <c r="D2855" s="73" t="str">
        <f>IF(OR($D$3=JU!$F2855,$D$3=JU!$I2855),JU!D2855,"")</f>
        <v/>
      </c>
      <c r="E2855" s="74" t="str">
        <f>IF(OR($D$3=JU!$F2855,$D$3=JU!$I2855),JU!E2855,"")</f>
        <v/>
      </c>
      <c r="F2855" s="72">
        <f>IF($D$3=JU!F2855,JU!H2855,0)</f>
        <v>0</v>
      </c>
      <c r="G2855" s="72">
        <f>IF($D$3=JU!I2855,JU!K2855,0)</f>
        <v>0</v>
      </c>
      <c r="H2855" s="72" t="e">
        <f t="shared" si="45"/>
        <v>#REF!</v>
      </c>
    </row>
    <row r="2856" spans="2:8" hidden="1">
      <c r="B2856" s="68" t="str">
        <f>IF(OR($D$3=JU!$F2856,$D$3=JU!$I2856),JU!B2856,"")</f>
        <v/>
      </c>
      <c r="C2856" s="6" t="str">
        <f>IF(OR($D$3=JU!$F2856,$D$3=JU!$I2856),JU!C2856,"")</f>
        <v/>
      </c>
      <c r="D2856" s="73" t="str">
        <f>IF(OR($D$3=JU!$F2856,$D$3=JU!$I2856),JU!D2856,"")</f>
        <v/>
      </c>
      <c r="E2856" s="74" t="str">
        <f>IF(OR($D$3=JU!$F2856,$D$3=JU!$I2856),JU!E2856,"")</f>
        <v/>
      </c>
      <c r="F2856" s="72">
        <f>IF($D$3=JU!F2856,JU!H2856,0)</f>
        <v>0</v>
      </c>
      <c r="G2856" s="72">
        <f>IF($D$3=JU!I2856,JU!K2856,0)</f>
        <v>0</v>
      </c>
      <c r="H2856" s="72" t="e">
        <f t="shared" si="45"/>
        <v>#REF!</v>
      </c>
    </row>
    <row r="2857" spans="2:8" hidden="1">
      <c r="B2857" s="68" t="str">
        <f>IF(OR($D$3=JU!$F2857,$D$3=JU!$I2857),JU!B2857,"")</f>
        <v/>
      </c>
      <c r="C2857" s="6" t="str">
        <f>IF(OR($D$3=JU!$F2857,$D$3=JU!$I2857),JU!C2857,"")</f>
        <v/>
      </c>
      <c r="D2857" s="73" t="str">
        <f>IF(OR($D$3=JU!$F2857,$D$3=JU!$I2857),JU!D2857,"")</f>
        <v/>
      </c>
      <c r="E2857" s="74" t="str">
        <f>IF(OR($D$3=JU!$F2857,$D$3=JU!$I2857),JU!E2857,"")</f>
        <v/>
      </c>
      <c r="F2857" s="72">
        <f>IF($D$3=JU!F2857,JU!H2857,0)</f>
        <v>0</v>
      </c>
      <c r="G2857" s="72">
        <f>IF($D$3=JU!I2857,JU!K2857,0)</f>
        <v>0</v>
      </c>
      <c r="H2857" s="72" t="e">
        <f t="shared" si="45"/>
        <v>#REF!</v>
      </c>
    </row>
    <row r="2858" spans="2:8" hidden="1">
      <c r="B2858" s="68" t="str">
        <f>IF(OR($D$3=JU!$F2858,$D$3=JU!$I2858),JU!B2858,"")</f>
        <v/>
      </c>
      <c r="C2858" s="6" t="str">
        <f>IF(OR($D$3=JU!$F2858,$D$3=JU!$I2858),JU!C2858,"")</f>
        <v/>
      </c>
      <c r="D2858" s="73" t="str">
        <f>IF(OR($D$3=JU!$F2858,$D$3=JU!$I2858),JU!D2858,"")</f>
        <v/>
      </c>
      <c r="E2858" s="74" t="str">
        <f>IF(OR($D$3=JU!$F2858,$D$3=JU!$I2858),JU!E2858,"")</f>
        <v/>
      </c>
      <c r="F2858" s="72">
        <f>IF($D$3=JU!F2858,JU!H2858,0)</f>
        <v>0</v>
      </c>
      <c r="G2858" s="72">
        <f>IF($D$3=JU!I2858,JU!K2858,0)</f>
        <v>0</v>
      </c>
      <c r="H2858" s="72" t="e">
        <f t="shared" si="45"/>
        <v>#REF!</v>
      </c>
    </row>
    <row r="2859" spans="2:8" hidden="1">
      <c r="B2859" s="68" t="str">
        <f>IF(OR($D$3=JU!$F2859,$D$3=JU!$I2859),JU!B2859,"")</f>
        <v/>
      </c>
      <c r="C2859" s="6" t="str">
        <f>IF(OR($D$3=JU!$F2859,$D$3=JU!$I2859),JU!C2859,"")</f>
        <v/>
      </c>
      <c r="D2859" s="73" t="str">
        <f>IF(OR($D$3=JU!$F2859,$D$3=JU!$I2859),JU!D2859,"")</f>
        <v/>
      </c>
      <c r="E2859" s="74" t="str">
        <f>IF(OR($D$3=JU!$F2859,$D$3=JU!$I2859),JU!E2859,"")</f>
        <v/>
      </c>
      <c r="F2859" s="72">
        <f>IF($D$3=JU!F2859,JU!H2859,0)</f>
        <v>0</v>
      </c>
      <c r="G2859" s="72">
        <f>IF($D$3=JU!I2859,JU!K2859,0)</f>
        <v>0</v>
      </c>
      <c r="H2859" s="72" t="e">
        <f t="shared" si="45"/>
        <v>#REF!</v>
      </c>
    </row>
    <row r="2860" spans="2:8" hidden="1">
      <c r="B2860" s="68" t="str">
        <f>IF(OR($D$3=JU!$F2860,$D$3=JU!$I2860),JU!B2860,"")</f>
        <v/>
      </c>
      <c r="C2860" s="6" t="str">
        <f>IF(OR($D$3=JU!$F2860,$D$3=JU!$I2860),JU!C2860,"")</f>
        <v/>
      </c>
      <c r="D2860" s="73" t="str">
        <f>IF(OR($D$3=JU!$F2860,$D$3=JU!$I2860),JU!D2860,"")</f>
        <v/>
      </c>
      <c r="E2860" s="74" t="str">
        <f>IF(OR($D$3=JU!$F2860,$D$3=JU!$I2860),JU!E2860,"")</f>
        <v/>
      </c>
      <c r="F2860" s="72">
        <f>IF($D$3=JU!F2860,JU!H2860,0)</f>
        <v>0</v>
      </c>
      <c r="G2860" s="72">
        <f>IF($D$3=JU!I2860,JU!K2860,0)</f>
        <v>0</v>
      </c>
      <c r="H2860" s="72" t="e">
        <f t="shared" si="45"/>
        <v>#REF!</v>
      </c>
    </row>
    <row r="2861" spans="2:8" hidden="1">
      <c r="B2861" s="68" t="str">
        <f>IF(OR($D$3=JU!$F2861,$D$3=JU!$I2861),JU!B2861,"")</f>
        <v/>
      </c>
      <c r="C2861" s="6" t="str">
        <f>IF(OR($D$3=JU!$F2861,$D$3=JU!$I2861),JU!C2861,"")</f>
        <v/>
      </c>
      <c r="D2861" s="73" t="str">
        <f>IF(OR($D$3=JU!$F2861,$D$3=JU!$I2861),JU!D2861,"")</f>
        <v/>
      </c>
      <c r="E2861" s="74" t="str">
        <f>IF(OR($D$3=JU!$F2861,$D$3=JU!$I2861),JU!E2861,"")</f>
        <v/>
      </c>
      <c r="F2861" s="72">
        <f>IF($D$3=JU!F2861,JU!H2861,0)</f>
        <v>0</v>
      </c>
      <c r="G2861" s="72">
        <f>IF($D$3=JU!I2861,JU!K2861,0)</f>
        <v>0</v>
      </c>
      <c r="H2861" s="72" t="e">
        <f t="shared" si="45"/>
        <v>#REF!</v>
      </c>
    </row>
    <row r="2862" spans="2:8" hidden="1">
      <c r="B2862" s="68" t="str">
        <f>IF(OR($D$3=JU!$F2862,$D$3=JU!$I2862),JU!B2862,"")</f>
        <v/>
      </c>
      <c r="C2862" s="6" t="str">
        <f>IF(OR($D$3=JU!$F2862,$D$3=JU!$I2862),JU!C2862,"")</f>
        <v/>
      </c>
      <c r="D2862" s="73" t="str">
        <f>IF(OR($D$3=JU!$F2862,$D$3=JU!$I2862),JU!D2862,"")</f>
        <v/>
      </c>
      <c r="E2862" s="74" t="str">
        <f>IF(OR($D$3=JU!$F2862,$D$3=JU!$I2862),JU!E2862,"")</f>
        <v/>
      </c>
      <c r="F2862" s="72">
        <f>IF($D$3=JU!F2862,JU!H2862,0)</f>
        <v>0</v>
      </c>
      <c r="G2862" s="72">
        <f>IF($D$3=JU!I2862,JU!K2862,0)</f>
        <v>0</v>
      </c>
      <c r="H2862" s="72" t="e">
        <f t="shared" si="45"/>
        <v>#REF!</v>
      </c>
    </row>
    <row r="2863" spans="2:8" hidden="1">
      <c r="B2863" s="68" t="str">
        <f>IF(OR($D$3=JU!$F2863,$D$3=JU!$I2863),JU!B2863,"")</f>
        <v/>
      </c>
      <c r="C2863" s="6" t="str">
        <f>IF(OR($D$3=JU!$F2863,$D$3=JU!$I2863),JU!C2863,"")</f>
        <v/>
      </c>
      <c r="D2863" s="73" t="str">
        <f>IF(OR($D$3=JU!$F2863,$D$3=JU!$I2863),JU!D2863,"")</f>
        <v/>
      </c>
      <c r="E2863" s="74" t="str">
        <f>IF(OR($D$3=JU!$F2863,$D$3=JU!$I2863),JU!E2863,"")</f>
        <v/>
      </c>
      <c r="F2863" s="72">
        <f>IF($D$3=JU!F2863,JU!H2863,0)</f>
        <v>0</v>
      </c>
      <c r="G2863" s="72">
        <f>IF($D$3=JU!I2863,JU!K2863,0)</f>
        <v>0</v>
      </c>
      <c r="H2863" s="72" t="e">
        <f t="shared" si="45"/>
        <v>#REF!</v>
      </c>
    </row>
    <row r="2864" spans="2:8" hidden="1">
      <c r="B2864" s="68" t="str">
        <f>IF(OR($D$3=JU!$F2864,$D$3=JU!$I2864),JU!B2864,"")</f>
        <v/>
      </c>
      <c r="C2864" s="6" t="str">
        <f>IF(OR($D$3=JU!$F2864,$D$3=JU!$I2864),JU!C2864,"")</f>
        <v/>
      </c>
      <c r="D2864" s="73" t="str">
        <f>IF(OR($D$3=JU!$F2864,$D$3=JU!$I2864),JU!D2864,"")</f>
        <v/>
      </c>
      <c r="E2864" s="74" t="str">
        <f>IF(OR($D$3=JU!$F2864,$D$3=JU!$I2864),JU!E2864,"")</f>
        <v/>
      </c>
      <c r="F2864" s="72">
        <f>IF($D$3=JU!F2864,JU!H2864,0)</f>
        <v>0</v>
      </c>
      <c r="G2864" s="72">
        <f>IF($D$3=JU!I2864,JU!K2864,0)</f>
        <v>0</v>
      </c>
      <c r="H2864" s="72" t="e">
        <f t="shared" si="45"/>
        <v>#REF!</v>
      </c>
    </row>
    <row r="2865" spans="2:8" hidden="1">
      <c r="B2865" s="68" t="str">
        <f>IF(OR($D$3=JU!$F2865,$D$3=JU!$I2865),JU!B2865,"")</f>
        <v/>
      </c>
      <c r="C2865" s="6" t="str">
        <f>IF(OR($D$3=JU!$F2865,$D$3=JU!$I2865),JU!C2865,"")</f>
        <v/>
      </c>
      <c r="D2865" s="73" t="str">
        <f>IF(OR($D$3=JU!$F2865,$D$3=JU!$I2865),JU!D2865,"")</f>
        <v/>
      </c>
      <c r="E2865" s="74" t="str">
        <f>IF(OR($D$3=JU!$F2865,$D$3=JU!$I2865),JU!E2865,"")</f>
        <v/>
      </c>
      <c r="F2865" s="72">
        <f>IF($D$3=JU!F2865,JU!H2865,0)</f>
        <v>0</v>
      </c>
      <c r="G2865" s="72">
        <f>IF($D$3=JU!I2865,JU!K2865,0)</f>
        <v>0</v>
      </c>
      <c r="H2865" s="72" t="e">
        <f t="shared" si="45"/>
        <v>#REF!</v>
      </c>
    </row>
    <row r="2866" spans="2:8" hidden="1">
      <c r="B2866" s="68" t="str">
        <f>IF(OR($D$3=JU!$F2866,$D$3=JU!$I2866),JU!B2866,"")</f>
        <v/>
      </c>
      <c r="C2866" s="6" t="str">
        <f>IF(OR($D$3=JU!$F2866,$D$3=JU!$I2866),JU!C2866,"")</f>
        <v/>
      </c>
      <c r="D2866" s="73" t="str">
        <f>IF(OR($D$3=JU!$F2866,$D$3=JU!$I2866),JU!D2866,"")</f>
        <v/>
      </c>
      <c r="E2866" s="74" t="str">
        <f>IF(OR($D$3=JU!$F2866,$D$3=JU!$I2866),JU!E2866,"")</f>
        <v/>
      </c>
      <c r="F2866" s="72">
        <f>IF($D$3=JU!F2866,JU!H2866,0)</f>
        <v>0</v>
      </c>
      <c r="G2866" s="72">
        <f>IF($D$3=JU!I2866,JU!K2866,0)</f>
        <v>0</v>
      </c>
      <c r="H2866" s="72" t="e">
        <f t="shared" si="45"/>
        <v>#REF!</v>
      </c>
    </row>
    <row r="2867" spans="2:8" hidden="1">
      <c r="B2867" s="68" t="str">
        <f>IF(OR($D$3=JU!$F2867,$D$3=JU!$I2867),JU!B2867,"")</f>
        <v/>
      </c>
      <c r="C2867" s="6" t="str">
        <f>IF(OR($D$3=JU!$F2867,$D$3=JU!$I2867),JU!C2867,"")</f>
        <v/>
      </c>
      <c r="D2867" s="73" t="str">
        <f>IF(OR($D$3=JU!$F2867,$D$3=JU!$I2867),JU!D2867,"")</f>
        <v/>
      </c>
      <c r="E2867" s="74" t="str">
        <f>IF(OR($D$3=JU!$F2867,$D$3=JU!$I2867),JU!E2867,"")</f>
        <v/>
      </c>
      <c r="F2867" s="72">
        <f>IF($D$3=JU!F2867,JU!H2867,0)</f>
        <v>0</v>
      </c>
      <c r="G2867" s="72">
        <f>IF($D$3=JU!I2867,JU!K2867,0)</f>
        <v>0</v>
      </c>
      <c r="H2867" s="72" t="e">
        <f t="shared" si="45"/>
        <v>#REF!</v>
      </c>
    </row>
    <row r="2868" spans="2:8" hidden="1">
      <c r="B2868" s="68" t="str">
        <f>IF(OR($D$3=JU!$F2868,$D$3=JU!$I2868),JU!B2868,"")</f>
        <v/>
      </c>
      <c r="C2868" s="6" t="str">
        <f>IF(OR($D$3=JU!$F2868,$D$3=JU!$I2868),JU!C2868,"")</f>
        <v/>
      </c>
      <c r="D2868" s="73" t="str">
        <f>IF(OR($D$3=JU!$F2868,$D$3=JU!$I2868),JU!D2868,"")</f>
        <v/>
      </c>
      <c r="E2868" s="74" t="str">
        <f>IF(OR($D$3=JU!$F2868,$D$3=JU!$I2868),JU!E2868,"")</f>
        <v/>
      </c>
      <c r="F2868" s="72">
        <f>IF($D$3=JU!F2868,JU!H2868,0)</f>
        <v>0</v>
      </c>
      <c r="G2868" s="72">
        <f>IF($D$3=JU!I2868,JU!K2868,0)</f>
        <v>0</v>
      </c>
      <c r="H2868" s="72" t="e">
        <f t="shared" si="45"/>
        <v>#REF!</v>
      </c>
    </row>
    <row r="2869" spans="2:8" hidden="1">
      <c r="B2869" s="68" t="str">
        <f>IF(OR($D$3=JU!$F2869,$D$3=JU!$I2869),JU!B2869,"")</f>
        <v/>
      </c>
      <c r="C2869" s="6" t="str">
        <f>IF(OR($D$3=JU!$F2869,$D$3=JU!$I2869),JU!C2869,"")</f>
        <v/>
      </c>
      <c r="D2869" s="73" t="str">
        <f>IF(OR($D$3=JU!$F2869,$D$3=JU!$I2869),JU!D2869,"")</f>
        <v/>
      </c>
      <c r="E2869" s="74" t="str">
        <f>IF(OR($D$3=JU!$F2869,$D$3=JU!$I2869),JU!E2869,"")</f>
        <v/>
      </c>
      <c r="F2869" s="72">
        <f>IF($D$3=JU!F2869,JU!H2869,0)</f>
        <v>0</v>
      </c>
      <c r="G2869" s="72">
        <f>IF($D$3=JU!I2869,JU!K2869,0)</f>
        <v>0</v>
      </c>
      <c r="H2869" s="72" t="e">
        <f t="shared" si="45"/>
        <v>#REF!</v>
      </c>
    </row>
    <row r="2870" spans="2:8" hidden="1">
      <c r="B2870" s="68" t="str">
        <f>IF(OR($D$3=JU!$F2870,$D$3=JU!$I2870),JU!B2870,"")</f>
        <v/>
      </c>
      <c r="C2870" s="6" t="str">
        <f>IF(OR($D$3=JU!$F2870,$D$3=JU!$I2870),JU!C2870,"")</f>
        <v/>
      </c>
      <c r="D2870" s="73" t="str">
        <f>IF(OR($D$3=JU!$F2870,$D$3=JU!$I2870),JU!D2870,"")</f>
        <v/>
      </c>
      <c r="E2870" s="74" t="str">
        <f>IF(OR($D$3=JU!$F2870,$D$3=JU!$I2870),JU!E2870,"")</f>
        <v/>
      </c>
      <c r="F2870" s="72">
        <f>IF($D$3=JU!F2870,JU!H2870,0)</f>
        <v>0</v>
      </c>
      <c r="G2870" s="72">
        <f>IF($D$3=JU!I2870,JU!K2870,0)</f>
        <v>0</v>
      </c>
      <c r="H2870" s="72" t="e">
        <f t="shared" si="45"/>
        <v>#REF!</v>
      </c>
    </row>
    <row r="2871" spans="2:8" hidden="1">
      <c r="B2871" s="68" t="str">
        <f>IF(OR($D$3=JU!$F2871,$D$3=JU!$I2871),JU!B2871,"")</f>
        <v/>
      </c>
      <c r="C2871" s="6" t="str">
        <f>IF(OR($D$3=JU!$F2871,$D$3=JU!$I2871),JU!C2871,"")</f>
        <v/>
      </c>
      <c r="D2871" s="73" t="str">
        <f>IF(OR($D$3=JU!$F2871,$D$3=JU!$I2871),JU!D2871,"")</f>
        <v/>
      </c>
      <c r="E2871" s="74" t="str">
        <f>IF(OR($D$3=JU!$F2871,$D$3=JU!$I2871),JU!E2871,"")</f>
        <v/>
      </c>
      <c r="F2871" s="72">
        <f>IF($D$3=JU!F2871,JU!H2871,0)</f>
        <v>0</v>
      </c>
      <c r="G2871" s="72">
        <f>IF($D$3=JU!I2871,JU!K2871,0)</f>
        <v>0</v>
      </c>
      <c r="H2871" s="72" t="e">
        <f t="shared" si="45"/>
        <v>#REF!</v>
      </c>
    </row>
    <row r="2872" spans="2:8" hidden="1">
      <c r="B2872" s="68" t="str">
        <f>IF(OR($D$3=JU!$F2872,$D$3=JU!$I2872),JU!B2872,"")</f>
        <v/>
      </c>
      <c r="C2872" s="6" t="str">
        <f>IF(OR($D$3=JU!$F2872,$D$3=JU!$I2872),JU!C2872,"")</f>
        <v/>
      </c>
      <c r="D2872" s="73" t="str">
        <f>IF(OR($D$3=JU!$F2872,$D$3=JU!$I2872),JU!D2872,"")</f>
        <v/>
      </c>
      <c r="E2872" s="74" t="str">
        <f>IF(OR($D$3=JU!$F2872,$D$3=JU!$I2872),JU!E2872,"")</f>
        <v/>
      </c>
      <c r="F2872" s="72">
        <f>IF($D$3=JU!F2872,JU!H2872,0)</f>
        <v>0</v>
      </c>
      <c r="G2872" s="72">
        <f>IF($D$3=JU!I2872,JU!K2872,0)</f>
        <v>0</v>
      </c>
      <c r="H2872" s="72" t="e">
        <f t="shared" si="45"/>
        <v>#REF!</v>
      </c>
    </row>
    <row r="2873" spans="2:8" hidden="1">
      <c r="B2873" s="68" t="str">
        <f>IF(OR($D$3=JU!$F2873,$D$3=JU!$I2873),JU!B2873,"")</f>
        <v/>
      </c>
      <c r="C2873" s="6" t="str">
        <f>IF(OR($D$3=JU!$F2873,$D$3=JU!$I2873),JU!C2873,"")</f>
        <v/>
      </c>
      <c r="D2873" s="73" t="str">
        <f>IF(OR($D$3=JU!$F2873,$D$3=JU!$I2873),JU!D2873,"")</f>
        <v/>
      </c>
      <c r="E2873" s="74" t="str">
        <f>IF(OR($D$3=JU!$F2873,$D$3=JU!$I2873),JU!E2873,"")</f>
        <v/>
      </c>
      <c r="F2873" s="72">
        <f>IF($D$3=JU!F2873,JU!H2873,0)</f>
        <v>0</v>
      </c>
      <c r="G2873" s="72">
        <f>IF($D$3=JU!I2873,JU!K2873,0)</f>
        <v>0</v>
      </c>
      <c r="H2873" s="72" t="e">
        <f t="shared" si="45"/>
        <v>#REF!</v>
      </c>
    </row>
    <row r="2874" spans="2:8" hidden="1">
      <c r="B2874" s="68" t="str">
        <f>IF(OR($D$3=JU!$F2874,$D$3=JU!$I2874),JU!B2874,"")</f>
        <v/>
      </c>
      <c r="C2874" s="6" t="str">
        <f>IF(OR($D$3=JU!$F2874,$D$3=JU!$I2874),JU!C2874,"")</f>
        <v/>
      </c>
      <c r="D2874" s="73" t="str">
        <f>IF(OR($D$3=JU!$F2874,$D$3=JU!$I2874),JU!D2874,"")</f>
        <v/>
      </c>
      <c r="E2874" s="74" t="str">
        <f>IF(OR($D$3=JU!$F2874,$D$3=JU!$I2874),JU!E2874,"")</f>
        <v/>
      </c>
      <c r="F2874" s="72">
        <f>IF($D$3=JU!F2874,JU!H2874,0)</f>
        <v>0</v>
      </c>
      <c r="G2874" s="72">
        <f>IF($D$3=JU!I2874,JU!K2874,0)</f>
        <v>0</v>
      </c>
      <c r="H2874" s="72" t="e">
        <f t="shared" si="45"/>
        <v>#REF!</v>
      </c>
    </row>
    <row r="2875" spans="2:8" hidden="1">
      <c r="B2875" s="68" t="str">
        <f>IF(OR($D$3=JU!$F2875,$D$3=JU!$I2875),JU!B2875,"")</f>
        <v/>
      </c>
      <c r="C2875" s="6" t="str">
        <f>IF(OR($D$3=JU!$F2875,$D$3=JU!$I2875),JU!C2875,"")</f>
        <v/>
      </c>
      <c r="D2875" s="73" t="str">
        <f>IF(OR($D$3=JU!$F2875,$D$3=JU!$I2875),JU!D2875,"")</f>
        <v/>
      </c>
      <c r="E2875" s="74" t="str">
        <f>IF(OR($D$3=JU!$F2875,$D$3=JU!$I2875),JU!E2875,"")</f>
        <v/>
      </c>
      <c r="F2875" s="72">
        <f>IF($D$3=JU!F2875,JU!H2875,0)</f>
        <v>0</v>
      </c>
      <c r="G2875" s="72">
        <f>IF($D$3=JU!I2875,JU!K2875,0)</f>
        <v>0</v>
      </c>
      <c r="H2875" s="72" t="e">
        <f t="shared" si="45"/>
        <v>#REF!</v>
      </c>
    </row>
    <row r="2876" spans="2:8" hidden="1">
      <c r="B2876" s="68" t="str">
        <f>IF(OR($D$3=JU!$F2876,$D$3=JU!$I2876),JU!B2876,"")</f>
        <v/>
      </c>
      <c r="C2876" s="6" t="str">
        <f>IF(OR($D$3=JU!$F2876,$D$3=JU!$I2876),JU!C2876,"")</f>
        <v/>
      </c>
      <c r="D2876" s="73" t="str">
        <f>IF(OR($D$3=JU!$F2876,$D$3=JU!$I2876),JU!D2876,"")</f>
        <v/>
      </c>
      <c r="E2876" s="74" t="str">
        <f>IF(OR($D$3=JU!$F2876,$D$3=JU!$I2876),JU!E2876,"")</f>
        <v/>
      </c>
      <c r="F2876" s="72">
        <f>IF($D$3=JU!F2876,JU!H2876,0)</f>
        <v>0</v>
      </c>
      <c r="G2876" s="72">
        <f>IF($D$3=JU!I2876,JU!K2876,0)</f>
        <v>0</v>
      </c>
      <c r="H2876" s="72" t="e">
        <f t="shared" si="45"/>
        <v>#REF!</v>
      </c>
    </row>
    <row r="2877" spans="2:8" hidden="1">
      <c r="B2877" s="68" t="str">
        <f>IF(OR($D$3=JU!$F2877,$D$3=JU!$I2877),JU!B2877,"")</f>
        <v/>
      </c>
      <c r="C2877" s="6" t="str">
        <f>IF(OR($D$3=JU!$F2877,$D$3=JU!$I2877),JU!C2877,"")</f>
        <v/>
      </c>
      <c r="D2877" s="73" t="str">
        <f>IF(OR($D$3=JU!$F2877,$D$3=JU!$I2877),JU!D2877,"")</f>
        <v/>
      </c>
      <c r="E2877" s="74" t="str">
        <f>IF(OR($D$3=JU!$F2877,$D$3=JU!$I2877),JU!E2877,"")</f>
        <v/>
      </c>
      <c r="F2877" s="72">
        <f>IF($D$3=JU!F2877,JU!H2877,0)</f>
        <v>0</v>
      </c>
      <c r="G2877" s="72">
        <f>IF($D$3=JU!I2877,JU!K2877,0)</f>
        <v>0</v>
      </c>
      <c r="H2877" s="72" t="e">
        <f t="shared" si="45"/>
        <v>#REF!</v>
      </c>
    </row>
    <row r="2878" spans="2:8" hidden="1">
      <c r="B2878" s="68" t="str">
        <f>IF(OR($D$3=JU!$F2878,$D$3=JU!$I2878),JU!B2878,"")</f>
        <v/>
      </c>
      <c r="C2878" s="6" t="str">
        <f>IF(OR($D$3=JU!$F2878,$D$3=JU!$I2878),JU!C2878,"")</f>
        <v/>
      </c>
      <c r="D2878" s="73" t="str">
        <f>IF(OR($D$3=JU!$F2878,$D$3=JU!$I2878),JU!D2878,"")</f>
        <v/>
      </c>
      <c r="E2878" s="74" t="str">
        <f>IF(OR($D$3=JU!$F2878,$D$3=JU!$I2878),JU!E2878,"")</f>
        <v/>
      </c>
      <c r="F2878" s="72">
        <f>IF($D$3=JU!F2878,JU!H2878,0)</f>
        <v>0</v>
      </c>
      <c r="G2878" s="72">
        <f>IF($D$3=JU!I2878,JU!K2878,0)</f>
        <v>0</v>
      </c>
      <c r="H2878" s="72" t="e">
        <f t="shared" si="45"/>
        <v>#REF!</v>
      </c>
    </row>
    <row r="2879" spans="2:8" hidden="1">
      <c r="B2879" s="68" t="str">
        <f>IF(OR($D$3=JU!$F2879,$D$3=JU!$I2879),JU!B2879,"")</f>
        <v/>
      </c>
      <c r="C2879" s="6" t="str">
        <f>IF(OR($D$3=JU!$F2879,$D$3=JU!$I2879),JU!C2879,"")</f>
        <v/>
      </c>
      <c r="D2879" s="73" t="str">
        <f>IF(OR($D$3=JU!$F2879,$D$3=JU!$I2879),JU!D2879,"")</f>
        <v/>
      </c>
      <c r="E2879" s="74" t="str">
        <f>IF(OR($D$3=JU!$F2879,$D$3=JU!$I2879),JU!E2879,"")</f>
        <v/>
      </c>
      <c r="F2879" s="72">
        <f>IF($D$3=JU!F2879,JU!H2879,0)</f>
        <v>0</v>
      </c>
      <c r="G2879" s="72">
        <f>IF($D$3=JU!I2879,JU!K2879,0)</f>
        <v>0</v>
      </c>
      <c r="H2879" s="72" t="e">
        <f t="shared" si="45"/>
        <v>#REF!</v>
      </c>
    </row>
    <row r="2880" spans="2:8" hidden="1">
      <c r="B2880" s="68" t="str">
        <f>IF(OR($D$3=JU!$F2880,$D$3=JU!$I2880),JU!B2880,"")</f>
        <v/>
      </c>
      <c r="C2880" s="6" t="str">
        <f>IF(OR($D$3=JU!$F2880,$D$3=JU!$I2880),JU!C2880,"")</f>
        <v/>
      </c>
      <c r="D2880" s="73" t="str">
        <f>IF(OR($D$3=JU!$F2880,$D$3=JU!$I2880),JU!D2880,"")</f>
        <v/>
      </c>
      <c r="E2880" s="74" t="str">
        <f>IF(OR($D$3=JU!$F2880,$D$3=JU!$I2880),JU!E2880,"")</f>
        <v/>
      </c>
      <c r="F2880" s="72">
        <f>IF($D$3=JU!F2880,JU!H2880,0)</f>
        <v>0</v>
      </c>
      <c r="G2880" s="72">
        <f>IF($D$3=JU!I2880,JU!K2880,0)</f>
        <v>0</v>
      </c>
      <c r="H2880" s="72" t="e">
        <f t="shared" si="45"/>
        <v>#REF!</v>
      </c>
    </row>
    <row r="2881" spans="2:8" hidden="1">
      <c r="B2881" s="68" t="str">
        <f>IF(OR($D$3=JU!$F2881,$D$3=JU!$I2881),JU!B2881,"")</f>
        <v/>
      </c>
      <c r="C2881" s="6" t="str">
        <f>IF(OR($D$3=JU!$F2881,$D$3=JU!$I2881),JU!C2881,"")</f>
        <v/>
      </c>
      <c r="D2881" s="73" t="str">
        <f>IF(OR($D$3=JU!$F2881,$D$3=JU!$I2881),JU!D2881,"")</f>
        <v/>
      </c>
      <c r="E2881" s="74" t="str">
        <f>IF(OR($D$3=JU!$F2881,$D$3=JU!$I2881),JU!E2881,"")</f>
        <v/>
      </c>
      <c r="F2881" s="72">
        <f>IF($D$3=JU!F2881,JU!H2881,0)</f>
        <v>0</v>
      </c>
      <c r="G2881" s="72">
        <f>IF($D$3=JU!I2881,JU!K2881,0)</f>
        <v>0</v>
      </c>
      <c r="H2881" s="72" t="e">
        <f t="shared" si="45"/>
        <v>#REF!</v>
      </c>
    </row>
    <row r="2882" spans="2:8" hidden="1">
      <c r="B2882" s="68" t="str">
        <f>IF(OR($D$3=JU!$F2882,$D$3=JU!$I2882),JU!B2882,"")</f>
        <v/>
      </c>
      <c r="C2882" s="6" t="str">
        <f>IF(OR($D$3=JU!$F2882,$D$3=JU!$I2882),JU!C2882,"")</f>
        <v/>
      </c>
      <c r="D2882" s="73" t="str">
        <f>IF(OR($D$3=JU!$F2882,$D$3=JU!$I2882),JU!D2882,"")</f>
        <v/>
      </c>
      <c r="E2882" s="74" t="str">
        <f>IF(OR($D$3=JU!$F2882,$D$3=JU!$I2882),JU!E2882,"")</f>
        <v/>
      </c>
      <c r="F2882" s="72">
        <f>IF($D$3=JU!F2882,JU!H2882,0)</f>
        <v>0</v>
      </c>
      <c r="G2882" s="72">
        <f>IF($D$3=JU!I2882,JU!K2882,0)</f>
        <v>0</v>
      </c>
      <c r="H2882" s="72" t="e">
        <f t="shared" si="45"/>
        <v>#REF!</v>
      </c>
    </row>
    <row r="2883" spans="2:8" hidden="1">
      <c r="B2883" s="68" t="str">
        <f>IF(OR($D$3=JU!$F2883,$D$3=JU!$I2883),JU!B2883,"")</f>
        <v/>
      </c>
      <c r="C2883" s="6" t="str">
        <f>IF(OR($D$3=JU!$F2883,$D$3=JU!$I2883),JU!C2883,"")</f>
        <v/>
      </c>
      <c r="D2883" s="73" t="str">
        <f>IF(OR($D$3=JU!$F2883,$D$3=JU!$I2883),JU!D2883,"")</f>
        <v/>
      </c>
      <c r="E2883" s="74" t="str">
        <f>IF(OR($D$3=JU!$F2883,$D$3=JU!$I2883),JU!E2883,"")</f>
        <v/>
      </c>
      <c r="F2883" s="72">
        <f>IF($D$3=JU!F2883,JU!H2883,0)</f>
        <v>0</v>
      </c>
      <c r="G2883" s="72">
        <f>IF($D$3=JU!I2883,JU!K2883,0)</f>
        <v>0</v>
      </c>
      <c r="H2883" s="72" t="e">
        <f t="shared" si="45"/>
        <v>#REF!</v>
      </c>
    </row>
    <row r="2884" spans="2:8" hidden="1">
      <c r="B2884" s="68" t="str">
        <f>IF(OR($D$3=JU!$F2884,$D$3=JU!$I2884),JU!B2884,"")</f>
        <v/>
      </c>
      <c r="C2884" s="6" t="str">
        <f>IF(OR($D$3=JU!$F2884,$D$3=JU!$I2884),JU!C2884,"")</f>
        <v/>
      </c>
      <c r="D2884" s="73" t="str">
        <f>IF(OR($D$3=JU!$F2884,$D$3=JU!$I2884),JU!D2884,"")</f>
        <v/>
      </c>
      <c r="E2884" s="74" t="str">
        <f>IF(OR($D$3=JU!$F2884,$D$3=JU!$I2884),JU!E2884,"")</f>
        <v/>
      </c>
      <c r="F2884" s="72">
        <f>IF($D$3=JU!F2884,JU!H2884,0)</f>
        <v>0</v>
      </c>
      <c r="G2884" s="72">
        <f>IF($D$3=JU!I2884,JU!K2884,0)</f>
        <v>0</v>
      </c>
      <c r="H2884" s="72" t="e">
        <f t="shared" si="45"/>
        <v>#REF!</v>
      </c>
    </row>
    <row r="2885" spans="2:8" hidden="1">
      <c r="B2885" s="68" t="str">
        <f>IF(OR($D$3=JU!$F2885,$D$3=JU!$I2885),JU!B2885,"")</f>
        <v/>
      </c>
      <c r="C2885" s="6" t="str">
        <f>IF(OR($D$3=JU!$F2885,$D$3=JU!$I2885),JU!C2885,"")</f>
        <v/>
      </c>
      <c r="D2885" s="73" t="str">
        <f>IF(OR($D$3=JU!$F2885,$D$3=JU!$I2885),JU!D2885,"")</f>
        <v/>
      </c>
      <c r="E2885" s="74" t="str">
        <f>IF(OR($D$3=JU!$F2885,$D$3=JU!$I2885),JU!E2885,"")</f>
        <v/>
      </c>
      <c r="F2885" s="72">
        <f>IF($D$3=JU!F2885,JU!H2885,0)</f>
        <v>0</v>
      </c>
      <c r="G2885" s="72">
        <f>IF($D$3=JU!I2885,JU!K2885,0)</f>
        <v>0</v>
      </c>
      <c r="H2885" s="72" t="e">
        <f t="shared" si="45"/>
        <v>#REF!</v>
      </c>
    </row>
    <row r="2886" spans="2:8" hidden="1">
      <c r="B2886" s="68" t="str">
        <f>IF(OR($D$3=JU!$F2886,$D$3=JU!$I2886),JU!B2886,"")</f>
        <v/>
      </c>
      <c r="C2886" s="6" t="str">
        <f>IF(OR($D$3=JU!$F2886,$D$3=JU!$I2886),JU!C2886,"")</f>
        <v/>
      </c>
      <c r="D2886" s="73" t="str">
        <f>IF(OR($D$3=JU!$F2886,$D$3=JU!$I2886),JU!D2886,"")</f>
        <v/>
      </c>
      <c r="E2886" s="74" t="str">
        <f>IF(OR($D$3=JU!$F2886,$D$3=JU!$I2886),JU!E2886,"")</f>
        <v/>
      </c>
      <c r="F2886" s="72">
        <f>IF($D$3=JU!F2886,JU!H2886,0)</f>
        <v>0</v>
      </c>
      <c r="G2886" s="72">
        <f>IF($D$3=JU!I2886,JU!K2886,0)</f>
        <v>0</v>
      </c>
      <c r="H2886" s="72" t="e">
        <f t="shared" si="45"/>
        <v>#REF!</v>
      </c>
    </row>
    <row r="2887" spans="2:8" hidden="1">
      <c r="B2887" s="68" t="str">
        <f>IF(OR($D$3=JU!$F2887,$D$3=JU!$I2887),JU!B2887,"")</f>
        <v/>
      </c>
      <c r="C2887" s="6" t="str">
        <f>IF(OR($D$3=JU!$F2887,$D$3=JU!$I2887),JU!C2887,"")</f>
        <v/>
      </c>
      <c r="D2887" s="73" t="str">
        <f>IF(OR($D$3=JU!$F2887,$D$3=JU!$I2887),JU!D2887,"")</f>
        <v/>
      </c>
      <c r="E2887" s="74" t="str">
        <f>IF(OR($D$3=JU!$F2887,$D$3=JU!$I2887),JU!E2887,"")</f>
        <v/>
      </c>
      <c r="F2887" s="72">
        <f>IF($D$3=JU!F2887,JU!H2887,0)</f>
        <v>0</v>
      </c>
      <c r="G2887" s="72">
        <f>IF($D$3=JU!I2887,JU!K2887,0)</f>
        <v>0</v>
      </c>
      <c r="H2887" s="72" t="e">
        <f t="shared" si="45"/>
        <v>#REF!</v>
      </c>
    </row>
    <row r="2888" spans="2:8" hidden="1">
      <c r="B2888" s="68" t="str">
        <f>IF(OR($D$3=JU!$F2888,$D$3=JU!$I2888),JU!B2888,"")</f>
        <v/>
      </c>
      <c r="C2888" s="6" t="str">
        <f>IF(OR($D$3=JU!$F2888,$D$3=JU!$I2888),JU!C2888,"")</f>
        <v/>
      </c>
      <c r="D2888" s="73" t="str">
        <f>IF(OR($D$3=JU!$F2888,$D$3=JU!$I2888),JU!D2888,"")</f>
        <v/>
      </c>
      <c r="E2888" s="74" t="str">
        <f>IF(OR($D$3=JU!$F2888,$D$3=JU!$I2888),JU!E2888,"")</f>
        <v/>
      </c>
      <c r="F2888" s="72">
        <f>IF($D$3=JU!F2888,JU!H2888,0)</f>
        <v>0</v>
      </c>
      <c r="G2888" s="72">
        <f>IF($D$3=JU!I2888,JU!K2888,0)</f>
        <v>0</v>
      </c>
      <c r="H2888" s="72" t="e">
        <f t="shared" si="45"/>
        <v>#REF!</v>
      </c>
    </row>
    <row r="2889" spans="2:8" hidden="1">
      <c r="B2889" s="68" t="str">
        <f>IF(OR($D$3=JU!$F2889,$D$3=JU!$I2889),JU!B2889,"")</f>
        <v/>
      </c>
      <c r="C2889" s="6" t="str">
        <f>IF(OR($D$3=JU!$F2889,$D$3=JU!$I2889),JU!C2889,"")</f>
        <v/>
      </c>
      <c r="D2889" s="73" t="str">
        <f>IF(OR($D$3=JU!$F2889,$D$3=JU!$I2889),JU!D2889,"")</f>
        <v/>
      </c>
      <c r="E2889" s="74" t="str">
        <f>IF(OR($D$3=JU!$F2889,$D$3=JU!$I2889),JU!E2889,"")</f>
        <v/>
      </c>
      <c r="F2889" s="72">
        <f>IF($D$3=JU!F2889,JU!H2889,0)</f>
        <v>0</v>
      </c>
      <c r="G2889" s="72">
        <f>IF($D$3=JU!I2889,JU!K2889,0)</f>
        <v>0</v>
      </c>
      <c r="H2889" s="72" t="e">
        <f t="shared" si="45"/>
        <v>#REF!</v>
      </c>
    </row>
    <row r="2890" spans="2:8" hidden="1">
      <c r="B2890" s="68" t="str">
        <f>IF(OR($D$3=JU!$F2890,$D$3=JU!$I2890),JU!B2890,"")</f>
        <v/>
      </c>
      <c r="C2890" s="6" t="str">
        <f>IF(OR($D$3=JU!$F2890,$D$3=JU!$I2890),JU!C2890,"")</f>
        <v/>
      </c>
      <c r="D2890" s="73" t="str">
        <f>IF(OR($D$3=JU!$F2890,$D$3=JU!$I2890),JU!D2890,"")</f>
        <v/>
      </c>
      <c r="E2890" s="74" t="str">
        <f>IF(OR($D$3=JU!$F2890,$D$3=JU!$I2890),JU!E2890,"")</f>
        <v/>
      </c>
      <c r="F2890" s="72">
        <f>IF($D$3=JU!F2890,JU!H2890,0)</f>
        <v>0</v>
      </c>
      <c r="G2890" s="72">
        <f>IF($D$3=JU!I2890,JU!K2890,0)</f>
        <v>0</v>
      </c>
      <c r="H2890" s="72" t="e">
        <f t="shared" si="45"/>
        <v>#REF!</v>
      </c>
    </row>
    <row r="2891" spans="2:8" hidden="1">
      <c r="B2891" s="68" t="str">
        <f>IF(OR($D$3=JU!$F2891,$D$3=JU!$I2891),JU!B2891,"")</f>
        <v/>
      </c>
      <c r="C2891" s="6" t="str">
        <f>IF(OR($D$3=JU!$F2891,$D$3=JU!$I2891),JU!C2891,"")</f>
        <v/>
      </c>
      <c r="D2891" s="73" t="str">
        <f>IF(OR($D$3=JU!$F2891,$D$3=JU!$I2891),JU!D2891,"")</f>
        <v/>
      </c>
      <c r="E2891" s="74" t="str">
        <f>IF(OR($D$3=JU!$F2891,$D$3=JU!$I2891),JU!E2891,"")</f>
        <v/>
      </c>
      <c r="F2891" s="72">
        <f>IF($D$3=JU!F2891,JU!H2891,0)</f>
        <v>0</v>
      </c>
      <c r="G2891" s="72">
        <f>IF($D$3=JU!I2891,JU!K2891,0)</f>
        <v>0</v>
      </c>
      <c r="H2891" s="72" t="e">
        <f t="shared" si="45"/>
        <v>#REF!</v>
      </c>
    </row>
    <row r="2892" spans="2:8" hidden="1">
      <c r="B2892" s="68" t="str">
        <f>IF(OR($D$3=JU!$F2892,$D$3=JU!$I2892),JU!B2892,"")</f>
        <v/>
      </c>
      <c r="C2892" s="6" t="str">
        <f>IF(OR($D$3=JU!$F2892,$D$3=JU!$I2892),JU!C2892,"")</f>
        <v/>
      </c>
      <c r="D2892" s="73" t="str">
        <f>IF(OR($D$3=JU!$F2892,$D$3=JU!$I2892),JU!D2892,"")</f>
        <v/>
      </c>
      <c r="E2892" s="74" t="str">
        <f>IF(OR($D$3=JU!$F2892,$D$3=JU!$I2892),JU!E2892,"")</f>
        <v/>
      </c>
      <c r="F2892" s="72">
        <f>IF($D$3=JU!F2892,JU!H2892,0)</f>
        <v>0</v>
      </c>
      <c r="G2892" s="72">
        <f>IF($D$3=JU!I2892,JU!K2892,0)</f>
        <v>0</v>
      </c>
      <c r="H2892" s="72" t="e">
        <f t="shared" si="45"/>
        <v>#REF!</v>
      </c>
    </row>
    <row r="2893" spans="2:8" hidden="1">
      <c r="B2893" s="68" t="str">
        <f>IF(OR($D$3=JU!$F2893,$D$3=JU!$I2893),JU!B2893,"")</f>
        <v/>
      </c>
      <c r="C2893" s="6" t="str">
        <f>IF(OR($D$3=JU!$F2893,$D$3=JU!$I2893),JU!C2893,"")</f>
        <v/>
      </c>
      <c r="D2893" s="73" t="str">
        <f>IF(OR($D$3=JU!$F2893,$D$3=JU!$I2893),JU!D2893,"")</f>
        <v/>
      </c>
      <c r="E2893" s="74" t="str">
        <f>IF(OR($D$3=JU!$F2893,$D$3=JU!$I2893),JU!E2893,"")</f>
        <v/>
      </c>
      <c r="F2893" s="72">
        <f>IF($D$3=JU!F2893,JU!H2893,0)</f>
        <v>0</v>
      </c>
      <c r="G2893" s="72">
        <f>IF($D$3=JU!I2893,JU!K2893,0)</f>
        <v>0</v>
      </c>
      <c r="H2893" s="72" t="e">
        <f t="shared" si="45"/>
        <v>#REF!</v>
      </c>
    </row>
    <row r="2894" spans="2:8" hidden="1">
      <c r="B2894" s="68" t="str">
        <f>IF(OR($D$3=JU!$F2894,$D$3=JU!$I2894),JU!B2894,"")</f>
        <v/>
      </c>
      <c r="C2894" s="6" t="str">
        <f>IF(OR($D$3=JU!$F2894,$D$3=JU!$I2894),JU!C2894,"")</f>
        <v/>
      </c>
      <c r="D2894" s="73" t="str">
        <f>IF(OR($D$3=JU!$F2894,$D$3=JU!$I2894),JU!D2894,"")</f>
        <v/>
      </c>
      <c r="E2894" s="74" t="str">
        <f>IF(OR($D$3=JU!$F2894,$D$3=JU!$I2894),JU!E2894,"")</f>
        <v/>
      </c>
      <c r="F2894" s="72">
        <f>IF($D$3=JU!F2894,JU!H2894,0)</f>
        <v>0</v>
      </c>
      <c r="G2894" s="72">
        <f>IF($D$3=JU!I2894,JU!K2894,0)</f>
        <v>0</v>
      </c>
      <c r="H2894" s="72" t="e">
        <f t="shared" ref="H2894:H2957" si="46">IF($H$7="DEBET",H2893+F2894-G2894,H2893+G2894-F2894)</f>
        <v>#REF!</v>
      </c>
    </row>
    <row r="2895" spans="2:8" hidden="1">
      <c r="B2895" s="68" t="str">
        <f>IF(OR($D$3=JU!$F2895,$D$3=JU!$I2895),JU!B2895,"")</f>
        <v/>
      </c>
      <c r="C2895" s="6" t="str">
        <f>IF(OR($D$3=JU!$F2895,$D$3=JU!$I2895),JU!C2895,"")</f>
        <v/>
      </c>
      <c r="D2895" s="73" t="str">
        <f>IF(OR($D$3=JU!$F2895,$D$3=JU!$I2895),JU!D2895,"")</f>
        <v/>
      </c>
      <c r="E2895" s="74" t="str">
        <f>IF(OR($D$3=JU!$F2895,$D$3=JU!$I2895),JU!E2895,"")</f>
        <v/>
      </c>
      <c r="F2895" s="72">
        <f>IF($D$3=JU!F2895,JU!H2895,0)</f>
        <v>0</v>
      </c>
      <c r="G2895" s="72">
        <f>IF($D$3=JU!I2895,JU!K2895,0)</f>
        <v>0</v>
      </c>
      <c r="H2895" s="72" t="e">
        <f t="shared" si="46"/>
        <v>#REF!</v>
      </c>
    </row>
    <row r="2896" spans="2:8" hidden="1">
      <c r="B2896" s="68" t="str">
        <f>IF(OR($D$3=JU!$F2896,$D$3=JU!$I2896),JU!B2896,"")</f>
        <v/>
      </c>
      <c r="C2896" s="6" t="str">
        <f>IF(OR($D$3=JU!$F2896,$D$3=JU!$I2896),JU!C2896,"")</f>
        <v/>
      </c>
      <c r="D2896" s="73" t="str">
        <f>IF(OR($D$3=JU!$F2896,$D$3=JU!$I2896),JU!D2896,"")</f>
        <v/>
      </c>
      <c r="E2896" s="74" t="str">
        <f>IF(OR($D$3=JU!$F2896,$D$3=JU!$I2896),JU!E2896,"")</f>
        <v/>
      </c>
      <c r="F2896" s="72">
        <f>IF($D$3=JU!F2896,JU!H2896,0)</f>
        <v>0</v>
      </c>
      <c r="G2896" s="72">
        <f>IF($D$3=JU!I2896,JU!K2896,0)</f>
        <v>0</v>
      </c>
      <c r="H2896" s="72" t="e">
        <f t="shared" si="46"/>
        <v>#REF!</v>
      </c>
    </row>
    <row r="2897" spans="2:8" hidden="1">
      <c r="B2897" s="68" t="str">
        <f>IF(OR($D$3=JU!$F2897,$D$3=JU!$I2897),JU!B2897,"")</f>
        <v/>
      </c>
      <c r="C2897" s="6" t="str">
        <f>IF(OR($D$3=JU!$F2897,$D$3=JU!$I2897),JU!C2897,"")</f>
        <v/>
      </c>
      <c r="D2897" s="73" t="str">
        <f>IF(OR($D$3=JU!$F2897,$D$3=JU!$I2897),JU!D2897,"")</f>
        <v/>
      </c>
      <c r="E2897" s="74" t="str">
        <f>IF(OR($D$3=JU!$F2897,$D$3=JU!$I2897),JU!E2897,"")</f>
        <v/>
      </c>
      <c r="F2897" s="72">
        <f>IF($D$3=JU!F2897,JU!H2897,0)</f>
        <v>0</v>
      </c>
      <c r="G2897" s="72">
        <f>IF($D$3=JU!I2897,JU!K2897,0)</f>
        <v>0</v>
      </c>
      <c r="H2897" s="72" t="e">
        <f t="shared" si="46"/>
        <v>#REF!</v>
      </c>
    </row>
    <row r="2898" spans="2:8" hidden="1">
      <c r="B2898" s="68" t="str">
        <f>IF(OR($D$3=JU!$F2898,$D$3=JU!$I2898),JU!B2898,"")</f>
        <v/>
      </c>
      <c r="C2898" s="6" t="str">
        <f>IF(OR($D$3=JU!$F2898,$D$3=JU!$I2898),JU!C2898,"")</f>
        <v/>
      </c>
      <c r="D2898" s="73" t="str">
        <f>IF(OR($D$3=JU!$F2898,$D$3=JU!$I2898),JU!D2898,"")</f>
        <v/>
      </c>
      <c r="E2898" s="74" t="str">
        <f>IF(OR($D$3=JU!$F2898,$D$3=JU!$I2898),JU!E2898,"")</f>
        <v/>
      </c>
      <c r="F2898" s="72">
        <f>IF($D$3=JU!F2898,JU!H2898,0)</f>
        <v>0</v>
      </c>
      <c r="G2898" s="72">
        <f>IF($D$3=JU!I2898,JU!K2898,0)</f>
        <v>0</v>
      </c>
      <c r="H2898" s="72" t="e">
        <f t="shared" si="46"/>
        <v>#REF!</v>
      </c>
    </row>
    <row r="2899" spans="2:8" hidden="1">
      <c r="B2899" s="68" t="str">
        <f>IF(OR($D$3=JU!$F2899,$D$3=JU!$I2899),JU!B2899,"")</f>
        <v/>
      </c>
      <c r="C2899" s="6" t="str">
        <f>IF(OR($D$3=JU!$F2899,$D$3=JU!$I2899),JU!C2899,"")</f>
        <v/>
      </c>
      <c r="D2899" s="73" t="str">
        <f>IF(OR($D$3=JU!$F2899,$D$3=JU!$I2899),JU!D2899,"")</f>
        <v/>
      </c>
      <c r="E2899" s="74" t="str">
        <f>IF(OR($D$3=JU!$F2899,$D$3=JU!$I2899),JU!E2899,"")</f>
        <v/>
      </c>
      <c r="F2899" s="72">
        <f>IF($D$3=JU!F2899,JU!H2899,0)</f>
        <v>0</v>
      </c>
      <c r="G2899" s="72">
        <f>IF($D$3=JU!I2899,JU!K2899,0)</f>
        <v>0</v>
      </c>
      <c r="H2899" s="72" t="e">
        <f t="shared" si="46"/>
        <v>#REF!</v>
      </c>
    </row>
    <row r="2900" spans="2:8" hidden="1">
      <c r="B2900" s="68" t="str">
        <f>IF(OR($D$3=JU!$F2900,$D$3=JU!$I2900),JU!B2900,"")</f>
        <v/>
      </c>
      <c r="C2900" s="6" t="str">
        <f>IF(OR($D$3=JU!$F2900,$D$3=JU!$I2900),JU!C2900,"")</f>
        <v/>
      </c>
      <c r="D2900" s="73" t="str">
        <f>IF(OR($D$3=JU!$F2900,$D$3=JU!$I2900),JU!D2900,"")</f>
        <v/>
      </c>
      <c r="E2900" s="74" t="str">
        <f>IF(OR($D$3=JU!$F2900,$D$3=JU!$I2900),JU!E2900,"")</f>
        <v/>
      </c>
      <c r="F2900" s="72">
        <f>IF($D$3=JU!F2900,JU!H2900,0)</f>
        <v>0</v>
      </c>
      <c r="G2900" s="72">
        <f>IF($D$3=JU!I2900,JU!K2900,0)</f>
        <v>0</v>
      </c>
      <c r="H2900" s="72" t="e">
        <f t="shared" si="46"/>
        <v>#REF!</v>
      </c>
    </row>
    <row r="2901" spans="2:8" hidden="1">
      <c r="B2901" s="68" t="str">
        <f>IF(OR($D$3=JU!$F2901,$D$3=JU!$I2901),JU!B2901,"")</f>
        <v/>
      </c>
      <c r="C2901" s="6" t="str">
        <f>IF(OR($D$3=JU!$F2901,$D$3=JU!$I2901),JU!C2901,"")</f>
        <v/>
      </c>
      <c r="D2901" s="73" t="str">
        <f>IF(OR($D$3=JU!$F2901,$D$3=JU!$I2901),JU!D2901,"")</f>
        <v/>
      </c>
      <c r="E2901" s="74" t="str">
        <f>IF(OR($D$3=JU!$F2901,$D$3=JU!$I2901),JU!E2901,"")</f>
        <v/>
      </c>
      <c r="F2901" s="72">
        <f>IF($D$3=JU!F2901,JU!H2901,0)</f>
        <v>0</v>
      </c>
      <c r="G2901" s="72">
        <f>IF($D$3=JU!I2901,JU!K2901,0)</f>
        <v>0</v>
      </c>
      <c r="H2901" s="72" t="e">
        <f t="shared" si="46"/>
        <v>#REF!</v>
      </c>
    </row>
    <row r="2902" spans="2:8" hidden="1">
      <c r="B2902" s="68" t="str">
        <f>IF(OR($D$3=JU!$F2902,$D$3=JU!$I2902),JU!B2902,"")</f>
        <v/>
      </c>
      <c r="C2902" s="6" t="str">
        <f>IF(OR($D$3=JU!$F2902,$D$3=JU!$I2902),JU!C2902,"")</f>
        <v/>
      </c>
      <c r="D2902" s="73" t="str">
        <f>IF(OR($D$3=JU!$F2902,$D$3=JU!$I2902),JU!D2902,"")</f>
        <v/>
      </c>
      <c r="E2902" s="74" t="str">
        <f>IF(OR($D$3=JU!$F2902,$D$3=JU!$I2902),JU!E2902,"")</f>
        <v/>
      </c>
      <c r="F2902" s="72">
        <f>IF($D$3=JU!F2902,JU!H2902,0)</f>
        <v>0</v>
      </c>
      <c r="G2902" s="72">
        <f>IF($D$3=JU!I2902,JU!K2902,0)</f>
        <v>0</v>
      </c>
      <c r="H2902" s="72" t="e">
        <f t="shared" si="46"/>
        <v>#REF!</v>
      </c>
    </row>
    <row r="2903" spans="2:8" hidden="1">
      <c r="B2903" s="68" t="str">
        <f>IF(OR($D$3=JU!$F2903,$D$3=JU!$I2903),JU!B2903,"")</f>
        <v/>
      </c>
      <c r="C2903" s="6" t="str">
        <f>IF(OR($D$3=JU!$F2903,$D$3=JU!$I2903),JU!C2903,"")</f>
        <v/>
      </c>
      <c r="D2903" s="73" t="str">
        <f>IF(OR($D$3=JU!$F2903,$D$3=JU!$I2903),JU!D2903,"")</f>
        <v/>
      </c>
      <c r="E2903" s="74" t="str">
        <f>IF(OR($D$3=JU!$F2903,$D$3=JU!$I2903),JU!E2903,"")</f>
        <v/>
      </c>
      <c r="F2903" s="72">
        <f>IF($D$3=JU!F2903,JU!H2903,0)</f>
        <v>0</v>
      </c>
      <c r="G2903" s="72">
        <f>IF($D$3=JU!I2903,JU!K2903,0)</f>
        <v>0</v>
      </c>
      <c r="H2903" s="72" t="e">
        <f t="shared" si="46"/>
        <v>#REF!</v>
      </c>
    </row>
    <row r="2904" spans="2:8" hidden="1">
      <c r="B2904" s="68" t="str">
        <f>IF(OR($D$3=JU!$F2904,$D$3=JU!$I2904),JU!B2904,"")</f>
        <v/>
      </c>
      <c r="C2904" s="6" t="str">
        <f>IF(OR($D$3=JU!$F2904,$D$3=JU!$I2904),JU!C2904,"")</f>
        <v/>
      </c>
      <c r="D2904" s="73" t="str">
        <f>IF(OR($D$3=JU!$F2904,$D$3=JU!$I2904),JU!D2904,"")</f>
        <v/>
      </c>
      <c r="E2904" s="74" t="str">
        <f>IF(OR($D$3=JU!$F2904,$D$3=JU!$I2904),JU!E2904,"")</f>
        <v/>
      </c>
      <c r="F2904" s="72">
        <f>IF($D$3=JU!F2904,JU!H2904,0)</f>
        <v>0</v>
      </c>
      <c r="G2904" s="72">
        <f>IF($D$3=JU!I2904,JU!K2904,0)</f>
        <v>0</v>
      </c>
      <c r="H2904" s="72" t="e">
        <f t="shared" si="46"/>
        <v>#REF!</v>
      </c>
    </row>
    <row r="2905" spans="2:8" hidden="1">
      <c r="B2905" s="68" t="str">
        <f>IF(OR($D$3=JU!$F2905,$D$3=JU!$I2905),JU!B2905,"")</f>
        <v/>
      </c>
      <c r="C2905" s="6" t="str">
        <f>IF(OR($D$3=JU!$F2905,$D$3=JU!$I2905),JU!C2905,"")</f>
        <v/>
      </c>
      <c r="D2905" s="73" t="str">
        <f>IF(OR($D$3=JU!$F2905,$D$3=JU!$I2905),JU!D2905,"")</f>
        <v/>
      </c>
      <c r="E2905" s="74" t="str">
        <f>IF(OR($D$3=JU!$F2905,$D$3=JU!$I2905),JU!E2905,"")</f>
        <v/>
      </c>
      <c r="F2905" s="72">
        <f>IF($D$3=JU!F2905,JU!H2905,0)</f>
        <v>0</v>
      </c>
      <c r="G2905" s="72">
        <f>IF($D$3=JU!I2905,JU!K2905,0)</f>
        <v>0</v>
      </c>
      <c r="H2905" s="72" t="e">
        <f t="shared" si="46"/>
        <v>#REF!</v>
      </c>
    </row>
    <row r="2906" spans="2:8" hidden="1">
      <c r="B2906" s="68" t="str">
        <f>IF(OR($D$3=JU!$F2906,$D$3=JU!$I2906),JU!B2906,"")</f>
        <v/>
      </c>
      <c r="C2906" s="6" t="str">
        <f>IF(OR($D$3=JU!$F2906,$D$3=JU!$I2906),JU!C2906,"")</f>
        <v/>
      </c>
      <c r="D2906" s="73" t="str">
        <f>IF(OR($D$3=JU!$F2906,$D$3=JU!$I2906),JU!D2906,"")</f>
        <v/>
      </c>
      <c r="E2906" s="74" t="str">
        <f>IF(OR($D$3=JU!$F2906,$D$3=JU!$I2906),JU!E2906,"")</f>
        <v/>
      </c>
      <c r="F2906" s="72">
        <f>IF($D$3=JU!F2906,JU!H2906,0)</f>
        <v>0</v>
      </c>
      <c r="G2906" s="72">
        <f>IF($D$3=JU!I2906,JU!K2906,0)</f>
        <v>0</v>
      </c>
      <c r="H2906" s="72" t="e">
        <f t="shared" si="46"/>
        <v>#REF!</v>
      </c>
    </row>
    <row r="2907" spans="2:8" hidden="1">
      <c r="B2907" s="68" t="str">
        <f>IF(OR($D$3=JU!$F2907,$D$3=JU!$I2907),JU!B2907,"")</f>
        <v/>
      </c>
      <c r="C2907" s="6" t="str">
        <f>IF(OR($D$3=JU!$F2907,$D$3=JU!$I2907),JU!C2907,"")</f>
        <v/>
      </c>
      <c r="D2907" s="73" t="str">
        <f>IF(OR($D$3=JU!$F2907,$D$3=JU!$I2907),JU!D2907,"")</f>
        <v/>
      </c>
      <c r="E2907" s="74" t="str">
        <f>IF(OR($D$3=JU!$F2907,$D$3=JU!$I2907),JU!E2907,"")</f>
        <v/>
      </c>
      <c r="F2907" s="72">
        <f>IF($D$3=JU!F2907,JU!H2907,0)</f>
        <v>0</v>
      </c>
      <c r="G2907" s="72">
        <f>IF($D$3=JU!I2907,JU!K2907,0)</f>
        <v>0</v>
      </c>
      <c r="H2907" s="72" t="e">
        <f t="shared" si="46"/>
        <v>#REF!</v>
      </c>
    </row>
    <row r="2908" spans="2:8" hidden="1">
      <c r="B2908" s="68" t="str">
        <f>IF(OR($D$3=JU!$F2908,$D$3=JU!$I2908),JU!B2908,"")</f>
        <v/>
      </c>
      <c r="C2908" s="6" t="str">
        <f>IF(OR($D$3=JU!$F2908,$D$3=JU!$I2908),JU!C2908,"")</f>
        <v/>
      </c>
      <c r="D2908" s="73" t="str">
        <f>IF(OR($D$3=JU!$F2908,$D$3=JU!$I2908),JU!D2908,"")</f>
        <v/>
      </c>
      <c r="E2908" s="74" t="str">
        <f>IF(OR($D$3=JU!$F2908,$D$3=JU!$I2908),JU!E2908,"")</f>
        <v/>
      </c>
      <c r="F2908" s="72">
        <f>IF($D$3=JU!F2908,JU!H2908,0)</f>
        <v>0</v>
      </c>
      <c r="G2908" s="72">
        <f>IF($D$3=JU!I2908,JU!K2908,0)</f>
        <v>0</v>
      </c>
      <c r="H2908" s="72" t="e">
        <f t="shared" si="46"/>
        <v>#REF!</v>
      </c>
    </row>
    <row r="2909" spans="2:8" hidden="1">
      <c r="B2909" s="68" t="str">
        <f>IF(OR($D$3=JU!$F2909,$D$3=JU!$I2909),JU!B2909,"")</f>
        <v/>
      </c>
      <c r="C2909" s="6" t="str">
        <f>IF(OR($D$3=JU!$F2909,$D$3=JU!$I2909),JU!C2909,"")</f>
        <v/>
      </c>
      <c r="D2909" s="73" t="str">
        <f>IF(OR($D$3=JU!$F2909,$D$3=JU!$I2909),JU!D2909,"")</f>
        <v/>
      </c>
      <c r="E2909" s="74" t="str">
        <f>IF(OR($D$3=JU!$F2909,$D$3=JU!$I2909),JU!E2909,"")</f>
        <v/>
      </c>
      <c r="F2909" s="72">
        <f>IF($D$3=JU!F2909,JU!H2909,0)</f>
        <v>0</v>
      </c>
      <c r="G2909" s="72">
        <f>IF($D$3=JU!I2909,JU!K2909,0)</f>
        <v>0</v>
      </c>
      <c r="H2909" s="72" t="e">
        <f t="shared" si="46"/>
        <v>#REF!</v>
      </c>
    </row>
    <row r="2910" spans="2:8" hidden="1">
      <c r="B2910" s="68" t="str">
        <f>IF(OR($D$3=JU!$F2910,$D$3=JU!$I2910),JU!B2910,"")</f>
        <v/>
      </c>
      <c r="C2910" s="6" t="str">
        <f>IF(OR($D$3=JU!$F2910,$D$3=JU!$I2910),JU!C2910,"")</f>
        <v/>
      </c>
      <c r="D2910" s="73" t="str">
        <f>IF(OR($D$3=JU!$F2910,$D$3=JU!$I2910),JU!D2910,"")</f>
        <v/>
      </c>
      <c r="E2910" s="74" t="str">
        <f>IF(OR($D$3=JU!$F2910,$D$3=JU!$I2910),JU!E2910,"")</f>
        <v/>
      </c>
      <c r="F2910" s="72">
        <f>IF($D$3=JU!F2910,JU!H2910,0)</f>
        <v>0</v>
      </c>
      <c r="G2910" s="72">
        <f>IF($D$3=JU!I2910,JU!K2910,0)</f>
        <v>0</v>
      </c>
      <c r="H2910" s="72" t="e">
        <f t="shared" si="46"/>
        <v>#REF!</v>
      </c>
    </row>
    <row r="2911" spans="2:8" hidden="1">
      <c r="B2911" s="68" t="str">
        <f>IF(OR($D$3=JU!$F2911,$D$3=JU!$I2911),JU!B2911,"")</f>
        <v/>
      </c>
      <c r="C2911" s="6" t="str">
        <f>IF(OR($D$3=JU!$F2911,$D$3=JU!$I2911),JU!C2911,"")</f>
        <v/>
      </c>
      <c r="D2911" s="73" t="str">
        <f>IF(OR($D$3=JU!$F2911,$D$3=JU!$I2911),JU!D2911,"")</f>
        <v/>
      </c>
      <c r="E2911" s="74" t="str">
        <f>IF(OR($D$3=JU!$F2911,$D$3=JU!$I2911),JU!E2911,"")</f>
        <v/>
      </c>
      <c r="F2911" s="72">
        <f>IF($D$3=JU!F2911,JU!H2911,0)</f>
        <v>0</v>
      </c>
      <c r="G2911" s="72">
        <f>IF($D$3=JU!I2911,JU!K2911,0)</f>
        <v>0</v>
      </c>
      <c r="H2911" s="72" t="e">
        <f t="shared" si="46"/>
        <v>#REF!</v>
      </c>
    </row>
    <row r="2912" spans="2:8" hidden="1">
      <c r="B2912" s="68" t="str">
        <f>IF(OR($D$3=JU!$F2912,$D$3=JU!$I2912),JU!B2912,"")</f>
        <v/>
      </c>
      <c r="C2912" s="6" t="str">
        <f>IF(OR($D$3=JU!$F2912,$D$3=JU!$I2912),JU!C2912,"")</f>
        <v/>
      </c>
      <c r="D2912" s="73" t="str">
        <f>IF(OR($D$3=JU!$F2912,$D$3=JU!$I2912),JU!D2912,"")</f>
        <v/>
      </c>
      <c r="E2912" s="74" t="str">
        <f>IF(OR($D$3=JU!$F2912,$D$3=JU!$I2912),JU!E2912,"")</f>
        <v/>
      </c>
      <c r="F2912" s="72">
        <f>IF($D$3=JU!F2912,JU!H2912,0)</f>
        <v>0</v>
      </c>
      <c r="G2912" s="72">
        <f>IF($D$3=JU!I2912,JU!K2912,0)</f>
        <v>0</v>
      </c>
      <c r="H2912" s="72" t="e">
        <f t="shared" si="46"/>
        <v>#REF!</v>
      </c>
    </row>
    <row r="2913" spans="2:8" hidden="1">
      <c r="B2913" s="68" t="str">
        <f>IF(OR($D$3=JU!$F2913,$D$3=JU!$I2913),JU!B2913,"")</f>
        <v/>
      </c>
      <c r="C2913" s="6" t="str">
        <f>IF(OR($D$3=JU!$F2913,$D$3=JU!$I2913),JU!C2913,"")</f>
        <v/>
      </c>
      <c r="D2913" s="73" t="str">
        <f>IF(OR($D$3=JU!$F2913,$D$3=JU!$I2913),JU!D2913,"")</f>
        <v/>
      </c>
      <c r="E2913" s="74" t="str">
        <f>IF(OR($D$3=JU!$F2913,$D$3=JU!$I2913),JU!E2913,"")</f>
        <v/>
      </c>
      <c r="F2913" s="72">
        <f>IF($D$3=JU!F2913,JU!H2913,0)</f>
        <v>0</v>
      </c>
      <c r="G2913" s="72">
        <f>IF($D$3=JU!I2913,JU!K2913,0)</f>
        <v>0</v>
      </c>
      <c r="H2913" s="72" t="e">
        <f t="shared" si="46"/>
        <v>#REF!</v>
      </c>
    </row>
    <row r="2914" spans="2:8" hidden="1">
      <c r="B2914" s="68" t="str">
        <f>IF(OR($D$3=JU!$F2914,$D$3=JU!$I2914),JU!B2914,"")</f>
        <v/>
      </c>
      <c r="C2914" s="6" t="str">
        <f>IF(OR($D$3=JU!$F2914,$D$3=JU!$I2914),JU!C2914,"")</f>
        <v/>
      </c>
      <c r="D2914" s="73" t="str">
        <f>IF(OR($D$3=JU!$F2914,$D$3=JU!$I2914),JU!D2914,"")</f>
        <v/>
      </c>
      <c r="E2914" s="74" t="str">
        <f>IF(OR($D$3=JU!$F2914,$D$3=JU!$I2914),JU!E2914,"")</f>
        <v/>
      </c>
      <c r="F2914" s="72">
        <f>IF($D$3=JU!F2914,JU!H2914,0)</f>
        <v>0</v>
      </c>
      <c r="G2914" s="72">
        <f>IF($D$3=JU!I2914,JU!K2914,0)</f>
        <v>0</v>
      </c>
      <c r="H2914" s="72" t="e">
        <f t="shared" si="46"/>
        <v>#REF!</v>
      </c>
    </row>
    <row r="2915" spans="2:8" hidden="1">
      <c r="B2915" s="68" t="str">
        <f>IF(OR($D$3=JU!$F2915,$D$3=JU!$I2915),JU!B2915,"")</f>
        <v/>
      </c>
      <c r="C2915" s="6" t="str">
        <f>IF(OR($D$3=JU!$F2915,$D$3=JU!$I2915),JU!C2915,"")</f>
        <v/>
      </c>
      <c r="D2915" s="73" t="str">
        <f>IF(OR($D$3=JU!$F2915,$D$3=JU!$I2915),JU!D2915,"")</f>
        <v/>
      </c>
      <c r="E2915" s="74" t="str">
        <f>IF(OR($D$3=JU!$F2915,$D$3=JU!$I2915),JU!E2915,"")</f>
        <v/>
      </c>
      <c r="F2915" s="72">
        <f>IF($D$3=JU!F2915,JU!H2915,0)</f>
        <v>0</v>
      </c>
      <c r="G2915" s="72">
        <f>IF($D$3=JU!I2915,JU!K2915,0)</f>
        <v>0</v>
      </c>
      <c r="H2915" s="72" t="e">
        <f t="shared" si="46"/>
        <v>#REF!</v>
      </c>
    </row>
    <row r="2916" spans="2:8" hidden="1">
      <c r="B2916" s="68" t="str">
        <f>IF(OR($D$3=JU!$F2916,$D$3=JU!$I2916),JU!B2916,"")</f>
        <v/>
      </c>
      <c r="C2916" s="6" t="str">
        <f>IF(OR($D$3=JU!$F2916,$D$3=JU!$I2916),JU!C2916,"")</f>
        <v/>
      </c>
      <c r="D2916" s="73" t="str">
        <f>IF(OR($D$3=JU!$F2916,$D$3=JU!$I2916),JU!D2916,"")</f>
        <v/>
      </c>
      <c r="E2916" s="74" t="str">
        <f>IF(OR($D$3=JU!$F2916,$D$3=JU!$I2916),JU!E2916,"")</f>
        <v/>
      </c>
      <c r="F2916" s="72">
        <f>IF($D$3=JU!F2916,JU!H2916,0)</f>
        <v>0</v>
      </c>
      <c r="G2916" s="72">
        <f>IF($D$3=JU!I2916,JU!K2916,0)</f>
        <v>0</v>
      </c>
      <c r="H2916" s="72" t="e">
        <f t="shared" si="46"/>
        <v>#REF!</v>
      </c>
    </row>
    <row r="2917" spans="2:8" hidden="1">
      <c r="B2917" s="68" t="str">
        <f>IF(OR($D$3=JU!$F2917,$D$3=JU!$I2917),JU!B2917,"")</f>
        <v/>
      </c>
      <c r="C2917" s="6" t="str">
        <f>IF(OR($D$3=JU!$F2917,$D$3=JU!$I2917),JU!C2917,"")</f>
        <v/>
      </c>
      <c r="D2917" s="73" t="str">
        <f>IF(OR($D$3=JU!$F2917,$D$3=JU!$I2917),JU!D2917,"")</f>
        <v/>
      </c>
      <c r="E2917" s="74" t="str">
        <f>IF(OR($D$3=JU!$F2917,$D$3=JU!$I2917),JU!E2917,"")</f>
        <v/>
      </c>
      <c r="F2917" s="72">
        <f>IF($D$3=JU!F2917,JU!H2917,0)</f>
        <v>0</v>
      </c>
      <c r="G2917" s="72">
        <f>IF($D$3=JU!I2917,JU!K2917,0)</f>
        <v>0</v>
      </c>
      <c r="H2917" s="72" t="e">
        <f t="shared" si="46"/>
        <v>#REF!</v>
      </c>
    </row>
    <row r="2918" spans="2:8" hidden="1">
      <c r="B2918" s="68" t="str">
        <f>IF(OR($D$3=JU!$F2918,$D$3=JU!$I2918),JU!B2918,"")</f>
        <v/>
      </c>
      <c r="C2918" s="6" t="str">
        <f>IF(OR($D$3=JU!$F2918,$D$3=JU!$I2918),JU!C2918,"")</f>
        <v/>
      </c>
      <c r="D2918" s="73" t="str">
        <f>IF(OR($D$3=JU!$F2918,$D$3=JU!$I2918),JU!D2918,"")</f>
        <v/>
      </c>
      <c r="E2918" s="74" t="str">
        <f>IF(OR($D$3=JU!$F2918,$D$3=JU!$I2918),JU!E2918,"")</f>
        <v/>
      </c>
      <c r="F2918" s="72">
        <f>IF($D$3=JU!F2918,JU!H2918,0)</f>
        <v>0</v>
      </c>
      <c r="G2918" s="72">
        <f>IF($D$3=JU!I2918,JU!K2918,0)</f>
        <v>0</v>
      </c>
      <c r="H2918" s="72" t="e">
        <f t="shared" si="46"/>
        <v>#REF!</v>
      </c>
    </row>
    <row r="2919" spans="2:8" hidden="1">
      <c r="B2919" s="68" t="str">
        <f>IF(OR($D$3=JU!$F2919,$D$3=JU!$I2919),JU!B2919,"")</f>
        <v/>
      </c>
      <c r="C2919" s="6" t="str">
        <f>IF(OR($D$3=JU!$F2919,$D$3=JU!$I2919),JU!C2919,"")</f>
        <v/>
      </c>
      <c r="D2919" s="73" t="str">
        <f>IF(OR($D$3=JU!$F2919,$D$3=JU!$I2919),JU!D2919,"")</f>
        <v/>
      </c>
      <c r="E2919" s="74" t="str">
        <f>IF(OR($D$3=JU!$F2919,$D$3=JU!$I2919),JU!E2919,"")</f>
        <v/>
      </c>
      <c r="F2919" s="72">
        <f>IF($D$3=JU!F2919,JU!H2919,0)</f>
        <v>0</v>
      </c>
      <c r="G2919" s="72">
        <f>IF($D$3=JU!I2919,JU!K2919,0)</f>
        <v>0</v>
      </c>
      <c r="H2919" s="72" t="e">
        <f t="shared" si="46"/>
        <v>#REF!</v>
      </c>
    </row>
    <row r="2920" spans="2:8" hidden="1">
      <c r="B2920" s="68" t="str">
        <f>IF(OR($D$3=JU!$F2920,$D$3=JU!$I2920),JU!B2920,"")</f>
        <v/>
      </c>
      <c r="C2920" s="6" t="str">
        <f>IF(OR($D$3=JU!$F2920,$D$3=JU!$I2920),JU!C2920,"")</f>
        <v/>
      </c>
      <c r="D2920" s="73" t="str">
        <f>IF(OR($D$3=JU!$F2920,$D$3=JU!$I2920),JU!D2920,"")</f>
        <v/>
      </c>
      <c r="E2920" s="74" t="str">
        <f>IF(OR($D$3=JU!$F2920,$D$3=JU!$I2920),JU!E2920,"")</f>
        <v/>
      </c>
      <c r="F2920" s="72">
        <f>IF($D$3=JU!F2920,JU!H2920,0)</f>
        <v>0</v>
      </c>
      <c r="G2920" s="72">
        <f>IF($D$3=JU!I2920,JU!K2920,0)</f>
        <v>0</v>
      </c>
      <c r="H2920" s="72" t="e">
        <f t="shared" si="46"/>
        <v>#REF!</v>
      </c>
    </row>
    <row r="2921" spans="2:8" hidden="1">
      <c r="B2921" s="68" t="str">
        <f>IF(OR($D$3=JU!$F2921,$D$3=JU!$I2921),JU!B2921,"")</f>
        <v/>
      </c>
      <c r="C2921" s="6" t="str">
        <f>IF(OR($D$3=JU!$F2921,$D$3=JU!$I2921),JU!C2921,"")</f>
        <v/>
      </c>
      <c r="D2921" s="73" t="str">
        <f>IF(OR($D$3=JU!$F2921,$D$3=JU!$I2921),JU!D2921,"")</f>
        <v/>
      </c>
      <c r="E2921" s="74" t="str">
        <f>IF(OR($D$3=JU!$F2921,$D$3=JU!$I2921),JU!E2921,"")</f>
        <v/>
      </c>
      <c r="F2921" s="72">
        <f>IF($D$3=JU!F2921,JU!H2921,0)</f>
        <v>0</v>
      </c>
      <c r="G2921" s="72">
        <f>IF($D$3=JU!I2921,JU!K2921,0)</f>
        <v>0</v>
      </c>
      <c r="H2921" s="72" t="e">
        <f t="shared" si="46"/>
        <v>#REF!</v>
      </c>
    </row>
    <row r="2922" spans="2:8" hidden="1">
      <c r="B2922" s="68" t="str">
        <f>IF(OR($D$3=JU!$F2922,$D$3=JU!$I2922),JU!B2922,"")</f>
        <v/>
      </c>
      <c r="C2922" s="6" t="str">
        <f>IF(OR($D$3=JU!$F2922,$D$3=JU!$I2922),JU!C2922,"")</f>
        <v/>
      </c>
      <c r="D2922" s="73" t="str">
        <f>IF(OR($D$3=JU!$F2922,$D$3=JU!$I2922),JU!D2922,"")</f>
        <v/>
      </c>
      <c r="E2922" s="74" t="str">
        <f>IF(OR($D$3=JU!$F2922,$D$3=JU!$I2922),JU!E2922,"")</f>
        <v/>
      </c>
      <c r="F2922" s="72">
        <f>IF($D$3=JU!F2922,JU!H2922,0)</f>
        <v>0</v>
      </c>
      <c r="G2922" s="72">
        <f>IF($D$3=JU!I2922,JU!K2922,0)</f>
        <v>0</v>
      </c>
      <c r="H2922" s="72" t="e">
        <f t="shared" si="46"/>
        <v>#REF!</v>
      </c>
    </row>
    <row r="2923" spans="2:8" hidden="1">
      <c r="B2923" s="68" t="str">
        <f>IF(OR($D$3=JU!$F2923,$D$3=JU!$I2923),JU!B2923,"")</f>
        <v/>
      </c>
      <c r="C2923" s="6" t="str">
        <f>IF(OR($D$3=JU!$F2923,$D$3=JU!$I2923),JU!C2923,"")</f>
        <v/>
      </c>
      <c r="D2923" s="73" t="str">
        <f>IF(OR($D$3=JU!$F2923,$D$3=JU!$I2923),JU!D2923,"")</f>
        <v/>
      </c>
      <c r="E2923" s="74" t="str">
        <f>IF(OR($D$3=JU!$F2923,$D$3=JU!$I2923),JU!E2923,"")</f>
        <v/>
      </c>
      <c r="F2923" s="72">
        <f>IF($D$3=JU!F2923,JU!H2923,0)</f>
        <v>0</v>
      </c>
      <c r="G2923" s="72">
        <f>IF($D$3=JU!I2923,JU!K2923,0)</f>
        <v>0</v>
      </c>
      <c r="H2923" s="72" t="e">
        <f t="shared" si="46"/>
        <v>#REF!</v>
      </c>
    </row>
    <row r="2924" spans="2:8" hidden="1">
      <c r="B2924" s="68" t="str">
        <f>IF(OR($D$3=JU!$F2924,$D$3=JU!$I2924),JU!B2924,"")</f>
        <v/>
      </c>
      <c r="C2924" s="6" t="str">
        <f>IF(OR($D$3=JU!$F2924,$D$3=JU!$I2924),JU!C2924,"")</f>
        <v/>
      </c>
      <c r="D2924" s="73" t="str">
        <f>IF(OR($D$3=JU!$F2924,$D$3=JU!$I2924),JU!D2924,"")</f>
        <v/>
      </c>
      <c r="E2924" s="74" t="str">
        <f>IF(OR($D$3=JU!$F2924,$D$3=JU!$I2924),JU!E2924,"")</f>
        <v/>
      </c>
      <c r="F2924" s="72">
        <f>IF($D$3=JU!F2924,JU!H2924,0)</f>
        <v>0</v>
      </c>
      <c r="G2924" s="72">
        <f>IF($D$3=JU!I2924,JU!K2924,0)</f>
        <v>0</v>
      </c>
      <c r="H2924" s="72" t="e">
        <f t="shared" si="46"/>
        <v>#REF!</v>
      </c>
    </row>
    <row r="2925" spans="2:8" hidden="1">
      <c r="B2925" s="68" t="str">
        <f>IF(OR($D$3=JU!$F2925,$D$3=JU!$I2925),JU!B2925,"")</f>
        <v/>
      </c>
      <c r="C2925" s="6" t="str">
        <f>IF(OR($D$3=JU!$F2925,$D$3=JU!$I2925),JU!C2925,"")</f>
        <v/>
      </c>
      <c r="D2925" s="73" t="str">
        <f>IF(OR($D$3=JU!$F2925,$D$3=JU!$I2925),JU!D2925,"")</f>
        <v/>
      </c>
      <c r="E2925" s="74" t="str">
        <f>IF(OR($D$3=JU!$F2925,$D$3=JU!$I2925),JU!E2925,"")</f>
        <v/>
      </c>
      <c r="F2925" s="72">
        <f>IF($D$3=JU!F2925,JU!H2925,0)</f>
        <v>0</v>
      </c>
      <c r="G2925" s="72">
        <f>IF($D$3=JU!I2925,JU!K2925,0)</f>
        <v>0</v>
      </c>
      <c r="H2925" s="72" t="e">
        <f t="shared" si="46"/>
        <v>#REF!</v>
      </c>
    </row>
    <row r="2926" spans="2:8" hidden="1">
      <c r="B2926" s="68" t="str">
        <f>IF(OR($D$3=JU!$F2926,$D$3=JU!$I2926),JU!B2926,"")</f>
        <v/>
      </c>
      <c r="C2926" s="6" t="str">
        <f>IF(OR($D$3=JU!$F2926,$D$3=JU!$I2926),JU!C2926,"")</f>
        <v/>
      </c>
      <c r="D2926" s="73" t="str">
        <f>IF(OR($D$3=JU!$F2926,$D$3=JU!$I2926),JU!D2926,"")</f>
        <v/>
      </c>
      <c r="E2926" s="74" t="str">
        <f>IF(OR($D$3=JU!$F2926,$D$3=JU!$I2926),JU!E2926,"")</f>
        <v/>
      </c>
      <c r="F2926" s="72">
        <f>IF($D$3=JU!F2926,JU!H2926,0)</f>
        <v>0</v>
      </c>
      <c r="G2926" s="72">
        <f>IF($D$3=JU!I2926,JU!K2926,0)</f>
        <v>0</v>
      </c>
      <c r="H2926" s="72" t="e">
        <f t="shared" si="46"/>
        <v>#REF!</v>
      </c>
    </row>
    <row r="2927" spans="2:8" hidden="1">
      <c r="B2927" s="68" t="str">
        <f>IF(OR($D$3=JU!$F2927,$D$3=JU!$I2927),JU!B2927,"")</f>
        <v/>
      </c>
      <c r="C2927" s="6" t="str">
        <f>IF(OR($D$3=JU!$F2927,$D$3=JU!$I2927),JU!C2927,"")</f>
        <v/>
      </c>
      <c r="D2927" s="73" t="str">
        <f>IF(OR($D$3=JU!$F2927,$D$3=JU!$I2927),JU!D2927,"")</f>
        <v/>
      </c>
      <c r="E2927" s="74" t="str">
        <f>IF(OR($D$3=JU!$F2927,$D$3=JU!$I2927),JU!E2927,"")</f>
        <v/>
      </c>
      <c r="F2927" s="72">
        <f>IF($D$3=JU!F2927,JU!H2927,0)</f>
        <v>0</v>
      </c>
      <c r="G2927" s="72">
        <f>IF($D$3=JU!I2927,JU!K2927,0)</f>
        <v>0</v>
      </c>
      <c r="H2927" s="72" t="e">
        <f t="shared" si="46"/>
        <v>#REF!</v>
      </c>
    </row>
    <row r="2928" spans="2:8" hidden="1">
      <c r="B2928" s="68" t="str">
        <f>IF(OR($D$3=JU!$F2928,$D$3=JU!$I2928),JU!B2928,"")</f>
        <v/>
      </c>
      <c r="C2928" s="6" t="str">
        <f>IF(OR($D$3=JU!$F2928,$D$3=JU!$I2928),JU!C2928,"")</f>
        <v/>
      </c>
      <c r="D2928" s="73" t="str">
        <f>IF(OR($D$3=JU!$F2928,$D$3=JU!$I2928),JU!D2928,"")</f>
        <v/>
      </c>
      <c r="E2928" s="74" t="str">
        <f>IF(OR($D$3=JU!$F2928,$D$3=JU!$I2928),JU!E2928,"")</f>
        <v/>
      </c>
      <c r="F2928" s="72">
        <f>IF($D$3=JU!F2928,JU!H2928,0)</f>
        <v>0</v>
      </c>
      <c r="G2928" s="72">
        <f>IF($D$3=JU!I2928,JU!K2928,0)</f>
        <v>0</v>
      </c>
      <c r="H2928" s="72" t="e">
        <f t="shared" si="46"/>
        <v>#REF!</v>
      </c>
    </row>
    <row r="2929" spans="2:8" hidden="1">
      <c r="B2929" s="68" t="str">
        <f>IF(OR($D$3=JU!$F2929,$D$3=JU!$I2929),JU!B2929,"")</f>
        <v/>
      </c>
      <c r="C2929" s="6" t="str">
        <f>IF(OR($D$3=JU!$F2929,$D$3=JU!$I2929),JU!C2929,"")</f>
        <v/>
      </c>
      <c r="D2929" s="73" t="str">
        <f>IF(OR($D$3=JU!$F2929,$D$3=JU!$I2929),JU!D2929,"")</f>
        <v/>
      </c>
      <c r="E2929" s="74" t="str">
        <f>IF(OR($D$3=JU!$F2929,$D$3=JU!$I2929),JU!E2929,"")</f>
        <v/>
      </c>
      <c r="F2929" s="72">
        <f>IF($D$3=JU!F2929,JU!H2929,0)</f>
        <v>0</v>
      </c>
      <c r="G2929" s="72">
        <f>IF($D$3=JU!I2929,JU!K2929,0)</f>
        <v>0</v>
      </c>
      <c r="H2929" s="72" t="e">
        <f t="shared" si="46"/>
        <v>#REF!</v>
      </c>
    </row>
    <row r="2930" spans="2:8" hidden="1">
      <c r="B2930" s="68" t="str">
        <f>IF(OR($D$3=JU!$F2930,$D$3=JU!$I2930),JU!B2930,"")</f>
        <v/>
      </c>
      <c r="C2930" s="6" t="str">
        <f>IF(OR($D$3=JU!$F2930,$D$3=JU!$I2930),JU!C2930,"")</f>
        <v/>
      </c>
      <c r="D2930" s="73" t="str">
        <f>IF(OR($D$3=JU!$F2930,$D$3=JU!$I2930),JU!D2930,"")</f>
        <v/>
      </c>
      <c r="E2930" s="74" t="str">
        <f>IF(OR($D$3=JU!$F2930,$D$3=JU!$I2930),JU!E2930,"")</f>
        <v/>
      </c>
      <c r="F2930" s="72">
        <f>IF($D$3=JU!F2930,JU!H2930,0)</f>
        <v>0</v>
      </c>
      <c r="G2930" s="72">
        <f>IF($D$3=JU!I2930,JU!K2930,0)</f>
        <v>0</v>
      </c>
      <c r="H2930" s="72" t="e">
        <f t="shared" si="46"/>
        <v>#REF!</v>
      </c>
    </row>
    <row r="2931" spans="2:8" hidden="1">
      <c r="B2931" s="68" t="str">
        <f>IF(OR($D$3=JU!$F2931,$D$3=JU!$I2931),JU!B2931,"")</f>
        <v/>
      </c>
      <c r="C2931" s="6" t="str">
        <f>IF(OR($D$3=JU!$F2931,$D$3=JU!$I2931),JU!C2931,"")</f>
        <v/>
      </c>
      <c r="D2931" s="73" t="str">
        <f>IF(OR($D$3=JU!$F2931,$D$3=JU!$I2931),JU!D2931,"")</f>
        <v/>
      </c>
      <c r="E2931" s="74" t="str">
        <f>IF(OR($D$3=JU!$F2931,$D$3=JU!$I2931),JU!E2931,"")</f>
        <v/>
      </c>
      <c r="F2931" s="72">
        <f>IF($D$3=JU!F2931,JU!H2931,0)</f>
        <v>0</v>
      </c>
      <c r="G2931" s="72">
        <f>IF($D$3=JU!I2931,JU!K2931,0)</f>
        <v>0</v>
      </c>
      <c r="H2931" s="72" t="e">
        <f t="shared" si="46"/>
        <v>#REF!</v>
      </c>
    </row>
    <row r="2932" spans="2:8" hidden="1">
      <c r="B2932" s="68" t="str">
        <f>IF(OR($D$3=JU!$F2932,$D$3=JU!$I2932),JU!B2932,"")</f>
        <v/>
      </c>
      <c r="C2932" s="6" t="str">
        <f>IF(OR($D$3=JU!$F2932,$D$3=JU!$I2932),JU!C2932,"")</f>
        <v/>
      </c>
      <c r="D2932" s="73" t="str">
        <f>IF(OR($D$3=JU!$F2932,$D$3=JU!$I2932),JU!D2932,"")</f>
        <v/>
      </c>
      <c r="E2932" s="74" t="str">
        <f>IF(OR($D$3=JU!$F2932,$D$3=JU!$I2932),JU!E2932,"")</f>
        <v/>
      </c>
      <c r="F2932" s="72">
        <f>IF($D$3=JU!F2932,JU!H2932,0)</f>
        <v>0</v>
      </c>
      <c r="G2932" s="72">
        <f>IF($D$3=JU!I2932,JU!K2932,0)</f>
        <v>0</v>
      </c>
      <c r="H2932" s="72" t="e">
        <f t="shared" si="46"/>
        <v>#REF!</v>
      </c>
    </row>
    <row r="2933" spans="2:8" hidden="1">
      <c r="B2933" s="68" t="str">
        <f>IF(OR($D$3=JU!$F2933,$D$3=JU!$I2933),JU!B2933,"")</f>
        <v/>
      </c>
      <c r="C2933" s="6" t="str">
        <f>IF(OR($D$3=JU!$F2933,$D$3=JU!$I2933),JU!C2933,"")</f>
        <v/>
      </c>
      <c r="D2933" s="73" t="str">
        <f>IF(OR($D$3=JU!$F2933,$D$3=JU!$I2933),JU!D2933,"")</f>
        <v/>
      </c>
      <c r="E2933" s="74" t="str">
        <f>IF(OR($D$3=JU!$F2933,$D$3=JU!$I2933),JU!E2933,"")</f>
        <v/>
      </c>
      <c r="F2933" s="72">
        <f>IF($D$3=JU!F2933,JU!H2933,0)</f>
        <v>0</v>
      </c>
      <c r="G2933" s="72">
        <f>IF($D$3=JU!I2933,JU!K2933,0)</f>
        <v>0</v>
      </c>
      <c r="H2933" s="72" t="e">
        <f t="shared" si="46"/>
        <v>#REF!</v>
      </c>
    </row>
    <row r="2934" spans="2:8" hidden="1">
      <c r="B2934" s="68" t="str">
        <f>IF(OR($D$3=JU!$F2934,$D$3=JU!$I2934),JU!B2934,"")</f>
        <v/>
      </c>
      <c r="C2934" s="6" t="str">
        <f>IF(OR($D$3=JU!$F2934,$D$3=JU!$I2934),JU!C2934,"")</f>
        <v/>
      </c>
      <c r="D2934" s="73" t="str">
        <f>IF(OR($D$3=JU!$F2934,$D$3=JU!$I2934),JU!D2934,"")</f>
        <v/>
      </c>
      <c r="E2934" s="74" t="str">
        <f>IF(OR($D$3=JU!$F2934,$D$3=JU!$I2934),JU!E2934,"")</f>
        <v/>
      </c>
      <c r="F2934" s="72">
        <f>IF($D$3=JU!F2934,JU!H2934,0)</f>
        <v>0</v>
      </c>
      <c r="G2934" s="72">
        <f>IF($D$3=JU!I2934,JU!K2934,0)</f>
        <v>0</v>
      </c>
      <c r="H2934" s="72" t="e">
        <f t="shared" si="46"/>
        <v>#REF!</v>
      </c>
    </row>
    <row r="2935" spans="2:8" hidden="1">
      <c r="B2935" s="68" t="str">
        <f>IF(OR($D$3=JU!$F2935,$D$3=JU!$I2935),JU!B2935,"")</f>
        <v/>
      </c>
      <c r="C2935" s="6" t="str">
        <f>IF(OR($D$3=JU!$F2935,$D$3=JU!$I2935),JU!C2935,"")</f>
        <v/>
      </c>
      <c r="D2935" s="73" t="str">
        <f>IF(OR($D$3=JU!$F2935,$D$3=JU!$I2935),JU!D2935,"")</f>
        <v/>
      </c>
      <c r="E2935" s="74" t="str">
        <f>IF(OR($D$3=JU!$F2935,$D$3=JU!$I2935),JU!E2935,"")</f>
        <v/>
      </c>
      <c r="F2935" s="72">
        <f>IF($D$3=JU!F2935,JU!H2935,0)</f>
        <v>0</v>
      </c>
      <c r="G2935" s="72">
        <f>IF($D$3=JU!I2935,JU!K2935,0)</f>
        <v>0</v>
      </c>
      <c r="H2935" s="72" t="e">
        <f t="shared" si="46"/>
        <v>#REF!</v>
      </c>
    </row>
    <row r="2936" spans="2:8" hidden="1">
      <c r="B2936" s="68" t="str">
        <f>IF(OR($D$3=JU!$F2936,$D$3=JU!$I2936),JU!B2936,"")</f>
        <v/>
      </c>
      <c r="C2936" s="6" t="str">
        <f>IF(OR($D$3=JU!$F2936,$D$3=JU!$I2936),JU!C2936,"")</f>
        <v/>
      </c>
      <c r="D2936" s="73" t="str">
        <f>IF(OR($D$3=JU!$F2936,$D$3=JU!$I2936),JU!D2936,"")</f>
        <v/>
      </c>
      <c r="E2936" s="74" t="str">
        <f>IF(OR($D$3=JU!$F2936,$D$3=JU!$I2936),JU!E2936,"")</f>
        <v/>
      </c>
      <c r="F2936" s="72">
        <f>IF($D$3=JU!F2936,JU!H2936,0)</f>
        <v>0</v>
      </c>
      <c r="G2936" s="72">
        <f>IF($D$3=JU!I2936,JU!K2936,0)</f>
        <v>0</v>
      </c>
      <c r="H2936" s="72" t="e">
        <f t="shared" si="46"/>
        <v>#REF!</v>
      </c>
    </row>
    <row r="2937" spans="2:8" hidden="1">
      <c r="B2937" s="68" t="str">
        <f>IF(OR($D$3=JU!$F2937,$D$3=JU!$I2937),JU!B2937,"")</f>
        <v/>
      </c>
      <c r="C2937" s="6" t="str">
        <f>IF(OR($D$3=JU!$F2937,$D$3=JU!$I2937),JU!C2937,"")</f>
        <v/>
      </c>
      <c r="D2937" s="73" t="str">
        <f>IF(OR($D$3=JU!$F2937,$D$3=JU!$I2937),JU!D2937,"")</f>
        <v/>
      </c>
      <c r="E2937" s="74" t="str">
        <f>IF(OR($D$3=JU!$F2937,$D$3=JU!$I2937),JU!E2937,"")</f>
        <v/>
      </c>
      <c r="F2937" s="72">
        <f>IF($D$3=JU!F2937,JU!H2937,0)</f>
        <v>0</v>
      </c>
      <c r="G2937" s="72">
        <f>IF($D$3=JU!I2937,JU!K2937,0)</f>
        <v>0</v>
      </c>
      <c r="H2937" s="72" t="e">
        <f t="shared" si="46"/>
        <v>#REF!</v>
      </c>
    </row>
    <row r="2938" spans="2:8" hidden="1">
      <c r="B2938" s="68" t="str">
        <f>IF(OR($D$3=JU!$F2938,$D$3=JU!$I2938),JU!B2938,"")</f>
        <v/>
      </c>
      <c r="C2938" s="6" t="str">
        <f>IF(OR($D$3=JU!$F2938,$D$3=JU!$I2938),JU!C2938,"")</f>
        <v/>
      </c>
      <c r="D2938" s="73" t="str">
        <f>IF(OR($D$3=JU!$F2938,$D$3=JU!$I2938),JU!D2938,"")</f>
        <v/>
      </c>
      <c r="E2938" s="74" t="str">
        <f>IF(OR($D$3=JU!$F2938,$D$3=JU!$I2938),JU!E2938,"")</f>
        <v/>
      </c>
      <c r="F2938" s="72">
        <f>IF($D$3=JU!F2938,JU!H2938,0)</f>
        <v>0</v>
      </c>
      <c r="G2938" s="72">
        <f>IF($D$3=JU!I2938,JU!K2938,0)</f>
        <v>0</v>
      </c>
      <c r="H2938" s="72" t="e">
        <f t="shared" si="46"/>
        <v>#REF!</v>
      </c>
    </row>
    <row r="2939" spans="2:8" hidden="1">
      <c r="B2939" s="68" t="str">
        <f>IF(OR($D$3=JU!$F2939,$D$3=JU!$I2939),JU!B2939,"")</f>
        <v/>
      </c>
      <c r="C2939" s="6" t="str">
        <f>IF(OR($D$3=JU!$F2939,$D$3=JU!$I2939),JU!C2939,"")</f>
        <v/>
      </c>
      <c r="D2939" s="73" t="str">
        <f>IF(OR($D$3=JU!$F2939,$D$3=JU!$I2939),JU!D2939,"")</f>
        <v/>
      </c>
      <c r="E2939" s="74" t="str">
        <f>IF(OR($D$3=JU!$F2939,$D$3=JU!$I2939),JU!E2939,"")</f>
        <v/>
      </c>
      <c r="F2939" s="72">
        <f>IF($D$3=JU!F2939,JU!H2939,0)</f>
        <v>0</v>
      </c>
      <c r="G2939" s="72">
        <f>IF($D$3=JU!I2939,JU!K2939,0)</f>
        <v>0</v>
      </c>
      <c r="H2939" s="72" t="e">
        <f t="shared" si="46"/>
        <v>#REF!</v>
      </c>
    </row>
    <row r="2940" spans="2:8" hidden="1">
      <c r="B2940" s="68" t="str">
        <f>IF(OR($D$3=JU!$F2940,$D$3=JU!$I2940),JU!B2940,"")</f>
        <v/>
      </c>
      <c r="C2940" s="6" t="str">
        <f>IF(OR($D$3=JU!$F2940,$D$3=JU!$I2940),JU!C2940,"")</f>
        <v/>
      </c>
      <c r="D2940" s="73" t="str">
        <f>IF(OR($D$3=JU!$F2940,$D$3=JU!$I2940),JU!D2940,"")</f>
        <v/>
      </c>
      <c r="E2940" s="74" t="str">
        <f>IF(OR($D$3=JU!$F2940,$D$3=JU!$I2940),JU!E2940,"")</f>
        <v/>
      </c>
      <c r="F2940" s="72">
        <f>IF($D$3=JU!F2940,JU!H2940,0)</f>
        <v>0</v>
      </c>
      <c r="G2940" s="72">
        <f>IF($D$3=JU!I2940,JU!K2940,0)</f>
        <v>0</v>
      </c>
      <c r="H2940" s="72" t="e">
        <f t="shared" si="46"/>
        <v>#REF!</v>
      </c>
    </row>
    <row r="2941" spans="2:8" hidden="1">
      <c r="B2941" s="68" t="str">
        <f>IF(OR($D$3=JU!$F2941,$D$3=JU!$I2941),JU!B2941,"")</f>
        <v/>
      </c>
      <c r="C2941" s="6" t="str">
        <f>IF(OR($D$3=JU!$F2941,$D$3=JU!$I2941),JU!C2941,"")</f>
        <v/>
      </c>
      <c r="D2941" s="73" t="str">
        <f>IF(OR($D$3=JU!$F2941,$D$3=JU!$I2941),JU!D2941,"")</f>
        <v/>
      </c>
      <c r="E2941" s="74" t="str">
        <f>IF(OR($D$3=JU!$F2941,$D$3=JU!$I2941),JU!E2941,"")</f>
        <v/>
      </c>
      <c r="F2941" s="72">
        <f>IF($D$3=JU!F2941,JU!H2941,0)</f>
        <v>0</v>
      </c>
      <c r="G2941" s="72">
        <f>IF($D$3=JU!I2941,JU!K2941,0)</f>
        <v>0</v>
      </c>
      <c r="H2941" s="72" t="e">
        <f t="shared" si="46"/>
        <v>#REF!</v>
      </c>
    </row>
    <row r="2942" spans="2:8" hidden="1">
      <c r="B2942" s="68" t="str">
        <f>IF(OR($D$3=JU!$F2942,$D$3=JU!$I2942),JU!B2942,"")</f>
        <v/>
      </c>
      <c r="C2942" s="6" t="str">
        <f>IF(OR($D$3=JU!$F2942,$D$3=JU!$I2942),JU!C2942,"")</f>
        <v/>
      </c>
      <c r="D2942" s="73" t="str">
        <f>IF(OR($D$3=JU!$F2942,$D$3=JU!$I2942),JU!D2942,"")</f>
        <v/>
      </c>
      <c r="E2942" s="74" t="str">
        <f>IF(OR($D$3=JU!$F2942,$D$3=JU!$I2942),JU!E2942,"")</f>
        <v/>
      </c>
      <c r="F2942" s="72">
        <f>IF($D$3=JU!F2942,JU!H2942,0)</f>
        <v>0</v>
      </c>
      <c r="G2942" s="72">
        <f>IF($D$3=JU!I2942,JU!K2942,0)</f>
        <v>0</v>
      </c>
      <c r="H2942" s="72" t="e">
        <f t="shared" si="46"/>
        <v>#REF!</v>
      </c>
    </row>
    <row r="2943" spans="2:8" hidden="1">
      <c r="B2943" s="68" t="str">
        <f>IF(OR($D$3=JU!$F2943,$D$3=JU!$I2943),JU!B2943,"")</f>
        <v/>
      </c>
      <c r="C2943" s="6" t="str">
        <f>IF(OR($D$3=JU!$F2943,$D$3=JU!$I2943),JU!C2943,"")</f>
        <v/>
      </c>
      <c r="D2943" s="73" t="str">
        <f>IF(OR($D$3=JU!$F2943,$D$3=JU!$I2943),JU!D2943,"")</f>
        <v/>
      </c>
      <c r="E2943" s="74" t="str">
        <f>IF(OR($D$3=JU!$F2943,$D$3=JU!$I2943),JU!E2943,"")</f>
        <v/>
      </c>
      <c r="F2943" s="72">
        <f>IF($D$3=JU!F2943,JU!H2943,0)</f>
        <v>0</v>
      </c>
      <c r="G2943" s="72">
        <f>IF($D$3=JU!I2943,JU!K2943,0)</f>
        <v>0</v>
      </c>
      <c r="H2943" s="72" t="e">
        <f t="shared" si="46"/>
        <v>#REF!</v>
      </c>
    </row>
    <row r="2944" spans="2:8" hidden="1">
      <c r="B2944" s="68" t="str">
        <f>IF(OR($D$3=JU!$F2944,$D$3=JU!$I2944),JU!B2944,"")</f>
        <v/>
      </c>
      <c r="C2944" s="6" t="str">
        <f>IF(OR($D$3=JU!$F2944,$D$3=JU!$I2944),JU!C2944,"")</f>
        <v/>
      </c>
      <c r="D2944" s="73" t="str">
        <f>IF(OR($D$3=JU!$F2944,$D$3=JU!$I2944),JU!D2944,"")</f>
        <v/>
      </c>
      <c r="E2944" s="74" t="str">
        <f>IF(OR($D$3=JU!$F2944,$D$3=JU!$I2944),JU!E2944,"")</f>
        <v/>
      </c>
      <c r="F2944" s="72">
        <f>IF($D$3=JU!F2944,JU!H2944,0)</f>
        <v>0</v>
      </c>
      <c r="G2944" s="72">
        <f>IF($D$3=JU!I2944,JU!K2944,0)</f>
        <v>0</v>
      </c>
      <c r="H2944" s="72" t="e">
        <f t="shared" si="46"/>
        <v>#REF!</v>
      </c>
    </row>
    <row r="2945" spans="2:8" hidden="1">
      <c r="B2945" s="68" t="str">
        <f>IF(OR($D$3=JU!$F2945,$D$3=JU!$I2945),JU!B2945,"")</f>
        <v/>
      </c>
      <c r="C2945" s="6" t="str">
        <f>IF(OR($D$3=JU!$F2945,$D$3=JU!$I2945),JU!C2945,"")</f>
        <v/>
      </c>
      <c r="D2945" s="73" t="str">
        <f>IF(OR($D$3=JU!$F2945,$D$3=JU!$I2945),JU!D2945,"")</f>
        <v/>
      </c>
      <c r="E2945" s="74" t="str">
        <f>IF(OR($D$3=JU!$F2945,$D$3=JU!$I2945),JU!E2945,"")</f>
        <v/>
      </c>
      <c r="F2945" s="72">
        <f>IF($D$3=JU!F2945,JU!H2945,0)</f>
        <v>0</v>
      </c>
      <c r="G2945" s="72">
        <f>IF($D$3=JU!I2945,JU!K2945,0)</f>
        <v>0</v>
      </c>
      <c r="H2945" s="72" t="e">
        <f t="shared" si="46"/>
        <v>#REF!</v>
      </c>
    </row>
    <row r="2946" spans="2:8" hidden="1">
      <c r="B2946" s="68" t="str">
        <f>IF(OR($D$3=JU!$F2946,$D$3=JU!$I2946),JU!B2946,"")</f>
        <v/>
      </c>
      <c r="C2946" s="6" t="str">
        <f>IF(OR($D$3=JU!$F2946,$D$3=JU!$I2946),JU!C2946,"")</f>
        <v/>
      </c>
      <c r="D2946" s="73" t="str">
        <f>IF(OR($D$3=JU!$F2946,$D$3=JU!$I2946),JU!D2946,"")</f>
        <v/>
      </c>
      <c r="E2946" s="74" t="str">
        <f>IF(OR($D$3=JU!$F2946,$D$3=JU!$I2946),JU!E2946,"")</f>
        <v/>
      </c>
      <c r="F2946" s="72">
        <f>IF($D$3=JU!F2946,JU!H2946,0)</f>
        <v>0</v>
      </c>
      <c r="G2946" s="72">
        <f>IF($D$3=JU!I2946,JU!K2946,0)</f>
        <v>0</v>
      </c>
      <c r="H2946" s="72" t="e">
        <f t="shared" si="46"/>
        <v>#REF!</v>
      </c>
    </row>
    <row r="2947" spans="2:8" hidden="1">
      <c r="B2947" s="68" t="str">
        <f>IF(OR($D$3=JU!$F2947,$D$3=JU!$I2947),JU!B2947,"")</f>
        <v/>
      </c>
      <c r="C2947" s="6" t="str">
        <f>IF(OR($D$3=JU!$F2947,$D$3=JU!$I2947),JU!C2947,"")</f>
        <v/>
      </c>
      <c r="D2947" s="73" t="str">
        <f>IF(OR($D$3=JU!$F2947,$D$3=JU!$I2947),JU!D2947,"")</f>
        <v/>
      </c>
      <c r="E2947" s="74" t="str">
        <f>IF(OR($D$3=JU!$F2947,$D$3=JU!$I2947),JU!E2947,"")</f>
        <v/>
      </c>
      <c r="F2947" s="72">
        <f>IF($D$3=JU!F2947,JU!H2947,0)</f>
        <v>0</v>
      </c>
      <c r="G2947" s="72">
        <f>IF($D$3=JU!I2947,JU!K2947,0)</f>
        <v>0</v>
      </c>
      <c r="H2947" s="72" t="e">
        <f t="shared" si="46"/>
        <v>#REF!</v>
      </c>
    </row>
    <row r="2948" spans="2:8" hidden="1">
      <c r="B2948" s="68" t="str">
        <f>IF(OR($D$3=JU!$F2948,$D$3=JU!$I2948),JU!B2948,"")</f>
        <v/>
      </c>
      <c r="C2948" s="6" t="str">
        <f>IF(OR($D$3=JU!$F2948,$D$3=JU!$I2948),JU!C2948,"")</f>
        <v/>
      </c>
      <c r="D2948" s="73" t="str">
        <f>IF(OR($D$3=JU!$F2948,$D$3=JU!$I2948),JU!D2948,"")</f>
        <v/>
      </c>
      <c r="E2948" s="74" t="str">
        <f>IF(OR($D$3=JU!$F2948,$D$3=JU!$I2948),JU!E2948,"")</f>
        <v/>
      </c>
      <c r="F2948" s="72">
        <f>IF($D$3=JU!F2948,JU!H2948,0)</f>
        <v>0</v>
      </c>
      <c r="G2948" s="72">
        <f>IF($D$3=JU!I2948,JU!K2948,0)</f>
        <v>0</v>
      </c>
      <c r="H2948" s="72" t="e">
        <f t="shared" si="46"/>
        <v>#REF!</v>
      </c>
    </row>
    <row r="2949" spans="2:8" hidden="1">
      <c r="B2949" s="68" t="str">
        <f>IF(OR($D$3=JU!$F2949,$D$3=JU!$I2949),JU!B2949,"")</f>
        <v/>
      </c>
      <c r="C2949" s="6" t="str">
        <f>IF(OR($D$3=JU!$F2949,$D$3=JU!$I2949),JU!C2949,"")</f>
        <v/>
      </c>
      <c r="D2949" s="73" t="str">
        <f>IF(OR($D$3=JU!$F2949,$D$3=JU!$I2949),JU!D2949,"")</f>
        <v/>
      </c>
      <c r="E2949" s="74" t="str">
        <f>IF(OR($D$3=JU!$F2949,$D$3=JU!$I2949),JU!E2949,"")</f>
        <v/>
      </c>
      <c r="F2949" s="72">
        <f>IF($D$3=JU!F2949,JU!H2949,0)</f>
        <v>0</v>
      </c>
      <c r="G2949" s="72">
        <f>IF($D$3=JU!I2949,JU!K2949,0)</f>
        <v>0</v>
      </c>
      <c r="H2949" s="72" t="e">
        <f t="shared" si="46"/>
        <v>#REF!</v>
      </c>
    </row>
    <row r="2950" spans="2:8" hidden="1">
      <c r="B2950" s="68" t="str">
        <f>IF(OR($D$3=JU!$F2950,$D$3=JU!$I2950),JU!B2950,"")</f>
        <v/>
      </c>
      <c r="C2950" s="6" t="str">
        <f>IF(OR($D$3=JU!$F2950,$D$3=JU!$I2950),JU!C2950,"")</f>
        <v/>
      </c>
      <c r="D2950" s="73" t="str">
        <f>IF(OR($D$3=JU!$F2950,$D$3=JU!$I2950),JU!D2950,"")</f>
        <v/>
      </c>
      <c r="E2950" s="74" t="str">
        <f>IF(OR($D$3=JU!$F2950,$D$3=JU!$I2950),JU!E2950,"")</f>
        <v/>
      </c>
      <c r="F2950" s="72">
        <f>IF($D$3=JU!F2950,JU!H2950,0)</f>
        <v>0</v>
      </c>
      <c r="G2950" s="72">
        <f>IF($D$3=JU!I2950,JU!K2950,0)</f>
        <v>0</v>
      </c>
      <c r="H2950" s="72" t="e">
        <f t="shared" si="46"/>
        <v>#REF!</v>
      </c>
    </row>
    <row r="2951" spans="2:8" hidden="1">
      <c r="B2951" s="68" t="str">
        <f>IF(OR($D$3=JU!$F2951,$D$3=JU!$I2951),JU!B2951,"")</f>
        <v/>
      </c>
      <c r="C2951" s="6" t="str">
        <f>IF(OR($D$3=JU!$F2951,$D$3=JU!$I2951),JU!C2951,"")</f>
        <v/>
      </c>
      <c r="D2951" s="73" t="str">
        <f>IF(OR($D$3=JU!$F2951,$D$3=JU!$I2951),JU!D2951,"")</f>
        <v/>
      </c>
      <c r="E2951" s="74" t="str">
        <f>IF(OR($D$3=JU!$F2951,$D$3=JU!$I2951),JU!E2951,"")</f>
        <v/>
      </c>
      <c r="F2951" s="72">
        <f>IF($D$3=JU!F2951,JU!H2951,0)</f>
        <v>0</v>
      </c>
      <c r="G2951" s="72">
        <f>IF($D$3=JU!I2951,JU!K2951,0)</f>
        <v>0</v>
      </c>
      <c r="H2951" s="72" t="e">
        <f t="shared" si="46"/>
        <v>#REF!</v>
      </c>
    </row>
    <row r="2952" spans="2:8" hidden="1">
      <c r="B2952" s="68" t="str">
        <f>IF(OR($D$3=JU!$F2952,$D$3=JU!$I2952),JU!B2952,"")</f>
        <v/>
      </c>
      <c r="C2952" s="6" t="str">
        <f>IF(OR($D$3=JU!$F2952,$D$3=JU!$I2952),JU!C2952,"")</f>
        <v/>
      </c>
      <c r="D2952" s="73" t="str">
        <f>IF(OR($D$3=JU!$F2952,$D$3=JU!$I2952),JU!D2952,"")</f>
        <v/>
      </c>
      <c r="E2952" s="74" t="str">
        <f>IF(OR($D$3=JU!$F2952,$D$3=JU!$I2952),JU!E2952,"")</f>
        <v/>
      </c>
      <c r="F2952" s="72">
        <f>IF($D$3=JU!F2952,JU!H2952,0)</f>
        <v>0</v>
      </c>
      <c r="G2952" s="72">
        <f>IF($D$3=JU!I2952,JU!K2952,0)</f>
        <v>0</v>
      </c>
      <c r="H2952" s="72" t="e">
        <f t="shared" si="46"/>
        <v>#REF!</v>
      </c>
    </row>
    <row r="2953" spans="2:8" hidden="1">
      <c r="B2953" s="68" t="str">
        <f>IF(OR($D$3=JU!$F2953,$D$3=JU!$I2953),JU!B2953,"")</f>
        <v/>
      </c>
      <c r="C2953" s="6" t="str">
        <f>IF(OR($D$3=JU!$F2953,$D$3=JU!$I2953),JU!C2953,"")</f>
        <v/>
      </c>
      <c r="D2953" s="73" t="str">
        <f>IF(OR($D$3=JU!$F2953,$D$3=JU!$I2953),JU!D2953,"")</f>
        <v/>
      </c>
      <c r="E2953" s="74" t="str">
        <f>IF(OR($D$3=JU!$F2953,$D$3=JU!$I2953),JU!E2953,"")</f>
        <v/>
      </c>
      <c r="F2953" s="72">
        <f>IF($D$3=JU!F2953,JU!H2953,0)</f>
        <v>0</v>
      </c>
      <c r="G2953" s="72">
        <f>IF($D$3=JU!I2953,JU!K2953,0)</f>
        <v>0</v>
      </c>
      <c r="H2953" s="72" t="e">
        <f t="shared" si="46"/>
        <v>#REF!</v>
      </c>
    </row>
    <row r="2954" spans="2:8" hidden="1">
      <c r="B2954" s="68" t="str">
        <f>IF(OR($D$3=JU!$F2954,$D$3=JU!$I2954),JU!B2954,"")</f>
        <v/>
      </c>
      <c r="C2954" s="6" t="str">
        <f>IF(OR($D$3=JU!$F2954,$D$3=JU!$I2954),JU!C2954,"")</f>
        <v/>
      </c>
      <c r="D2954" s="73" t="str">
        <f>IF(OR($D$3=JU!$F2954,$D$3=JU!$I2954),JU!D2954,"")</f>
        <v/>
      </c>
      <c r="E2954" s="74" t="str">
        <f>IF(OR($D$3=JU!$F2954,$D$3=JU!$I2954),JU!E2954,"")</f>
        <v/>
      </c>
      <c r="F2954" s="72">
        <f>IF($D$3=JU!F2954,JU!H2954,0)</f>
        <v>0</v>
      </c>
      <c r="G2954" s="72">
        <f>IF($D$3=JU!I2954,JU!K2954,0)</f>
        <v>0</v>
      </c>
      <c r="H2954" s="72" t="e">
        <f t="shared" si="46"/>
        <v>#REF!</v>
      </c>
    </row>
    <row r="2955" spans="2:8" hidden="1">
      <c r="B2955" s="68" t="str">
        <f>IF(OR($D$3=JU!$F2955,$D$3=JU!$I2955),JU!B2955,"")</f>
        <v/>
      </c>
      <c r="C2955" s="6" t="str">
        <f>IF(OR($D$3=JU!$F2955,$D$3=JU!$I2955),JU!C2955,"")</f>
        <v/>
      </c>
      <c r="D2955" s="73" t="str">
        <f>IF(OR($D$3=JU!$F2955,$D$3=JU!$I2955),JU!D2955,"")</f>
        <v/>
      </c>
      <c r="E2955" s="74" t="str">
        <f>IF(OR($D$3=JU!$F2955,$D$3=JU!$I2955),JU!E2955,"")</f>
        <v/>
      </c>
      <c r="F2955" s="72">
        <f>IF($D$3=JU!F2955,JU!H2955,0)</f>
        <v>0</v>
      </c>
      <c r="G2955" s="72">
        <f>IF($D$3=JU!I2955,JU!K2955,0)</f>
        <v>0</v>
      </c>
      <c r="H2955" s="72" t="e">
        <f t="shared" si="46"/>
        <v>#REF!</v>
      </c>
    </row>
    <row r="2956" spans="2:8" hidden="1">
      <c r="B2956" s="68" t="str">
        <f>IF(OR($D$3=JU!$F2956,$D$3=JU!$I2956),JU!B2956,"")</f>
        <v/>
      </c>
      <c r="C2956" s="6" t="str">
        <f>IF(OR($D$3=JU!$F2956,$D$3=JU!$I2956),JU!C2956,"")</f>
        <v/>
      </c>
      <c r="D2956" s="73" t="str">
        <f>IF(OR($D$3=JU!$F2956,$D$3=JU!$I2956),JU!D2956,"")</f>
        <v/>
      </c>
      <c r="E2956" s="74" t="str">
        <f>IF(OR($D$3=JU!$F2956,$D$3=JU!$I2956),JU!E2956,"")</f>
        <v/>
      </c>
      <c r="F2956" s="72">
        <f>IF($D$3=JU!F2956,JU!H2956,0)</f>
        <v>0</v>
      </c>
      <c r="G2956" s="72">
        <f>IF($D$3=JU!I2956,JU!K2956,0)</f>
        <v>0</v>
      </c>
      <c r="H2956" s="72" t="e">
        <f t="shared" si="46"/>
        <v>#REF!</v>
      </c>
    </row>
    <row r="2957" spans="2:8" hidden="1">
      <c r="B2957" s="68" t="str">
        <f>IF(OR($D$3=JU!$F2957,$D$3=JU!$I2957),JU!B2957,"")</f>
        <v/>
      </c>
      <c r="C2957" s="6" t="str">
        <f>IF(OR($D$3=JU!$F2957,$D$3=JU!$I2957),JU!C2957,"")</f>
        <v/>
      </c>
      <c r="D2957" s="73" t="str">
        <f>IF(OR($D$3=JU!$F2957,$D$3=JU!$I2957),JU!D2957,"")</f>
        <v/>
      </c>
      <c r="E2957" s="74" t="str">
        <f>IF(OR($D$3=JU!$F2957,$D$3=JU!$I2957),JU!E2957,"")</f>
        <v/>
      </c>
      <c r="F2957" s="72">
        <f>IF($D$3=JU!F2957,JU!H2957,0)</f>
        <v>0</v>
      </c>
      <c r="G2957" s="72">
        <f>IF($D$3=JU!I2957,JU!K2957,0)</f>
        <v>0</v>
      </c>
      <c r="H2957" s="72" t="e">
        <f t="shared" si="46"/>
        <v>#REF!</v>
      </c>
    </row>
    <row r="2958" spans="2:8" hidden="1">
      <c r="B2958" s="68" t="str">
        <f>IF(OR($D$3=JU!$F2958,$D$3=JU!$I2958),JU!B2958,"")</f>
        <v/>
      </c>
      <c r="C2958" s="6" t="str">
        <f>IF(OR($D$3=JU!$F2958,$D$3=JU!$I2958),JU!C2958,"")</f>
        <v/>
      </c>
      <c r="D2958" s="73" t="str">
        <f>IF(OR($D$3=JU!$F2958,$D$3=JU!$I2958),JU!D2958,"")</f>
        <v/>
      </c>
      <c r="E2958" s="74" t="str">
        <f>IF(OR($D$3=JU!$F2958,$D$3=JU!$I2958),JU!E2958,"")</f>
        <v/>
      </c>
      <c r="F2958" s="72">
        <f>IF($D$3=JU!F2958,JU!H2958,0)</f>
        <v>0</v>
      </c>
      <c r="G2958" s="72">
        <f>IF($D$3=JU!I2958,JU!K2958,0)</f>
        <v>0</v>
      </c>
      <c r="H2958" s="72" t="e">
        <f t="shared" ref="H2958:H3000" si="47">IF($H$7="DEBET",H2957+F2958-G2958,H2957+G2958-F2958)</f>
        <v>#REF!</v>
      </c>
    </row>
    <row r="2959" spans="2:8" hidden="1">
      <c r="B2959" s="68" t="str">
        <f>IF(OR($D$3=JU!$F2959,$D$3=JU!$I2959),JU!B2959,"")</f>
        <v/>
      </c>
      <c r="C2959" s="6" t="str">
        <f>IF(OR($D$3=JU!$F2959,$D$3=JU!$I2959),JU!C2959,"")</f>
        <v/>
      </c>
      <c r="D2959" s="73" t="str">
        <f>IF(OR($D$3=JU!$F2959,$D$3=JU!$I2959),JU!D2959,"")</f>
        <v/>
      </c>
      <c r="E2959" s="74" t="str">
        <f>IF(OR($D$3=JU!$F2959,$D$3=JU!$I2959),JU!E2959,"")</f>
        <v/>
      </c>
      <c r="F2959" s="72">
        <f>IF($D$3=JU!F2959,JU!H2959,0)</f>
        <v>0</v>
      </c>
      <c r="G2959" s="72">
        <f>IF($D$3=JU!I2959,JU!K2959,0)</f>
        <v>0</v>
      </c>
      <c r="H2959" s="72" t="e">
        <f t="shared" si="47"/>
        <v>#REF!</v>
      </c>
    </row>
    <row r="2960" spans="2:8" hidden="1">
      <c r="B2960" s="68" t="str">
        <f>IF(OR($D$3=JU!$F2960,$D$3=JU!$I2960),JU!B2960,"")</f>
        <v/>
      </c>
      <c r="C2960" s="6" t="str">
        <f>IF(OR($D$3=JU!$F2960,$D$3=JU!$I2960),JU!C2960,"")</f>
        <v/>
      </c>
      <c r="D2960" s="73" t="str">
        <f>IF(OR($D$3=JU!$F2960,$D$3=JU!$I2960),JU!D2960,"")</f>
        <v/>
      </c>
      <c r="E2960" s="74" t="str">
        <f>IF(OR($D$3=JU!$F2960,$D$3=JU!$I2960),JU!E2960,"")</f>
        <v/>
      </c>
      <c r="F2960" s="72">
        <f>IF($D$3=JU!F2960,JU!H2960,0)</f>
        <v>0</v>
      </c>
      <c r="G2960" s="72">
        <f>IF($D$3=JU!I2960,JU!K2960,0)</f>
        <v>0</v>
      </c>
      <c r="H2960" s="72" t="e">
        <f t="shared" si="47"/>
        <v>#REF!</v>
      </c>
    </row>
    <row r="2961" spans="2:8" hidden="1">
      <c r="B2961" s="68" t="str">
        <f>IF(OR($D$3=JU!$F2961,$D$3=JU!$I2961),JU!B2961,"")</f>
        <v/>
      </c>
      <c r="C2961" s="6" t="str">
        <f>IF(OR($D$3=JU!$F2961,$D$3=JU!$I2961),JU!C2961,"")</f>
        <v/>
      </c>
      <c r="D2961" s="73" t="str">
        <f>IF(OR($D$3=JU!$F2961,$D$3=JU!$I2961),JU!D2961,"")</f>
        <v/>
      </c>
      <c r="E2961" s="74" t="str">
        <f>IF(OR($D$3=JU!$F2961,$D$3=JU!$I2961),JU!E2961,"")</f>
        <v/>
      </c>
      <c r="F2961" s="72">
        <f>IF($D$3=JU!F2961,JU!H2961,0)</f>
        <v>0</v>
      </c>
      <c r="G2961" s="72">
        <f>IF($D$3=JU!I2961,JU!K2961,0)</f>
        <v>0</v>
      </c>
      <c r="H2961" s="72" t="e">
        <f t="shared" si="47"/>
        <v>#REF!</v>
      </c>
    </row>
    <row r="2962" spans="2:8" hidden="1">
      <c r="B2962" s="68" t="str">
        <f>IF(OR($D$3=JU!$F2962,$D$3=JU!$I2962),JU!B2962,"")</f>
        <v/>
      </c>
      <c r="C2962" s="6" t="str">
        <f>IF(OR($D$3=JU!$F2962,$D$3=JU!$I2962),JU!C2962,"")</f>
        <v/>
      </c>
      <c r="D2962" s="73" t="str">
        <f>IF(OR($D$3=JU!$F2962,$D$3=JU!$I2962),JU!D2962,"")</f>
        <v/>
      </c>
      <c r="E2962" s="74" t="str">
        <f>IF(OR($D$3=JU!$F2962,$D$3=JU!$I2962),JU!E2962,"")</f>
        <v/>
      </c>
      <c r="F2962" s="72">
        <f>IF($D$3=JU!F2962,JU!H2962,0)</f>
        <v>0</v>
      </c>
      <c r="G2962" s="72">
        <f>IF($D$3=JU!I2962,JU!K2962,0)</f>
        <v>0</v>
      </c>
      <c r="H2962" s="72" t="e">
        <f t="shared" si="47"/>
        <v>#REF!</v>
      </c>
    </row>
    <row r="2963" spans="2:8" hidden="1">
      <c r="B2963" s="68" t="str">
        <f>IF(OR($D$3=JU!$F2963,$D$3=JU!$I2963),JU!B2963,"")</f>
        <v/>
      </c>
      <c r="C2963" s="6" t="str">
        <f>IF(OR($D$3=JU!$F2963,$D$3=JU!$I2963),JU!C2963,"")</f>
        <v/>
      </c>
      <c r="D2963" s="73" t="str">
        <f>IF(OR($D$3=JU!$F2963,$D$3=JU!$I2963),JU!D2963,"")</f>
        <v/>
      </c>
      <c r="E2963" s="74" t="str">
        <f>IF(OR($D$3=JU!$F2963,$D$3=JU!$I2963),JU!E2963,"")</f>
        <v/>
      </c>
      <c r="F2963" s="72">
        <f>IF($D$3=JU!F2963,JU!H2963,0)</f>
        <v>0</v>
      </c>
      <c r="G2963" s="72">
        <f>IF($D$3=JU!I2963,JU!K2963,0)</f>
        <v>0</v>
      </c>
      <c r="H2963" s="72" t="e">
        <f t="shared" si="47"/>
        <v>#REF!</v>
      </c>
    </row>
    <row r="2964" spans="2:8" hidden="1">
      <c r="B2964" s="68" t="str">
        <f>IF(OR($D$3=JU!$F2964,$D$3=JU!$I2964),JU!B2964,"")</f>
        <v/>
      </c>
      <c r="C2964" s="6" t="str">
        <f>IF(OR($D$3=JU!$F2964,$D$3=JU!$I2964),JU!C2964,"")</f>
        <v/>
      </c>
      <c r="D2964" s="73" t="str">
        <f>IF(OR($D$3=JU!$F2964,$D$3=JU!$I2964),JU!D2964,"")</f>
        <v/>
      </c>
      <c r="E2964" s="74" t="str">
        <f>IF(OR($D$3=JU!$F2964,$D$3=JU!$I2964),JU!E2964,"")</f>
        <v/>
      </c>
      <c r="F2964" s="72">
        <f>IF($D$3=JU!F2964,JU!H2964,0)</f>
        <v>0</v>
      </c>
      <c r="G2964" s="72">
        <f>IF($D$3=JU!I2964,JU!K2964,0)</f>
        <v>0</v>
      </c>
      <c r="H2964" s="72" t="e">
        <f t="shared" si="47"/>
        <v>#REF!</v>
      </c>
    </row>
    <row r="2965" spans="2:8" hidden="1">
      <c r="B2965" s="68" t="str">
        <f>IF(OR($D$3=JU!$F2965,$D$3=JU!$I2965),JU!B2965,"")</f>
        <v/>
      </c>
      <c r="C2965" s="6" t="str">
        <f>IF(OR($D$3=JU!$F2965,$D$3=JU!$I2965),JU!C2965,"")</f>
        <v/>
      </c>
      <c r="D2965" s="73" t="str">
        <f>IF(OR($D$3=JU!$F2965,$D$3=JU!$I2965),JU!D2965,"")</f>
        <v/>
      </c>
      <c r="E2965" s="74" t="str">
        <f>IF(OR($D$3=JU!$F2965,$D$3=JU!$I2965),JU!E2965,"")</f>
        <v/>
      </c>
      <c r="F2965" s="72">
        <f>IF($D$3=JU!F2965,JU!H2965,0)</f>
        <v>0</v>
      </c>
      <c r="G2965" s="72">
        <f>IF($D$3=JU!I2965,JU!K2965,0)</f>
        <v>0</v>
      </c>
      <c r="H2965" s="72" t="e">
        <f t="shared" si="47"/>
        <v>#REF!</v>
      </c>
    </row>
    <row r="2966" spans="2:8" hidden="1">
      <c r="B2966" s="68" t="str">
        <f>IF(OR($D$3=JU!$F2966,$D$3=JU!$I2966),JU!B2966,"")</f>
        <v/>
      </c>
      <c r="C2966" s="6" t="str">
        <f>IF(OR($D$3=JU!$F2966,$D$3=JU!$I2966),JU!C2966,"")</f>
        <v/>
      </c>
      <c r="D2966" s="73" t="str">
        <f>IF(OR($D$3=JU!$F2966,$D$3=JU!$I2966),JU!D2966,"")</f>
        <v/>
      </c>
      <c r="E2966" s="74" t="str">
        <f>IF(OR($D$3=JU!$F2966,$D$3=JU!$I2966),JU!E2966,"")</f>
        <v/>
      </c>
      <c r="F2966" s="72">
        <f>IF($D$3=JU!F2966,JU!H2966,0)</f>
        <v>0</v>
      </c>
      <c r="G2966" s="72">
        <f>IF($D$3=JU!I2966,JU!K2966,0)</f>
        <v>0</v>
      </c>
      <c r="H2966" s="72" t="e">
        <f t="shared" si="47"/>
        <v>#REF!</v>
      </c>
    </row>
    <row r="2967" spans="2:8" hidden="1">
      <c r="B2967" s="68" t="str">
        <f>IF(OR($D$3=JU!$F2967,$D$3=JU!$I2967),JU!B2967,"")</f>
        <v/>
      </c>
      <c r="C2967" s="6" t="str">
        <f>IF(OR($D$3=JU!$F2967,$D$3=JU!$I2967),JU!C2967,"")</f>
        <v/>
      </c>
      <c r="D2967" s="73" t="str">
        <f>IF(OR($D$3=JU!$F2967,$D$3=JU!$I2967),JU!D2967,"")</f>
        <v/>
      </c>
      <c r="E2967" s="74" t="str">
        <f>IF(OR($D$3=JU!$F2967,$D$3=JU!$I2967),JU!E2967,"")</f>
        <v/>
      </c>
      <c r="F2967" s="72">
        <f>IF($D$3=JU!F2967,JU!H2967,0)</f>
        <v>0</v>
      </c>
      <c r="G2967" s="72">
        <f>IF($D$3=JU!I2967,JU!K2967,0)</f>
        <v>0</v>
      </c>
      <c r="H2967" s="72" t="e">
        <f t="shared" si="47"/>
        <v>#REF!</v>
      </c>
    </row>
    <row r="2968" spans="2:8" hidden="1">
      <c r="B2968" s="68" t="str">
        <f>IF(OR($D$3=JU!$F2968,$D$3=JU!$I2968),JU!B2968,"")</f>
        <v/>
      </c>
      <c r="C2968" s="6" t="str">
        <f>IF(OR($D$3=JU!$F2968,$D$3=JU!$I2968),JU!C2968,"")</f>
        <v/>
      </c>
      <c r="D2968" s="73" t="str">
        <f>IF(OR($D$3=JU!$F2968,$D$3=JU!$I2968),JU!D2968,"")</f>
        <v/>
      </c>
      <c r="E2968" s="74" t="str">
        <f>IF(OR($D$3=JU!$F2968,$D$3=JU!$I2968),JU!E2968,"")</f>
        <v/>
      </c>
      <c r="F2968" s="72">
        <f>IF($D$3=JU!F2968,JU!H2968,0)</f>
        <v>0</v>
      </c>
      <c r="G2968" s="72">
        <f>IF($D$3=JU!I2968,JU!K2968,0)</f>
        <v>0</v>
      </c>
      <c r="H2968" s="72" t="e">
        <f t="shared" si="47"/>
        <v>#REF!</v>
      </c>
    </row>
    <row r="2969" spans="2:8" hidden="1">
      <c r="B2969" s="68" t="str">
        <f>IF(OR($D$3=JU!$F2969,$D$3=JU!$I2969),JU!B2969,"")</f>
        <v/>
      </c>
      <c r="C2969" s="6" t="str">
        <f>IF(OR($D$3=JU!$F2969,$D$3=JU!$I2969),JU!C2969,"")</f>
        <v/>
      </c>
      <c r="D2969" s="73" t="str">
        <f>IF(OR($D$3=JU!$F2969,$D$3=JU!$I2969),JU!D2969,"")</f>
        <v/>
      </c>
      <c r="E2969" s="74" t="str">
        <f>IF(OR($D$3=JU!$F2969,$D$3=JU!$I2969),JU!E2969,"")</f>
        <v/>
      </c>
      <c r="F2969" s="72">
        <f>IF($D$3=JU!F2969,JU!H2969,0)</f>
        <v>0</v>
      </c>
      <c r="G2969" s="72">
        <f>IF($D$3=JU!I2969,JU!K2969,0)</f>
        <v>0</v>
      </c>
      <c r="H2969" s="72" t="e">
        <f t="shared" si="47"/>
        <v>#REF!</v>
      </c>
    </row>
    <row r="2970" spans="2:8" hidden="1">
      <c r="B2970" s="68" t="str">
        <f>IF(OR($D$3=JU!$F2970,$D$3=JU!$I2970),JU!B2970,"")</f>
        <v/>
      </c>
      <c r="C2970" s="6" t="str">
        <f>IF(OR($D$3=JU!$F2970,$D$3=JU!$I2970),JU!C2970,"")</f>
        <v/>
      </c>
      <c r="D2970" s="73" t="str">
        <f>IF(OR($D$3=JU!$F2970,$D$3=JU!$I2970),JU!D2970,"")</f>
        <v/>
      </c>
      <c r="E2970" s="74" t="str">
        <f>IF(OR($D$3=JU!$F2970,$D$3=JU!$I2970),JU!E2970,"")</f>
        <v/>
      </c>
      <c r="F2970" s="72">
        <f>IF($D$3=JU!F2970,JU!H2970,0)</f>
        <v>0</v>
      </c>
      <c r="G2970" s="72">
        <f>IF($D$3=JU!I2970,JU!K2970,0)</f>
        <v>0</v>
      </c>
      <c r="H2970" s="72" t="e">
        <f t="shared" si="47"/>
        <v>#REF!</v>
      </c>
    </row>
    <row r="2971" spans="2:8" hidden="1">
      <c r="B2971" s="68" t="str">
        <f>IF(OR($D$3=JU!$F2971,$D$3=JU!$I2971),JU!B2971,"")</f>
        <v/>
      </c>
      <c r="C2971" s="6" t="str">
        <f>IF(OR($D$3=JU!$F2971,$D$3=JU!$I2971),JU!C2971,"")</f>
        <v/>
      </c>
      <c r="D2971" s="73" t="str">
        <f>IF(OR($D$3=JU!$F2971,$D$3=JU!$I2971),JU!D2971,"")</f>
        <v/>
      </c>
      <c r="E2971" s="74" t="str">
        <f>IF(OR($D$3=JU!$F2971,$D$3=JU!$I2971),JU!E2971,"")</f>
        <v/>
      </c>
      <c r="F2971" s="72">
        <f>IF($D$3=JU!F2971,JU!H2971,0)</f>
        <v>0</v>
      </c>
      <c r="G2971" s="72">
        <f>IF($D$3=JU!I2971,JU!K2971,0)</f>
        <v>0</v>
      </c>
      <c r="H2971" s="72" t="e">
        <f t="shared" si="47"/>
        <v>#REF!</v>
      </c>
    </row>
    <row r="2972" spans="2:8" hidden="1">
      <c r="B2972" s="68" t="str">
        <f>IF(OR($D$3=JU!$F2972,$D$3=JU!$I2972),JU!B2972,"")</f>
        <v/>
      </c>
      <c r="C2972" s="6" t="str">
        <f>IF(OR($D$3=JU!$F2972,$D$3=JU!$I2972),JU!C2972,"")</f>
        <v/>
      </c>
      <c r="D2972" s="73" t="str">
        <f>IF(OR($D$3=JU!$F2972,$D$3=JU!$I2972),JU!D2972,"")</f>
        <v/>
      </c>
      <c r="E2972" s="74" t="str">
        <f>IF(OR($D$3=JU!$F2972,$D$3=JU!$I2972),JU!E2972,"")</f>
        <v/>
      </c>
      <c r="F2972" s="72">
        <f>IF($D$3=JU!F2972,JU!H2972,0)</f>
        <v>0</v>
      </c>
      <c r="G2972" s="72">
        <f>IF($D$3=JU!I2972,JU!K2972,0)</f>
        <v>0</v>
      </c>
      <c r="H2972" s="72" t="e">
        <f t="shared" si="47"/>
        <v>#REF!</v>
      </c>
    </row>
    <row r="2973" spans="2:8" hidden="1">
      <c r="B2973" s="68" t="str">
        <f>IF(OR($D$3=JU!$F2973,$D$3=JU!$I2973),JU!B2973,"")</f>
        <v/>
      </c>
      <c r="C2973" s="6" t="str">
        <f>IF(OR($D$3=JU!$F2973,$D$3=JU!$I2973),JU!C2973,"")</f>
        <v/>
      </c>
      <c r="D2973" s="73" t="str">
        <f>IF(OR($D$3=JU!$F2973,$D$3=JU!$I2973),JU!D2973,"")</f>
        <v/>
      </c>
      <c r="E2973" s="74" t="str">
        <f>IF(OR($D$3=JU!$F2973,$D$3=JU!$I2973),JU!E2973,"")</f>
        <v/>
      </c>
      <c r="F2973" s="72">
        <f>IF($D$3=JU!F2973,JU!H2973,0)</f>
        <v>0</v>
      </c>
      <c r="G2973" s="72">
        <f>IF($D$3=JU!I2973,JU!K2973,0)</f>
        <v>0</v>
      </c>
      <c r="H2973" s="72" t="e">
        <f t="shared" si="47"/>
        <v>#REF!</v>
      </c>
    </row>
    <row r="2974" spans="2:8" hidden="1">
      <c r="B2974" s="68" t="str">
        <f>IF(OR($D$3=JU!$F2974,$D$3=JU!$I2974),JU!B2974,"")</f>
        <v/>
      </c>
      <c r="C2974" s="6" t="str">
        <f>IF(OR($D$3=JU!$F2974,$D$3=JU!$I2974),JU!C2974,"")</f>
        <v/>
      </c>
      <c r="D2974" s="73" t="str">
        <f>IF(OR($D$3=JU!$F2974,$D$3=JU!$I2974),JU!D2974,"")</f>
        <v/>
      </c>
      <c r="E2974" s="74" t="str">
        <f>IF(OR($D$3=JU!$F2974,$D$3=JU!$I2974),JU!E2974,"")</f>
        <v/>
      </c>
      <c r="F2974" s="72">
        <f>IF($D$3=JU!F2974,JU!H2974,0)</f>
        <v>0</v>
      </c>
      <c r="G2974" s="72">
        <f>IF($D$3=JU!I2974,JU!K2974,0)</f>
        <v>0</v>
      </c>
      <c r="H2974" s="72" t="e">
        <f t="shared" si="47"/>
        <v>#REF!</v>
      </c>
    </row>
    <row r="2975" spans="2:8" hidden="1">
      <c r="B2975" s="68" t="str">
        <f>IF(OR($D$3=JU!$F2975,$D$3=JU!$I2975),JU!B2975,"")</f>
        <v/>
      </c>
      <c r="C2975" s="6" t="str">
        <f>IF(OR($D$3=JU!$F2975,$D$3=JU!$I2975),JU!C2975,"")</f>
        <v/>
      </c>
      <c r="D2975" s="73" t="str">
        <f>IF(OR($D$3=JU!$F2975,$D$3=JU!$I2975),JU!D2975,"")</f>
        <v/>
      </c>
      <c r="E2975" s="74" t="str">
        <f>IF(OR($D$3=JU!$F2975,$D$3=JU!$I2975),JU!E2975,"")</f>
        <v/>
      </c>
      <c r="F2975" s="72">
        <f>IF($D$3=JU!F2975,JU!H2975,0)</f>
        <v>0</v>
      </c>
      <c r="G2975" s="72">
        <f>IF($D$3=JU!I2975,JU!K2975,0)</f>
        <v>0</v>
      </c>
      <c r="H2975" s="72" t="e">
        <f t="shared" si="47"/>
        <v>#REF!</v>
      </c>
    </row>
    <row r="2976" spans="2:8" hidden="1">
      <c r="B2976" s="68" t="str">
        <f>IF(OR($D$3=JU!$F2976,$D$3=JU!$I2976),JU!B2976,"")</f>
        <v/>
      </c>
      <c r="C2976" s="6" t="str">
        <f>IF(OR($D$3=JU!$F2976,$D$3=JU!$I2976),JU!C2976,"")</f>
        <v/>
      </c>
      <c r="D2976" s="73" t="str">
        <f>IF(OR($D$3=JU!$F2976,$D$3=JU!$I2976),JU!D2976,"")</f>
        <v/>
      </c>
      <c r="E2976" s="74" t="str">
        <f>IF(OR($D$3=JU!$F2976,$D$3=JU!$I2976),JU!E2976,"")</f>
        <v/>
      </c>
      <c r="F2976" s="72">
        <f>IF($D$3=JU!F2976,JU!H2976,0)</f>
        <v>0</v>
      </c>
      <c r="G2976" s="72">
        <f>IF($D$3=JU!I2976,JU!K2976,0)</f>
        <v>0</v>
      </c>
      <c r="H2976" s="72" t="e">
        <f t="shared" si="47"/>
        <v>#REF!</v>
      </c>
    </row>
    <row r="2977" spans="2:8" hidden="1">
      <c r="B2977" s="68" t="str">
        <f>IF(OR($D$3=JU!$F2977,$D$3=JU!$I2977),JU!B2977,"")</f>
        <v/>
      </c>
      <c r="C2977" s="6" t="str">
        <f>IF(OR($D$3=JU!$F2977,$D$3=JU!$I2977),JU!C2977,"")</f>
        <v/>
      </c>
      <c r="D2977" s="73" t="str">
        <f>IF(OR($D$3=JU!$F2977,$D$3=JU!$I2977),JU!D2977,"")</f>
        <v/>
      </c>
      <c r="E2977" s="74" t="str">
        <f>IF(OR($D$3=JU!$F2977,$D$3=JU!$I2977),JU!E2977,"")</f>
        <v/>
      </c>
      <c r="F2977" s="72">
        <f>IF($D$3=JU!F2977,JU!H2977,0)</f>
        <v>0</v>
      </c>
      <c r="G2977" s="72">
        <f>IF($D$3=JU!I2977,JU!K2977,0)</f>
        <v>0</v>
      </c>
      <c r="H2977" s="72" t="e">
        <f t="shared" si="47"/>
        <v>#REF!</v>
      </c>
    </row>
    <row r="2978" spans="2:8" hidden="1">
      <c r="B2978" s="68" t="str">
        <f>IF(OR($D$3=JU!$F2978,$D$3=JU!$I2978),JU!B2978,"")</f>
        <v/>
      </c>
      <c r="C2978" s="6" t="str">
        <f>IF(OR($D$3=JU!$F2978,$D$3=JU!$I2978),JU!C2978,"")</f>
        <v/>
      </c>
      <c r="D2978" s="73" t="str">
        <f>IF(OR($D$3=JU!$F2978,$D$3=JU!$I2978),JU!D2978,"")</f>
        <v/>
      </c>
      <c r="E2978" s="74" t="str">
        <f>IF(OR($D$3=JU!$F2978,$D$3=JU!$I2978),JU!E2978,"")</f>
        <v/>
      </c>
      <c r="F2978" s="72">
        <f>IF($D$3=JU!F2978,JU!H2978,0)</f>
        <v>0</v>
      </c>
      <c r="G2978" s="72">
        <f>IF($D$3=JU!I2978,JU!K2978,0)</f>
        <v>0</v>
      </c>
      <c r="H2978" s="72" t="e">
        <f t="shared" si="47"/>
        <v>#REF!</v>
      </c>
    </row>
    <row r="2979" spans="2:8" hidden="1">
      <c r="B2979" s="68" t="str">
        <f>IF(OR($D$3=JU!$F2979,$D$3=JU!$I2979),JU!B2979,"")</f>
        <v/>
      </c>
      <c r="C2979" s="6" t="str">
        <f>IF(OR($D$3=JU!$F2979,$D$3=JU!$I2979),JU!C2979,"")</f>
        <v/>
      </c>
      <c r="D2979" s="73" t="str">
        <f>IF(OR($D$3=JU!$F2979,$D$3=JU!$I2979),JU!D2979,"")</f>
        <v/>
      </c>
      <c r="E2979" s="74" t="str">
        <f>IF(OR($D$3=JU!$F2979,$D$3=JU!$I2979),JU!E2979,"")</f>
        <v/>
      </c>
      <c r="F2979" s="72">
        <f>IF($D$3=JU!F2979,JU!H2979,0)</f>
        <v>0</v>
      </c>
      <c r="G2979" s="72">
        <f>IF($D$3=JU!I2979,JU!K2979,0)</f>
        <v>0</v>
      </c>
      <c r="H2979" s="72" t="e">
        <f t="shared" si="47"/>
        <v>#REF!</v>
      </c>
    </row>
    <row r="2980" spans="2:8" hidden="1">
      <c r="B2980" s="68" t="str">
        <f>IF(OR($D$3=JU!$F2980,$D$3=JU!$I2980),JU!B2980,"")</f>
        <v/>
      </c>
      <c r="C2980" s="6" t="str">
        <f>IF(OR($D$3=JU!$F2980,$D$3=JU!$I2980),JU!C2980,"")</f>
        <v/>
      </c>
      <c r="D2980" s="73" t="str">
        <f>IF(OR($D$3=JU!$F2980,$D$3=JU!$I2980),JU!D2980,"")</f>
        <v/>
      </c>
      <c r="E2980" s="74" t="str">
        <f>IF(OR($D$3=JU!$F2980,$D$3=JU!$I2980),JU!E2980,"")</f>
        <v/>
      </c>
      <c r="F2980" s="72">
        <f>IF($D$3=JU!F2980,JU!H2980,0)</f>
        <v>0</v>
      </c>
      <c r="G2980" s="72">
        <f>IF($D$3=JU!I2980,JU!K2980,0)</f>
        <v>0</v>
      </c>
      <c r="H2980" s="72" t="e">
        <f t="shared" si="47"/>
        <v>#REF!</v>
      </c>
    </row>
    <row r="2981" spans="2:8" hidden="1">
      <c r="B2981" s="68" t="str">
        <f>IF(OR($D$3=JU!$F2981,$D$3=JU!$I2981),JU!B2981,"")</f>
        <v/>
      </c>
      <c r="C2981" s="6" t="str">
        <f>IF(OR($D$3=JU!$F2981,$D$3=JU!$I2981),JU!C2981,"")</f>
        <v/>
      </c>
      <c r="D2981" s="73" t="str">
        <f>IF(OR($D$3=JU!$F2981,$D$3=JU!$I2981),JU!D2981,"")</f>
        <v/>
      </c>
      <c r="E2981" s="74" t="str">
        <f>IF(OR($D$3=JU!$F2981,$D$3=JU!$I2981),JU!E2981,"")</f>
        <v/>
      </c>
      <c r="F2981" s="72">
        <f>IF($D$3=JU!F2981,JU!H2981,0)</f>
        <v>0</v>
      </c>
      <c r="G2981" s="72">
        <f>IF($D$3=JU!I2981,JU!K2981,0)</f>
        <v>0</v>
      </c>
      <c r="H2981" s="72" t="e">
        <f t="shared" si="47"/>
        <v>#REF!</v>
      </c>
    </row>
    <row r="2982" spans="2:8" hidden="1">
      <c r="B2982" s="68" t="str">
        <f>IF(OR($D$3=JU!$F2982,$D$3=JU!$I2982),JU!B2982,"")</f>
        <v/>
      </c>
      <c r="C2982" s="6" t="str">
        <f>IF(OR($D$3=JU!$F2982,$D$3=JU!$I2982),JU!C2982,"")</f>
        <v/>
      </c>
      <c r="D2982" s="73" t="str">
        <f>IF(OR($D$3=JU!$F2982,$D$3=JU!$I2982),JU!D2982,"")</f>
        <v/>
      </c>
      <c r="E2982" s="74" t="str">
        <f>IF(OR($D$3=JU!$F2982,$D$3=JU!$I2982),JU!E2982,"")</f>
        <v/>
      </c>
      <c r="F2982" s="72">
        <f>IF($D$3=JU!F2982,JU!H2982,0)</f>
        <v>0</v>
      </c>
      <c r="G2982" s="72">
        <f>IF($D$3=JU!I2982,JU!K2982,0)</f>
        <v>0</v>
      </c>
      <c r="H2982" s="72" t="e">
        <f t="shared" si="47"/>
        <v>#REF!</v>
      </c>
    </row>
    <row r="2983" spans="2:8" hidden="1">
      <c r="B2983" s="68" t="str">
        <f>IF(OR($D$3=JU!$F2983,$D$3=JU!$I2983),JU!B2983,"")</f>
        <v/>
      </c>
      <c r="C2983" s="6" t="str">
        <f>IF(OR($D$3=JU!$F2983,$D$3=JU!$I2983),JU!C2983,"")</f>
        <v/>
      </c>
      <c r="D2983" s="73" t="str">
        <f>IF(OR($D$3=JU!$F2983,$D$3=JU!$I2983),JU!D2983,"")</f>
        <v/>
      </c>
      <c r="E2983" s="74" t="str">
        <f>IF(OR($D$3=JU!$F2983,$D$3=JU!$I2983),JU!E2983,"")</f>
        <v/>
      </c>
      <c r="F2983" s="72">
        <f>IF($D$3=JU!F2983,JU!H2983,0)</f>
        <v>0</v>
      </c>
      <c r="G2983" s="72">
        <f>IF($D$3=JU!I2983,JU!K2983,0)</f>
        <v>0</v>
      </c>
      <c r="H2983" s="72" t="e">
        <f t="shared" si="47"/>
        <v>#REF!</v>
      </c>
    </row>
    <row r="2984" spans="2:8" hidden="1">
      <c r="B2984" s="68" t="str">
        <f>IF(OR($D$3=JU!$F2984,$D$3=JU!$I2984),JU!B2984,"")</f>
        <v/>
      </c>
      <c r="C2984" s="6" t="str">
        <f>IF(OR($D$3=JU!$F2984,$D$3=JU!$I2984),JU!C2984,"")</f>
        <v/>
      </c>
      <c r="D2984" s="73" t="str">
        <f>IF(OR($D$3=JU!$F2984,$D$3=JU!$I2984),JU!D2984,"")</f>
        <v/>
      </c>
      <c r="E2984" s="74" t="str">
        <f>IF(OR($D$3=JU!$F2984,$D$3=JU!$I2984),JU!E2984,"")</f>
        <v/>
      </c>
      <c r="F2984" s="72">
        <f>IF($D$3=JU!F2984,JU!H2984,0)</f>
        <v>0</v>
      </c>
      <c r="G2984" s="72">
        <f>IF($D$3=JU!I2984,JU!K2984,0)</f>
        <v>0</v>
      </c>
      <c r="H2984" s="72" t="e">
        <f t="shared" si="47"/>
        <v>#REF!</v>
      </c>
    </row>
    <row r="2985" spans="2:8" hidden="1">
      <c r="B2985" s="68" t="str">
        <f>IF(OR($D$3=JU!$F2985,$D$3=JU!$I2985),JU!B2985,"")</f>
        <v/>
      </c>
      <c r="C2985" s="6" t="str">
        <f>IF(OR($D$3=JU!$F2985,$D$3=JU!$I2985),JU!C2985,"")</f>
        <v/>
      </c>
      <c r="D2985" s="73" t="str">
        <f>IF(OR($D$3=JU!$F2985,$D$3=JU!$I2985),JU!D2985,"")</f>
        <v/>
      </c>
      <c r="E2985" s="74" t="str">
        <f>IF(OR($D$3=JU!$F2985,$D$3=JU!$I2985),JU!E2985,"")</f>
        <v/>
      </c>
      <c r="F2985" s="72">
        <f>IF($D$3=JU!F2985,JU!H2985,0)</f>
        <v>0</v>
      </c>
      <c r="G2985" s="72">
        <f>IF($D$3=JU!I2985,JU!K2985,0)</f>
        <v>0</v>
      </c>
      <c r="H2985" s="72" t="e">
        <f t="shared" si="47"/>
        <v>#REF!</v>
      </c>
    </row>
    <row r="2986" spans="2:8" hidden="1">
      <c r="B2986" s="68" t="str">
        <f>IF(OR($D$3=JU!$F2986,$D$3=JU!$I2986),JU!B2986,"")</f>
        <v/>
      </c>
      <c r="C2986" s="6" t="str">
        <f>IF(OR($D$3=JU!$F2986,$D$3=JU!$I2986),JU!C2986,"")</f>
        <v/>
      </c>
      <c r="D2986" s="73" t="str">
        <f>IF(OR($D$3=JU!$F2986,$D$3=JU!$I2986),JU!D2986,"")</f>
        <v/>
      </c>
      <c r="E2986" s="74" t="str">
        <f>IF(OR($D$3=JU!$F2986,$D$3=JU!$I2986),JU!E2986,"")</f>
        <v/>
      </c>
      <c r="F2986" s="72">
        <f>IF($D$3=JU!F2986,JU!H2986,0)</f>
        <v>0</v>
      </c>
      <c r="G2986" s="72">
        <f>IF($D$3=JU!I2986,JU!K2986,0)</f>
        <v>0</v>
      </c>
      <c r="H2986" s="72" t="e">
        <f t="shared" si="47"/>
        <v>#REF!</v>
      </c>
    </row>
    <row r="2987" spans="2:8" hidden="1">
      <c r="B2987" s="68" t="str">
        <f>IF(OR($D$3=JU!$F2987,$D$3=JU!$I2987),JU!B2987,"")</f>
        <v/>
      </c>
      <c r="C2987" s="6" t="str">
        <f>IF(OR($D$3=JU!$F2987,$D$3=JU!$I2987),JU!C2987,"")</f>
        <v/>
      </c>
      <c r="D2987" s="73" t="str">
        <f>IF(OR($D$3=JU!$F2987,$D$3=JU!$I2987),JU!D2987,"")</f>
        <v/>
      </c>
      <c r="E2987" s="74" t="str">
        <f>IF(OR($D$3=JU!$F2987,$D$3=JU!$I2987),JU!E2987,"")</f>
        <v/>
      </c>
      <c r="F2987" s="72">
        <f>IF($D$3=JU!F2987,JU!H2987,0)</f>
        <v>0</v>
      </c>
      <c r="G2987" s="72">
        <f>IF($D$3=JU!I2987,JU!K2987,0)</f>
        <v>0</v>
      </c>
      <c r="H2987" s="72" t="e">
        <f t="shared" si="47"/>
        <v>#REF!</v>
      </c>
    </row>
    <row r="2988" spans="2:8" hidden="1">
      <c r="B2988" s="68" t="str">
        <f>IF(OR($D$3=JU!$F2988,$D$3=JU!$I2988),JU!B2988,"")</f>
        <v/>
      </c>
      <c r="C2988" s="6" t="str">
        <f>IF(OR($D$3=JU!$F2988,$D$3=JU!$I2988),JU!C2988,"")</f>
        <v/>
      </c>
      <c r="D2988" s="73" t="str">
        <f>IF(OR($D$3=JU!$F2988,$D$3=JU!$I2988),JU!D2988,"")</f>
        <v/>
      </c>
      <c r="E2988" s="74" t="str">
        <f>IF(OR($D$3=JU!$F2988,$D$3=JU!$I2988),JU!E2988,"")</f>
        <v/>
      </c>
      <c r="F2988" s="72">
        <f>IF($D$3=JU!F2988,JU!H2988,0)</f>
        <v>0</v>
      </c>
      <c r="G2988" s="72">
        <f>IF($D$3=JU!I2988,JU!K2988,0)</f>
        <v>0</v>
      </c>
      <c r="H2988" s="72" t="e">
        <f t="shared" si="47"/>
        <v>#REF!</v>
      </c>
    </row>
    <row r="2989" spans="2:8" hidden="1">
      <c r="B2989" s="68" t="str">
        <f>IF(OR($D$3=JU!$F2989,$D$3=JU!$I2989),JU!B2989,"")</f>
        <v/>
      </c>
      <c r="C2989" s="6" t="str">
        <f>IF(OR($D$3=JU!$F2989,$D$3=JU!$I2989),JU!C2989,"")</f>
        <v/>
      </c>
      <c r="D2989" s="73" t="str">
        <f>IF(OR($D$3=JU!$F2989,$D$3=JU!$I2989),JU!D2989,"")</f>
        <v/>
      </c>
      <c r="E2989" s="74" t="str">
        <f>IF(OR($D$3=JU!$F2989,$D$3=JU!$I2989),JU!E2989,"")</f>
        <v/>
      </c>
      <c r="F2989" s="72">
        <f>IF($D$3=JU!F2989,JU!H2989,0)</f>
        <v>0</v>
      </c>
      <c r="G2989" s="72">
        <f>IF($D$3=JU!I2989,JU!K2989,0)</f>
        <v>0</v>
      </c>
      <c r="H2989" s="72" t="e">
        <f t="shared" si="47"/>
        <v>#REF!</v>
      </c>
    </row>
    <row r="2990" spans="2:8" hidden="1">
      <c r="B2990" s="68" t="str">
        <f>IF(OR($D$3=JU!$F2990,$D$3=JU!$I2990),JU!B2990,"")</f>
        <v/>
      </c>
      <c r="C2990" s="6" t="str">
        <f>IF(OR($D$3=JU!$F2990,$D$3=JU!$I2990),JU!C2990,"")</f>
        <v/>
      </c>
      <c r="D2990" s="73" t="str">
        <f>IF(OR($D$3=JU!$F2990,$D$3=JU!$I2990),JU!D2990,"")</f>
        <v/>
      </c>
      <c r="E2990" s="74" t="str">
        <f>IF(OR($D$3=JU!$F2990,$D$3=JU!$I2990),JU!E2990,"")</f>
        <v/>
      </c>
      <c r="F2990" s="72">
        <f>IF($D$3=JU!F2990,JU!H2990,0)</f>
        <v>0</v>
      </c>
      <c r="G2990" s="72">
        <f>IF($D$3=JU!I2990,JU!K2990,0)</f>
        <v>0</v>
      </c>
      <c r="H2990" s="72" t="e">
        <f t="shared" si="47"/>
        <v>#REF!</v>
      </c>
    </row>
    <row r="2991" spans="2:8" hidden="1">
      <c r="B2991" s="68" t="str">
        <f>IF(OR($D$3=JU!$F2991,$D$3=JU!$I2991),JU!B2991,"")</f>
        <v/>
      </c>
      <c r="C2991" s="6" t="str">
        <f>IF(OR($D$3=JU!$F2991,$D$3=JU!$I2991),JU!C2991,"")</f>
        <v/>
      </c>
      <c r="D2991" s="73" t="str">
        <f>IF(OR($D$3=JU!$F2991,$D$3=JU!$I2991),JU!D2991,"")</f>
        <v/>
      </c>
      <c r="E2991" s="74" t="str">
        <f>IF(OR($D$3=JU!$F2991,$D$3=JU!$I2991),JU!E2991,"")</f>
        <v/>
      </c>
      <c r="F2991" s="72">
        <f>IF($D$3=JU!F2991,JU!H2991,0)</f>
        <v>0</v>
      </c>
      <c r="G2991" s="72">
        <f>IF($D$3=JU!I2991,JU!K2991,0)</f>
        <v>0</v>
      </c>
      <c r="H2991" s="72" t="e">
        <f t="shared" si="47"/>
        <v>#REF!</v>
      </c>
    </row>
    <row r="2992" spans="2:8" hidden="1">
      <c r="B2992" s="68" t="str">
        <f>IF(OR($D$3=JU!$F2992,$D$3=JU!$I2992),JU!B2992,"")</f>
        <v/>
      </c>
      <c r="C2992" s="6" t="str">
        <f>IF(OR($D$3=JU!$F2992,$D$3=JU!$I2992),JU!C2992,"")</f>
        <v/>
      </c>
      <c r="D2992" s="73" t="str">
        <f>IF(OR($D$3=JU!$F2992,$D$3=JU!$I2992),JU!D2992,"")</f>
        <v/>
      </c>
      <c r="E2992" s="74" t="str">
        <f>IF(OR($D$3=JU!$F2992,$D$3=JU!$I2992),JU!E2992,"")</f>
        <v/>
      </c>
      <c r="F2992" s="72">
        <f>IF($D$3=JU!F2992,JU!H2992,0)</f>
        <v>0</v>
      </c>
      <c r="G2992" s="72">
        <f>IF($D$3=JU!I2992,JU!K2992,0)</f>
        <v>0</v>
      </c>
      <c r="H2992" s="72" t="e">
        <f t="shared" si="47"/>
        <v>#REF!</v>
      </c>
    </row>
    <row r="2993" spans="2:8" hidden="1">
      <c r="B2993" s="68" t="str">
        <f>IF(OR($D$3=JU!$F2993,$D$3=JU!$I2993),JU!B2993,"")</f>
        <v/>
      </c>
      <c r="C2993" s="6" t="str">
        <f>IF(OR($D$3=JU!$F2993,$D$3=JU!$I2993),JU!C2993,"")</f>
        <v/>
      </c>
      <c r="D2993" s="73" t="str">
        <f>IF(OR($D$3=JU!$F2993,$D$3=JU!$I2993),JU!D2993,"")</f>
        <v/>
      </c>
      <c r="E2993" s="74" t="str">
        <f>IF(OR($D$3=JU!$F2993,$D$3=JU!$I2993),JU!E2993,"")</f>
        <v/>
      </c>
      <c r="F2993" s="72">
        <f>IF($D$3=JU!F2993,JU!H2993,0)</f>
        <v>0</v>
      </c>
      <c r="G2993" s="72">
        <f>IF($D$3=JU!I2993,JU!K2993,0)</f>
        <v>0</v>
      </c>
      <c r="H2993" s="72" t="e">
        <f t="shared" si="47"/>
        <v>#REF!</v>
      </c>
    </row>
    <row r="2994" spans="2:8" hidden="1">
      <c r="B2994" s="68" t="str">
        <f>IF(OR($D$3=JU!$F2994,$D$3=JU!$I2994),JU!B2994,"")</f>
        <v/>
      </c>
      <c r="C2994" s="6" t="str">
        <f>IF(OR($D$3=JU!$F2994,$D$3=JU!$I2994),JU!C2994,"")</f>
        <v/>
      </c>
      <c r="D2994" s="73" t="str">
        <f>IF(OR($D$3=JU!$F2994,$D$3=JU!$I2994),JU!D2994,"")</f>
        <v/>
      </c>
      <c r="E2994" s="74" t="str">
        <f>IF(OR($D$3=JU!$F2994,$D$3=JU!$I2994),JU!E2994,"")</f>
        <v/>
      </c>
      <c r="F2994" s="72">
        <f>IF($D$3=JU!F2994,JU!H2994,0)</f>
        <v>0</v>
      </c>
      <c r="G2994" s="72">
        <f>IF($D$3=JU!I2994,JU!K2994,0)</f>
        <v>0</v>
      </c>
      <c r="H2994" s="72" t="e">
        <f t="shared" si="47"/>
        <v>#REF!</v>
      </c>
    </row>
    <row r="2995" spans="2:8" hidden="1">
      <c r="B2995" s="68" t="str">
        <f>IF(OR($D$3=JU!$F2995,$D$3=JU!$I2995),JU!B2995,"")</f>
        <v/>
      </c>
      <c r="C2995" s="6" t="str">
        <f>IF(OR($D$3=JU!$F2995,$D$3=JU!$I2995),JU!C2995,"")</f>
        <v/>
      </c>
      <c r="D2995" s="73" t="str">
        <f>IF(OR($D$3=JU!$F2995,$D$3=JU!$I2995),JU!D2995,"")</f>
        <v/>
      </c>
      <c r="E2995" s="74" t="str">
        <f>IF(OR($D$3=JU!$F2995,$D$3=JU!$I2995),JU!E2995,"")</f>
        <v/>
      </c>
      <c r="F2995" s="72">
        <f>IF($D$3=JU!F2995,JU!H2995,0)</f>
        <v>0</v>
      </c>
      <c r="G2995" s="72">
        <f>IF($D$3=JU!I2995,JU!K2995,0)</f>
        <v>0</v>
      </c>
      <c r="H2995" s="72" t="e">
        <f t="shared" si="47"/>
        <v>#REF!</v>
      </c>
    </row>
    <row r="2996" spans="2:8" hidden="1">
      <c r="B2996" s="68" t="str">
        <f>IF(OR($D$3=JU!$F2996,$D$3=JU!$I2996),JU!B2996,"")</f>
        <v/>
      </c>
      <c r="C2996" s="6" t="str">
        <f>IF(OR($D$3=JU!$F2996,$D$3=JU!$I2996),JU!C2996,"")</f>
        <v/>
      </c>
      <c r="D2996" s="73" t="str">
        <f>IF(OR($D$3=JU!$F2996,$D$3=JU!$I2996),JU!D2996,"")</f>
        <v/>
      </c>
      <c r="E2996" s="74" t="str">
        <f>IF(OR($D$3=JU!$F2996,$D$3=JU!$I2996),JU!E2996,"")</f>
        <v/>
      </c>
      <c r="F2996" s="72">
        <f>IF($D$3=JU!F2996,JU!H2996,0)</f>
        <v>0</v>
      </c>
      <c r="G2996" s="72">
        <f>IF($D$3=JU!I2996,JU!K2996,0)</f>
        <v>0</v>
      </c>
      <c r="H2996" s="72" t="e">
        <f t="shared" si="47"/>
        <v>#REF!</v>
      </c>
    </row>
    <row r="2997" spans="2:8" hidden="1">
      <c r="B2997" s="68" t="str">
        <f>IF(OR($D$3=JU!$F2997,$D$3=JU!$I2997),JU!B2997,"")</f>
        <v/>
      </c>
      <c r="C2997" s="6" t="str">
        <f>IF(OR($D$3=JU!$F2997,$D$3=JU!$I2997),JU!C2997,"")</f>
        <v/>
      </c>
      <c r="D2997" s="73" t="str">
        <f>IF(OR($D$3=JU!$F2997,$D$3=JU!$I2997),JU!D2997,"")</f>
        <v/>
      </c>
      <c r="E2997" s="74" t="str">
        <f>IF(OR($D$3=JU!$F2997,$D$3=JU!$I2997),JU!E2997,"")</f>
        <v/>
      </c>
      <c r="F2997" s="72">
        <f>IF($D$3=JU!F2997,JU!H2997,0)</f>
        <v>0</v>
      </c>
      <c r="G2997" s="72">
        <f>IF($D$3=JU!I2997,JU!K2997,0)</f>
        <v>0</v>
      </c>
      <c r="H2997" s="72" t="e">
        <f t="shared" si="47"/>
        <v>#REF!</v>
      </c>
    </row>
    <row r="2998" spans="2:8" hidden="1">
      <c r="B2998" s="68" t="str">
        <f>IF(OR($D$3=JU!$F2998,$D$3=JU!$I2998),JU!B2998,"")</f>
        <v/>
      </c>
      <c r="C2998" s="6" t="str">
        <f>IF(OR($D$3=JU!$F2998,$D$3=JU!$I2998),JU!C2998,"")</f>
        <v/>
      </c>
      <c r="D2998" s="73" t="str">
        <f>IF(OR($D$3=JU!$F2998,$D$3=JU!$I2998),JU!D2998,"")</f>
        <v/>
      </c>
      <c r="E2998" s="74" t="str">
        <f>IF(OR($D$3=JU!$F2998,$D$3=JU!$I2998),JU!E2998,"")</f>
        <v/>
      </c>
      <c r="F2998" s="72">
        <f>IF($D$3=JU!F2998,JU!H2998,0)</f>
        <v>0</v>
      </c>
      <c r="G2998" s="72">
        <f>IF($D$3=JU!I2998,JU!K2998,0)</f>
        <v>0</v>
      </c>
      <c r="H2998" s="72" t="e">
        <f t="shared" si="47"/>
        <v>#REF!</v>
      </c>
    </row>
    <row r="2999" spans="2:8" hidden="1">
      <c r="B2999" s="68" t="str">
        <f>IF(OR($D$3=JU!$F2999,$D$3=JU!$I2999),JU!B2999,"")</f>
        <v/>
      </c>
      <c r="C2999" s="6" t="str">
        <f>IF(OR($D$3=JU!$F2999,$D$3=JU!$I2999),JU!C2999,"")</f>
        <v/>
      </c>
      <c r="D2999" s="73" t="str">
        <f>IF(OR($D$3=JU!$F2999,$D$3=JU!$I2999),JU!D2999,"")</f>
        <v/>
      </c>
      <c r="E2999" s="74" t="str">
        <f>IF(OR($D$3=JU!$F2999,$D$3=JU!$I2999),JU!E2999,"")</f>
        <v/>
      </c>
      <c r="F2999" s="72">
        <f>IF($D$3=JU!F2999,JU!H2999,0)</f>
        <v>0</v>
      </c>
      <c r="G2999" s="72">
        <f>IF($D$3=JU!I2999,JU!K2999,0)</f>
        <v>0</v>
      </c>
      <c r="H2999" s="72" t="e">
        <f t="shared" si="47"/>
        <v>#REF!</v>
      </c>
    </row>
    <row r="3000" spans="2:8" hidden="1">
      <c r="B3000" s="68" t="str">
        <f>IF(OR($D$3=JU!$F3000,$D$3=JU!$I3000),JU!B3000,"")</f>
        <v/>
      </c>
      <c r="C3000" s="6" t="str">
        <f>IF(OR($D$3=JU!$F3000,$D$3=JU!$I3000),JU!C3000,"")</f>
        <v/>
      </c>
      <c r="D3000" s="73" t="str">
        <f>IF(OR($D$3=JU!$F3000,$D$3=JU!$I3000),JU!D3000,"")</f>
        <v/>
      </c>
      <c r="E3000" s="74" t="str">
        <f>IF(OR($D$3=JU!$F3000,$D$3=JU!$I3000),JU!E3000,"")</f>
        <v/>
      </c>
      <c r="F3000" s="72">
        <f>IF($D$3=JU!F3000,JU!H3000,0)</f>
        <v>0</v>
      </c>
      <c r="G3000" s="72">
        <f>IF($D$3=JU!I3000,JU!K3000,0)</f>
        <v>0</v>
      </c>
      <c r="H3000" s="72" t="e">
        <f t="shared" si="47"/>
        <v>#REF!</v>
      </c>
    </row>
    <row r="3001" spans="2:8" hidden="1">
      <c r="F3001" t="s">
        <v>526</v>
      </c>
      <c r="G3001" s="237">
        <f>1000000000-H3001</f>
        <v>908187000</v>
      </c>
      <c r="H3001" s="237">
        <f>H1075-F1075</f>
        <v>91813000</v>
      </c>
    </row>
  </sheetData>
  <sheetProtection selectLockedCells="1"/>
  <protectedRanges>
    <protectedRange sqref="D3 B10:H3000" name="Range5"/>
  </protectedRanges>
  <autoFilter ref="B10:H3001" xr:uid="{00000000-0009-0000-0000-000003000000}">
    <filterColumn colId="2">
      <customFilters>
        <customFilter operator="notEqual" val=" "/>
      </customFilters>
    </filterColumn>
  </autoFilter>
  <pageMargins left="0.7" right="0.7" top="0.75" bottom="0.75" header="0.3" footer="0.3"/>
  <pageSetup paperSize="9" scale="56"/>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COA!$B$4:$B$123</xm:f>
          </x14:formula1>
          <xm:sqref>D5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46D32-605E-445B-B632-0BE0366F5822}">
  <dimension ref="D2:K9"/>
  <sheetViews>
    <sheetView topLeftCell="A2" workbookViewId="0">
      <selection activeCell="G9" sqref="G9"/>
    </sheetView>
  </sheetViews>
  <sheetFormatPr defaultRowHeight="14.5"/>
  <cols>
    <col min="4" max="4" width="10.08984375" style="217" bestFit="1" customWidth="1"/>
    <col min="5" max="5" width="4.26953125" customWidth="1"/>
  </cols>
  <sheetData>
    <row r="2" spans="4:11" ht="15.5">
      <c r="D2" s="298" t="s">
        <v>524</v>
      </c>
      <c r="E2" s="298"/>
      <c r="F2" s="298"/>
      <c r="G2" s="298"/>
      <c r="H2" s="298"/>
      <c r="I2" s="298"/>
      <c r="J2" s="298"/>
      <c r="K2" s="298"/>
    </row>
    <row r="4" spans="4:11">
      <c r="D4" s="217">
        <v>46107</v>
      </c>
      <c r="F4" t="s">
        <v>402</v>
      </c>
    </row>
    <row r="5" spans="4:11">
      <c r="D5" s="217">
        <v>46140</v>
      </c>
      <c r="F5" t="s">
        <v>525</v>
      </c>
    </row>
    <row r="6" spans="4:11">
      <c r="D6" s="217">
        <v>46140</v>
      </c>
      <c r="F6" t="s">
        <v>527</v>
      </c>
    </row>
    <row r="7" spans="4:11">
      <c r="D7" s="217">
        <v>46140</v>
      </c>
      <c r="F7" t="s">
        <v>528</v>
      </c>
    </row>
    <row r="8" spans="4:11">
      <c r="D8" s="217">
        <v>46148</v>
      </c>
      <c r="F8" t="s">
        <v>521</v>
      </c>
    </row>
    <row r="9" spans="4:11">
      <c r="D9" s="217">
        <v>46153</v>
      </c>
      <c r="F9" t="s">
        <v>523</v>
      </c>
    </row>
  </sheetData>
  <mergeCells count="1">
    <mergeCell ref="D2:K2"/>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9"/>
  <sheetViews>
    <sheetView showGridLines="0" topLeftCell="B1" workbookViewId="0">
      <selection activeCell="M48" sqref="M48"/>
    </sheetView>
  </sheetViews>
  <sheetFormatPr defaultColWidth="8.7265625" defaultRowHeight="14.5"/>
  <cols>
    <col min="1" max="1" width="9.90625" hidden="1" customWidth="1"/>
    <col min="2" max="2" width="9.26953125" customWidth="1"/>
    <col min="3" max="3" width="30.26953125" customWidth="1"/>
    <col min="4" max="10" width="16.26953125" hidden="1" customWidth="1"/>
    <col min="11" max="16" width="9.26953125" customWidth="1"/>
    <col min="17" max="17" width="16.26953125" bestFit="1" customWidth="1"/>
    <col min="18" max="18" width="14.7265625" bestFit="1" customWidth="1"/>
    <col min="19" max="23" width="9.26953125" customWidth="1"/>
  </cols>
  <sheetData>
    <row r="2" spans="1:35">
      <c r="A2" s="122"/>
      <c r="B2" s="122"/>
      <c r="C2" s="122"/>
      <c r="D2" s="122"/>
      <c r="E2" s="122"/>
      <c r="F2" s="122"/>
      <c r="G2" s="122"/>
      <c r="H2" s="122"/>
      <c r="I2" s="122"/>
      <c r="J2" s="122"/>
      <c r="K2" s="122"/>
      <c r="L2" s="122"/>
      <c r="M2" s="122">
        <v>3</v>
      </c>
      <c r="N2" s="122">
        <v>3</v>
      </c>
      <c r="O2" s="122">
        <v>12</v>
      </c>
      <c r="P2" s="122">
        <v>10</v>
      </c>
      <c r="Q2" s="233">
        <f>SUM(N2:P2)*70000000</f>
        <v>1750000000</v>
      </c>
      <c r="R2" s="234">
        <f>4500000000-Q2</f>
        <v>2750000000</v>
      </c>
      <c r="S2" s="122"/>
      <c r="T2" s="122"/>
      <c r="U2" s="123" t="s">
        <v>257</v>
      </c>
      <c r="V2" s="123" t="s">
        <v>257</v>
      </c>
      <c r="W2" s="123" t="s">
        <v>257</v>
      </c>
    </row>
    <row r="3" spans="1:35" s="124" customFormat="1" ht="15" customHeight="1">
      <c r="A3" s="125" t="s">
        <v>0</v>
      </c>
      <c r="B3" s="126" t="s">
        <v>117</v>
      </c>
      <c r="C3" s="127" t="s">
        <v>258</v>
      </c>
      <c r="D3" s="128">
        <v>45323</v>
      </c>
      <c r="E3" s="128">
        <v>45474</v>
      </c>
      <c r="F3" s="128">
        <v>45536</v>
      </c>
      <c r="G3" s="128">
        <v>45566</v>
      </c>
      <c r="H3" s="128">
        <v>45597</v>
      </c>
      <c r="I3" s="128">
        <v>45627</v>
      </c>
      <c r="J3" s="128"/>
      <c r="K3" s="129" t="s">
        <v>285</v>
      </c>
      <c r="L3" s="128" t="s">
        <v>259</v>
      </c>
      <c r="M3" s="128" t="s">
        <v>260</v>
      </c>
      <c r="N3" s="128" t="s">
        <v>261</v>
      </c>
      <c r="O3" s="128" t="s">
        <v>262</v>
      </c>
      <c r="P3" s="130" t="s">
        <v>273</v>
      </c>
      <c r="Q3" s="128" t="s">
        <v>263</v>
      </c>
      <c r="R3" s="130" t="s">
        <v>264</v>
      </c>
      <c r="S3" s="130" t="s">
        <v>265</v>
      </c>
      <c r="T3" s="128" t="s">
        <v>266</v>
      </c>
      <c r="U3" s="128" t="s">
        <v>274</v>
      </c>
      <c r="V3" s="128" t="s">
        <v>267</v>
      </c>
      <c r="W3" s="128" t="s">
        <v>275</v>
      </c>
    </row>
    <row r="4" spans="1:35" s="131" customFormat="1" hidden="1">
      <c r="A4" s="132" t="s">
        <v>224</v>
      </c>
      <c r="B4" s="132"/>
      <c r="C4" s="132" t="s">
        <v>224</v>
      </c>
      <c r="D4" s="133"/>
      <c r="E4" s="133"/>
      <c r="F4" s="133"/>
      <c r="G4" s="133"/>
      <c r="H4" s="133"/>
      <c r="I4" s="133"/>
      <c r="J4" s="133"/>
      <c r="K4" s="133"/>
      <c r="L4" s="133"/>
      <c r="M4" s="133"/>
      <c r="N4" s="133"/>
      <c r="O4" s="133"/>
      <c r="P4" s="133"/>
      <c r="Q4" s="133"/>
      <c r="R4" s="133"/>
      <c r="S4" s="133"/>
      <c r="T4" s="133"/>
      <c r="U4" s="133"/>
      <c r="V4" s="133"/>
      <c r="W4" s="133"/>
    </row>
    <row r="5" spans="1:35" hidden="1">
      <c r="A5" s="134">
        <v>4102</v>
      </c>
      <c r="B5" s="135"/>
      <c r="C5" s="136" t="s">
        <v>62</v>
      </c>
      <c r="D5" s="137">
        <v>0</v>
      </c>
      <c r="E5" s="137">
        <v>0</v>
      </c>
      <c r="F5" s="137">
        <v>0</v>
      </c>
      <c r="G5" s="137">
        <v>0</v>
      </c>
      <c r="H5" s="137">
        <v>0</v>
      </c>
      <c r="I5" s="137">
        <v>0</v>
      </c>
      <c r="J5" s="137">
        <f>SUM(L5:U5)</f>
        <v>14048.21</v>
      </c>
      <c r="K5" s="137"/>
      <c r="L5" s="137">
        <v>189</v>
      </c>
      <c r="M5" s="137">
        <v>0</v>
      </c>
      <c r="N5" s="137">
        <v>2298</v>
      </c>
      <c r="O5" s="137">
        <v>3034.25</v>
      </c>
      <c r="P5" s="137">
        <v>1303.7</v>
      </c>
      <c r="Q5" s="137">
        <v>3275.51</v>
      </c>
      <c r="R5" s="137">
        <v>2445.25</v>
      </c>
      <c r="S5" s="137">
        <v>1488</v>
      </c>
      <c r="T5" s="137">
        <v>5</v>
      </c>
      <c r="U5" s="137">
        <v>9.5</v>
      </c>
      <c r="V5" s="137">
        <v>9.5</v>
      </c>
      <c r="W5" s="137">
        <v>9.5</v>
      </c>
      <c r="X5" s="138"/>
      <c r="Y5" s="138"/>
      <c r="Z5" s="138"/>
      <c r="AA5" s="138"/>
      <c r="AB5" s="138"/>
      <c r="AC5" s="138"/>
      <c r="AD5" s="138"/>
      <c r="AE5" s="138"/>
      <c r="AF5" s="138"/>
      <c r="AG5" s="138"/>
      <c r="AH5" s="138"/>
      <c r="AI5" s="138"/>
    </row>
    <row r="6" spans="1:35" hidden="1">
      <c r="A6" s="134">
        <v>4103</v>
      </c>
      <c r="B6" s="135"/>
      <c r="C6" s="136" t="s">
        <v>63</v>
      </c>
      <c r="D6" s="137">
        <v>0</v>
      </c>
      <c r="E6" s="137">
        <v>0</v>
      </c>
      <c r="F6" s="137">
        <v>0</v>
      </c>
      <c r="G6" s="137">
        <v>0</v>
      </c>
      <c r="H6" s="137">
        <v>0</v>
      </c>
      <c r="I6" s="137">
        <v>0</v>
      </c>
      <c r="J6" s="137">
        <f>SUM(L6:U6)</f>
        <v>1770.5</v>
      </c>
      <c r="K6" s="137"/>
      <c r="L6" s="137">
        <v>0</v>
      </c>
      <c r="M6" s="137">
        <v>0</v>
      </c>
      <c r="N6" s="137">
        <v>0</v>
      </c>
      <c r="O6" s="137">
        <v>0</v>
      </c>
      <c r="P6" s="137">
        <v>0</v>
      </c>
      <c r="Q6" s="137">
        <v>1485.5</v>
      </c>
      <c r="R6" s="137">
        <v>0</v>
      </c>
      <c r="S6" s="137">
        <v>240</v>
      </c>
      <c r="T6" s="137">
        <v>45</v>
      </c>
      <c r="U6" s="137">
        <v>0</v>
      </c>
      <c r="V6" s="137">
        <v>0</v>
      </c>
      <c r="W6" s="137">
        <v>0</v>
      </c>
      <c r="X6" s="138"/>
      <c r="Y6" s="138"/>
      <c r="Z6" s="138"/>
      <c r="AA6" s="138"/>
      <c r="AB6" s="138"/>
      <c r="AC6" s="138"/>
      <c r="AD6" s="138"/>
      <c r="AE6" s="138"/>
      <c r="AF6" s="138"/>
      <c r="AG6" s="138"/>
      <c r="AH6" s="138"/>
      <c r="AI6" s="138"/>
    </row>
    <row r="7" spans="1:35" s="131" customFormat="1">
      <c r="A7" s="139" t="s">
        <v>225</v>
      </c>
      <c r="B7" s="139">
        <v>1</v>
      </c>
      <c r="C7" s="140" t="s">
        <v>225</v>
      </c>
      <c r="D7" s="141">
        <v>0</v>
      </c>
      <c r="E7" s="141">
        <v>0</v>
      </c>
      <c r="F7" s="141">
        <v>0</v>
      </c>
      <c r="G7" s="141">
        <v>0</v>
      </c>
      <c r="H7" s="141">
        <v>0</v>
      </c>
      <c r="I7" s="141">
        <v>0</v>
      </c>
      <c r="J7" s="141">
        <f>SUM(J5:J6)</f>
        <v>15818.71</v>
      </c>
      <c r="K7" s="142">
        <f>SUM(L7:U7)</f>
        <v>6879.9</v>
      </c>
      <c r="L7" s="143">
        <f>Data!C91</f>
        <v>119</v>
      </c>
      <c r="M7" s="143">
        <f>Data!D91</f>
        <v>793.4</v>
      </c>
      <c r="N7" s="143">
        <f>Data!E91</f>
        <v>538</v>
      </c>
      <c r="O7" s="143">
        <f>Data!F91</f>
        <v>2271.9</v>
      </c>
      <c r="P7" s="143">
        <f>Data!G91</f>
        <v>3157.6</v>
      </c>
      <c r="Q7" s="143">
        <f>Data!H91</f>
        <v>0</v>
      </c>
      <c r="R7" s="143">
        <f>Data!I91</f>
        <v>0</v>
      </c>
      <c r="S7" s="143">
        <f>Data!J91</f>
        <v>0</v>
      </c>
      <c r="T7" s="143">
        <f>Data!K91</f>
        <v>0</v>
      </c>
      <c r="U7" s="143">
        <f>Data!L91</f>
        <v>0</v>
      </c>
      <c r="V7" s="143">
        <f>Data!M91</f>
        <v>0</v>
      </c>
      <c r="W7" s="143">
        <f>Data!N91</f>
        <v>0</v>
      </c>
      <c r="X7" s="144"/>
      <c r="Y7" s="144"/>
      <c r="Z7" s="144"/>
      <c r="AA7" s="144"/>
      <c r="AB7" s="144"/>
      <c r="AC7" s="144"/>
      <c r="AD7" s="144"/>
      <c r="AE7" s="144"/>
      <c r="AF7" s="144"/>
      <c r="AG7" s="144"/>
      <c r="AH7" s="144"/>
      <c r="AI7" s="144"/>
    </row>
    <row r="8" spans="1:35" s="131" customFormat="1" hidden="1">
      <c r="A8" s="139" t="s">
        <v>219</v>
      </c>
      <c r="B8" s="139"/>
      <c r="C8" s="140" t="s">
        <v>219</v>
      </c>
      <c r="D8" s="141">
        <v>0</v>
      </c>
      <c r="E8" s="141">
        <v>0</v>
      </c>
      <c r="F8" s="141">
        <v>0</v>
      </c>
      <c r="G8" s="141">
        <v>0</v>
      </c>
      <c r="H8" s="141">
        <v>0</v>
      </c>
      <c r="I8" s="141">
        <v>0</v>
      </c>
      <c r="J8" s="141">
        <f>J7+J36</f>
        <v>15863.427752</v>
      </c>
      <c r="K8" s="142"/>
      <c r="L8" s="143">
        <v>189</v>
      </c>
      <c r="M8" s="143">
        <v>0</v>
      </c>
      <c r="N8" s="143">
        <v>2298</v>
      </c>
      <c r="O8" s="143">
        <v>3034.25</v>
      </c>
      <c r="P8" s="143">
        <v>1303.7</v>
      </c>
      <c r="Q8" s="143">
        <v>4761.01</v>
      </c>
      <c r="R8" s="143">
        <v>2445.25</v>
      </c>
      <c r="S8" s="143">
        <v>1728</v>
      </c>
      <c r="T8" s="143">
        <v>74.717752000000004</v>
      </c>
      <c r="U8" s="143">
        <v>29.5</v>
      </c>
      <c r="V8" s="143">
        <v>29.5</v>
      </c>
      <c r="W8" s="143">
        <v>29.5</v>
      </c>
      <c r="X8" s="144"/>
      <c r="Y8" s="144"/>
      <c r="Z8" s="144"/>
      <c r="AA8" s="144"/>
      <c r="AB8" s="144"/>
      <c r="AC8" s="144"/>
      <c r="AD8" s="144"/>
      <c r="AE8" s="144"/>
      <c r="AF8" s="144"/>
      <c r="AG8" s="144"/>
      <c r="AH8" s="144"/>
      <c r="AI8" s="144"/>
    </row>
    <row r="9" spans="1:35" s="131" customFormat="1" hidden="1">
      <c r="A9" s="145" t="s">
        <v>105</v>
      </c>
      <c r="B9" s="145"/>
      <c r="C9" s="146" t="s">
        <v>105</v>
      </c>
      <c r="D9" s="141"/>
      <c r="E9" s="141"/>
      <c r="F9" s="141"/>
      <c r="G9" s="141"/>
      <c r="H9" s="141"/>
      <c r="I9" s="141"/>
      <c r="J9" s="141">
        <f t="shared" ref="J9:J18" si="0">SUM(L9:U9)</f>
        <v>0</v>
      </c>
      <c r="K9" s="142"/>
      <c r="L9" s="143">
        <v>0</v>
      </c>
      <c r="M9" s="143">
        <v>0</v>
      </c>
      <c r="N9" s="143">
        <v>0</v>
      </c>
      <c r="O9" s="143">
        <v>0</v>
      </c>
      <c r="P9" s="143">
        <v>0</v>
      </c>
      <c r="Q9" s="143">
        <v>0</v>
      </c>
      <c r="R9" s="143">
        <v>0</v>
      </c>
      <c r="S9" s="143">
        <v>0</v>
      </c>
      <c r="T9" s="143">
        <v>0</v>
      </c>
      <c r="U9" s="143">
        <v>0</v>
      </c>
      <c r="V9" s="143">
        <v>0</v>
      </c>
      <c r="W9" s="143">
        <v>0</v>
      </c>
      <c r="X9" s="144"/>
      <c r="Y9" s="144"/>
      <c r="Z9" s="144"/>
      <c r="AA9" s="144"/>
      <c r="AB9" s="144"/>
      <c r="AC9" s="144"/>
      <c r="AD9" s="144"/>
      <c r="AE9" s="144"/>
      <c r="AF9" s="144"/>
      <c r="AG9" s="144"/>
      <c r="AH9" s="144"/>
      <c r="AI9" s="144"/>
    </row>
    <row r="10" spans="1:35" s="131" customFormat="1" hidden="1">
      <c r="A10" s="139">
        <v>5101</v>
      </c>
      <c r="B10" s="147"/>
      <c r="C10" s="148" t="s">
        <v>70</v>
      </c>
      <c r="D10" s="141">
        <v>0</v>
      </c>
      <c r="E10" s="141">
        <v>0</v>
      </c>
      <c r="F10" s="141">
        <v>0</v>
      </c>
      <c r="G10" s="141">
        <v>0</v>
      </c>
      <c r="H10" s="141">
        <v>0</v>
      </c>
      <c r="I10" s="141">
        <v>0</v>
      </c>
      <c r="J10" s="141">
        <f t="shared" si="0"/>
        <v>2834.9999969999999</v>
      </c>
      <c r="K10" s="142"/>
      <c r="L10" s="143">
        <v>0</v>
      </c>
      <c r="M10" s="143">
        <v>160</v>
      </c>
      <c r="N10" s="143">
        <v>0</v>
      </c>
      <c r="O10" s="143">
        <v>0</v>
      </c>
      <c r="P10" s="143">
        <v>0</v>
      </c>
      <c r="Q10" s="143">
        <v>0</v>
      </c>
      <c r="R10" s="143">
        <v>375</v>
      </c>
      <c r="S10" s="143">
        <v>2299.9999969999999</v>
      </c>
      <c r="T10" s="143">
        <v>0</v>
      </c>
      <c r="U10" s="143">
        <v>0</v>
      </c>
      <c r="V10" s="143">
        <v>0</v>
      </c>
      <c r="W10" s="143">
        <v>0</v>
      </c>
      <c r="X10" s="144"/>
      <c r="Y10" s="144"/>
      <c r="Z10" s="144"/>
      <c r="AA10" s="144"/>
      <c r="AB10" s="144"/>
      <c r="AC10" s="144"/>
      <c r="AD10" s="144"/>
      <c r="AE10" s="144"/>
      <c r="AF10" s="144"/>
      <c r="AG10" s="144"/>
      <c r="AH10" s="144"/>
      <c r="AI10" s="144"/>
    </row>
    <row r="11" spans="1:35" s="131" customFormat="1" hidden="1">
      <c r="A11" s="139">
        <v>5102</v>
      </c>
      <c r="B11" s="147"/>
      <c r="C11" s="148" t="s">
        <v>201</v>
      </c>
      <c r="D11" s="141">
        <v>0</v>
      </c>
      <c r="E11" s="141">
        <v>0</v>
      </c>
      <c r="F11" s="141">
        <v>0</v>
      </c>
      <c r="G11" s="141">
        <v>0</v>
      </c>
      <c r="H11" s="141">
        <v>0</v>
      </c>
      <c r="I11" s="141">
        <v>16700000</v>
      </c>
      <c r="J11" s="141">
        <f t="shared" si="0"/>
        <v>879.54624999999999</v>
      </c>
      <c r="K11" s="142"/>
      <c r="L11" s="143">
        <v>192.62</v>
      </c>
      <c r="M11" s="143">
        <v>129.5</v>
      </c>
      <c r="N11" s="143">
        <v>0</v>
      </c>
      <c r="O11" s="143">
        <v>139.15</v>
      </c>
      <c r="P11" s="143">
        <v>172.75</v>
      </c>
      <c r="Q11" s="143">
        <v>182.67625000000001</v>
      </c>
      <c r="R11" s="143">
        <v>25</v>
      </c>
      <c r="S11" s="143">
        <v>0</v>
      </c>
      <c r="T11" s="143">
        <v>2</v>
      </c>
      <c r="U11" s="143">
        <v>35.85</v>
      </c>
      <c r="V11" s="143">
        <v>35.85</v>
      </c>
      <c r="W11" s="143">
        <v>35.85</v>
      </c>
      <c r="X11" s="144"/>
      <c r="Y11" s="144"/>
      <c r="Z11" s="144"/>
      <c r="AA11" s="144"/>
      <c r="AB11" s="144"/>
      <c r="AC11" s="144"/>
      <c r="AD11" s="144"/>
      <c r="AE11" s="144"/>
      <c r="AF11" s="144"/>
      <c r="AG11" s="144"/>
      <c r="AH11" s="144"/>
      <c r="AI11" s="144"/>
    </row>
    <row r="12" spans="1:35" s="131" customFormat="1" hidden="1">
      <c r="A12" s="139">
        <v>5103</v>
      </c>
      <c r="B12" s="147"/>
      <c r="C12" s="148" t="s">
        <v>202</v>
      </c>
      <c r="D12" s="141">
        <v>0</v>
      </c>
      <c r="E12" s="141">
        <v>0</v>
      </c>
      <c r="F12" s="141">
        <v>15000</v>
      </c>
      <c r="G12" s="141">
        <v>590000</v>
      </c>
      <c r="H12" s="141">
        <v>0</v>
      </c>
      <c r="I12" s="141">
        <v>140000</v>
      </c>
      <c r="J12" s="141">
        <f t="shared" si="0"/>
        <v>2200.6362000000004</v>
      </c>
      <c r="K12" s="142"/>
      <c r="L12" s="143">
        <v>288.96850000000001</v>
      </c>
      <c r="M12" s="143">
        <v>515.69600000000003</v>
      </c>
      <c r="N12" s="143">
        <v>346.45650000000001</v>
      </c>
      <c r="O12" s="143">
        <v>249.02950000000001</v>
      </c>
      <c r="P12" s="143">
        <v>318.31099999999998</v>
      </c>
      <c r="Q12" s="143">
        <v>270.21300000000002</v>
      </c>
      <c r="R12" s="143">
        <v>82.858000000000004</v>
      </c>
      <c r="S12" s="143">
        <v>14.7265</v>
      </c>
      <c r="T12" s="143">
        <v>65.365700000000004</v>
      </c>
      <c r="U12" s="143">
        <v>49.011499999999998</v>
      </c>
      <c r="V12" s="143">
        <v>49.011499999999998</v>
      </c>
      <c r="W12" s="143">
        <v>49.011499999999998</v>
      </c>
      <c r="X12" s="144"/>
      <c r="Y12" s="144"/>
      <c r="Z12" s="144"/>
      <c r="AA12" s="144"/>
      <c r="AB12" s="144"/>
      <c r="AC12" s="144"/>
      <c r="AD12" s="144"/>
      <c r="AE12" s="144"/>
      <c r="AF12" s="144"/>
      <c r="AG12" s="144"/>
      <c r="AH12" s="144"/>
      <c r="AI12" s="144"/>
    </row>
    <row r="13" spans="1:35" s="131" customFormat="1" hidden="1">
      <c r="A13" s="139">
        <v>5104</v>
      </c>
      <c r="B13" s="147"/>
      <c r="C13" s="148" t="s">
        <v>144</v>
      </c>
      <c r="D13" s="141">
        <v>0</v>
      </c>
      <c r="E13" s="141">
        <v>0</v>
      </c>
      <c r="F13" s="141">
        <v>31000000</v>
      </c>
      <c r="G13" s="141">
        <v>0</v>
      </c>
      <c r="H13" s="141">
        <v>0</v>
      </c>
      <c r="I13" s="141">
        <v>0</v>
      </c>
      <c r="J13" s="141">
        <f t="shared" si="0"/>
        <v>3560.4650000000001</v>
      </c>
      <c r="K13" s="142"/>
      <c r="L13" s="143">
        <v>769</v>
      </c>
      <c r="M13" s="143">
        <v>87.5</v>
      </c>
      <c r="N13" s="143">
        <v>773.25</v>
      </c>
      <c r="O13" s="143">
        <v>344.25</v>
      </c>
      <c r="P13" s="143">
        <v>261.52</v>
      </c>
      <c r="Q13" s="143">
        <v>881.82</v>
      </c>
      <c r="R13" s="143">
        <v>194.6</v>
      </c>
      <c r="S13" s="143">
        <v>212.86</v>
      </c>
      <c r="T13" s="143">
        <v>3.55</v>
      </c>
      <c r="U13" s="143">
        <v>32.115000000000002</v>
      </c>
      <c r="V13" s="143">
        <v>32.115000000000002</v>
      </c>
      <c r="W13" s="143">
        <v>32.115000000000002</v>
      </c>
      <c r="X13" s="144"/>
      <c r="Y13" s="144"/>
      <c r="Z13" s="144"/>
      <c r="AA13" s="144"/>
      <c r="AB13" s="144"/>
      <c r="AC13" s="144"/>
      <c r="AD13" s="144"/>
      <c r="AE13" s="144"/>
      <c r="AF13" s="144"/>
      <c r="AG13" s="144"/>
      <c r="AH13" s="144"/>
      <c r="AI13" s="144"/>
    </row>
    <row r="14" spans="1:35" s="131" customFormat="1" hidden="1">
      <c r="A14" s="139">
        <v>5106</v>
      </c>
      <c r="B14" s="147"/>
      <c r="C14" s="148" t="s">
        <v>146</v>
      </c>
      <c r="D14" s="141">
        <v>0</v>
      </c>
      <c r="E14" s="141">
        <v>0</v>
      </c>
      <c r="F14" s="141">
        <v>0</v>
      </c>
      <c r="G14" s="141">
        <v>0</v>
      </c>
      <c r="H14" s="141">
        <v>0</v>
      </c>
      <c r="I14" s="141">
        <v>0</v>
      </c>
      <c r="J14" s="141">
        <f t="shared" si="0"/>
        <v>0</v>
      </c>
      <c r="K14" s="142"/>
      <c r="L14" s="143">
        <v>0</v>
      </c>
      <c r="M14" s="143">
        <v>0</v>
      </c>
      <c r="N14" s="143">
        <v>0</v>
      </c>
      <c r="O14" s="143">
        <v>0</v>
      </c>
      <c r="P14" s="143">
        <v>0</v>
      </c>
      <c r="Q14" s="143">
        <v>0</v>
      </c>
      <c r="R14" s="143">
        <v>0</v>
      </c>
      <c r="S14" s="143">
        <v>0</v>
      </c>
      <c r="T14" s="143">
        <v>0</v>
      </c>
      <c r="U14" s="143">
        <v>0</v>
      </c>
      <c r="V14" s="143">
        <v>0</v>
      </c>
      <c r="W14" s="143">
        <v>0</v>
      </c>
      <c r="X14" s="144"/>
      <c r="Y14" s="144"/>
      <c r="Z14" s="144"/>
      <c r="AA14" s="144"/>
      <c r="AB14" s="144"/>
      <c r="AC14" s="144"/>
      <c r="AD14" s="144"/>
      <c r="AE14" s="144"/>
      <c r="AF14" s="144"/>
      <c r="AG14" s="144"/>
      <c r="AH14" s="144"/>
      <c r="AI14" s="144"/>
    </row>
    <row r="15" spans="1:35" s="131" customFormat="1" hidden="1">
      <c r="A15" s="139">
        <v>5107</v>
      </c>
      <c r="B15" s="147"/>
      <c r="C15" s="148" t="s">
        <v>71</v>
      </c>
      <c r="D15" s="141">
        <v>0</v>
      </c>
      <c r="E15" s="141">
        <v>0</v>
      </c>
      <c r="F15" s="141">
        <v>0</v>
      </c>
      <c r="G15" s="141">
        <v>0</v>
      </c>
      <c r="H15" s="141">
        <v>0</v>
      </c>
      <c r="I15" s="141">
        <v>0</v>
      </c>
      <c r="J15" s="141">
        <f t="shared" si="0"/>
        <v>121.261</v>
      </c>
      <c r="K15" s="142"/>
      <c r="L15" s="143">
        <v>0</v>
      </c>
      <c r="M15" s="143">
        <v>7.5999999999999998E-2</v>
      </c>
      <c r="N15" s="143">
        <v>1</v>
      </c>
      <c r="O15" s="143">
        <v>16.155000000000001</v>
      </c>
      <c r="P15" s="143">
        <v>19.297499999999999</v>
      </c>
      <c r="Q15" s="143">
        <v>34.85</v>
      </c>
      <c r="R15" s="143">
        <v>18.285</v>
      </c>
      <c r="S15" s="143">
        <v>31.5975</v>
      </c>
      <c r="T15" s="143">
        <v>0</v>
      </c>
      <c r="U15" s="143">
        <v>0</v>
      </c>
      <c r="V15" s="143">
        <v>0</v>
      </c>
      <c r="W15" s="143">
        <v>0</v>
      </c>
      <c r="X15" s="144"/>
      <c r="Y15" s="144"/>
      <c r="Z15" s="144"/>
      <c r="AA15" s="144"/>
      <c r="AB15" s="144"/>
      <c r="AC15" s="144"/>
      <c r="AD15" s="144"/>
      <c r="AE15" s="144"/>
      <c r="AF15" s="144"/>
      <c r="AG15" s="144"/>
      <c r="AH15" s="144"/>
      <c r="AI15" s="144"/>
    </row>
    <row r="16" spans="1:35" s="131" customFormat="1" hidden="1">
      <c r="A16" s="139">
        <v>5108</v>
      </c>
      <c r="B16" s="147"/>
      <c r="C16" s="148" t="s">
        <v>72</v>
      </c>
      <c r="D16" s="141">
        <v>0</v>
      </c>
      <c r="E16" s="141">
        <v>0</v>
      </c>
      <c r="F16" s="141">
        <v>38100000</v>
      </c>
      <c r="G16" s="141">
        <v>13154450</v>
      </c>
      <c r="H16" s="141">
        <v>0</v>
      </c>
      <c r="I16" s="141">
        <v>35613270</v>
      </c>
      <c r="J16" s="141">
        <f t="shared" si="0"/>
        <v>276.30212</v>
      </c>
      <c r="K16" s="142"/>
      <c r="L16" s="143">
        <v>12</v>
      </c>
      <c r="M16" s="143">
        <v>8.93</v>
      </c>
      <c r="N16" s="143">
        <v>1.08</v>
      </c>
      <c r="O16" s="143">
        <v>0</v>
      </c>
      <c r="P16" s="143">
        <v>14.7166</v>
      </c>
      <c r="Q16" s="143">
        <v>29.299520000000001</v>
      </c>
      <c r="R16" s="143">
        <v>2.0579999999999998</v>
      </c>
      <c r="S16" s="143">
        <v>27.359000000000002</v>
      </c>
      <c r="T16" s="143">
        <v>28.73</v>
      </c>
      <c r="U16" s="143">
        <v>152.12899999999999</v>
      </c>
      <c r="V16" s="143">
        <v>152.12899999999999</v>
      </c>
      <c r="W16" s="143">
        <v>152.12899999999999</v>
      </c>
      <c r="X16" s="144"/>
      <c r="Y16" s="144"/>
      <c r="Z16" s="144"/>
      <c r="AA16" s="144"/>
      <c r="AB16" s="144"/>
      <c r="AC16" s="144"/>
      <c r="AD16" s="144"/>
      <c r="AE16" s="144"/>
      <c r="AF16" s="144"/>
      <c r="AG16" s="144"/>
      <c r="AH16" s="144"/>
      <c r="AI16" s="144"/>
    </row>
    <row r="17" spans="1:35" s="131" customFormat="1" hidden="1">
      <c r="A17" s="139">
        <v>5109</v>
      </c>
      <c r="B17" s="147"/>
      <c r="C17" s="148" t="s">
        <v>73</v>
      </c>
      <c r="D17" s="141">
        <v>0</v>
      </c>
      <c r="E17" s="141">
        <v>0</v>
      </c>
      <c r="F17" s="141">
        <v>0</v>
      </c>
      <c r="G17" s="141">
        <v>0</v>
      </c>
      <c r="H17" s="141">
        <v>0</v>
      </c>
      <c r="I17" s="141">
        <v>0</v>
      </c>
      <c r="J17" s="141">
        <f t="shared" si="0"/>
        <v>3</v>
      </c>
      <c r="K17" s="142"/>
      <c r="L17" s="143">
        <v>0</v>
      </c>
      <c r="M17" s="143">
        <v>0</v>
      </c>
      <c r="N17" s="143">
        <v>0</v>
      </c>
      <c r="O17" s="143">
        <v>0</v>
      </c>
      <c r="P17" s="143">
        <v>0</v>
      </c>
      <c r="Q17" s="143">
        <v>0</v>
      </c>
      <c r="R17" s="143">
        <v>0</v>
      </c>
      <c r="S17" s="143">
        <v>0</v>
      </c>
      <c r="T17" s="143">
        <v>3</v>
      </c>
      <c r="U17" s="143">
        <v>0</v>
      </c>
      <c r="V17" s="143">
        <v>0</v>
      </c>
      <c r="W17" s="143">
        <v>0</v>
      </c>
      <c r="X17" s="144"/>
      <c r="Y17" s="144"/>
      <c r="Z17" s="144"/>
      <c r="AA17" s="144"/>
      <c r="AB17" s="144"/>
      <c r="AC17" s="144"/>
      <c r="AD17" s="144"/>
      <c r="AE17" s="144"/>
      <c r="AF17" s="144"/>
      <c r="AG17" s="144"/>
      <c r="AH17" s="144"/>
      <c r="AI17" s="144"/>
    </row>
    <row r="18" spans="1:35" s="131" customFormat="1" hidden="1">
      <c r="A18" s="139">
        <v>5110</v>
      </c>
      <c r="B18" s="147"/>
      <c r="C18" s="148" t="s">
        <v>74</v>
      </c>
      <c r="D18" s="141">
        <v>0</v>
      </c>
      <c r="E18" s="141">
        <v>0</v>
      </c>
      <c r="F18" s="141">
        <v>850000</v>
      </c>
      <c r="G18" s="141">
        <v>18544200</v>
      </c>
      <c r="H18" s="141">
        <v>0</v>
      </c>
      <c r="I18" s="141">
        <v>0</v>
      </c>
      <c r="J18" s="141">
        <f t="shared" si="0"/>
        <v>601.90261000000021</v>
      </c>
      <c r="K18" s="142"/>
      <c r="L18" s="143">
        <v>47.949458</v>
      </c>
      <c r="M18" s="143">
        <v>0.35</v>
      </c>
      <c r="N18" s="143">
        <v>244.643496</v>
      </c>
      <c r="O18" s="143">
        <v>192.14187000000001</v>
      </c>
      <c r="P18" s="143">
        <v>109.19708</v>
      </c>
      <c r="Q18" s="143">
        <v>185.29120599999999</v>
      </c>
      <c r="R18" s="143">
        <v>163.86750000000001</v>
      </c>
      <c r="S18" s="143">
        <v>213.07499999999999</v>
      </c>
      <c r="T18" s="143">
        <v>-590.52</v>
      </c>
      <c r="U18" s="143">
        <v>35.906999999999996</v>
      </c>
      <c r="V18" s="143">
        <v>35.906999999999996</v>
      </c>
      <c r="W18" s="143">
        <v>35.906999999999996</v>
      </c>
      <c r="X18" s="144"/>
      <c r="Y18" s="144"/>
      <c r="Z18" s="144"/>
      <c r="AA18" s="144"/>
      <c r="AB18" s="144"/>
      <c r="AC18" s="144"/>
      <c r="AD18" s="144"/>
      <c r="AE18" s="144"/>
      <c r="AF18" s="144"/>
      <c r="AG18" s="144"/>
      <c r="AH18" s="144"/>
      <c r="AI18" s="144"/>
    </row>
    <row r="19" spans="1:35" s="131" customFormat="1">
      <c r="A19" s="139" t="s">
        <v>221</v>
      </c>
      <c r="B19" s="139">
        <v>2</v>
      </c>
      <c r="C19" s="140" t="s">
        <v>221</v>
      </c>
      <c r="D19" s="141">
        <v>0</v>
      </c>
      <c r="E19" s="141">
        <v>0</v>
      </c>
      <c r="F19" s="141">
        <v>69965000</v>
      </c>
      <c r="G19" s="141">
        <v>32288650</v>
      </c>
      <c r="H19" s="141">
        <v>0</v>
      </c>
      <c r="I19" s="141">
        <v>52453270</v>
      </c>
      <c r="J19" s="141">
        <f>SUM(J10:J18)</f>
        <v>10478.113177000001</v>
      </c>
      <c r="K19" s="142">
        <f>SUM(L19:U19)</f>
        <v>2509.1880000000001</v>
      </c>
      <c r="L19" s="143">
        <f>Data!C113</f>
        <v>61.558</v>
      </c>
      <c r="M19" s="143">
        <f>Data!D113</f>
        <v>313.20300000000003</v>
      </c>
      <c r="N19" s="143">
        <f>Data!E113</f>
        <v>249.75700000000001</v>
      </c>
      <c r="O19" s="143">
        <f>Data!F113</f>
        <v>870.71300000000008</v>
      </c>
      <c r="P19" s="143">
        <f>Data!G113</f>
        <v>1013.957</v>
      </c>
      <c r="Q19" s="143">
        <f>Data!H113</f>
        <v>0</v>
      </c>
      <c r="R19" s="143">
        <f>Data!I113</f>
        <v>0</v>
      </c>
      <c r="S19" s="143">
        <f>Data!J113</f>
        <v>0</v>
      </c>
      <c r="T19" s="143">
        <f>Data!K113</f>
        <v>0</v>
      </c>
      <c r="U19" s="143">
        <f>Data!L113</f>
        <v>0</v>
      </c>
      <c r="V19" s="143">
        <f>Data!M113</f>
        <v>0</v>
      </c>
      <c r="W19" s="143">
        <f>Data!N113</f>
        <v>0</v>
      </c>
      <c r="X19" s="144"/>
      <c r="Y19" s="144"/>
      <c r="Z19" s="144"/>
      <c r="AA19" s="144"/>
      <c r="AB19" s="144"/>
      <c r="AC19" s="144"/>
      <c r="AD19" s="144"/>
      <c r="AE19" s="144"/>
      <c r="AF19" s="144"/>
      <c r="AG19" s="144"/>
      <c r="AH19" s="144"/>
      <c r="AI19" s="144"/>
    </row>
    <row r="20" spans="1:35" s="131" customFormat="1" hidden="1">
      <c r="A20" s="132" t="s">
        <v>106</v>
      </c>
      <c r="B20" s="132"/>
      <c r="C20" s="149" t="s">
        <v>106</v>
      </c>
      <c r="D20" s="133"/>
      <c r="E20" s="133"/>
      <c r="F20" s="133"/>
      <c r="G20" s="133"/>
      <c r="H20" s="133"/>
      <c r="I20" s="133"/>
      <c r="J20" s="137">
        <f t="shared" ref="J20:J29" si="1">SUM(L20:U20)</f>
        <v>0</v>
      </c>
      <c r="K20" s="150">
        <f t="shared" ref="K20:K53" si="2">SUM(L20:U20)</f>
        <v>0</v>
      </c>
      <c r="L20" s="151">
        <v>0</v>
      </c>
      <c r="M20" s="151">
        <v>0</v>
      </c>
      <c r="N20" s="151">
        <v>0</v>
      </c>
      <c r="O20" s="151">
        <v>0</v>
      </c>
      <c r="P20" s="151">
        <v>0</v>
      </c>
      <c r="Q20" s="151">
        <v>0</v>
      </c>
      <c r="R20" s="151">
        <v>0</v>
      </c>
      <c r="S20" s="151">
        <v>0</v>
      </c>
      <c r="T20" s="151">
        <v>0</v>
      </c>
      <c r="U20" s="151">
        <v>0</v>
      </c>
      <c r="V20" s="151">
        <v>0</v>
      </c>
      <c r="W20" s="151">
        <v>0</v>
      </c>
      <c r="X20" s="138"/>
      <c r="Y20" s="138"/>
      <c r="Z20" s="138"/>
      <c r="AA20" s="138"/>
      <c r="AB20" s="138"/>
      <c r="AC20" s="138"/>
      <c r="AD20" s="138"/>
      <c r="AE20" s="138"/>
      <c r="AF20" s="138"/>
      <c r="AG20" s="138"/>
      <c r="AH20" s="138"/>
      <c r="AI20" s="138"/>
    </row>
    <row r="21" spans="1:35" hidden="1">
      <c r="A21" s="134">
        <v>6101</v>
      </c>
      <c r="B21" s="135"/>
      <c r="C21" s="152" t="s">
        <v>75</v>
      </c>
      <c r="D21" s="137">
        <v>0</v>
      </c>
      <c r="E21" s="137">
        <v>0</v>
      </c>
      <c r="F21" s="137">
        <v>1500000</v>
      </c>
      <c r="G21" s="137">
        <v>1500000</v>
      </c>
      <c r="H21" s="137">
        <v>1500000</v>
      </c>
      <c r="I21" s="137">
        <v>0</v>
      </c>
      <c r="J21" s="137">
        <f t="shared" si="1"/>
        <v>231.41750000000002</v>
      </c>
      <c r="K21" s="150">
        <f t="shared" si="2"/>
        <v>231.41750000000002</v>
      </c>
      <c r="L21" s="153">
        <v>8</v>
      </c>
      <c r="M21" s="153">
        <v>2</v>
      </c>
      <c r="N21" s="153">
        <v>9.8000000000000007</v>
      </c>
      <c r="O21" s="153">
        <v>13.13</v>
      </c>
      <c r="P21" s="153">
        <v>15.65</v>
      </c>
      <c r="Q21" s="153">
        <v>20.420000000000002</v>
      </c>
      <c r="R21" s="153">
        <v>20.420000000000002</v>
      </c>
      <c r="S21" s="153">
        <v>20.420000000000002</v>
      </c>
      <c r="T21" s="153">
        <v>59.65</v>
      </c>
      <c r="U21" s="153">
        <v>61.927500000000002</v>
      </c>
      <c r="V21" s="153">
        <v>61.927500000000002</v>
      </c>
      <c r="W21" s="153">
        <v>61.927500000000002</v>
      </c>
      <c r="X21" s="138"/>
      <c r="Y21" s="138"/>
      <c r="Z21" s="138"/>
      <c r="AA21" s="138"/>
      <c r="AB21" s="138"/>
      <c r="AC21" s="138"/>
      <c r="AD21" s="138"/>
      <c r="AE21" s="138"/>
      <c r="AF21" s="138"/>
      <c r="AG21" s="138"/>
      <c r="AH21" s="138"/>
      <c r="AI21" s="138"/>
    </row>
    <row r="22" spans="1:35" s="131" customFormat="1" hidden="1">
      <c r="A22" s="134">
        <v>6102</v>
      </c>
      <c r="B22" s="135"/>
      <c r="C22" s="152" t="s">
        <v>204</v>
      </c>
      <c r="D22" s="137">
        <v>0</v>
      </c>
      <c r="E22" s="137">
        <v>0</v>
      </c>
      <c r="F22" s="137">
        <v>0</v>
      </c>
      <c r="G22" s="137">
        <v>0</v>
      </c>
      <c r="H22" s="137">
        <v>0</v>
      </c>
      <c r="I22" s="137">
        <v>0</v>
      </c>
      <c r="J22" s="137">
        <f t="shared" si="1"/>
        <v>1.7029999999999998</v>
      </c>
      <c r="K22" s="150">
        <f t="shared" si="2"/>
        <v>1.7029999999999998</v>
      </c>
      <c r="L22" s="153">
        <v>0</v>
      </c>
      <c r="M22" s="153">
        <v>1.4</v>
      </c>
      <c r="N22" s="153">
        <v>0</v>
      </c>
      <c r="O22" s="153">
        <v>0</v>
      </c>
      <c r="P22" s="153">
        <v>0</v>
      </c>
      <c r="Q22" s="153">
        <v>0</v>
      </c>
      <c r="R22" s="153">
        <v>0.2</v>
      </c>
      <c r="S22" s="153">
        <v>0</v>
      </c>
      <c r="T22" s="153">
        <v>0</v>
      </c>
      <c r="U22" s="153">
        <v>0.10299999999999999</v>
      </c>
      <c r="V22" s="153">
        <v>0.10299999999999999</v>
      </c>
      <c r="W22" s="153">
        <v>0.10299999999999999</v>
      </c>
      <c r="X22" s="138"/>
      <c r="Y22" s="138"/>
      <c r="Z22" s="138"/>
      <c r="AA22" s="138"/>
      <c r="AB22" s="138"/>
      <c r="AC22" s="138"/>
      <c r="AD22" s="138"/>
      <c r="AE22" s="138"/>
      <c r="AF22" s="138"/>
      <c r="AG22" s="138"/>
      <c r="AH22" s="138"/>
      <c r="AI22" s="138"/>
    </row>
    <row r="23" spans="1:35" hidden="1">
      <c r="A23" s="134">
        <v>6103</v>
      </c>
      <c r="B23" s="135"/>
      <c r="C23" s="152" t="s">
        <v>203</v>
      </c>
      <c r="D23" s="137">
        <v>0</v>
      </c>
      <c r="E23" s="137">
        <v>0</v>
      </c>
      <c r="F23" s="137">
        <v>0</v>
      </c>
      <c r="G23" s="137">
        <v>0</v>
      </c>
      <c r="H23" s="137">
        <v>0</v>
      </c>
      <c r="I23" s="137">
        <v>0</v>
      </c>
      <c r="J23" s="137">
        <f t="shared" si="1"/>
        <v>2.6109999999999998</v>
      </c>
      <c r="K23" s="150">
        <f t="shared" si="2"/>
        <v>2.6109999999999998</v>
      </c>
      <c r="L23" s="153">
        <v>0</v>
      </c>
      <c r="M23" s="153">
        <v>1.8</v>
      </c>
      <c r="N23" s="153">
        <v>0</v>
      </c>
      <c r="O23" s="153">
        <v>0</v>
      </c>
      <c r="P23" s="153">
        <v>0.124</v>
      </c>
      <c r="Q23" s="153">
        <v>0.247</v>
      </c>
      <c r="R23" s="153">
        <v>0.17199999999999999</v>
      </c>
      <c r="S23" s="153">
        <v>0</v>
      </c>
      <c r="T23" s="153">
        <v>0</v>
      </c>
      <c r="U23" s="153">
        <v>0.26800000000000002</v>
      </c>
      <c r="V23" s="153">
        <v>0.26800000000000002</v>
      </c>
      <c r="W23" s="153">
        <v>0.26800000000000002</v>
      </c>
      <c r="X23" s="138"/>
      <c r="Y23" s="138"/>
      <c r="Z23" s="138"/>
      <c r="AA23" s="138"/>
      <c r="AB23" s="138"/>
      <c r="AC23" s="138"/>
      <c r="AD23" s="138"/>
      <c r="AE23" s="138"/>
      <c r="AF23" s="138"/>
      <c r="AG23" s="138"/>
      <c r="AH23" s="138"/>
      <c r="AI23" s="138"/>
    </row>
    <row r="24" spans="1:35" hidden="1">
      <c r="A24" s="134">
        <v>6105</v>
      </c>
      <c r="B24" s="135"/>
      <c r="C24" s="152" t="s">
        <v>148</v>
      </c>
      <c r="D24" s="137">
        <v>0</v>
      </c>
      <c r="E24" s="137">
        <v>0</v>
      </c>
      <c r="F24" s="137">
        <v>37000</v>
      </c>
      <c r="G24" s="137">
        <v>0</v>
      </c>
      <c r="H24" s="137">
        <v>25000</v>
      </c>
      <c r="I24" s="137">
        <v>0</v>
      </c>
      <c r="J24" s="137">
        <f t="shared" si="1"/>
        <v>30.216499999999993</v>
      </c>
      <c r="K24" s="150">
        <f t="shared" si="2"/>
        <v>30.216499999999993</v>
      </c>
      <c r="L24" s="153">
        <v>1.125</v>
      </c>
      <c r="M24" s="153">
        <v>0.85599999999999998</v>
      </c>
      <c r="N24" s="153">
        <v>3.391</v>
      </c>
      <c r="O24" s="153">
        <v>0.83199999999999996</v>
      </c>
      <c r="P24" s="153">
        <v>8.0589999999999993</v>
      </c>
      <c r="Q24" s="153">
        <v>2.2650000000000001</v>
      </c>
      <c r="R24" s="153">
        <v>6.4489999999999998</v>
      </c>
      <c r="S24" s="153">
        <v>6.3390000000000004</v>
      </c>
      <c r="T24" s="153">
        <v>0.65</v>
      </c>
      <c r="U24" s="153">
        <v>0.2505</v>
      </c>
      <c r="V24" s="153">
        <v>0.2505</v>
      </c>
      <c r="W24" s="153">
        <v>0.2505</v>
      </c>
      <c r="X24" s="138"/>
      <c r="Y24" s="138"/>
      <c r="Z24" s="138"/>
      <c r="AA24" s="138"/>
      <c r="AB24" s="138"/>
      <c r="AC24" s="138"/>
      <c r="AD24" s="138"/>
      <c r="AE24" s="138"/>
      <c r="AF24" s="138"/>
      <c r="AG24" s="138"/>
      <c r="AH24" s="138"/>
      <c r="AI24" s="138"/>
    </row>
    <row r="25" spans="1:35" hidden="1">
      <c r="A25" s="134">
        <v>6106</v>
      </c>
      <c r="B25" s="135"/>
      <c r="C25" s="152" t="s">
        <v>149</v>
      </c>
      <c r="D25" s="137">
        <v>0</v>
      </c>
      <c r="E25" s="137">
        <v>0</v>
      </c>
      <c r="F25" s="137">
        <v>0</v>
      </c>
      <c r="G25" s="137">
        <v>0</v>
      </c>
      <c r="H25" s="137">
        <v>0</v>
      </c>
      <c r="I25" s="137">
        <v>0</v>
      </c>
      <c r="J25" s="137">
        <f t="shared" si="1"/>
        <v>0.16650000000000001</v>
      </c>
      <c r="K25" s="150">
        <f t="shared" si="2"/>
        <v>0.16650000000000001</v>
      </c>
      <c r="L25" s="153">
        <v>0</v>
      </c>
      <c r="M25" s="153">
        <v>0</v>
      </c>
      <c r="N25" s="153">
        <v>0</v>
      </c>
      <c r="O25" s="153">
        <v>0</v>
      </c>
      <c r="P25" s="153">
        <v>0</v>
      </c>
      <c r="Q25" s="153">
        <v>0</v>
      </c>
      <c r="R25" s="153">
        <v>0</v>
      </c>
      <c r="S25" s="153">
        <v>0</v>
      </c>
      <c r="T25" s="153">
        <v>0</v>
      </c>
      <c r="U25" s="153">
        <v>0.16650000000000001</v>
      </c>
      <c r="V25" s="153">
        <v>0.16650000000000001</v>
      </c>
      <c r="W25" s="153">
        <v>0.16650000000000001</v>
      </c>
      <c r="X25" s="138"/>
      <c r="Y25" s="138"/>
      <c r="Z25" s="138"/>
      <c r="AA25" s="138"/>
      <c r="AB25" s="138"/>
      <c r="AC25" s="138"/>
      <c r="AD25" s="138"/>
      <c r="AE25" s="138"/>
      <c r="AF25" s="138"/>
      <c r="AG25" s="138"/>
      <c r="AH25" s="138"/>
      <c r="AI25" s="138"/>
    </row>
    <row r="26" spans="1:35" s="131" customFormat="1" hidden="1">
      <c r="A26" s="134">
        <v>6108</v>
      </c>
      <c r="B26" s="135"/>
      <c r="C26" s="152" t="s">
        <v>78</v>
      </c>
      <c r="D26" s="137">
        <v>0</v>
      </c>
      <c r="E26" s="137">
        <v>0</v>
      </c>
      <c r="F26" s="137">
        <v>0</v>
      </c>
      <c r="G26" s="137">
        <v>0</v>
      </c>
      <c r="H26" s="137">
        <v>0</v>
      </c>
      <c r="I26" s="137">
        <v>0</v>
      </c>
      <c r="J26" s="137">
        <f t="shared" si="1"/>
        <v>0.95</v>
      </c>
      <c r="K26" s="150">
        <f t="shared" si="2"/>
        <v>0.95</v>
      </c>
      <c r="L26" s="153">
        <v>0</v>
      </c>
      <c r="M26" s="153">
        <v>0</v>
      </c>
      <c r="N26" s="153">
        <v>0</v>
      </c>
      <c r="O26" s="153">
        <v>0</v>
      </c>
      <c r="P26" s="153">
        <v>0</v>
      </c>
      <c r="Q26" s="153">
        <v>0</v>
      </c>
      <c r="R26" s="153">
        <v>0</v>
      </c>
      <c r="S26" s="153">
        <v>0</v>
      </c>
      <c r="T26" s="153">
        <v>0</v>
      </c>
      <c r="U26" s="153">
        <v>0.95</v>
      </c>
      <c r="V26" s="153">
        <v>0.95</v>
      </c>
      <c r="W26" s="153">
        <v>0.95</v>
      </c>
      <c r="X26" s="138"/>
      <c r="Y26" s="138"/>
      <c r="Z26" s="138"/>
      <c r="AA26" s="138"/>
      <c r="AB26" s="138"/>
      <c r="AC26" s="138"/>
      <c r="AD26" s="138"/>
      <c r="AE26" s="138"/>
      <c r="AF26" s="138"/>
      <c r="AG26" s="138"/>
      <c r="AH26" s="138"/>
      <c r="AI26" s="138"/>
    </row>
    <row r="27" spans="1:35" hidden="1">
      <c r="A27" s="134">
        <v>6109</v>
      </c>
      <c r="B27" s="135"/>
      <c r="C27" s="152" t="s">
        <v>79</v>
      </c>
      <c r="D27" s="137">
        <v>0</v>
      </c>
      <c r="E27" s="137">
        <v>0</v>
      </c>
      <c r="F27" s="137">
        <v>36000</v>
      </c>
      <c r="G27" s="137">
        <v>0</v>
      </c>
      <c r="H27" s="137">
        <v>0</v>
      </c>
      <c r="I27" s="137">
        <v>0</v>
      </c>
      <c r="J27" s="137">
        <f t="shared" si="1"/>
        <v>1.233992</v>
      </c>
      <c r="K27" s="150">
        <f t="shared" si="2"/>
        <v>1.233992</v>
      </c>
      <c r="L27" s="153">
        <v>0.03</v>
      </c>
      <c r="M27" s="153">
        <v>4.2000000000000003E-2</v>
      </c>
      <c r="N27" s="153">
        <v>6.1991999999999998E-2</v>
      </c>
      <c r="O27" s="153">
        <v>0</v>
      </c>
      <c r="P27" s="153">
        <v>0</v>
      </c>
      <c r="Q27" s="153">
        <v>0</v>
      </c>
      <c r="R27" s="153">
        <v>0.1</v>
      </c>
      <c r="S27" s="153">
        <v>0</v>
      </c>
      <c r="T27" s="153">
        <v>1</v>
      </c>
      <c r="U27" s="153">
        <v>0</v>
      </c>
      <c r="V27" s="153">
        <v>0</v>
      </c>
      <c r="W27" s="153">
        <v>0</v>
      </c>
      <c r="X27" s="138"/>
      <c r="Y27" s="138"/>
      <c r="Z27" s="138"/>
      <c r="AA27" s="138"/>
      <c r="AB27" s="138"/>
      <c r="AC27" s="138"/>
      <c r="AD27" s="138"/>
      <c r="AE27" s="138"/>
      <c r="AF27" s="138"/>
      <c r="AG27" s="138"/>
      <c r="AH27" s="138"/>
      <c r="AI27" s="138"/>
    </row>
    <row r="28" spans="1:35" hidden="1">
      <c r="A28" s="134">
        <v>6111</v>
      </c>
      <c r="B28" s="135"/>
      <c r="C28" s="152" t="s">
        <v>150</v>
      </c>
      <c r="D28" s="137">
        <v>0</v>
      </c>
      <c r="E28" s="137">
        <v>0</v>
      </c>
      <c r="F28" s="137">
        <v>0</v>
      </c>
      <c r="G28" s="137">
        <v>0</v>
      </c>
      <c r="H28" s="137">
        <v>0</v>
      </c>
      <c r="I28" s="137">
        <v>0</v>
      </c>
      <c r="J28" s="137">
        <f t="shared" si="1"/>
        <v>285</v>
      </c>
      <c r="K28" s="150">
        <f t="shared" si="2"/>
        <v>285</v>
      </c>
      <c r="L28" s="153">
        <v>0</v>
      </c>
      <c r="M28" s="153">
        <v>0</v>
      </c>
      <c r="N28" s="153">
        <v>0</v>
      </c>
      <c r="O28" s="153">
        <v>0</v>
      </c>
      <c r="P28" s="153">
        <v>0</v>
      </c>
      <c r="Q28" s="153">
        <v>285</v>
      </c>
      <c r="R28" s="153">
        <v>0</v>
      </c>
      <c r="S28" s="153">
        <v>0</v>
      </c>
      <c r="T28" s="153">
        <v>0</v>
      </c>
      <c r="U28" s="153">
        <v>0</v>
      </c>
      <c r="V28" s="153">
        <v>0</v>
      </c>
      <c r="W28" s="153">
        <v>0</v>
      </c>
      <c r="X28" s="138"/>
      <c r="Y28" s="138"/>
      <c r="Z28" s="138"/>
      <c r="AA28" s="138"/>
      <c r="AB28" s="138"/>
      <c r="AC28" s="138"/>
      <c r="AD28" s="138"/>
      <c r="AE28" s="138"/>
      <c r="AF28" s="138"/>
      <c r="AG28" s="138"/>
      <c r="AH28" s="138"/>
      <c r="AI28" s="138"/>
    </row>
    <row r="29" spans="1:35" hidden="1">
      <c r="A29" s="134">
        <v>6112</v>
      </c>
      <c r="B29" s="135"/>
      <c r="C29" s="152" t="s">
        <v>205</v>
      </c>
      <c r="D29" s="137">
        <v>0</v>
      </c>
      <c r="E29" s="137">
        <v>0</v>
      </c>
      <c r="F29" s="137">
        <v>4854000</v>
      </c>
      <c r="G29" s="137">
        <v>400000</v>
      </c>
      <c r="H29" s="137">
        <v>0</v>
      </c>
      <c r="I29" s="137">
        <v>0</v>
      </c>
      <c r="J29" s="137">
        <f t="shared" si="1"/>
        <v>81.251068000000004</v>
      </c>
      <c r="K29" s="150">
        <f t="shared" si="2"/>
        <v>81.251068000000004</v>
      </c>
      <c r="L29" s="153">
        <v>1.02</v>
      </c>
      <c r="M29" s="153">
        <v>7.4999999999999997E-2</v>
      </c>
      <c r="N29" s="153">
        <v>1.2370000000000001</v>
      </c>
      <c r="O29" s="153">
        <v>0</v>
      </c>
      <c r="P29" s="153">
        <v>0.41</v>
      </c>
      <c r="Q29" s="153">
        <v>5.8250000000000002</v>
      </c>
      <c r="R29" s="153">
        <v>9.0605600000000006</v>
      </c>
      <c r="S29" s="153">
        <v>34.174500000000002</v>
      </c>
      <c r="T29" s="153">
        <v>2.9718879999999999</v>
      </c>
      <c r="U29" s="153">
        <v>26.477119999999999</v>
      </c>
      <c r="V29" s="153">
        <v>26.477119999999999</v>
      </c>
      <c r="W29" s="153">
        <v>26.477119999999999</v>
      </c>
      <c r="X29" s="138"/>
      <c r="Y29" s="138"/>
      <c r="Z29" s="138"/>
      <c r="AA29" s="138"/>
      <c r="AB29" s="138"/>
      <c r="AC29" s="138"/>
      <c r="AD29" s="138"/>
      <c r="AE29" s="138"/>
      <c r="AF29" s="138"/>
      <c r="AG29" s="138"/>
      <c r="AH29" s="138"/>
      <c r="AI29" s="138"/>
    </row>
    <row r="30" spans="1:35" s="131" customFormat="1">
      <c r="A30" s="154" t="s">
        <v>221</v>
      </c>
      <c r="B30" s="154">
        <v>3</v>
      </c>
      <c r="C30" s="155" t="s">
        <v>268</v>
      </c>
      <c r="D30" s="156">
        <v>0</v>
      </c>
      <c r="E30" s="156">
        <v>0</v>
      </c>
      <c r="F30" s="156">
        <v>69965000</v>
      </c>
      <c r="G30" s="156">
        <v>32288650</v>
      </c>
      <c r="H30" s="156">
        <v>0</v>
      </c>
      <c r="I30" s="156">
        <v>52453270</v>
      </c>
      <c r="J30" s="157">
        <f>SUM(J21:J29)</f>
        <v>634.54955999999993</v>
      </c>
      <c r="K30" s="158">
        <f t="shared" ref="K30:U30" si="3">K7-K19</f>
        <v>4370.7119999999995</v>
      </c>
      <c r="L30" s="158">
        <f t="shared" si="3"/>
        <v>57.442</v>
      </c>
      <c r="M30" s="158">
        <f t="shared" si="3"/>
        <v>480.19699999999995</v>
      </c>
      <c r="N30" s="158">
        <f t="shared" si="3"/>
        <v>288.24299999999999</v>
      </c>
      <c r="O30" s="158">
        <f t="shared" si="3"/>
        <v>1401.1869999999999</v>
      </c>
      <c r="P30" s="158">
        <f t="shared" si="3"/>
        <v>2143.643</v>
      </c>
      <c r="Q30" s="158">
        <f t="shared" si="3"/>
        <v>0</v>
      </c>
      <c r="R30" s="158">
        <f t="shared" si="3"/>
        <v>0</v>
      </c>
      <c r="S30" s="158">
        <f t="shared" si="3"/>
        <v>0</v>
      </c>
      <c r="T30" s="158">
        <f t="shared" si="3"/>
        <v>0</v>
      </c>
      <c r="U30" s="158">
        <f t="shared" si="3"/>
        <v>0</v>
      </c>
      <c r="V30" s="158">
        <f t="shared" ref="V30:W30" si="4">V7-V19</f>
        <v>0</v>
      </c>
      <c r="W30" s="158">
        <f t="shared" si="4"/>
        <v>0</v>
      </c>
      <c r="X30" s="159"/>
      <c r="Y30" s="159"/>
      <c r="Z30" s="159"/>
      <c r="AA30" s="159"/>
      <c r="AB30" s="159"/>
      <c r="AC30" s="159"/>
      <c r="AD30" s="159"/>
      <c r="AE30" s="159"/>
      <c r="AF30" s="159"/>
      <c r="AG30" s="159"/>
      <c r="AH30" s="159"/>
      <c r="AI30" s="159"/>
    </row>
    <row r="31" spans="1:35" s="131" customFormat="1">
      <c r="A31" s="139" t="s">
        <v>222</v>
      </c>
      <c r="B31" s="139">
        <v>4</v>
      </c>
      <c r="C31" s="140" t="s">
        <v>222</v>
      </c>
      <c r="D31" s="141">
        <v>0</v>
      </c>
      <c r="E31" s="141">
        <v>0</v>
      </c>
      <c r="F31" s="141">
        <v>6427000</v>
      </c>
      <c r="G31" s="141">
        <v>1900000</v>
      </c>
      <c r="H31" s="141">
        <v>1525000</v>
      </c>
      <c r="I31" s="141">
        <v>0</v>
      </c>
      <c r="J31" s="141">
        <f>SUM(J21:J29)</f>
        <v>634.54955999999993</v>
      </c>
      <c r="K31" s="142">
        <f t="shared" si="2"/>
        <v>516.77759200000003</v>
      </c>
      <c r="L31" s="143">
        <f>Data!C127</f>
        <v>94.470997000000011</v>
      </c>
      <c r="M31" s="143">
        <f>Data!D127</f>
        <v>91.697036000000011</v>
      </c>
      <c r="N31" s="143">
        <f>Data!E127</f>
        <v>80.649286000000004</v>
      </c>
      <c r="O31" s="143">
        <f>Data!F127</f>
        <v>129.95113499999999</v>
      </c>
      <c r="P31" s="143">
        <f>Data!G127</f>
        <v>120.00913800000001</v>
      </c>
      <c r="Q31" s="143">
        <f>Data!H127</f>
        <v>0</v>
      </c>
      <c r="R31" s="143">
        <f>Data!I127</f>
        <v>0</v>
      </c>
      <c r="S31" s="143">
        <f>Data!J127</f>
        <v>0</v>
      </c>
      <c r="T31" s="143">
        <f>Data!K127</f>
        <v>0</v>
      </c>
      <c r="U31" s="143">
        <f>Data!L127</f>
        <v>0</v>
      </c>
      <c r="V31" s="143">
        <f>Data!M127</f>
        <v>0</v>
      </c>
      <c r="W31" s="143">
        <f>Data!N127</f>
        <v>0</v>
      </c>
      <c r="X31" s="144"/>
      <c r="Y31" s="144"/>
      <c r="Z31" s="144"/>
      <c r="AA31" s="144"/>
      <c r="AB31" s="144"/>
      <c r="AC31" s="144"/>
      <c r="AD31" s="144"/>
      <c r="AE31" s="144"/>
      <c r="AF31" s="144"/>
      <c r="AG31" s="144"/>
      <c r="AH31" s="144"/>
      <c r="AI31" s="144"/>
    </row>
    <row r="32" spans="1:35" s="131" customFormat="1" hidden="1">
      <c r="A32" s="132" t="s">
        <v>111</v>
      </c>
      <c r="B32" s="132"/>
      <c r="C32" s="149" t="s">
        <v>111</v>
      </c>
      <c r="D32" s="133"/>
      <c r="E32" s="133"/>
      <c r="F32" s="133"/>
      <c r="G32" s="133"/>
      <c r="H32" s="133"/>
      <c r="I32" s="133"/>
      <c r="J32" s="137">
        <f>SUM(L32:U32)</f>
        <v>0</v>
      </c>
      <c r="K32" s="150">
        <f t="shared" si="2"/>
        <v>0</v>
      </c>
      <c r="L32" s="151">
        <v>0</v>
      </c>
      <c r="M32" s="151">
        <v>0</v>
      </c>
      <c r="N32" s="151">
        <v>0</v>
      </c>
      <c r="O32" s="151">
        <v>0</v>
      </c>
      <c r="P32" s="151">
        <v>0</v>
      </c>
      <c r="Q32" s="151">
        <v>0</v>
      </c>
      <c r="R32" s="151">
        <v>0</v>
      </c>
      <c r="S32" s="151">
        <v>0</v>
      </c>
      <c r="T32" s="151">
        <v>0</v>
      </c>
      <c r="U32" s="151">
        <v>0</v>
      </c>
      <c r="V32" s="151">
        <v>0</v>
      </c>
      <c r="W32" s="151">
        <v>0</v>
      </c>
      <c r="X32" s="138"/>
      <c r="Y32" s="138"/>
      <c r="Z32" s="138"/>
      <c r="AA32" s="138"/>
      <c r="AB32" s="138"/>
      <c r="AC32" s="138"/>
      <c r="AD32" s="138"/>
      <c r="AE32" s="138"/>
      <c r="AF32" s="138"/>
      <c r="AG32" s="138"/>
      <c r="AH32" s="138"/>
      <c r="AI32" s="138"/>
    </row>
    <row r="33" spans="1:35" hidden="1">
      <c r="A33" s="134">
        <v>4204</v>
      </c>
      <c r="B33" s="135"/>
      <c r="C33" s="152" t="s">
        <v>69</v>
      </c>
      <c r="D33" s="137">
        <v>0</v>
      </c>
      <c r="E33" s="137">
        <v>0</v>
      </c>
      <c r="F33" s="137">
        <v>0</v>
      </c>
      <c r="G33" s="137">
        <v>0</v>
      </c>
      <c r="H33" s="137">
        <v>0</v>
      </c>
      <c r="I33" s="137">
        <v>0</v>
      </c>
      <c r="J33" s="137">
        <f>SUM(L33:U33)</f>
        <v>24.717752000000001</v>
      </c>
      <c r="K33" s="150">
        <f t="shared" si="2"/>
        <v>24.717752000000001</v>
      </c>
      <c r="L33" s="153">
        <v>0</v>
      </c>
      <c r="M33" s="153">
        <v>0</v>
      </c>
      <c r="N33" s="153">
        <v>0</v>
      </c>
      <c r="O33" s="153">
        <v>0</v>
      </c>
      <c r="P33" s="153">
        <v>0</v>
      </c>
      <c r="Q33" s="153">
        <v>0</v>
      </c>
      <c r="R33" s="153">
        <v>0</v>
      </c>
      <c r="S33" s="153">
        <v>0</v>
      </c>
      <c r="T33" s="153">
        <v>24.717752000000001</v>
      </c>
      <c r="U33" s="153">
        <v>0</v>
      </c>
      <c r="V33" s="153">
        <v>0</v>
      </c>
      <c r="W33" s="153">
        <v>0</v>
      </c>
      <c r="X33" s="138"/>
      <c r="Y33" s="138"/>
      <c r="Z33" s="138"/>
      <c r="AA33" s="138"/>
      <c r="AB33" s="138"/>
      <c r="AC33" s="138"/>
      <c r="AD33" s="138"/>
      <c r="AE33" s="138"/>
      <c r="AF33" s="138"/>
      <c r="AG33" s="138"/>
      <c r="AH33" s="138"/>
      <c r="AI33" s="138"/>
    </row>
    <row r="34" spans="1:35" hidden="1">
      <c r="A34" s="134">
        <v>4205</v>
      </c>
      <c r="B34" s="135"/>
      <c r="C34" s="152" t="s">
        <v>88</v>
      </c>
      <c r="D34" s="137">
        <v>0</v>
      </c>
      <c r="E34" s="137">
        <v>0</v>
      </c>
      <c r="F34" s="137">
        <v>0</v>
      </c>
      <c r="G34" s="137">
        <v>0</v>
      </c>
      <c r="H34" s="137">
        <v>0</v>
      </c>
      <c r="I34" s="137">
        <v>0</v>
      </c>
      <c r="J34" s="137">
        <f>SUM(L34:U34)</f>
        <v>20</v>
      </c>
      <c r="K34" s="150">
        <f t="shared" si="2"/>
        <v>20</v>
      </c>
      <c r="L34" s="153">
        <v>0</v>
      </c>
      <c r="M34" s="153">
        <v>0</v>
      </c>
      <c r="N34" s="153">
        <v>0</v>
      </c>
      <c r="O34" s="153">
        <v>0</v>
      </c>
      <c r="P34" s="153">
        <v>0</v>
      </c>
      <c r="Q34" s="153">
        <v>0</v>
      </c>
      <c r="R34" s="153">
        <v>0</v>
      </c>
      <c r="S34" s="153">
        <v>0</v>
      </c>
      <c r="T34" s="153">
        <v>0</v>
      </c>
      <c r="U34" s="153">
        <v>20</v>
      </c>
      <c r="V34" s="153">
        <v>20</v>
      </c>
      <c r="W34" s="153">
        <v>20</v>
      </c>
      <c r="X34" s="138"/>
      <c r="Y34" s="138"/>
      <c r="Z34" s="138"/>
      <c r="AA34" s="138"/>
      <c r="AB34" s="138"/>
      <c r="AC34" s="138"/>
      <c r="AD34" s="138"/>
      <c r="AE34" s="138"/>
      <c r="AF34" s="138"/>
      <c r="AG34" s="138"/>
      <c r="AH34" s="138"/>
      <c r="AI34" s="138"/>
    </row>
    <row r="35" spans="1:35" s="131" customFormat="1">
      <c r="A35" s="154" t="s">
        <v>220</v>
      </c>
      <c r="B35" s="154">
        <v>5</v>
      </c>
      <c r="C35" s="160" t="s">
        <v>269</v>
      </c>
      <c r="D35" s="156">
        <v>0</v>
      </c>
      <c r="E35" s="156">
        <v>0</v>
      </c>
      <c r="F35" s="156">
        <v>0</v>
      </c>
      <c r="G35" s="156">
        <v>0</v>
      </c>
      <c r="H35" s="156">
        <v>0</v>
      </c>
      <c r="I35" s="156">
        <v>0</v>
      </c>
      <c r="J35" s="157">
        <f>SUM(J31:J33)</f>
        <v>659.26731199999995</v>
      </c>
      <c r="K35" s="158">
        <f t="shared" ref="K35:U35" si="5">K30-K31</f>
        <v>3853.9344079999996</v>
      </c>
      <c r="L35" s="158">
        <f t="shared" si="5"/>
        <v>-37.028997000000011</v>
      </c>
      <c r="M35" s="158">
        <f t="shared" si="5"/>
        <v>388.49996399999992</v>
      </c>
      <c r="N35" s="158">
        <f t="shared" si="5"/>
        <v>207.59371399999998</v>
      </c>
      <c r="O35" s="158">
        <f t="shared" si="5"/>
        <v>1271.2358649999999</v>
      </c>
      <c r="P35" s="158">
        <f t="shared" si="5"/>
        <v>2023.6338620000001</v>
      </c>
      <c r="Q35" s="158">
        <f t="shared" si="5"/>
        <v>0</v>
      </c>
      <c r="R35" s="158">
        <f t="shared" si="5"/>
        <v>0</v>
      </c>
      <c r="S35" s="158">
        <f t="shared" si="5"/>
        <v>0</v>
      </c>
      <c r="T35" s="158">
        <f t="shared" si="5"/>
        <v>0</v>
      </c>
      <c r="U35" s="158">
        <f t="shared" si="5"/>
        <v>0</v>
      </c>
      <c r="V35" s="158">
        <f t="shared" ref="V35:W35" si="6">V30-V31</f>
        <v>0</v>
      </c>
      <c r="W35" s="158">
        <f t="shared" si="6"/>
        <v>0</v>
      </c>
      <c r="X35" s="159"/>
      <c r="Y35" s="159"/>
      <c r="Z35" s="159"/>
      <c r="AA35" s="159"/>
      <c r="AB35" s="159"/>
      <c r="AC35" s="159"/>
      <c r="AD35" s="159"/>
      <c r="AE35" s="159"/>
      <c r="AF35" s="159"/>
      <c r="AG35" s="159"/>
      <c r="AH35" s="159"/>
      <c r="AI35" s="159"/>
    </row>
    <row r="36" spans="1:35" s="131" customFormat="1">
      <c r="A36" s="139" t="s">
        <v>220</v>
      </c>
      <c r="B36" s="139">
        <v>6</v>
      </c>
      <c r="C36" s="140" t="s">
        <v>220</v>
      </c>
      <c r="D36" s="141">
        <v>0</v>
      </c>
      <c r="E36" s="141">
        <v>0</v>
      </c>
      <c r="F36" s="141">
        <v>0</v>
      </c>
      <c r="G36" s="141">
        <v>0</v>
      </c>
      <c r="H36" s="141">
        <v>0</v>
      </c>
      <c r="I36" s="141">
        <v>0</v>
      </c>
      <c r="J36" s="141">
        <f>SUM(J32:J34)</f>
        <v>44.717752000000004</v>
      </c>
      <c r="K36" s="142">
        <f t="shared" si="2"/>
        <v>1.0009269999999999</v>
      </c>
      <c r="L36" s="143">
        <f>Data!C99</f>
        <v>0</v>
      </c>
      <c r="M36" s="143">
        <f>Data!D99</f>
        <v>0.29364400000000002</v>
      </c>
      <c r="N36" s="143">
        <f>Data!E99</f>
        <v>0.253029</v>
      </c>
      <c r="O36" s="143">
        <f>Data!F99</f>
        <v>0.45425399999999999</v>
      </c>
      <c r="P36" s="143">
        <f>Data!G99</f>
        <v>0</v>
      </c>
      <c r="Q36" s="143">
        <f>Data!H99</f>
        <v>0</v>
      </c>
      <c r="R36" s="143">
        <f>Data!I99</f>
        <v>0</v>
      </c>
      <c r="S36" s="143">
        <f>Data!J99</f>
        <v>0</v>
      </c>
      <c r="T36" s="143">
        <f>Data!K99</f>
        <v>0</v>
      </c>
      <c r="U36" s="143">
        <f>Data!L99</f>
        <v>0</v>
      </c>
      <c r="V36" s="143">
        <f>Data!M99</f>
        <v>0</v>
      </c>
      <c r="W36" s="143">
        <f>Data!N99</f>
        <v>0</v>
      </c>
      <c r="X36" s="144"/>
      <c r="Y36" s="144"/>
      <c r="Z36" s="144"/>
      <c r="AA36" s="144"/>
      <c r="AB36" s="144"/>
      <c r="AC36" s="144"/>
      <c r="AD36" s="144"/>
      <c r="AE36" s="144"/>
      <c r="AF36" s="144"/>
      <c r="AG36" s="144"/>
      <c r="AH36" s="144"/>
      <c r="AI36" s="144"/>
    </row>
    <row r="37" spans="1:35" hidden="1">
      <c r="A37" s="161" t="s">
        <v>107</v>
      </c>
      <c r="B37" s="162"/>
      <c r="C37" s="163" t="s">
        <v>107</v>
      </c>
      <c r="D37" s="164"/>
      <c r="E37" s="164"/>
      <c r="F37" s="164"/>
      <c r="G37" s="164"/>
      <c r="H37" s="164"/>
      <c r="I37" s="164"/>
      <c r="J37" s="164">
        <f t="shared" ref="J37:J46" si="7">SUM(L37:U37)</f>
        <v>0</v>
      </c>
      <c r="K37" s="165">
        <f t="shared" si="2"/>
        <v>0</v>
      </c>
      <c r="L37" s="166">
        <v>0</v>
      </c>
      <c r="M37" s="166">
        <v>0</v>
      </c>
      <c r="N37" s="166">
        <v>0</v>
      </c>
      <c r="O37" s="166">
        <v>0</v>
      </c>
      <c r="P37" s="166">
        <v>0</v>
      </c>
      <c r="Q37" s="166">
        <v>0</v>
      </c>
      <c r="R37" s="166">
        <v>0</v>
      </c>
      <c r="S37" s="166">
        <v>0</v>
      </c>
      <c r="T37" s="166">
        <v>0</v>
      </c>
      <c r="U37" s="166">
        <v>0</v>
      </c>
      <c r="V37" s="166">
        <v>0</v>
      </c>
      <c r="W37" s="166">
        <v>0</v>
      </c>
      <c r="X37" s="138"/>
      <c r="Y37" s="138"/>
      <c r="Z37" s="138"/>
      <c r="AA37" s="138"/>
      <c r="AB37" s="138"/>
      <c r="AC37" s="138"/>
      <c r="AD37" s="138"/>
      <c r="AE37" s="138"/>
      <c r="AF37" s="138"/>
      <c r="AG37" s="138"/>
      <c r="AH37" s="138"/>
      <c r="AI37" s="138"/>
    </row>
    <row r="38" spans="1:35" hidden="1">
      <c r="A38" s="134" t="s">
        <v>18</v>
      </c>
      <c r="B38" s="167"/>
      <c r="C38" s="168" t="s">
        <v>81</v>
      </c>
      <c r="D38" s="164">
        <v>0</v>
      </c>
      <c r="E38" s="164">
        <v>0</v>
      </c>
      <c r="F38" s="164">
        <v>0</v>
      </c>
      <c r="G38" s="164">
        <v>0</v>
      </c>
      <c r="H38" s="164">
        <v>0</v>
      </c>
      <c r="I38" s="164">
        <v>0</v>
      </c>
      <c r="J38" s="164">
        <f t="shared" si="7"/>
        <v>2.8</v>
      </c>
      <c r="K38" s="165">
        <f t="shared" si="2"/>
        <v>2.8</v>
      </c>
      <c r="L38" s="166">
        <v>0</v>
      </c>
      <c r="M38" s="166">
        <v>0</v>
      </c>
      <c r="N38" s="166">
        <v>0</v>
      </c>
      <c r="O38" s="166">
        <v>0</v>
      </c>
      <c r="P38" s="166">
        <v>0</v>
      </c>
      <c r="Q38" s="166">
        <v>0</v>
      </c>
      <c r="R38" s="166">
        <v>0</v>
      </c>
      <c r="S38" s="166">
        <v>0</v>
      </c>
      <c r="T38" s="166">
        <v>2.8</v>
      </c>
      <c r="U38" s="166">
        <v>0</v>
      </c>
      <c r="V38" s="166">
        <v>0</v>
      </c>
      <c r="W38" s="166">
        <v>0</v>
      </c>
      <c r="X38" s="138"/>
      <c r="Y38" s="138"/>
      <c r="Z38" s="138"/>
      <c r="AA38" s="138"/>
      <c r="AB38" s="138"/>
      <c r="AC38" s="138"/>
      <c r="AD38" s="138"/>
      <c r="AE38" s="138"/>
      <c r="AF38" s="138"/>
      <c r="AG38" s="138"/>
      <c r="AH38" s="138"/>
      <c r="AI38" s="138"/>
    </row>
    <row r="39" spans="1:35" hidden="1">
      <c r="A39" s="134" t="s">
        <v>21</v>
      </c>
      <c r="B39" s="167"/>
      <c r="C39" s="168" t="s">
        <v>84</v>
      </c>
      <c r="D39" s="164">
        <v>0</v>
      </c>
      <c r="E39" s="164">
        <v>0</v>
      </c>
      <c r="F39" s="164">
        <v>0</v>
      </c>
      <c r="G39" s="164">
        <v>0</v>
      </c>
      <c r="H39" s="164">
        <v>0</v>
      </c>
      <c r="I39" s="164">
        <v>0</v>
      </c>
      <c r="J39" s="164">
        <f t="shared" si="7"/>
        <v>4.9749999999999996</v>
      </c>
      <c r="K39" s="165">
        <f t="shared" si="2"/>
        <v>4.9749999999999996</v>
      </c>
      <c r="L39" s="166">
        <v>0</v>
      </c>
      <c r="M39" s="166">
        <v>0</v>
      </c>
      <c r="N39" s="166">
        <v>0</v>
      </c>
      <c r="O39" s="166">
        <v>0</v>
      </c>
      <c r="P39" s="166">
        <v>0</v>
      </c>
      <c r="Q39" s="166">
        <v>0</v>
      </c>
      <c r="R39" s="166">
        <v>0</v>
      </c>
      <c r="S39" s="166">
        <v>0</v>
      </c>
      <c r="T39" s="166">
        <v>4.9749999999999996</v>
      </c>
      <c r="U39" s="166">
        <v>0</v>
      </c>
      <c r="V39" s="166">
        <v>0</v>
      </c>
      <c r="W39" s="166">
        <v>0</v>
      </c>
      <c r="X39" s="138"/>
      <c r="Y39" s="138"/>
      <c r="Z39" s="138"/>
      <c r="AA39" s="138"/>
      <c r="AB39" s="138"/>
      <c r="AC39" s="138"/>
      <c r="AD39" s="138"/>
      <c r="AE39" s="138"/>
      <c r="AF39" s="138"/>
      <c r="AG39" s="138"/>
      <c r="AH39" s="138"/>
      <c r="AI39" s="138"/>
    </row>
    <row r="40" spans="1:35" hidden="1">
      <c r="A40" s="169" t="s">
        <v>223</v>
      </c>
      <c r="B40" s="170"/>
      <c r="C40" s="171" t="s">
        <v>223</v>
      </c>
      <c r="D40" s="172">
        <v>0</v>
      </c>
      <c r="E40" s="172">
        <v>0</v>
      </c>
      <c r="F40" s="172">
        <v>0</v>
      </c>
      <c r="G40" s="172">
        <v>0</v>
      </c>
      <c r="H40" s="172">
        <v>0</v>
      </c>
      <c r="I40" s="172">
        <v>0</v>
      </c>
      <c r="J40" s="164">
        <f t="shared" si="7"/>
        <v>7.7750000000000004</v>
      </c>
      <c r="K40" s="165">
        <f t="shared" si="2"/>
        <v>7.7750000000000004</v>
      </c>
      <c r="L40" s="166">
        <v>0</v>
      </c>
      <c r="M40" s="166">
        <v>0</v>
      </c>
      <c r="N40" s="166">
        <v>0</v>
      </c>
      <c r="O40" s="166">
        <v>0</v>
      </c>
      <c r="P40" s="166">
        <v>0</v>
      </c>
      <c r="Q40" s="166">
        <v>0</v>
      </c>
      <c r="R40" s="166">
        <v>0</v>
      </c>
      <c r="S40" s="166">
        <v>0</v>
      </c>
      <c r="T40" s="166">
        <v>7.7750000000000004</v>
      </c>
      <c r="U40" s="166">
        <v>0</v>
      </c>
      <c r="V40" s="166">
        <v>0</v>
      </c>
      <c r="W40" s="166">
        <v>0</v>
      </c>
      <c r="X40" s="138"/>
      <c r="Y40" s="138"/>
      <c r="Z40" s="138"/>
      <c r="AA40" s="138"/>
      <c r="AB40" s="138"/>
      <c r="AC40" s="138"/>
      <c r="AD40" s="138"/>
      <c r="AE40" s="138"/>
      <c r="AF40" s="138"/>
      <c r="AG40" s="138"/>
      <c r="AH40" s="138"/>
      <c r="AI40" s="138"/>
    </row>
    <row r="41" spans="1:35" hidden="1">
      <c r="A41" s="161" t="s">
        <v>108</v>
      </c>
      <c r="B41" s="162"/>
      <c r="C41" s="163" t="s">
        <v>108</v>
      </c>
      <c r="D41" s="164"/>
      <c r="E41" s="164"/>
      <c r="F41" s="164"/>
      <c r="G41" s="164"/>
      <c r="H41" s="164"/>
      <c r="I41" s="164"/>
      <c r="J41" s="164">
        <f t="shared" si="7"/>
        <v>0</v>
      </c>
      <c r="K41" s="165">
        <f t="shared" si="2"/>
        <v>0</v>
      </c>
      <c r="L41" s="166">
        <v>0</v>
      </c>
      <c r="M41" s="166">
        <v>0</v>
      </c>
      <c r="N41" s="166">
        <v>0</v>
      </c>
      <c r="O41" s="166">
        <v>0</v>
      </c>
      <c r="P41" s="166">
        <v>0</v>
      </c>
      <c r="Q41" s="166">
        <v>0</v>
      </c>
      <c r="R41" s="166">
        <v>0</v>
      </c>
      <c r="S41" s="166">
        <v>0</v>
      </c>
      <c r="T41" s="166">
        <v>0</v>
      </c>
      <c r="U41" s="166">
        <v>0</v>
      </c>
      <c r="V41" s="166">
        <v>0</v>
      </c>
      <c r="W41" s="166">
        <v>0</v>
      </c>
      <c r="X41" s="138"/>
      <c r="Y41" s="138"/>
      <c r="Z41" s="138"/>
      <c r="AA41" s="138"/>
      <c r="AB41" s="138"/>
      <c r="AC41" s="138"/>
      <c r="AD41" s="138"/>
      <c r="AE41" s="138"/>
      <c r="AF41" s="138"/>
      <c r="AG41" s="138"/>
      <c r="AH41" s="138"/>
      <c r="AI41" s="138"/>
    </row>
    <row r="42" spans="1:35" hidden="1">
      <c r="A42" s="134" t="s">
        <v>22</v>
      </c>
      <c r="B42" s="167"/>
      <c r="C42" s="168" t="s">
        <v>85</v>
      </c>
      <c r="D42" s="164">
        <v>0</v>
      </c>
      <c r="E42" s="164">
        <v>0</v>
      </c>
      <c r="F42" s="164">
        <v>0</v>
      </c>
      <c r="G42" s="164">
        <v>0</v>
      </c>
      <c r="H42" s="164">
        <v>0</v>
      </c>
      <c r="I42" s="164">
        <v>0</v>
      </c>
      <c r="J42" s="164">
        <f t="shared" si="7"/>
        <v>35</v>
      </c>
      <c r="K42" s="165">
        <f t="shared" si="2"/>
        <v>35</v>
      </c>
      <c r="L42" s="166">
        <v>0</v>
      </c>
      <c r="M42" s="166">
        <v>0</v>
      </c>
      <c r="N42" s="166">
        <v>0</v>
      </c>
      <c r="O42" s="166">
        <v>0</v>
      </c>
      <c r="P42" s="166">
        <v>0</v>
      </c>
      <c r="Q42" s="166">
        <v>0</v>
      </c>
      <c r="R42" s="166">
        <v>0</v>
      </c>
      <c r="S42" s="166">
        <v>35</v>
      </c>
      <c r="T42" s="166">
        <v>0</v>
      </c>
      <c r="U42" s="166">
        <v>0</v>
      </c>
      <c r="V42" s="166">
        <v>0</v>
      </c>
      <c r="W42" s="166">
        <v>0</v>
      </c>
      <c r="X42" s="138"/>
      <c r="Y42" s="138"/>
      <c r="Z42" s="138"/>
      <c r="AA42" s="138"/>
      <c r="AB42" s="138"/>
      <c r="AC42" s="138"/>
      <c r="AD42" s="138"/>
      <c r="AE42" s="138"/>
      <c r="AF42" s="138"/>
      <c r="AG42" s="138"/>
      <c r="AH42" s="138"/>
      <c r="AI42" s="138"/>
    </row>
    <row r="43" spans="1:35" hidden="1">
      <c r="A43" s="169" t="s">
        <v>238</v>
      </c>
      <c r="B43" s="170"/>
      <c r="C43" s="171" t="s">
        <v>238</v>
      </c>
      <c r="D43" s="172">
        <v>0</v>
      </c>
      <c r="E43" s="172">
        <v>0</v>
      </c>
      <c r="F43" s="172">
        <v>0</v>
      </c>
      <c r="G43" s="172">
        <v>0</v>
      </c>
      <c r="H43" s="172">
        <v>0</v>
      </c>
      <c r="I43" s="172">
        <v>0</v>
      </c>
      <c r="J43" s="164">
        <f t="shared" si="7"/>
        <v>35</v>
      </c>
      <c r="K43" s="165">
        <f t="shared" si="2"/>
        <v>35</v>
      </c>
      <c r="L43" s="166">
        <v>0</v>
      </c>
      <c r="M43" s="166">
        <v>0</v>
      </c>
      <c r="N43" s="166">
        <v>0</v>
      </c>
      <c r="O43" s="166">
        <v>0</v>
      </c>
      <c r="P43" s="166">
        <v>0</v>
      </c>
      <c r="Q43" s="166">
        <v>0</v>
      </c>
      <c r="R43" s="166">
        <v>0</v>
      </c>
      <c r="S43" s="166">
        <v>35</v>
      </c>
      <c r="T43" s="166">
        <v>0</v>
      </c>
      <c r="U43" s="166">
        <v>0</v>
      </c>
      <c r="V43" s="166">
        <v>0</v>
      </c>
      <c r="W43" s="166">
        <v>0</v>
      </c>
      <c r="X43" s="138"/>
      <c r="Y43" s="138"/>
      <c r="Z43" s="138"/>
      <c r="AA43" s="138"/>
      <c r="AB43" s="138"/>
      <c r="AC43" s="138"/>
      <c r="AD43" s="138"/>
      <c r="AE43" s="138"/>
      <c r="AF43" s="138"/>
      <c r="AG43" s="138"/>
      <c r="AH43" s="138"/>
      <c r="AI43" s="138"/>
    </row>
    <row r="44" spans="1:35" hidden="1">
      <c r="A44" s="173" t="s">
        <v>151</v>
      </c>
      <c r="B44" s="174"/>
      <c r="C44" s="175" t="s">
        <v>151</v>
      </c>
      <c r="D44" s="164"/>
      <c r="E44" s="164"/>
      <c r="F44" s="164"/>
      <c r="G44" s="164"/>
      <c r="H44" s="164"/>
      <c r="I44" s="164"/>
      <c r="J44" s="164">
        <f t="shared" si="7"/>
        <v>0</v>
      </c>
      <c r="K44" s="165">
        <f t="shared" si="2"/>
        <v>0</v>
      </c>
      <c r="L44" s="166">
        <v>0</v>
      </c>
      <c r="M44" s="166">
        <v>0</v>
      </c>
      <c r="N44" s="166">
        <v>0</v>
      </c>
      <c r="O44" s="166">
        <v>0</v>
      </c>
      <c r="P44" s="166">
        <v>0</v>
      </c>
      <c r="Q44" s="166">
        <v>0</v>
      </c>
      <c r="R44" s="166">
        <v>0</v>
      </c>
      <c r="S44" s="166">
        <v>0</v>
      </c>
      <c r="T44" s="166">
        <v>0</v>
      </c>
      <c r="U44" s="166">
        <v>0</v>
      </c>
      <c r="V44" s="166">
        <v>0</v>
      </c>
      <c r="W44" s="166">
        <v>0</v>
      </c>
      <c r="X44" s="138"/>
      <c r="Y44" s="138"/>
      <c r="Z44" s="138"/>
      <c r="AA44" s="138"/>
      <c r="AB44" s="138"/>
      <c r="AC44" s="138"/>
      <c r="AD44" s="138"/>
      <c r="AE44" s="138"/>
      <c r="AF44" s="138"/>
      <c r="AG44" s="138"/>
      <c r="AH44" s="138"/>
      <c r="AI44" s="138"/>
    </row>
    <row r="45" spans="1:35" hidden="1">
      <c r="A45" s="176">
        <v>6402</v>
      </c>
      <c r="B45" s="177"/>
      <c r="C45" s="178" t="s">
        <v>90</v>
      </c>
      <c r="D45" s="164">
        <v>0</v>
      </c>
      <c r="E45" s="164">
        <v>0</v>
      </c>
      <c r="F45" s="164">
        <v>0</v>
      </c>
      <c r="G45" s="164">
        <v>0</v>
      </c>
      <c r="H45" s="164">
        <v>0</v>
      </c>
      <c r="I45" s="164">
        <v>0</v>
      </c>
      <c r="J45" s="164">
        <f t="shared" si="7"/>
        <v>5.5</v>
      </c>
      <c r="K45" s="165">
        <f t="shared" si="2"/>
        <v>5.5</v>
      </c>
      <c r="L45" s="166">
        <v>0</v>
      </c>
      <c r="M45" s="166">
        <v>0</v>
      </c>
      <c r="N45" s="166">
        <v>0</v>
      </c>
      <c r="O45" s="166">
        <v>0</v>
      </c>
      <c r="P45" s="166">
        <v>0</v>
      </c>
      <c r="Q45" s="166">
        <v>0</v>
      </c>
      <c r="R45" s="166">
        <v>0</v>
      </c>
      <c r="S45" s="166">
        <v>0</v>
      </c>
      <c r="T45" s="166">
        <v>5</v>
      </c>
      <c r="U45" s="166">
        <v>0.5</v>
      </c>
      <c r="V45" s="166">
        <v>0.5</v>
      </c>
      <c r="W45" s="166">
        <v>0.5</v>
      </c>
      <c r="X45" s="138"/>
      <c r="Y45" s="138"/>
      <c r="Z45" s="138"/>
      <c r="AA45" s="138"/>
      <c r="AB45" s="138"/>
      <c r="AC45" s="138"/>
      <c r="AD45" s="138"/>
      <c r="AE45" s="138"/>
      <c r="AF45" s="138"/>
      <c r="AG45" s="138"/>
      <c r="AH45" s="138"/>
      <c r="AI45" s="138"/>
    </row>
    <row r="46" spans="1:35" hidden="1">
      <c r="A46" s="176">
        <v>6403</v>
      </c>
      <c r="B46" s="177"/>
      <c r="C46" s="178" t="s">
        <v>92</v>
      </c>
      <c r="D46" s="164">
        <v>0</v>
      </c>
      <c r="E46" s="164">
        <v>0</v>
      </c>
      <c r="F46" s="164">
        <v>0</v>
      </c>
      <c r="G46" s="164">
        <v>0</v>
      </c>
      <c r="H46" s="164">
        <v>0</v>
      </c>
      <c r="I46" s="164">
        <v>0</v>
      </c>
      <c r="J46" s="164">
        <f t="shared" si="7"/>
        <v>5.75</v>
      </c>
      <c r="K46" s="165">
        <f t="shared" si="2"/>
        <v>5.75</v>
      </c>
      <c r="L46" s="166">
        <v>0</v>
      </c>
      <c r="M46" s="166">
        <v>0</v>
      </c>
      <c r="N46" s="166">
        <v>0</v>
      </c>
      <c r="O46" s="166">
        <v>0</v>
      </c>
      <c r="P46" s="166">
        <v>0</v>
      </c>
      <c r="Q46" s="166">
        <v>0</v>
      </c>
      <c r="R46" s="166">
        <v>0</v>
      </c>
      <c r="S46" s="166">
        <v>0</v>
      </c>
      <c r="T46" s="166">
        <v>0</v>
      </c>
      <c r="U46" s="166">
        <v>5.75</v>
      </c>
      <c r="V46" s="166">
        <v>5.75</v>
      </c>
      <c r="W46" s="166">
        <v>5.75</v>
      </c>
      <c r="X46" s="138"/>
      <c r="Y46" s="138"/>
      <c r="Z46" s="138"/>
      <c r="AA46" s="138"/>
      <c r="AB46" s="138"/>
      <c r="AC46" s="138"/>
      <c r="AD46" s="138"/>
      <c r="AE46" s="138"/>
      <c r="AF46" s="138"/>
      <c r="AG46" s="138"/>
      <c r="AH46" s="138"/>
      <c r="AI46" s="138"/>
    </row>
    <row r="47" spans="1:35" hidden="1">
      <c r="A47" s="169" t="s">
        <v>239</v>
      </c>
      <c r="B47" s="170"/>
      <c r="C47" s="171" t="s">
        <v>239</v>
      </c>
      <c r="D47" s="164">
        <v>0</v>
      </c>
      <c r="E47" s="164">
        <v>0</v>
      </c>
      <c r="F47" s="164">
        <v>0</v>
      </c>
      <c r="G47" s="164">
        <v>0</v>
      </c>
      <c r="H47" s="164">
        <v>0</v>
      </c>
      <c r="I47" s="164">
        <v>0</v>
      </c>
      <c r="J47" s="164">
        <f>SUM(J45:J46)</f>
        <v>11.25</v>
      </c>
      <c r="K47" s="165">
        <f t="shared" si="2"/>
        <v>11.25</v>
      </c>
      <c r="L47" s="166">
        <v>0</v>
      </c>
      <c r="M47" s="166">
        <v>0</v>
      </c>
      <c r="N47" s="166">
        <v>0</v>
      </c>
      <c r="O47" s="166">
        <v>0</v>
      </c>
      <c r="P47" s="166">
        <v>0</v>
      </c>
      <c r="Q47" s="166">
        <v>0</v>
      </c>
      <c r="R47" s="166">
        <v>0</v>
      </c>
      <c r="S47" s="166">
        <v>0</v>
      </c>
      <c r="T47" s="166">
        <v>5</v>
      </c>
      <c r="U47" s="166">
        <v>6.25</v>
      </c>
      <c r="V47" s="166">
        <v>6.25</v>
      </c>
      <c r="W47" s="166">
        <v>6.25</v>
      </c>
      <c r="X47" s="138"/>
      <c r="Y47" s="138"/>
      <c r="Z47" s="138"/>
      <c r="AA47" s="138"/>
      <c r="AB47" s="138"/>
      <c r="AC47" s="138"/>
      <c r="AD47" s="138"/>
      <c r="AE47" s="138"/>
      <c r="AF47" s="138"/>
      <c r="AG47" s="138"/>
      <c r="AH47" s="138"/>
      <c r="AI47" s="138"/>
    </row>
    <row r="48" spans="1:35" s="131" customFormat="1">
      <c r="A48" s="139"/>
      <c r="B48" s="139">
        <v>7</v>
      </c>
      <c r="C48" s="140" t="s">
        <v>270</v>
      </c>
      <c r="D48" s="141"/>
      <c r="E48" s="141"/>
      <c r="F48" s="141"/>
      <c r="G48" s="141"/>
      <c r="H48" s="141"/>
      <c r="I48" s="141"/>
      <c r="J48" s="141"/>
      <c r="K48" s="142">
        <f t="shared" si="2"/>
        <v>569.74862900000005</v>
      </c>
      <c r="L48" s="143">
        <f>Data!C133+Data!C138+Data!C143</f>
        <v>7.5783000000000005</v>
      </c>
      <c r="M48" s="143">
        <f>Data!D133+Data!D138+Data!D143</f>
        <v>382.35352899999998</v>
      </c>
      <c r="N48" s="143">
        <f>Data!E133+Data!E138+Data!E143</f>
        <v>78.99260000000001</v>
      </c>
      <c r="O48" s="143">
        <f>Data!F133+Data!F138+Data!F143</f>
        <v>55.997599999999998</v>
      </c>
      <c r="P48" s="143">
        <f>Data!G133+Data!G138+Data!G143</f>
        <v>44.826599999999999</v>
      </c>
      <c r="Q48" s="143">
        <f>Data!H133+Data!H138+Data!H143</f>
        <v>0</v>
      </c>
      <c r="R48" s="143">
        <f>Data!I133+Data!I138+Data!I143</f>
        <v>0</v>
      </c>
      <c r="S48" s="143">
        <f>Data!J133+Data!J138+Data!J143</f>
        <v>0</v>
      </c>
      <c r="T48" s="143">
        <f>Data!K133+Data!K138+Data!K143</f>
        <v>0</v>
      </c>
      <c r="U48" s="143">
        <f>Data!L133+Data!L138+Data!L143</f>
        <v>0</v>
      </c>
      <c r="V48" s="143">
        <f>Data!M133+Data!M138+Data!M143</f>
        <v>0</v>
      </c>
      <c r="W48" s="143">
        <f>Data!N133+Data!N138+Data!N143</f>
        <v>0</v>
      </c>
      <c r="X48" s="144"/>
      <c r="Y48" s="144"/>
      <c r="Z48" s="144"/>
      <c r="AA48" s="144"/>
      <c r="AB48" s="144"/>
      <c r="AC48" s="144"/>
      <c r="AD48" s="144"/>
      <c r="AE48" s="144"/>
      <c r="AF48" s="144"/>
      <c r="AG48" s="144"/>
      <c r="AH48" s="144"/>
      <c r="AI48" s="144"/>
    </row>
    <row r="49" spans="1:37" s="131" customFormat="1">
      <c r="A49" s="154"/>
      <c r="B49" s="154">
        <v>8</v>
      </c>
      <c r="C49" s="160" t="s">
        <v>271</v>
      </c>
      <c r="D49" s="156"/>
      <c r="E49" s="156"/>
      <c r="F49" s="156"/>
      <c r="G49" s="156"/>
      <c r="H49" s="156"/>
      <c r="I49" s="156"/>
      <c r="J49" s="157"/>
      <c r="K49" s="158">
        <f t="shared" ref="K49:U49" si="8">K35+K36-K48</f>
        <v>3285.1867059999995</v>
      </c>
      <c r="L49" s="158">
        <f t="shared" si="8"/>
        <v>-44.60729700000001</v>
      </c>
      <c r="M49" s="158">
        <f t="shared" si="8"/>
        <v>6.440078999999912</v>
      </c>
      <c r="N49" s="158">
        <f t="shared" si="8"/>
        <v>128.85414299999997</v>
      </c>
      <c r="O49" s="158">
        <f t="shared" si="8"/>
        <v>1215.6925189999999</v>
      </c>
      <c r="P49" s="158">
        <f t="shared" si="8"/>
        <v>1978.807262</v>
      </c>
      <c r="Q49" s="158">
        <f t="shared" si="8"/>
        <v>0</v>
      </c>
      <c r="R49" s="158">
        <f t="shared" si="8"/>
        <v>0</v>
      </c>
      <c r="S49" s="158">
        <f t="shared" si="8"/>
        <v>0</v>
      </c>
      <c r="T49" s="158">
        <f t="shared" si="8"/>
        <v>0</v>
      </c>
      <c r="U49" s="158">
        <f t="shared" si="8"/>
        <v>0</v>
      </c>
      <c r="V49" s="158">
        <f t="shared" ref="V49:W49" si="9">V35+V36-V48</f>
        <v>0</v>
      </c>
      <c r="W49" s="158">
        <f t="shared" si="9"/>
        <v>0</v>
      </c>
      <c r="X49" s="159"/>
      <c r="Y49" s="159"/>
      <c r="Z49" s="159"/>
      <c r="AA49" s="159"/>
      <c r="AB49" s="159"/>
      <c r="AC49" s="159"/>
      <c r="AD49" s="159"/>
      <c r="AE49" s="159"/>
      <c r="AF49" s="159"/>
      <c r="AG49" s="159"/>
      <c r="AH49" s="159"/>
      <c r="AI49" s="159"/>
    </row>
    <row r="50" spans="1:37" s="131" customFormat="1" hidden="1">
      <c r="A50" s="132" t="s">
        <v>109</v>
      </c>
      <c r="B50" s="179"/>
      <c r="C50" s="180" t="s">
        <v>109</v>
      </c>
      <c r="D50" s="181"/>
      <c r="E50" s="181"/>
      <c r="F50" s="181"/>
      <c r="G50" s="181"/>
      <c r="H50" s="181"/>
      <c r="I50" s="181"/>
      <c r="J50" s="182">
        <f>SUM(L50:U50)</f>
        <v>0</v>
      </c>
      <c r="K50" s="183">
        <f t="shared" si="2"/>
        <v>0</v>
      </c>
      <c r="L50" s="184">
        <v>0</v>
      </c>
      <c r="M50" s="184">
        <v>0</v>
      </c>
      <c r="N50" s="184">
        <v>0</v>
      </c>
      <c r="O50" s="184">
        <v>0</v>
      </c>
      <c r="P50" s="184">
        <v>0</v>
      </c>
      <c r="Q50" s="184">
        <v>0</v>
      </c>
      <c r="R50" s="184">
        <v>0</v>
      </c>
      <c r="S50" s="184">
        <v>0</v>
      </c>
      <c r="T50" s="184">
        <v>0</v>
      </c>
      <c r="U50" s="184">
        <v>0</v>
      </c>
      <c r="V50" s="184">
        <v>0</v>
      </c>
      <c r="W50" s="184">
        <v>0</v>
      </c>
      <c r="X50" s="138"/>
      <c r="Y50" s="138"/>
      <c r="Z50" s="138"/>
      <c r="AA50" s="138"/>
      <c r="AB50" s="138"/>
      <c r="AC50" s="138"/>
      <c r="AD50" s="138"/>
      <c r="AE50" s="138"/>
      <c r="AF50" s="138"/>
      <c r="AG50" s="138"/>
      <c r="AH50" s="138"/>
      <c r="AI50" s="138"/>
    </row>
    <row r="51" spans="1:37" hidden="1">
      <c r="A51" s="134">
        <v>7103</v>
      </c>
      <c r="B51" s="185"/>
      <c r="C51" s="186" t="s">
        <v>95</v>
      </c>
      <c r="D51" s="182">
        <v>0</v>
      </c>
      <c r="E51" s="182">
        <v>0</v>
      </c>
      <c r="F51" s="182">
        <v>0</v>
      </c>
      <c r="G51" s="182">
        <v>0</v>
      </c>
      <c r="H51" s="182">
        <v>0</v>
      </c>
      <c r="I51" s="182">
        <v>0</v>
      </c>
      <c r="J51" s="182">
        <f>SUM(L51:U51)</f>
        <v>1.2225549999999998</v>
      </c>
      <c r="K51" s="183">
        <f t="shared" si="2"/>
        <v>1.2225549999999998</v>
      </c>
      <c r="L51" s="187">
        <v>0.4</v>
      </c>
      <c r="M51" s="187">
        <v>0</v>
      </c>
      <c r="N51" s="187">
        <v>0.20926400000000001</v>
      </c>
      <c r="O51" s="187">
        <v>0</v>
      </c>
      <c r="P51" s="187">
        <v>0</v>
      </c>
      <c r="Q51" s="187">
        <v>6.9251999999999994E-2</v>
      </c>
      <c r="R51" s="187">
        <v>0.23250000000000001</v>
      </c>
      <c r="S51" s="187">
        <v>9.2990000000000003E-2</v>
      </c>
      <c r="T51" s="187">
        <v>0</v>
      </c>
      <c r="U51" s="187">
        <v>0.21854899999999999</v>
      </c>
      <c r="V51" s="187">
        <v>0.21854899999999999</v>
      </c>
      <c r="W51" s="187">
        <v>0.21854899999999999</v>
      </c>
      <c r="X51" s="138"/>
      <c r="Y51" s="138"/>
      <c r="Z51" s="138"/>
      <c r="AA51" s="138"/>
      <c r="AB51" s="138"/>
      <c r="AC51" s="138"/>
      <c r="AD51" s="138"/>
      <c r="AE51" s="138"/>
      <c r="AF51" s="138"/>
      <c r="AG51" s="138"/>
      <c r="AH51" s="138"/>
      <c r="AI51" s="138"/>
    </row>
    <row r="52" spans="1:37" hidden="1">
      <c r="A52" s="134">
        <v>7104</v>
      </c>
      <c r="B52" s="185"/>
      <c r="C52" s="186" t="s">
        <v>181</v>
      </c>
      <c r="D52" s="182">
        <v>0</v>
      </c>
      <c r="E52" s="182">
        <v>0</v>
      </c>
      <c r="F52" s="182">
        <v>53051000</v>
      </c>
      <c r="G52" s="182">
        <v>0</v>
      </c>
      <c r="H52" s="182">
        <v>0</v>
      </c>
      <c r="I52" s="182">
        <v>0</v>
      </c>
      <c r="J52" s="182">
        <f>SUM(L52:U52)</f>
        <v>57.192</v>
      </c>
      <c r="K52" s="183">
        <f t="shared" si="2"/>
        <v>57.192</v>
      </c>
      <c r="L52" s="187">
        <v>0</v>
      </c>
      <c r="M52" s="187">
        <v>0</v>
      </c>
      <c r="N52" s="187">
        <v>0</v>
      </c>
      <c r="O52" s="187">
        <v>0</v>
      </c>
      <c r="P52" s="187">
        <v>0</v>
      </c>
      <c r="Q52" s="187">
        <v>0</v>
      </c>
      <c r="R52" s="187">
        <v>0</v>
      </c>
      <c r="S52" s="187">
        <v>0</v>
      </c>
      <c r="T52" s="187">
        <v>0</v>
      </c>
      <c r="U52" s="187">
        <v>57.192</v>
      </c>
      <c r="V52" s="187">
        <v>57.192</v>
      </c>
      <c r="W52" s="187">
        <v>57.192</v>
      </c>
      <c r="X52" s="138"/>
      <c r="Y52" s="138"/>
      <c r="Z52" s="138"/>
      <c r="AA52" s="138"/>
      <c r="AB52" s="138"/>
      <c r="AC52" s="138"/>
      <c r="AD52" s="138"/>
      <c r="AE52" s="138"/>
      <c r="AF52" s="138"/>
      <c r="AG52" s="138"/>
      <c r="AH52" s="138"/>
      <c r="AI52" s="138"/>
    </row>
    <row r="53" spans="1:37" s="131" customFormat="1">
      <c r="A53" s="154" t="s">
        <v>240</v>
      </c>
      <c r="B53" s="154">
        <v>9</v>
      </c>
      <c r="C53" s="160" t="s">
        <v>240</v>
      </c>
      <c r="D53" s="156">
        <v>36706500</v>
      </c>
      <c r="E53" s="156">
        <v>0</v>
      </c>
      <c r="F53" s="156">
        <v>53051000</v>
      </c>
      <c r="G53" s="156">
        <v>0</v>
      </c>
      <c r="H53" s="156">
        <v>0</v>
      </c>
      <c r="I53" s="156">
        <v>0</v>
      </c>
      <c r="J53" s="157">
        <f>SUM(L53:U53)</f>
        <v>146.24895900000001</v>
      </c>
      <c r="K53" s="188">
        <f t="shared" si="2"/>
        <v>146.24895900000001</v>
      </c>
      <c r="L53" s="158">
        <f>Data!C149</f>
        <v>14.153337000000001</v>
      </c>
      <c r="M53" s="158">
        <f>Data!D149</f>
        <v>22.642531999999999</v>
      </c>
      <c r="N53" s="158">
        <f>Data!E149</f>
        <v>11.19</v>
      </c>
      <c r="O53" s="158">
        <f>Data!F149</f>
        <v>20.76</v>
      </c>
      <c r="P53" s="158">
        <f>Data!G149</f>
        <v>77.50309</v>
      </c>
      <c r="Q53" s="158">
        <f>Data!H149</f>
        <v>0</v>
      </c>
      <c r="R53" s="158">
        <f>Data!I149</f>
        <v>0</v>
      </c>
      <c r="S53" s="158">
        <f>Data!J149</f>
        <v>0</v>
      </c>
      <c r="T53" s="158">
        <f>Data!K149</f>
        <v>0</v>
      </c>
      <c r="U53" s="158">
        <f>Data!L149</f>
        <v>0</v>
      </c>
      <c r="V53" s="158">
        <f>Data!M149</f>
        <v>0</v>
      </c>
      <c r="W53" s="158">
        <f>Data!N149</f>
        <v>0</v>
      </c>
      <c r="X53" s="159"/>
      <c r="Y53" s="159"/>
      <c r="Z53" s="159"/>
      <c r="AA53" s="159"/>
      <c r="AB53" s="159"/>
      <c r="AC53" s="159"/>
      <c r="AD53" s="159"/>
      <c r="AE53" s="159"/>
      <c r="AF53" s="159"/>
      <c r="AG53" s="159"/>
      <c r="AH53" s="159"/>
      <c r="AI53" s="159"/>
    </row>
    <row r="54" spans="1:37" s="131" customFormat="1">
      <c r="A54" s="189" t="s">
        <v>226</v>
      </c>
      <c r="B54" s="125">
        <v>10</v>
      </c>
      <c r="C54" s="190" t="s">
        <v>272</v>
      </c>
      <c r="D54" s="191">
        <v>36706500</v>
      </c>
      <c r="E54" s="191">
        <v>0</v>
      </c>
      <c r="F54" s="191">
        <v>129443000</v>
      </c>
      <c r="G54" s="191">
        <v>34188650</v>
      </c>
      <c r="H54" s="191">
        <v>1525000</v>
      </c>
      <c r="I54" s="191">
        <v>52453270</v>
      </c>
      <c r="J54" s="192">
        <f>SUM(L54:U54)</f>
        <v>3138.9377469999999</v>
      </c>
      <c r="K54" s="193">
        <f t="shared" ref="K54:U54" si="10">K49-K53</f>
        <v>3138.9377469999995</v>
      </c>
      <c r="L54" s="193">
        <f t="shared" si="10"/>
        <v>-58.76063400000001</v>
      </c>
      <c r="M54" s="193">
        <f t="shared" si="10"/>
        <v>-16.202453000000087</v>
      </c>
      <c r="N54" s="193">
        <f t="shared" si="10"/>
        <v>117.66414299999997</v>
      </c>
      <c r="O54" s="193">
        <f t="shared" si="10"/>
        <v>1194.932519</v>
      </c>
      <c r="P54" s="193">
        <f t="shared" si="10"/>
        <v>1901.3041720000001</v>
      </c>
      <c r="Q54" s="193">
        <f t="shared" si="10"/>
        <v>0</v>
      </c>
      <c r="R54" s="193">
        <f t="shared" si="10"/>
        <v>0</v>
      </c>
      <c r="S54" s="193">
        <f t="shared" si="10"/>
        <v>0</v>
      </c>
      <c r="T54" s="193">
        <f t="shared" si="10"/>
        <v>0</v>
      </c>
      <c r="U54" s="193">
        <f t="shared" si="10"/>
        <v>0</v>
      </c>
      <c r="V54" s="193">
        <f t="shared" ref="V54:W54" si="11">V49-V53</f>
        <v>0</v>
      </c>
      <c r="W54" s="193">
        <f t="shared" si="11"/>
        <v>0</v>
      </c>
      <c r="X54" s="194"/>
      <c r="Y54" s="194"/>
      <c r="Z54" s="194"/>
      <c r="AA54" s="194"/>
      <c r="AB54" s="194"/>
      <c r="AC54" s="194"/>
      <c r="AD54" s="194"/>
      <c r="AE54" s="194"/>
      <c r="AF54" s="194"/>
      <c r="AG54" s="194"/>
      <c r="AH54" s="194"/>
      <c r="AI54" s="194"/>
    </row>
    <row r="55" spans="1:37" s="124" customFormat="1">
      <c r="A55" s="195" t="s">
        <v>226</v>
      </c>
      <c r="B55" s="299" t="s">
        <v>280</v>
      </c>
      <c r="C55" s="300"/>
      <c r="D55" s="196">
        <v>36706500</v>
      </c>
      <c r="E55" s="197">
        <v>0</v>
      </c>
      <c r="F55" s="197">
        <v>129443000</v>
      </c>
      <c r="G55" s="197">
        <v>34188650</v>
      </c>
      <c r="H55" s="197">
        <v>1525000</v>
      </c>
      <c r="I55" s="197">
        <v>52453270</v>
      </c>
      <c r="J55" s="198">
        <f t="shared" ref="J55" si="12">SUM(L55:Y55)</f>
        <v>0</v>
      </c>
      <c r="K55" s="199"/>
      <c r="L55" s="199"/>
      <c r="M55" s="199"/>
      <c r="N55" s="199"/>
      <c r="O55" s="199"/>
      <c r="P55" s="199"/>
      <c r="Q55" s="199"/>
      <c r="R55" s="199"/>
      <c r="S55" s="199"/>
      <c r="T55" s="199"/>
      <c r="U55" s="200"/>
      <c r="V55" s="200"/>
      <c r="W55" s="200"/>
      <c r="X55" s="201"/>
      <c r="Y55" s="201"/>
      <c r="Z55" s="202"/>
      <c r="AA55" s="202"/>
      <c r="AB55" s="202"/>
      <c r="AC55" s="202"/>
      <c r="AD55" s="202"/>
      <c r="AE55" s="202"/>
      <c r="AF55" s="202"/>
      <c r="AG55" s="202"/>
      <c r="AH55" s="202"/>
      <c r="AI55" s="202"/>
      <c r="AJ55" s="202"/>
      <c r="AK55" s="202"/>
    </row>
    <row r="56" spans="1:37" s="124" customFormat="1">
      <c r="A56" s="203" t="s">
        <v>226</v>
      </c>
      <c r="B56" s="301" t="s">
        <v>281</v>
      </c>
      <c r="C56" s="302"/>
      <c r="D56" s="204">
        <v>36706500</v>
      </c>
      <c r="E56" s="204">
        <v>0</v>
      </c>
      <c r="F56" s="204">
        <v>129443000</v>
      </c>
      <c r="G56" s="204">
        <v>34188650</v>
      </c>
      <c r="H56" s="204">
        <v>1525000</v>
      </c>
      <c r="I56" s="204">
        <v>52453270</v>
      </c>
      <c r="J56" s="205" t="e">
        <f>SUM(L56:U56)</f>
        <v>#DIV/0!</v>
      </c>
      <c r="K56" s="206">
        <f>K30/K7</f>
        <v>0.63528714080146509</v>
      </c>
      <c r="L56" s="206">
        <f>L30/L7</f>
        <v>0.48270588235294115</v>
      </c>
      <c r="M56" s="206">
        <f t="shared" ref="M56:U56" si="13">M30/M7</f>
        <v>0.60523947567431302</v>
      </c>
      <c r="N56" s="206">
        <f>N30/N7</f>
        <v>0.53576765799256509</v>
      </c>
      <c r="O56" s="206">
        <f t="shared" si="13"/>
        <v>0.61674677582640069</v>
      </c>
      <c r="P56" s="206">
        <f t="shared" si="13"/>
        <v>0.67888364580694205</v>
      </c>
      <c r="Q56" s="206" t="e">
        <f t="shared" si="13"/>
        <v>#DIV/0!</v>
      </c>
      <c r="R56" s="206" t="e">
        <f t="shared" si="13"/>
        <v>#DIV/0!</v>
      </c>
      <c r="S56" s="206" t="e">
        <f t="shared" si="13"/>
        <v>#DIV/0!</v>
      </c>
      <c r="T56" s="206" t="e">
        <f t="shared" si="13"/>
        <v>#DIV/0!</v>
      </c>
      <c r="U56" s="206" t="e">
        <f t="shared" si="13"/>
        <v>#DIV/0!</v>
      </c>
      <c r="V56" s="206" t="e">
        <f t="shared" ref="V56:W56" si="14">V30/V7</f>
        <v>#DIV/0!</v>
      </c>
      <c r="W56" s="206" t="e">
        <f t="shared" si="14"/>
        <v>#DIV/0!</v>
      </c>
      <c r="X56" s="202"/>
      <c r="Y56" s="202"/>
      <c r="Z56" s="202"/>
      <c r="AA56" s="202"/>
      <c r="AB56" s="202"/>
      <c r="AC56" s="202"/>
      <c r="AD56" s="202"/>
      <c r="AE56" s="202"/>
      <c r="AF56" s="202"/>
      <c r="AG56" s="202"/>
      <c r="AH56" s="202"/>
      <c r="AI56" s="202"/>
    </row>
    <row r="57" spans="1:37" s="124" customFormat="1">
      <c r="A57" s="203" t="s">
        <v>226</v>
      </c>
      <c r="B57" s="299" t="s">
        <v>282</v>
      </c>
      <c r="C57" s="303"/>
      <c r="D57" s="197">
        <v>36706500</v>
      </c>
      <c r="E57" s="197">
        <v>0</v>
      </c>
      <c r="F57" s="197">
        <v>129443000</v>
      </c>
      <c r="G57" s="197">
        <v>34188650</v>
      </c>
      <c r="H57" s="197">
        <v>1525000</v>
      </c>
      <c r="I57" s="197">
        <v>52453270</v>
      </c>
      <c r="J57" s="207" t="e">
        <f>SUM(L57:U57)</f>
        <v>#DIV/0!</v>
      </c>
      <c r="K57" s="208">
        <f>K35/K7</f>
        <v>0.56017302693353099</v>
      </c>
      <c r="L57" s="208">
        <f>L35/L7</f>
        <v>-0.31116804201680681</v>
      </c>
      <c r="M57" s="208">
        <f t="shared" ref="M57:U57" si="15">M35/M7</f>
        <v>0.48966468868162333</v>
      </c>
      <c r="N57" s="208">
        <f t="shared" si="15"/>
        <v>0.38586192193308544</v>
      </c>
      <c r="O57" s="208">
        <f t="shared" si="15"/>
        <v>0.55954745587393806</v>
      </c>
      <c r="P57" s="208">
        <f t="shared" si="15"/>
        <v>0.64087720483911836</v>
      </c>
      <c r="Q57" s="208" t="e">
        <f t="shared" si="15"/>
        <v>#DIV/0!</v>
      </c>
      <c r="R57" s="208" t="e">
        <f t="shared" si="15"/>
        <v>#DIV/0!</v>
      </c>
      <c r="S57" s="208" t="e">
        <f t="shared" si="15"/>
        <v>#DIV/0!</v>
      </c>
      <c r="T57" s="208" t="e">
        <f t="shared" si="15"/>
        <v>#DIV/0!</v>
      </c>
      <c r="U57" s="208" t="e">
        <f t="shared" si="15"/>
        <v>#DIV/0!</v>
      </c>
      <c r="V57" s="208" t="e">
        <f t="shared" ref="V57:W57" si="16">V35/V7</f>
        <v>#DIV/0!</v>
      </c>
      <c r="W57" s="208" t="e">
        <f t="shared" si="16"/>
        <v>#DIV/0!</v>
      </c>
      <c r="X57" s="202"/>
      <c r="Y57" s="202"/>
      <c r="Z57" s="202"/>
      <c r="AA57" s="202"/>
      <c r="AB57" s="202"/>
      <c r="AC57" s="202"/>
      <c r="AD57" s="202"/>
      <c r="AE57" s="202"/>
      <c r="AF57" s="202"/>
      <c r="AG57" s="202"/>
      <c r="AH57" s="202"/>
      <c r="AI57" s="202"/>
    </row>
    <row r="58" spans="1:37" s="124" customFormat="1">
      <c r="A58" s="203" t="s">
        <v>226</v>
      </c>
      <c r="B58" s="299" t="s">
        <v>283</v>
      </c>
      <c r="C58" s="303"/>
      <c r="D58" s="197">
        <v>36706500</v>
      </c>
      <c r="E58" s="197">
        <v>0</v>
      </c>
      <c r="F58" s="197">
        <v>129443000</v>
      </c>
      <c r="G58" s="197">
        <v>34188650</v>
      </c>
      <c r="H58" s="197">
        <v>1525000</v>
      </c>
      <c r="I58" s="197">
        <v>52453270</v>
      </c>
      <c r="J58" s="207" t="e">
        <f>SUM(L58:U58)</f>
        <v>#DIV/0!</v>
      </c>
      <c r="K58" s="208">
        <f>K49/K7</f>
        <v>0.47750500821232861</v>
      </c>
      <c r="L58" s="208">
        <f>L49/L7</f>
        <v>-0.37485123529411774</v>
      </c>
      <c r="M58" s="208">
        <f t="shared" ref="M58:U58" si="17">M49/M7</f>
        <v>8.1170645323921254E-3</v>
      </c>
      <c r="N58" s="208">
        <f t="shared" si="17"/>
        <v>0.23950584200743488</v>
      </c>
      <c r="O58" s="208">
        <f t="shared" si="17"/>
        <v>0.53509948457238432</v>
      </c>
      <c r="P58" s="208">
        <f t="shared" si="17"/>
        <v>0.62668078984038511</v>
      </c>
      <c r="Q58" s="208" t="e">
        <f t="shared" si="17"/>
        <v>#DIV/0!</v>
      </c>
      <c r="R58" s="208" t="e">
        <f t="shared" si="17"/>
        <v>#DIV/0!</v>
      </c>
      <c r="S58" s="208" t="e">
        <f t="shared" si="17"/>
        <v>#DIV/0!</v>
      </c>
      <c r="T58" s="208" t="e">
        <f t="shared" si="17"/>
        <v>#DIV/0!</v>
      </c>
      <c r="U58" s="208" t="e">
        <f t="shared" si="17"/>
        <v>#DIV/0!</v>
      </c>
      <c r="V58" s="208" t="e">
        <f t="shared" ref="V58:W58" si="18">V49/V7</f>
        <v>#DIV/0!</v>
      </c>
      <c r="W58" s="208" t="e">
        <f t="shared" si="18"/>
        <v>#DIV/0!</v>
      </c>
      <c r="X58" s="202"/>
      <c r="Y58" s="202"/>
      <c r="Z58" s="202"/>
      <c r="AA58" s="202"/>
      <c r="AB58" s="202"/>
      <c r="AC58" s="202"/>
      <c r="AD58" s="202"/>
      <c r="AE58" s="202"/>
      <c r="AF58" s="202"/>
      <c r="AG58" s="202"/>
      <c r="AH58" s="202"/>
      <c r="AI58" s="202"/>
    </row>
    <row r="59" spans="1:37" s="124" customFormat="1">
      <c r="A59" s="203" t="s">
        <v>226</v>
      </c>
      <c r="B59" s="299" t="s">
        <v>284</v>
      </c>
      <c r="C59" s="303"/>
      <c r="D59" s="197">
        <v>36706500</v>
      </c>
      <c r="E59" s="197">
        <v>0</v>
      </c>
      <c r="F59" s="197">
        <v>129443000</v>
      </c>
      <c r="G59" s="197">
        <v>34188650</v>
      </c>
      <c r="H59" s="197">
        <v>1525000</v>
      </c>
      <c r="I59" s="197">
        <v>52453270</v>
      </c>
      <c r="J59" s="207" t="e">
        <f>SUM(L59:U59)</f>
        <v>#DIV/0!</v>
      </c>
      <c r="K59" s="208">
        <f>K54/K7</f>
        <v>0.45624758310440555</v>
      </c>
      <c r="L59" s="208">
        <f>L54/L7</f>
        <v>-0.49378684033613451</v>
      </c>
      <c r="M59" s="208">
        <f t="shared" ref="M59:U59" si="19">M54/M7</f>
        <v>-2.0421543987900286E-2</v>
      </c>
      <c r="N59" s="208">
        <f t="shared" si="19"/>
        <v>0.21870658550185867</v>
      </c>
      <c r="O59" s="208">
        <f t="shared" si="19"/>
        <v>0.52596175844007209</v>
      </c>
      <c r="P59" s="208">
        <f t="shared" si="19"/>
        <v>0.60213585381302259</v>
      </c>
      <c r="Q59" s="208" t="e">
        <f t="shared" si="19"/>
        <v>#DIV/0!</v>
      </c>
      <c r="R59" s="208" t="e">
        <f t="shared" si="19"/>
        <v>#DIV/0!</v>
      </c>
      <c r="S59" s="208" t="e">
        <f t="shared" si="19"/>
        <v>#DIV/0!</v>
      </c>
      <c r="T59" s="208" t="e">
        <f t="shared" si="19"/>
        <v>#DIV/0!</v>
      </c>
      <c r="U59" s="208" t="e">
        <f t="shared" si="19"/>
        <v>#DIV/0!</v>
      </c>
      <c r="V59" s="208" t="e">
        <f t="shared" ref="V59:W59" si="20">V54/V7</f>
        <v>#DIV/0!</v>
      </c>
      <c r="W59" s="208" t="e">
        <f t="shared" si="20"/>
        <v>#DIV/0!</v>
      </c>
      <c r="X59" s="202"/>
      <c r="Y59" s="202"/>
      <c r="Z59" s="202"/>
      <c r="AA59" s="202"/>
      <c r="AB59" s="202"/>
      <c r="AC59" s="202"/>
      <c r="AD59" s="202"/>
      <c r="AE59" s="202"/>
      <c r="AF59" s="202"/>
      <c r="AG59" s="202"/>
      <c r="AH59" s="202"/>
      <c r="AI59" s="202"/>
    </row>
  </sheetData>
  <mergeCells count="5">
    <mergeCell ref="B55:C55"/>
    <mergeCell ref="B56:C56"/>
    <mergeCell ref="B57:C57"/>
    <mergeCell ref="B58:C58"/>
    <mergeCell ref="B59:C59"/>
  </mergeCells>
  <conditionalFormatting sqref="A55:B59 D55:XFD59">
    <cfRule type="cellIs" dxfId="12" priority="3" operator="lessThan">
      <formula>0</formula>
    </cfRule>
    <cfRule type="cellIs" dxfId="11" priority="5" operator="lessThan">
      <formula>0</formula>
    </cfRule>
    <cfRule type="cellIs" dxfId="10" priority="6" operator="lessThan">
      <formula>0</formula>
    </cfRule>
    <cfRule type="cellIs" dxfId="9" priority="7" operator="lessThan">
      <formula>0</formula>
    </cfRule>
  </conditionalFormatting>
  <conditionalFormatting sqref="A55:B59">
    <cfRule type="cellIs" dxfId="8" priority="4" operator="lessThan">
      <formula>0</formula>
    </cfRule>
  </conditionalFormatting>
  <conditionalFormatting sqref="D55:XFD59 A55:B59">
    <cfRule type="cellIs" dxfId="7" priority="2" operator="lessThan">
      <formula>0</formula>
    </cfRule>
  </conditionalFormatting>
  <conditionalFormatting sqref="K35">
    <cfRule type="cellIs" dxfId="6" priority="12" operator="lessThan">
      <formula>0</formula>
    </cfRule>
  </conditionalFormatting>
  <conditionalFormatting sqref="K49">
    <cfRule type="cellIs" dxfId="5" priority="11" operator="lessThan">
      <formula>0</formula>
    </cfRule>
  </conditionalFormatting>
  <conditionalFormatting sqref="K54:K59">
    <cfRule type="cellIs" dxfId="4" priority="8" operator="lessThan">
      <formula>0</formula>
    </cfRule>
  </conditionalFormatting>
  <conditionalFormatting sqref="K56:K59">
    <cfRule type="cellIs" dxfId="3" priority="1" operator="lessThan">
      <formula>0</formula>
    </cfRule>
  </conditionalFormatting>
  <conditionalFormatting sqref="L7:W54">
    <cfRule type="cellIs" dxfId="2" priority="15" operator="lessThan">
      <formula>0</formula>
    </cfRule>
  </conditionalFormatting>
  <conditionalFormatting sqref="V54:XFD59 D55:U59 A54:U54">
    <cfRule type="cellIs" dxfId="1" priority="14" operator="lessThan">
      <formula>0</formula>
    </cfRule>
  </conditionalFormatting>
  <conditionalFormatting sqref="X55:Y55 L55:W59 K30">
    <cfRule type="cellIs" dxfId="0" priority="13"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2"/>
  <sheetViews>
    <sheetView topLeftCell="A20" workbookViewId="0">
      <selection activeCell="B7" sqref="B7:E40"/>
    </sheetView>
  </sheetViews>
  <sheetFormatPr defaultColWidth="10" defaultRowHeight="14.5"/>
  <cols>
    <col min="2" max="2" width="4.26953125" customWidth="1"/>
    <col min="4" max="4" width="37.26953125" customWidth="1"/>
    <col min="5" max="5" width="28.6328125" customWidth="1"/>
  </cols>
  <sheetData>
    <row r="1" spans="1:11" ht="15.5">
      <c r="A1" s="75"/>
      <c r="B1" s="75"/>
      <c r="C1" s="75"/>
      <c r="D1" s="75"/>
      <c r="E1" s="75"/>
      <c r="F1" s="75"/>
      <c r="G1" s="75"/>
      <c r="H1" s="75"/>
      <c r="I1" s="75"/>
      <c r="J1" s="76"/>
      <c r="K1" s="75"/>
    </row>
    <row r="2" spans="1:11" ht="18">
      <c r="A2" s="77"/>
      <c r="B2" s="77" t="s">
        <v>288</v>
      </c>
      <c r="C2" s="77"/>
      <c r="D2" s="77"/>
      <c r="E2" s="77"/>
      <c r="F2" s="77"/>
      <c r="G2" s="78"/>
      <c r="H2" s="77"/>
      <c r="I2" s="77"/>
      <c r="J2" s="79"/>
      <c r="K2" s="77"/>
    </row>
    <row r="3" spans="1:11" ht="15.5">
      <c r="A3" s="75"/>
      <c r="B3" s="76" t="s">
        <v>230</v>
      </c>
      <c r="C3" s="75"/>
      <c r="D3" s="75"/>
      <c r="E3" s="75"/>
      <c r="F3" s="75"/>
      <c r="G3" s="75"/>
      <c r="H3" s="75"/>
      <c r="I3" s="75"/>
      <c r="J3" s="75"/>
      <c r="K3" s="75"/>
    </row>
    <row r="4" spans="1:11" ht="15.5">
      <c r="A4" s="75"/>
      <c r="B4" s="304" t="s">
        <v>302</v>
      </c>
      <c r="C4" s="304"/>
      <c r="D4" s="304"/>
      <c r="E4" s="75"/>
      <c r="F4" s="75"/>
      <c r="G4" s="75"/>
      <c r="H4" s="75"/>
      <c r="I4" s="75"/>
      <c r="J4" s="75"/>
      <c r="K4" s="75"/>
    </row>
    <row r="5" spans="1:11" ht="15.5">
      <c r="A5" s="75"/>
      <c r="B5" s="80" t="s">
        <v>231</v>
      </c>
      <c r="C5" s="75"/>
      <c r="D5" s="75"/>
      <c r="E5" s="81" t="s">
        <v>232</v>
      </c>
      <c r="F5" s="75"/>
      <c r="G5" s="75"/>
      <c r="H5" s="75"/>
      <c r="I5" s="75"/>
      <c r="J5" s="75"/>
      <c r="K5" s="75"/>
    </row>
    <row r="6" spans="1:11" ht="15.5">
      <c r="A6" s="75"/>
      <c r="B6" s="76"/>
      <c r="C6" s="76"/>
      <c r="D6" s="76"/>
      <c r="E6" s="76"/>
      <c r="F6" s="76"/>
      <c r="G6" s="75"/>
      <c r="H6" s="75"/>
      <c r="I6" s="75"/>
      <c r="J6" s="75"/>
      <c r="K6" s="76"/>
    </row>
    <row r="7" spans="1:11" ht="15.5">
      <c r="A7" s="82"/>
      <c r="B7" s="83" t="s">
        <v>233</v>
      </c>
      <c r="C7" s="84"/>
      <c r="D7" s="85"/>
      <c r="E7" s="86" t="s">
        <v>303</v>
      </c>
      <c r="F7" s="85"/>
      <c r="G7" s="87"/>
      <c r="H7" s="85"/>
      <c r="I7" s="87"/>
      <c r="J7" s="88"/>
      <c r="K7" s="85"/>
    </row>
    <row r="8" spans="1:11" ht="15.5">
      <c r="A8" s="75"/>
      <c r="B8" s="89"/>
      <c r="C8" s="89"/>
      <c r="D8" s="76"/>
      <c r="E8" s="75"/>
      <c r="F8" s="76"/>
      <c r="G8" s="75"/>
      <c r="H8" s="75"/>
      <c r="I8" s="90"/>
      <c r="J8" s="75"/>
      <c r="K8" s="75"/>
    </row>
    <row r="9" spans="1:11" ht="15.5">
      <c r="A9" s="91"/>
      <c r="B9" s="91" t="s">
        <v>289</v>
      </c>
      <c r="C9" s="91"/>
      <c r="D9" s="91"/>
      <c r="E9" s="92">
        <f>WS!AP91</f>
        <v>6879900000</v>
      </c>
      <c r="F9" s="91"/>
      <c r="G9" s="93"/>
      <c r="H9" s="91"/>
      <c r="I9" s="93"/>
      <c r="J9" s="94"/>
      <c r="K9" s="91"/>
    </row>
    <row r="10" spans="1:11" ht="15.5">
      <c r="A10" s="75"/>
      <c r="B10" s="75"/>
      <c r="C10" s="75"/>
      <c r="D10" s="75"/>
      <c r="E10" s="95"/>
      <c r="F10" s="75"/>
      <c r="G10" s="96"/>
      <c r="H10" s="75"/>
      <c r="I10" s="96"/>
      <c r="J10" s="75"/>
      <c r="K10" s="75"/>
    </row>
    <row r="11" spans="1:11" ht="15.5">
      <c r="A11" s="91"/>
      <c r="B11" s="91" t="s">
        <v>290</v>
      </c>
      <c r="C11" s="91"/>
      <c r="D11" s="91"/>
      <c r="E11" s="92">
        <f>WS!AP113</f>
        <v>2509188000</v>
      </c>
      <c r="F11" s="91"/>
      <c r="G11" s="97"/>
      <c r="H11" s="91"/>
      <c r="I11" s="97"/>
      <c r="J11" s="94"/>
      <c r="K11" s="91"/>
    </row>
    <row r="12" spans="1:11" ht="15.5">
      <c r="A12" s="75"/>
      <c r="B12" s="75"/>
      <c r="C12" s="75"/>
      <c r="D12" s="75"/>
      <c r="E12" s="95"/>
      <c r="F12" s="75"/>
      <c r="G12" s="96"/>
      <c r="H12" s="75"/>
      <c r="I12" s="96"/>
      <c r="J12" s="75"/>
      <c r="K12" s="75"/>
    </row>
    <row r="13" spans="1:11" ht="15.5">
      <c r="A13" s="91"/>
      <c r="B13" s="91"/>
      <c r="C13" s="91" t="s">
        <v>291</v>
      </c>
      <c r="D13" s="91"/>
      <c r="E13" s="92">
        <f>E9-E11</f>
        <v>4370712000</v>
      </c>
      <c r="F13" s="91"/>
      <c r="G13" s="93"/>
      <c r="H13" s="91"/>
      <c r="I13" s="93"/>
      <c r="J13" s="94"/>
      <c r="K13" s="91"/>
    </row>
    <row r="14" spans="1:11" ht="15.5">
      <c r="A14" s="75"/>
      <c r="B14" s="75"/>
      <c r="C14" s="75"/>
      <c r="D14" s="75"/>
      <c r="E14" s="95"/>
      <c r="F14" s="75"/>
      <c r="G14" s="96"/>
      <c r="H14" s="75"/>
      <c r="I14" s="96"/>
      <c r="J14" s="75"/>
      <c r="K14" s="75"/>
    </row>
    <row r="15" spans="1:11" ht="15.5">
      <c r="A15" s="91"/>
      <c r="B15" s="91" t="s">
        <v>292</v>
      </c>
      <c r="C15" s="91"/>
      <c r="D15" s="91"/>
      <c r="E15" s="91"/>
      <c r="F15" s="91"/>
      <c r="G15" s="98"/>
      <c r="H15" s="91"/>
      <c r="I15" s="98"/>
      <c r="J15" s="94"/>
      <c r="K15" s="91"/>
    </row>
    <row r="16" spans="1:11" ht="15.5">
      <c r="B16" s="75"/>
      <c r="C16" s="76" t="s">
        <v>106</v>
      </c>
      <c r="D16" s="75"/>
      <c r="E16" s="92">
        <f>WS!AP127</f>
        <v>516777592</v>
      </c>
      <c r="F16" s="75"/>
      <c r="G16" s="99"/>
      <c r="H16" s="75"/>
      <c r="I16" s="99"/>
      <c r="J16" s="75"/>
    </row>
    <row r="17" spans="2:10" ht="15.5">
      <c r="B17" s="75"/>
      <c r="C17" s="76" t="s">
        <v>107</v>
      </c>
      <c r="D17" s="75"/>
      <c r="E17" s="92">
        <f>WS!AP133</f>
        <v>31821000</v>
      </c>
      <c r="F17" s="75"/>
      <c r="G17" s="99"/>
      <c r="H17" s="75"/>
      <c r="I17" s="99"/>
      <c r="J17" s="75"/>
    </row>
    <row r="18" spans="2:10" ht="15.5">
      <c r="B18" s="75"/>
      <c r="C18" s="76" t="s">
        <v>108</v>
      </c>
      <c r="D18" s="75"/>
      <c r="E18" s="92">
        <f>WS!AP138</f>
        <v>431523629</v>
      </c>
      <c r="F18" s="75"/>
      <c r="G18" s="99"/>
      <c r="H18" s="75"/>
      <c r="I18" s="99"/>
      <c r="J18" s="75"/>
    </row>
    <row r="19" spans="2:10" ht="6.5" customHeight="1">
      <c r="B19" s="75"/>
      <c r="C19" s="75"/>
      <c r="D19" s="75"/>
      <c r="E19" s="95"/>
      <c r="F19" s="75"/>
      <c r="G19" s="96"/>
      <c r="H19" s="75"/>
      <c r="I19" s="96"/>
      <c r="J19" s="75"/>
    </row>
    <row r="20" spans="2:10" ht="15.5">
      <c r="B20" s="91"/>
      <c r="C20" s="91" t="s">
        <v>293</v>
      </c>
      <c r="D20" s="91"/>
      <c r="E20" s="92">
        <f>SUM(E16:E18)</f>
        <v>980122221</v>
      </c>
      <c r="F20" s="91"/>
      <c r="G20" s="93"/>
      <c r="H20" s="91"/>
      <c r="I20" s="93"/>
      <c r="J20" s="94"/>
    </row>
    <row r="21" spans="2:10" ht="15.5">
      <c r="B21" s="75"/>
      <c r="C21" s="75"/>
      <c r="D21" s="75"/>
      <c r="E21" s="75"/>
      <c r="F21" s="75"/>
      <c r="G21" s="75"/>
      <c r="H21" s="75"/>
      <c r="I21" s="90"/>
      <c r="J21" s="75"/>
    </row>
    <row r="22" spans="2:10" ht="15.5">
      <c r="B22" s="91"/>
      <c r="C22" s="91" t="s">
        <v>294</v>
      </c>
      <c r="D22" s="91"/>
      <c r="E22" s="92">
        <f>E13-E20</f>
        <v>3390589779</v>
      </c>
      <c r="F22" s="91"/>
      <c r="G22" s="93"/>
      <c r="H22" s="91"/>
      <c r="I22" s="93"/>
      <c r="J22" s="94"/>
    </row>
    <row r="23" spans="2:10" ht="15.5">
      <c r="B23" s="75"/>
      <c r="C23" s="75"/>
      <c r="D23" s="75"/>
      <c r="E23" s="75"/>
      <c r="F23" s="75"/>
      <c r="G23" s="75"/>
      <c r="H23" s="75"/>
      <c r="I23" s="90"/>
      <c r="J23" s="75"/>
    </row>
    <row r="24" spans="2:10" ht="15.5">
      <c r="B24" s="91" t="s">
        <v>295</v>
      </c>
      <c r="C24" s="91"/>
      <c r="D24" s="91"/>
      <c r="E24" s="92"/>
      <c r="F24" s="91"/>
      <c r="G24" s="93"/>
      <c r="H24" s="91"/>
      <c r="I24" s="93"/>
      <c r="J24" s="94"/>
    </row>
    <row r="25" spans="2:10" ht="15.5">
      <c r="B25" s="75"/>
      <c r="C25" s="76" t="s">
        <v>296</v>
      </c>
      <c r="D25" s="75"/>
      <c r="E25" s="95">
        <f>WS!AP99</f>
        <v>1000927</v>
      </c>
      <c r="F25" s="75"/>
      <c r="G25" s="96"/>
      <c r="H25" s="75"/>
      <c r="I25" s="96"/>
      <c r="J25" s="75"/>
    </row>
    <row r="26" spans="2:10" ht="15.5">
      <c r="B26" s="75"/>
      <c r="C26" s="76" t="s">
        <v>234</v>
      </c>
      <c r="D26" s="75"/>
      <c r="E26" s="95">
        <f>WS!AP143</f>
        <v>106404000</v>
      </c>
      <c r="F26" s="75"/>
      <c r="G26" s="96"/>
      <c r="H26" s="75"/>
      <c r="I26" s="96"/>
      <c r="J26" s="75"/>
    </row>
    <row r="27" spans="2:10" ht="6" customHeight="1">
      <c r="B27" s="75"/>
      <c r="C27" s="75"/>
      <c r="D27" s="75"/>
      <c r="E27" s="75"/>
      <c r="F27" s="75"/>
      <c r="G27" s="75"/>
      <c r="H27" s="75"/>
      <c r="I27" s="90"/>
      <c r="J27" s="75"/>
    </row>
    <row r="28" spans="2:10" ht="15.5">
      <c r="B28" s="91"/>
      <c r="C28" s="91" t="s">
        <v>297</v>
      </c>
      <c r="D28" s="91"/>
      <c r="E28" s="92">
        <f>E25-E26</f>
        <v>-105403073</v>
      </c>
      <c r="F28" s="91"/>
      <c r="G28" s="93"/>
      <c r="H28" s="91"/>
      <c r="I28" s="93"/>
      <c r="J28" s="94"/>
    </row>
    <row r="29" spans="2:10" ht="15.5">
      <c r="B29" s="91"/>
      <c r="C29" s="91"/>
      <c r="D29" s="91"/>
      <c r="E29" s="92"/>
      <c r="F29" s="91"/>
      <c r="G29" s="93"/>
      <c r="H29" s="91"/>
      <c r="I29" s="93"/>
      <c r="J29" s="94"/>
    </row>
    <row r="30" spans="2:10" ht="15.5">
      <c r="B30" s="91"/>
      <c r="C30" s="91" t="s">
        <v>298</v>
      </c>
      <c r="D30" s="91"/>
      <c r="E30" s="92">
        <f>E22+E28</f>
        <v>3285186706</v>
      </c>
      <c r="F30" s="91"/>
      <c r="G30" s="93"/>
      <c r="H30" s="91"/>
      <c r="I30" s="93"/>
      <c r="J30" s="94"/>
    </row>
    <row r="31" spans="2:10" ht="15.5">
      <c r="B31" s="75"/>
      <c r="C31" s="75"/>
      <c r="D31" s="75"/>
      <c r="E31" s="75"/>
      <c r="F31" s="75"/>
      <c r="G31" s="75"/>
      <c r="H31" s="75"/>
      <c r="I31" s="90"/>
      <c r="J31" s="75"/>
    </row>
    <row r="32" spans="2:10" ht="15.5">
      <c r="B32" s="98" t="s">
        <v>299</v>
      </c>
      <c r="C32" s="98"/>
      <c r="D32" s="98"/>
      <c r="E32" s="98"/>
      <c r="F32" s="98"/>
      <c r="G32" s="98"/>
      <c r="H32" s="98"/>
      <c r="I32" s="98"/>
      <c r="J32" s="100"/>
    </row>
    <row r="33" spans="1:10" ht="15.5">
      <c r="B33" s="90"/>
      <c r="C33" s="90" t="s">
        <v>93</v>
      </c>
      <c r="D33" s="90"/>
      <c r="E33" s="99">
        <f>WS!AP145</f>
        <v>127299750</v>
      </c>
      <c r="F33" s="90"/>
      <c r="G33" s="101"/>
      <c r="H33" s="90"/>
      <c r="I33" s="101"/>
      <c r="J33" s="102"/>
    </row>
    <row r="34" spans="1:10" ht="15.5">
      <c r="A34" s="90"/>
      <c r="B34" s="90"/>
      <c r="C34" s="90" t="s">
        <v>94</v>
      </c>
      <c r="D34" s="90"/>
      <c r="E34" s="99">
        <f>WS!AP146</f>
        <v>0</v>
      </c>
      <c r="F34" s="90"/>
      <c r="G34" s="96"/>
      <c r="H34" s="90"/>
      <c r="I34" s="96"/>
      <c r="J34" s="102"/>
    </row>
    <row r="35" spans="1:10" ht="15.5">
      <c r="A35" s="90"/>
      <c r="B35" s="90"/>
      <c r="C35" s="90" t="s">
        <v>95</v>
      </c>
      <c r="D35" s="90"/>
      <c r="E35" s="99">
        <f>WS!AP147</f>
        <v>3449209</v>
      </c>
      <c r="F35" s="90"/>
      <c r="G35" s="96"/>
      <c r="H35" s="90"/>
      <c r="I35" s="96"/>
      <c r="J35" s="102"/>
    </row>
    <row r="36" spans="1:10" ht="15.5">
      <c r="A36" s="90"/>
      <c r="B36" s="90"/>
      <c r="C36" s="90" t="s">
        <v>181</v>
      </c>
      <c r="D36" s="90"/>
      <c r="E36" s="99">
        <f>WS!AP148</f>
        <v>15500000</v>
      </c>
      <c r="F36" s="90"/>
      <c r="G36" s="96"/>
      <c r="H36" s="90"/>
      <c r="I36" s="96"/>
      <c r="J36" s="102"/>
    </row>
    <row r="37" spans="1:10" ht="7" customHeight="1">
      <c r="A37" s="90"/>
      <c r="B37" s="90"/>
      <c r="C37" s="90"/>
      <c r="D37" s="90"/>
      <c r="E37" s="96"/>
      <c r="F37" s="90"/>
      <c r="G37" s="96"/>
      <c r="H37" s="90"/>
      <c r="I37" s="96"/>
      <c r="J37" s="102"/>
    </row>
    <row r="38" spans="1:10" ht="15.5">
      <c r="A38" s="91"/>
      <c r="B38" s="91"/>
      <c r="C38" s="91" t="s">
        <v>300</v>
      </c>
      <c r="D38" s="91"/>
      <c r="E38" s="92">
        <f>SUM(E33:E37)</f>
        <v>146248959</v>
      </c>
      <c r="F38" s="91"/>
      <c r="G38" s="93"/>
      <c r="H38" s="91"/>
      <c r="I38" s="93"/>
      <c r="J38" s="94"/>
    </row>
    <row r="39" spans="1:10" ht="15.5">
      <c r="A39" s="75"/>
      <c r="B39" s="75"/>
      <c r="C39" s="75"/>
      <c r="D39" s="75"/>
      <c r="E39" s="75"/>
      <c r="F39" s="75"/>
      <c r="G39" s="75"/>
      <c r="H39" s="75"/>
      <c r="I39" s="90"/>
      <c r="J39" s="75"/>
    </row>
    <row r="40" spans="1:10" ht="15.5">
      <c r="A40" s="91"/>
      <c r="B40" s="91"/>
      <c r="C40" s="91" t="s">
        <v>301</v>
      </c>
      <c r="D40" s="91"/>
      <c r="E40" s="92">
        <f>E30-E38</f>
        <v>3138937747</v>
      </c>
      <c r="F40" s="91"/>
      <c r="G40" s="93"/>
      <c r="H40" s="91"/>
      <c r="I40" s="93"/>
      <c r="J40" s="94"/>
    </row>
    <row r="41" spans="1:10" ht="15.5">
      <c r="A41" s="75"/>
      <c r="B41" s="75"/>
      <c r="C41" s="76" t="s">
        <v>235</v>
      </c>
      <c r="D41" s="75"/>
      <c r="E41" s="103"/>
      <c r="F41" s="75"/>
      <c r="G41" s="99"/>
      <c r="H41" s="75"/>
      <c r="I41" s="99"/>
      <c r="J41" s="75"/>
    </row>
    <row r="42" spans="1:10" ht="15.5">
      <c r="A42" s="75"/>
      <c r="B42" s="104"/>
      <c r="C42" s="75"/>
      <c r="D42" s="75"/>
      <c r="E42" s="105"/>
      <c r="F42" s="105"/>
      <c r="G42" s="106"/>
      <c r="H42" s="104"/>
      <c r="I42" s="106"/>
      <c r="J42" s="75"/>
    </row>
    <row r="43" spans="1:10" ht="15.5">
      <c r="A43" s="75"/>
      <c r="B43" s="75"/>
      <c r="C43" s="75"/>
      <c r="D43" s="75"/>
      <c r="E43" s="107"/>
      <c r="F43" s="75"/>
      <c r="G43" s="75"/>
      <c r="H43" s="75"/>
      <c r="I43" s="75"/>
      <c r="J43" s="75"/>
    </row>
    <row r="44" spans="1:10" ht="15.5">
      <c r="A44" s="95"/>
      <c r="B44" s="95" t="s">
        <v>236</v>
      </c>
      <c r="C44" s="95"/>
      <c r="D44" s="95"/>
      <c r="E44" s="95"/>
      <c r="F44" s="95"/>
      <c r="G44" s="96"/>
      <c r="H44" s="95"/>
      <c r="I44" s="95"/>
      <c r="J44" s="108"/>
    </row>
    <row r="45" spans="1:10" ht="15.5">
      <c r="A45" s="95"/>
      <c r="B45" s="95" t="s">
        <v>237</v>
      </c>
      <c r="C45" s="95"/>
      <c r="D45" s="95"/>
      <c r="E45" s="95"/>
      <c r="F45" s="95"/>
      <c r="G45" s="96"/>
      <c r="H45" s="95"/>
      <c r="I45" s="95"/>
      <c r="J45" s="108"/>
    </row>
    <row r="46" spans="1:10">
      <c r="A46" s="75"/>
      <c r="B46" s="75"/>
      <c r="C46" s="75"/>
      <c r="D46" s="75"/>
      <c r="E46" s="75"/>
      <c r="F46" s="75"/>
      <c r="G46" s="75"/>
      <c r="H46" s="75"/>
      <c r="I46" s="75"/>
      <c r="J46" s="75"/>
    </row>
    <row r="47" spans="1:10" ht="15.5">
      <c r="A47" s="75"/>
      <c r="B47" s="75"/>
      <c r="C47" s="75"/>
      <c r="D47" s="75"/>
      <c r="E47" s="95"/>
      <c r="F47" s="75"/>
      <c r="G47" s="96"/>
      <c r="H47" s="75"/>
      <c r="I47" s="95"/>
      <c r="J47" s="75"/>
    </row>
    <row r="48" spans="1:10" ht="15.5">
      <c r="A48" s="75"/>
      <c r="B48" s="75"/>
      <c r="C48" s="75"/>
      <c r="D48" s="75"/>
      <c r="E48" s="103"/>
      <c r="F48" s="75"/>
      <c r="G48" s="99"/>
      <c r="H48" s="75"/>
      <c r="I48" s="103"/>
      <c r="J48" s="75"/>
    </row>
    <row r="49" spans="1:10" ht="15.5">
      <c r="A49" s="75"/>
      <c r="B49" s="75"/>
      <c r="C49" s="75"/>
      <c r="D49" s="75"/>
      <c r="E49" s="103"/>
      <c r="F49" s="75"/>
      <c r="G49" s="99"/>
      <c r="H49" s="75"/>
      <c r="I49" s="103"/>
      <c r="J49" s="75"/>
    </row>
    <row r="50" spans="1:10" ht="15.5">
      <c r="A50" s="75"/>
      <c r="B50" s="75"/>
      <c r="C50" s="75"/>
      <c r="D50" s="75"/>
      <c r="E50" s="103"/>
      <c r="F50" s="75"/>
      <c r="G50" s="99"/>
      <c r="H50" s="75"/>
      <c r="I50" s="75"/>
      <c r="J50" s="75"/>
    </row>
    <row r="51" spans="1:10" ht="15.5">
      <c r="G51" s="99"/>
      <c r="H51" s="75"/>
      <c r="I51" s="75"/>
      <c r="J51" s="75"/>
    </row>
    <row r="52" spans="1:10" ht="15.5">
      <c r="G52" s="99"/>
      <c r="H52" s="75"/>
      <c r="I52" s="75"/>
      <c r="J52" s="75"/>
    </row>
  </sheetData>
  <mergeCells count="1">
    <mergeCell ref="B4:D4"/>
  </mergeCells>
  <pageMargins left="0.7" right="0.7" top="0.75" bottom="0.75" header="0.3" footer="0.3"/>
  <pageSetup paperSize="9" scale="8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9"/>
  <sheetViews>
    <sheetView workbookViewId="0">
      <selection activeCell="C12" sqref="C12"/>
    </sheetView>
  </sheetViews>
  <sheetFormatPr defaultColWidth="10" defaultRowHeight="14.5"/>
  <cols>
    <col min="2" max="2" width="4.26953125" customWidth="1"/>
    <col min="4" max="4" width="37.26953125" customWidth="1"/>
    <col min="5" max="5" width="28.6328125" customWidth="1"/>
  </cols>
  <sheetData>
    <row r="1" spans="1:11" ht="15.5">
      <c r="A1" s="75"/>
      <c r="B1" s="75"/>
      <c r="C1" s="75"/>
      <c r="D1" s="75"/>
      <c r="E1" s="75"/>
      <c r="F1" s="75"/>
      <c r="G1" s="75"/>
      <c r="H1" s="75"/>
      <c r="I1" s="75"/>
      <c r="J1" s="76"/>
      <c r="K1" s="75"/>
    </row>
    <row r="2" spans="1:11" ht="16.5" customHeight="1">
      <c r="A2" s="77"/>
      <c r="B2" s="77" t="s">
        <v>250</v>
      </c>
      <c r="C2" s="77"/>
      <c r="D2" s="77"/>
      <c r="E2" s="77"/>
      <c r="F2" s="77"/>
      <c r="G2" s="78"/>
      <c r="H2" s="77"/>
      <c r="I2" s="77"/>
      <c r="J2" s="79"/>
      <c r="K2" s="77"/>
    </row>
    <row r="3" spans="1:11" ht="16.5" customHeight="1">
      <c r="A3" s="75"/>
      <c r="B3" s="76" t="s">
        <v>230</v>
      </c>
      <c r="C3" s="75"/>
      <c r="D3" s="75"/>
      <c r="E3" s="75"/>
      <c r="F3" s="75"/>
      <c r="G3" s="75"/>
      <c r="H3" s="75"/>
      <c r="I3" s="75"/>
      <c r="J3" s="75"/>
      <c r="K3" s="75"/>
    </row>
    <row r="4" spans="1:11" ht="16.5" customHeight="1">
      <c r="A4" s="75"/>
      <c r="B4" s="304" t="s">
        <v>249</v>
      </c>
      <c r="C4" s="304"/>
      <c r="D4" s="304"/>
      <c r="E4" s="75"/>
      <c r="F4" s="75"/>
      <c r="G4" s="75"/>
      <c r="H4" s="75"/>
      <c r="I4" s="75"/>
      <c r="J4" s="75"/>
      <c r="K4" s="75"/>
    </row>
    <row r="5" spans="1:11" ht="16.5" customHeight="1">
      <c r="A5" s="75"/>
      <c r="B5" s="80" t="s">
        <v>231</v>
      </c>
      <c r="C5" s="75"/>
      <c r="D5" s="75"/>
      <c r="E5" s="81" t="s">
        <v>232</v>
      </c>
      <c r="F5" s="75"/>
      <c r="G5" s="75"/>
      <c r="H5" s="75"/>
      <c r="I5" s="75"/>
      <c r="J5" s="75"/>
      <c r="K5" s="75"/>
    </row>
    <row r="6" spans="1:11" ht="16.5" customHeight="1">
      <c r="A6" s="75"/>
      <c r="B6" s="76"/>
      <c r="C6" s="76"/>
      <c r="D6" s="76"/>
      <c r="E6" s="76"/>
      <c r="F6" s="76"/>
      <c r="G6" s="75"/>
      <c r="H6" s="75"/>
      <c r="I6" s="75"/>
      <c r="J6" s="75"/>
      <c r="K6" s="76"/>
    </row>
    <row r="7" spans="1:11" ht="16.5" customHeight="1">
      <c r="A7" s="82"/>
      <c r="B7" s="83" t="s">
        <v>233</v>
      </c>
      <c r="C7" s="84"/>
      <c r="D7" s="85"/>
      <c r="E7" s="86" t="s">
        <v>303</v>
      </c>
      <c r="F7" s="85"/>
      <c r="G7" s="87"/>
      <c r="H7" s="85"/>
      <c r="I7" s="87"/>
      <c r="J7" s="88"/>
      <c r="K7" s="85"/>
    </row>
    <row r="8" spans="1:11" ht="16.5" customHeight="1">
      <c r="A8" s="75"/>
      <c r="B8" s="89"/>
      <c r="C8" s="89"/>
      <c r="D8" s="76"/>
      <c r="E8" s="75"/>
      <c r="F8" s="76"/>
      <c r="G8" s="75"/>
      <c r="H8" s="75"/>
      <c r="I8" s="90"/>
      <c r="J8" s="75"/>
      <c r="K8" s="75"/>
    </row>
    <row r="9" spans="1:11" ht="16.5" customHeight="1">
      <c r="A9" s="91"/>
      <c r="B9" s="91" t="s">
        <v>241</v>
      </c>
      <c r="C9" s="91"/>
      <c r="D9" s="91"/>
      <c r="E9" s="92"/>
      <c r="F9" s="91"/>
      <c r="G9" s="93"/>
      <c r="H9" s="91"/>
      <c r="I9" s="93"/>
      <c r="J9" s="94"/>
      <c r="K9" s="91"/>
    </row>
    <row r="10" spans="1:11" ht="6.5" customHeight="1">
      <c r="A10" s="75"/>
      <c r="B10" s="109"/>
      <c r="C10" s="109"/>
      <c r="D10" s="109"/>
      <c r="E10" s="110"/>
      <c r="F10" s="75"/>
      <c r="G10" s="96"/>
      <c r="H10" s="75"/>
      <c r="I10" s="96"/>
      <c r="J10" s="75"/>
      <c r="K10" s="75"/>
    </row>
    <row r="11" spans="1:11" ht="16.5" customHeight="1">
      <c r="A11" s="91"/>
      <c r="B11" s="111"/>
      <c r="C11" s="112" t="s">
        <v>186</v>
      </c>
      <c r="D11" s="111"/>
      <c r="E11" s="112">
        <f>WS!AG18</f>
        <v>873687058.19999981</v>
      </c>
      <c r="F11" s="94"/>
      <c r="G11" s="91"/>
    </row>
    <row r="12" spans="1:11" ht="16.5" customHeight="1">
      <c r="A12" s="75"/>
      <c r="B12" s="109"/>
      <c r="C12" s="113" t="s">
        <v>187</v>
      </c>
      <c r="D12" s="109"/>
      <c r="E12" s="113">
        <f>WS!AG28</f>
        <v>3896621654</v>
      </c>
      <c r="F12" s="75"/>
      <c r="G12" s="75"/>
    </row>
    <row r="13" spans="1:11" ht="16.5" customHeight="1">
      <c r="A13" s="91"/>
      <c r="B13" s="111"/>
      <c r="C13" s="113" t="s">
        <v>188</v>
      </c>
      <c r="D13" s="111"/>
      <c r="E13" s="113">
        <f>WS!AG36</f>
        <v>6409947829</v>
      </c>
      <c r="F13" s="94"/>
      <c r="G13" s="91"/>
    </row>
    <row r="14" spans="1:11" ht="6.5" customHeight="1">
      <c r="A14" s="75"/>
      <c r="B14" s="109"/>
      <c r="C14" s="113"/>
      <c r="D14" s="109"/>
      <c r="E14" s="113"/>
      <c r="F14" s="75"/>
      <c r="G14" s="75"/>
    </row>
    <row r="15" spans="1:11" ht="16.5" customHeight="1">
      <c r="A15" s="91"/>
      <c r="B15" s="111"/>
      <c r="C15" s="98" t="s">
        <v>127</v>
      </c>
      <c r="D15" s="111"/>
      <c r="E15" s="113">
        <f>SUM(E11:E14)</f>
        <v>11180256541.200001</v>
      </c>
      <c r="F15" s="94"/>
      <c r="G15" s="91"/>
    </row>
    <row r="16" spans="1:11" ht="16.5" customHeight="1">
      <c r="B16" s="109"/>
      <c r="C16" s="114"/>
      <c r="D16" s="109"/>
      <c r="E16" s="114"/>
      <c r="F16" s="75"/>
    </row>
    <row r="17" spans="1:11" ht="16.5" customHeight="1">
      <c r="B17" s="91" t="s">
        <v>242</v>
      </c>
      <c r="C17" s="114"/>
      <c r="D17" s="109"/>
      <c r="E17" s="114"/>
      <c r="F17" s="75"/>
    </row>
    <row r="18" spans="1:11" ht="6.5" customHeight="1">
      <c r="B18" s="115"/>
      <c r="C18" s="114"/>
      <c r="D18" s="109"/>
      <c r="E18" s="114"/>
      <c r="F18" s="75"/>
    </row>
    <row r="19" spans="1:11" ht="16.5" customHeight="1">
      <c r="B19" s="109"/>
      <c r="C19" s="114" t="s">
        <v>36</v>
      </c>
      <c r="D19" s="109"/>
      <c r="E19" s="114">
        <f>WS!AG40-WS!AG41</f>
        <v>0</v>
      </c>
      <c r="F19" s="75"/>
    </row>
    <row r="20" spans="1:11" ht="16.5" customHeight="1">
      <c r="B20" s="109"/>
      <c r="C20" s="113" t="s">
        <v>37</v>
      </c>
      <c r="D20" s="109"/>
      <c r="E20" s="113">
        <f>WS!AG42-WS!AG43</f>
        <v>0</v>
      </c>
      <c r="F20" s="75"/>
    </row>
    <row r="21" spans="1:11" ht="16.5" customHeight="1">
      <c r="B21" s="111"/>
      <c r="C21" s="113" t="s">
        <v>38</v>
      </c>
      <c r="D21" s="111"/>
      <c r="E21" s="113">
        <f>WS!AG44-WS!AG45</f>
        <v>36000000</v>
      </c>
      <c r="F21" s="94"/>
    </row>
    <row r="22" spans="1:11" ht="16.5" customHeight="1">
      <c r="B22" s="109"/>
      <c r="C22" s="113" t="s">
        <v>194</v>
      </c>
      <c r="D22" s="109"/>
      <c r="E22" s="114">
        <f>WS!AG46-WS!AG47</f>
        <v>13200000</v>
      </c>
      <c r="F22" s="75"/>
    </row>
    <row r="23" spans="1:11" ht="16.5" customHeight="1">
      <c r="B23" s="111"/>
      <c r="C23" s="113" t="s">
        <v>44</v>
      </c>
      <c r="D23" s="111"/>
      <c r="E23" s="113">
        <f>WS!AG50</f>
        <v>0</v>
      </c>
      <c r="F23" s="94"/>
    </row>
    <row r="24" spans="1:11" ht="16.5" customHeight="1">
      <c r="B24" s="109"/>
      <c r="C24" s="113" t="s">
        <v>243</v>
      </c>
      <c r="D24" s="109"/>
      <c r="E24" s="114">
        <f>WS!AG39+WS!AG48+WS!AG49</f>
        <v>2525787514.0799999</v>
      </c>
      <c r="F24" s="75"/>
    </row>
    <row r="25" spans="1:11" ht="6.5" customHeight="1">
      <c r="B25" s="111"/>
      <c r="C25" s="113"/>
      <c r="D25" s="111"/>
      <c r="E25" s="113"/>
      <c r="F25" s="94"/>
    </row>
    <row r="26" spans="1:11" ht="16.5" customHeight="1">
      <c r="B26" s="109"/>
      <c r="C26" s="98" t="s">
        <v>244</v>
      </c>
      <c r="D26" s="109"/>
      <c r="E26" s="113">
        <f>SUM(E19:E25)</f>
        <v>2574987514.0799999</v>
      </c>
      <c r="F26" s="75"/>
    </row>
    <row r="27" spans="1:11" ht="16.5" customHeight="1">
      <c r="B27" s="109"/>
      <c r="C27" s="109"/>
      <c r="D27" s="109"/>
      <c r="E27" s="116"/>
      <c r="F27" s="75"/>
    </row>
    <row r="28" spans="1:11" ht="16.5" customHeight="1">
      <c r="B28" s="91" t="s">
        <v>245</v>
      </c>
      <c r="C28" s="113"/>
      <c r="D28" s="111"/>
      <c r="E28" s="113">
        <f>E15+E26</f>
        <v>13755244055.280001</v>
      </c>
      <c r="F28" s="94"/>
    </row>
    <row r="29" spans="1:11" ht="16.5" customHeight="1">
      <c r="B29" s="111"/>
      <c r="C29" s="113"/>
      <c r="D29" s="111"/>
      <c r="E29" s="113"/>
      <c r="F29" s="94"/>
    </row>
    <row r="30" spans="1:11" ht="16.5" customHeight="1">
      <c r="A30" s="82"/>
      <c r="B30" s="83" t="s">
        <v>233</v>
      </c>
      <c r="C30" s="84"/>
      <c r="D30" s="85"/>
      <c r="E30" s="86" t="s">
        <v>303</v>
      </c>
      <c r="F30" s="85"/>
      <c r="G30" s="87"/>
      <c r="H30" s="85"/>
      <c r="I30" s="87"/>
      <c r="J30" s="88"/>
      <c r="K30" s="85"/>
    </row>
    <row r="31" spans="1:11" ht="16.5" customHeight="1">
      <c r="A31" s="75"/>
      <c r="B31" s="89"/>
      <c r="C31" s="89"/>
      <c r="D31" s="76"/>
      <c r="E31" s="75"/>
      <c r="F31" s="76"/>
      <c r="G31" s="75"/>
      <c r="H31" s="75"/>
      <c r="I31" s="90"/>
      <c r="J31" s="75"/>
      <c r="K31" s="75"/>
    </row>
    <row r="32" spans="1:11" ht="16.5" customHeight="1">
      <c r="B32" s="91" t="s">
        <v>246</v>
      </c>
      <c r="C32" s="113"/>
      <c r="D32" s="111"/>
      <c r="E32" s="113"/>
      <c r="F32" s="94"/>
    </row>
    <row r="33" spans="1:10" ht="6.5" customHeight="1">
      <c r="B33" s="109"/>
      <c r="C33" s="109"/>
      <c r="D33" s="109"/>
      <c r="E33" s="116"/>
      <c r="F33" s="75"/>
    </row>
    <row r="34" spans="1:10" ht="16.5" customHeight="1">
      <c r="B34" s="116"/>
      <c r="C34" s="117" t="s">
        <v>101</v>
      </c>
      <c r="D34" s="116"/>
      <c r="E34" s="114">
        <f>WS!AG62</f>
        <v>5786577564.0799999</v>
      </c>
      <c r="F34" s="100"/>
    </row>
    <row r="35" spans="1:10" ht="16.5" customHeight="1">
      <c r="B35" s="116"/>
      <c r="C35" s="117" t="s">
        <v>102</v>
      </c>
      <c r="D35" s="116"/>
      <c r="E35" s="117">
        <f>WS!AG69</f>
        <v>1288636646</v>
      </c>
      <c r="F35" s="102"/>
    </row>
    <row r="36" spans="1:10" ht="6.5" customHeight="1">
      <c r="A36" s="90"/>
      <c r="B36" s="116"/>
      <c r="C36" s="113"/>
      <c r="D36" s="116"/>
      <c r="E36" s="113"/>
      <c r="F36" s="102"/>
    </row>
    <row r="37" spans="1:10" ht="16.5" customHeight="1">
      <c r="A37" s="90"/>
      <c r="B37" s="116"/>
      <c r="C37" s="93" t="s">
        <v>216</v>
      </c>
      <c r="D37" s="116"/>
      <c r="E37" s="113">
        <f>SUM(E34:E36)</f>
        <v>7075214210.0799999</v>
      </c>
      <c r="F37" s="102"/>
    </row>
    <row r="38" spans="1:10" ht="16.5" customHeight="1">
      <c r="A38" s="90"/>
      <c r="B38" s="116"/>
      <c r="C38" s="113"/>
      <c r="D38" s="116"/>
      <c r="E38" s="113"/>
      <c r="F38" s="102"/>
    </row>
    <row r="39" spans="1:10" ht="16.5" customHeight="1">
      <c r="A39" s="90"/>
      <c r="B39" s="98" t="s">
        <v>247</v>
      </c>
      <c r="C39" s="113"/>
      <c r="D39" s="116"/>
      <c r="E39" s="113"/>
      <c r="F39" s="102"/>
    </row>
    <row r="40" spans="1:10" ht="6.5" customHeight="1">
      <c r="A40" s="91"/>
      <c r="B40" s="111"/>
      <c r="C40" s="113"/>
      <c r="D40" s="111"/>
      <c r="E40" s="113"/>
      <c r="F40" s="94"/>
    </row>
    <row r="41" spans="1:10" ht="16.5" customHeight="1">
      <c r="A41" s="75"/>
      <c r="B41" s="109"/>
      <c r="C41" s="113" t="s">
        <v>56</v>
      </c>
      <c r="D41" s="109"/>
      <c r="E41" s="114">
        <f>WS!AG72</f>
        <v>0</v>
      </c>
      <c r="F41" s="75"/>
    </row>
    <row r="42" spans="1:10" ht="16.5" customHeight="1">
      <c r="A42" s="91"/>
      <c r="B42" s="111"/>
      <c r="C42" s="113" t="s">
        <v>57</v>
      </c>
      <c r="D42" s="111"/>
      <c r="E42" s="114">
        <f>WS!AG73</f>
        <v>0</v>
      </c>
      <c r="F42" s="94"/>
    </row>
    <row r="43" spans="1:10" ht="16.5" customHeight="1">
      <c r="A43" s="75"/>
      <c r="B43" s="109"/>
      <c r="C43" s="113" t="s">
        <v>58</v>
      </c>
      <c r="D43" s="109"/>
      <c r="E43" s="114">
        <f>WS!AG74</f>
        <v>6680029845.1999998</v>
      </c>
      <c r="F43" s="75"/>
    </row>
    <row r="44" spans="1:10" ht="16.5" customHeight="1">
      <c r="A44" s="75"/>
      <c r="B44" s="118"/>
      <c r="C44" s="113" t="s">
        <v>59</v>
      </c>
      <c r="D44" s="109"/>
      <c r="E44" s="114">
        <f>WS!AG75</f>
        <v>0</v>
      </c>
      <c r="F44" s="105"/>
      <c r="G44" s="106"/>
      <c r="H44" s="104"/>
      <c r="I44" s="106"/>
      <c r="J44" s="75"/>
    </row>
    <row r="45" spans="1:10" ht="16.5" customHeight="1">
      <c r="A45" s="75"/>
      <c r="B45" s="109"/>
      <c r="C45" s="113" t="s">
        <v>60</v>
      </c>
      <c r="D45" s="109"/>
      <c r="E45" s="114">
        <f>WS!AG76</f>
        <v>0</v>
      </c>
      <c r="F45" s="75"/>
      <c r="G45" s="75"/>
      <c r="H45" s="75"/>
      <c r="I45" s="75"/>
      <c r="J45" s="75"/>
    </row>
    <row r="46" spans="1:10" ht="6.5" customHeight="1">
      <c r="A46" s="75"/>
      <c r="B46" s="109"/>
      <c r="C46" s="109"/>
      <c r="D46" s="109"/>
      <c r="E46" s="119"/>
      <c r="F46" s="75"/>
      <c r="G46" s="75"/>
      <c r="H46" s="75"/>
      <c r="I46" s="75"/>
      <c r="J46" s="75"/>
    </row>
    <row r="47" spans="1:10" ht="16.5" customHeight="1">
      <c r="A47" s="75"/>
      <c r="B47" s="109"/>
      <c r="C47" s="93" t="s">
        <v>217</v>
      </c>
      <c r="D47" s="109"/>
      <c r="E47" s="120">
        <f>SUM(E41:E46)</f>
        <v>6680029845.1999998</v>
      </c>
      <c r="F47" s="75"/>
      <c r="G47" s="75"/>
      <c r="H47" s="75"/>
      <c r="I47" s="75"/>
      <c r="J47" s="75"/>
    </row>
    <row r="48" spans="1:10" ht="16.5" customHeight="1">
      <c r="A48" s="75"/>
      <c r="B48" s="109"/>
      <c r="C48" s="109"/>
      <c r="D48" s="109"/>
      <c r="E48" s="119"/>
      <c r="F48" s="75"/>
      <c r="G48" s="75"/>
      <c r="H48" s="75"/>
      <c r="I48" s="75"/>
      <c r="J48" s="75"/>
    </row>
    <row r="49" spans="1:10" ht="16.5" customHeight="1">
      <c r="A49" s="75"/>
      <c r="B49" s="91" t="s">
        <v>248</v>
      </c>
      <c r="C49" s="109"/>
      <c r="D49" s="109"/>
      <c r="E49" s="120">
        <f>E37+E47</f>
        <v>13755244055.279999</v>
      </c>
      <c r="F49" s="75"/>
      <c r="G49" s="75"/>
      <c r="H49" s="75"/>
      <c r="I49" s="75"/>
      <c r="J49" s="75"/>
    </row>
    <row r="50" spans="1:10" ht="16.5" customHeight="1">
      <c r="A50" s="75"/>
      <c r="B50" s="109"/>
      <c r="C50" s="109"/>
      <c r="D50" s="109"/>
      <c r="E50" s="119"/>
      <c r="F50" s="75"/>
      <c r="G50" s="75"/>
      <c r="H50" s="75"/>
      <c r="I50" s="75"/>
      <c r="J50" s="75"/>
    </row>
    <row r="51" spans="1:10" ht="16.5" customHeight="1">
      <c r="A51" s="95"/>
      <c r="B51" s="95" t="s">
        <v>236</v>
      </c>
      <c r="C51" s="95"/>
      <c r="D51" s="95"/>
      <c r="E51" s="95"/>
      <c r="F51" s="95"/>
      <c r="G51" s="96"/>
      <c r="H51" s="95"/>
      <c r="I51" s="95"/>
      <c r="J51" s="108"/>
    </row>
    <row r="52" spans="1:10" ht="16.5" customHeight="1">
      <c r="A52" s="95"/>
      <c r="B52" s="95" t="s">
        <v>237</v>
      </c>
      <c r="C52" s="95"/>
      <c r="D52" s="95"/>
      <c r="E52" s="95"/>
      <c r="F52" s="95"/>
      <c r="G52" s="96"/>
      <c r="H52" s="95"/>
      <c r="I52" s="95"/>
      <c r="J52" s="108"/>
    </row>
    <row r="53" spans="1:10" ht="16.5" customHeight="1">
      <c r="A53" s="75"/>
      <c r="B53" s="75"/>
      <c r="C53" s="75"/>
      <c r="D53" s="75"/>
      <c r="E53" s="75"/>
      <c r="F53" s="75"/>
      <c r="G53" s="75"/>
      <c r="H53" s="75"/>
      <c r="I53" s="75"/>
      <c r="J53" s="75"/>
    </row>
    <row r="54" spans="1:10" ht="16.5" customHeight="1">
      <c r="A54" s="75"/>
      <c r="B54" s="75"/>
      <c r="C54" s="75"/>
      <c r="D54" s="75"/>
      <c r="E54" s="95"/>
      <c r="F54" s="75"/>
      <c r="G54" s="96"/>
      <c r="H54" s="75"/>
      <c r="I54" s="95"/>
      <c r="J54" s="75"/>
    </row>
    <row r="55" spans="1:10" ht="16.5" customHeight="1">
      <c r="A55" s="75"/>
      <c r="B55" s="75"/>
      <c r="C55" s="75"/>
      <c r="D55" s="75"/>
      <c r="E55" s="103"/>
      <c r="F55" s="75"/>
      <c r="G55" s="99"/>
      <c r="H55" s="75"/>
      <c r="I55" s="103"/>
      <c r="J55" s="75"/>
    </row>
    <row r="56" spans="1:10" ht="16.5" customHeight="1">
      <c r="A56" s="75"/>
      <c r="B56" s="75"/>
      <c r="C56" s="75"/>
      <c r="D56" s="75"/>
      <c r="E56" s="103"/>
      <c r="F56" s="75"/>
      <c r="G56" s="99"/>
      <c r="H56" s="75"/>
      <c r="I56" s="103"/>
      <c r="J56" s="75"/>
    </row>
    <row r="57" spans="1:10" ht="16.5" customHeight="1">
      <c r="A57" s="75"/>
      <c r="B57" s="75"/>
      <c r="C57" s="75"/>
      <c r="D57" s="75"/>
      <c r="E57" s="103"/>
      <c r="F57" s="75"/>
      <c r="G57" s="99"/>
      <c r="H57" s="75"/>
      <c r="I57" s="75"/>
      <c r="J57" s="75"/>
    </row>
    <row r="58" spans="1:10" ht="16.5" customHeight="1">
      <c r="G58" s="99"/>
      <c r="H58" s="75"/>
      <c r="I58" s="75"/>
      <c r="J58" s="75"/>
    </row>
    <row r="59" spans="1:10" ht="15.5">
      <c r="G59" s="99"/>
      <c r="H59" s="75"/>
      <c r="I59" s="75"/>
      <c r="J59" s="75"/>
    </row>
  </sheetData>
  <mergeCells count="1">
    <mergeCell ref="B4:D4"/>
  </mergeCells>
  <pageMargins left="0.7" right="0.7" top="0.75" bottom="0.75" header="0.3" footer="0.3"/>
  <pageSetup paperSize="9" scale="8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X153"/>
  <sheetViews>
    <sheetView workbookViewId="0">
      <pane xSplit="2" ySplit="6" topLeftCell="C133" activePane="bottomRight" state="frozen"/>
      <selection pane="topRight"/>
      <selection pane="bottomLeft"/>
      <selection pane="bottomRight" activeCell="D133" sqref="D133"/>
    </sheetView>
  </sheetViews>
  <sheetFormatPr defaultColWidth="10" defaultRowHeight="14.5"/>
  <cols>
    <col min="1" max="1" width="10.54296875" bestFit="1" customWidth="1"/>
    <col min="2" max="2" width="43.81640625" bestFit="1" customWidth="1"/>
    <col min="3" max="14" width="17.1796875" customWidth="1"/>
    <col min="15" max="15" width="17.36328125" bestFit="1" customWidth="1"/>
    <col min="16" max="16" width="12.1796875" customWidth="1"/>
    <col min="17" max="17" width="14.81640625" bestFit="1" customWidth="1"/>
  </cols>
  <sheetData>
    <row r="2" spans="1:24">
      <c r="B2" t="s">
        <v>228</v>
      </c>
      <c r="C2" s="17">
        <v>-1384003</v>
      </c>
      <c r="D2" s="17">
        <v>34399494</v>
      </c>
      <c r="E2" s="17">
        <v>35734456</v>
      </c>
      <c r="F2" s="17">
        <v>36015982</v>
      </c>
      <c r="G2" s="17">
        <v>65836233</v>
      </c>
      <c r="H2" s="17">
        <v>99329658.300000012</v>
      </c>
      <c r="I2" s="17">
        <v>134754132.30000001</v>
      </c>
      <c r="J2" s="17">
        <v>162437105.30000001</v>
      </c>
      <c r="K2" s="17">
        <v>180870045</v>
      </c>
      <c r="L2" s="17">
        <v>161673671</v>
      </c>
      <c r="M2" s="17">
        <v>161673671</v>
      </c>
      <c r="N2" s="17">
        <v>161673671</v>
      </c>
    </row>
    <row r="3" spans="1:24">
      <c r="B3" t="s">
        <v>229</v>
      </c>
      <c r="C3" s="17">
        <v>-7321071</v>
      </c>
      <c r="D3" s="17">
        <v>2258497</v>
      </c>
      <c r="E3" s="17">
        <v>1334962</v>
      </c>
      <c r="F3" s="17">
        <v>281526</v>
      </c>
      <c r="G3" s="17">
        <v>29820251</v>
      </c>
      <c r="H3" s="17">
        <v>33493425.300000012</v>
      </c>
      <c r="I3" s="17">
        <v>35424474</v>
      </c>
      <c r="J3" s="17">
        <v>27682973</v>
      </c>
      <c r="K3" s="17">
        <v>18432939.700000003</v>
      </c>
      <c r="L3" s="17">
        <v>14328626</v>
      </c>
      <c r="M3" s="17">
        <v>14328626</v>
      </c>
      <c r="N3" s="17">
        <v>14328626</v>
      </c>
      <c r="O3" s="18">
        <v>155736603</v>
      </c>
      <c r="Q3" s="17"/>
    </row>
    <row r="4" spans="1:24" ht="5" customHeight="1"/>
    <row r="5" spans="1:24" ht="15" customHeight="1">
      <c r="A5" s="292" t="s">
        <v>0</v>
      </c>
      <c r="B5" s="290" t="s">
        <v>1</v>
      </c>
      <c r="C5" s="285">
        <v>46023</v>
      </c>
      <c r="D5" s="285">
        <v>46054</v>
      </c>
      <c r="E5" s="285">
        <v>46082</v>
      </c>
      <c r="F5" s="285">
        <v>46113</v>
      </c>
      <c r="G5" s="285">
        <v>46143</v>
      </c>
      <c r="H5" s="285">
        <v>46174</v>
      </c>
      <c r="I5" s="285">
        <v>46204</v>
      </c>
      <c r="J5" s="285">
        <v>46235</v>
      </c>
      <c r="K5" s="285">
        <v>46266</v>
      </c>
      <c r="L5" s="285">
        <v>46296</v>
      </c>
      <c r="M5" s="285">
        <v>46327</v>
      </c>
      <c r="N5" s="285">
        <v>46357</v>
      </c>
    </row>
    <row r="6" spans="1:24">
      <c r="A6" s="293"/>
      <c r="B6" s="291"/>
      <c r="C6" s="286"/>
      <c r="D6" s="286"/>
      <c r="E6" s="286"/>
      <c r="F6" s="286"/>
      <c r="G6" s="286"/>
      <c r="H6" s="286"/>
      <c r="I6" s="286"/>
      <c r="J6" s="286"/>
      <c r="K6" s="286"/>
      <c r="L6" s="286"/>
      <c r="M6" s="286"/>
      <c r="N6" s="286"/>
    </row>
    <row r="7" spans="1:24">
      <c r="A7" s="280" t="s">
        <v>99</v>
      </c>
      <c r="B7" s="280"/>
      <c r="C7" s="25"/>
      <c r="D7" s="25"/>
      <c r="E7" s="25"/>
      <c r="F7" s="25"/>
      <c r="G7" s="25"/>
      <c r="H7" s="25"/>
      <c r="I7" s="25"/>
      <c r="J7" s="25"/>
      <c r="K7" s="25"/>
      <c r="L7" s="25"/>
      <c r="M7" s="25"/>
      <c r="N7" s="25"/>
    </row>
    <row r="8" spans="1:24">
      <c r="A8" s="4" t="s">
        <v>186</v>
      </c>
      <c r="B8" s="26"/>
      <c r="C8" s="30"/>
      <c r="D8" s="30"/>
      <c r="E8" s="30"/>
      <c r="F8" s="30"/>
      <c r="G8" s="30"/>
      <c r="H8" s="30"/>
      <c r="I8" s="30"/>
      <c r="J8" s="30"/>
      <c r="K8" s="30"/>
      <c r="L8" s="30"/>
      <c r="M8" s="30"/>
      <c r="N8" s="30"/>
    </row>
    <row r="9" spans="1:24">
      <c r="A9" s="6">
        <v>1101</v>
      </c>
      <c r="B9" s="31" t="s">
        <v>251</v>
      </c>
      <c r="C9" s="30">
        <f>WS!F9/10^6</f>
        <v>0</v>
      </c>
      <c r="D9" s="30">
        <f>WS!I9/10^6</f>
        <v>0</v>
      </c>
      <c r="E9" s="30">
        <f>WS!L9/10^6</f>
        <v>0</v>
      </c>
      <c r="F9" s="30">
        <f>WS!O9/10^6</f>
        <v>0</v>
      </c>
      <c r="G9" s="30">
        <f>WS!R9/10^6</f>
        <v>0</v>
      </c>
      <c r="H9" s="30">
        <f>WS!U9/10^6</f>
        <v>0</v>
      </c>
      <c r="I9" s="30">
        <f>WS!X9/10^6</f>
        <v>0</v>
      </c>
      <c r="J9" s="30">
        <f>WS!AA9/10^6</f>
        <v>0</v>
      </c>
      <c r="K9" s="30">
        <f>WS!AD9/10^6</f>
        <v>0</v>
      </c>
      <c r="L9" s="30">
        <f>WS!AG9/10^6</f>
        <v>0</v>
      </c>
      <c r="M9" s="30">
        <f>WS!AH9/10^6</f>
        <v>0</v>
      </c>
      <c r="N9" s="30">
        <f>WS!AI9/10^6</f>
        <v>0</v>
      </c>
      <c r="O9" s="33"/>
      <c r="P9" s="33"/>
      <c r="Q9" s="33"/>
      <c r="R9" s="33"/>
      <c r="S9" s="33"/>
      <c r="T9" s="33"/>
      <c r="U9" s="33"/>
      <c r="V9" s="33"/>
      <c r="W9" s="33"/>
      <c r="X9" s="33"/>
    </row>
    <row r="10" spans="1:24">
      <c r="A10" s="6">
        <v>1102</v>
      </c>
      <c r="B10" s="31" t="s">
        <v>153</v>
      </c>
      <c r="C10" s="30">
        <f>WS!F10/10^6</f>
        <v>0</v>
      </c>
      <c r="D10" s="30">
        <f>WS!I10/10^6</f>
        <v>0</v>
      </c>
      <c r="E10" s="30">
        <f>WS!L10/10^6</f>
        <v>0</v>
      </c>
      <c r="F10" s="30">
        <f>WS!O10/10^6</f>
        <v>0</v>
      </c>
      <c r="G10" s="30">
        <f>WS!R10/10^6</f>
        <v>0</v>
      </c>
      <c r="H10" s="30">
        <f>WS!U10/10^6</f>
        <v>0</v>
      </c>
      <c r="I10" s="30">
        <f>WS!X10/10^6</f>
        <v>0</v>
      </c>
      <c r="J10" s="30">
        <f>WS!AA10/10^6</f>
        <v>0</v>
      </c>
      <c r="K10" s="30">
        <f>WS!AD10/10^6</f>
        <v>0</v>
      </c>
      <c r="L10" s="30">
        <f>WS!AG10/10^6</f>
        <v>0</v>
      </c>
      <c r="M10" s="30">
        <f>WS!AH10/10^6</f>
        <v>0</v>
      </c>
      <c r="N10" s="30">
        <f>WS!AI10/10^6</f>
        <v>0</v>
      </c>
      <c r="O10" s="33"/>
      <c r="P10" s="33"/>
      <c r="Q10" s="33"/>
      <c r="R10" s="33"/>
      <c r="S10" s="33"/>
      <c r="T10" s="33"/>
      <c r="U10" s="33"/>
      <c r="V10" s="33"/>
      <c r="W10" s="33"/>
      <c r="X10" s="33"/>
    </row>
    <row r="11" spans="1:24">
      <c r="A11" s="6">
        <v>1103</v>
      </c>
      <c r="B11" s="31" t="s">
        <v>154</v>
      </c>
      <c r="C11" s="30">
        <f>WS!F11/10^6</f>
        <v>3.4522612000000477</v>
      </c>
      <c r="D11" s="30">
        <f>WS!I11/10^6</f>
        <v>44.003004199999808</v>
      </c>
      <c r="E11" s="30">
        <f>WS!L11/10^6</f>
        <v>17.104929199999809</v>
      </c>
      <c r="F11" s="30">
        <f>WS!O11/10^6</f>
        <v>3.8854961999998094</v>
      </c>
      <c r="G11" s="30">
        <f>WS!R11/10^6</f>
        <v>56.542540199999806</v>
      </c>
      <c r="H11" s="30">
        <f>WS!U11/10^6</f>
        <v>56.542540199999806</v>
      </c>
      <c r="I11" s="30">
        <f>WS!X11/10^6</f>
        <v>56.542540199999806</v>
      </c>
      <c r="J11" s="30">
        <f>WS!AA11/10^6</f>
        <v>56.542540199999806</v>
      </c>
      <c r="K11" s="30">
        <f>WS!AD11/10^6</f>
        <v>56.542540199999806</v>
      </c>
      <c r="L11" s="30">
        <f>WS!AG11/10^6</f>
        <v>56.542540199999806</v>
      </c>
      <c r="M11" s="30">
        <f>WS!AH11/10^6</f>
        <v>0</v>
      </c>
      <c r="N11" s="30">
        <f>WS!AI11/10^6</f>
        <v>0</v>
      </c>
      <c r="O11" s="33"/>
      <c r="P11" s="33"/>
      <c r="Q11" s="33"/>
      <c r="R11" s="33"/>
      <c r="S11" s="33"/>
      <c r="T11" s="33"/>
      <c r="U11" s="33"/>
      <c r="V11" s="33"/>
      <c r="W11" s="33"/>
      <c r="X11" s="33"/>
    </row>
    <row r="12" spans="1:24">
      <c r="A12" s="6">
        <v>1104</v>
      </c>
      <c r="B12" s="31" t="s">
        <v>182</v>
      </c>
      <c r="C12" s="30">
        <f>WS!F12/10^6</f>
        <v>26</v>
      </c>
      <c r="D12" s="30">
        <f>WS!I12/10^6</f>
        <v>26</v>
      </c>
      <c r="E12" s="30">
        <f>WS!L12/10^6</f>
        <v>26</v>
      </c>
      <c r="F12" s="30">
        <f>WS!O12/10^6</f>
        <v>26</v>
      </c>
      <c r="G12" s="30">
        <f>WS!R12/10^6</f>
        <v>26</v>
      </c>
      <c r="H12" s="30">
        <f>WS!U12/10^6</f>
        <v>26</v>
      </c>
      <c r="I12" s="30">
        <f>WS!X12/10^6</f>
        <v>26</v>
      </c>
      <c r="J12" s="30">
        <f>WS!AA12/10^6</f>
        <v>26</v>
      </c>
      <c r="K12" s="30">
        <f>WS!AD12/10^6</f>
        <v>26</v>
      </c>
      <c r="L12" s="30">
        <f>WS!AG12/10^6</f>
        <v>26</v>
      </c>
      <c r="M12" s="30">
        <f>WS!AH12/10^6</f>
        <v>0</v>
      </c>
      <c r="N12" s="30">
        <f>WS!AI12/10^6</f>
        <v>0</v>
      </c>
      <c r="O12" s="33"/>
      <c r="P12" s="33"/>
      <c r="Q12" s="33"/>
      <c r="R12" s="33"/>
      <c r="S12" s="33"/>
      <c r="T12" s="33"/>
      <c r="U12" s="33"/>
      <c r="V12" s="33"/>
      <c r="W12" s="33"/>
      <c r="X12" s="33"/>
    </row>
    <row r="13" spans="1:24">
      <c r="A13" s="6">
        <v>1105</v>
      </c>
      <c r="B13" s="31" t="s">
        <v>183</v>
      </c>
      <c r="C13" s="30">
        <f>WS!F13/10^6</f>
        <v>0</v>
      </c>
      <c r="D13" s="30">
        <f>WS!I13/10^6</f>
        <v>0</v>
      </c>
      <c r="E13" s="30">
        <f>WS!L13/10^6</f>
        <v>0</v>
      </c>
      <c r="F13" s="30">
        <f>WS!O13/10^6</f>
        <v>0</v>
      </c>
      <c r="G13" s="30">
        <f>WS!R13/10^6</f>
        <v>0</v>
      </c>
      <c r="H13" s="30">
        <f>WS!U13/10^6</f>
        <v>0</v>
      </c>
      <c r="I13" s="30">
        <f>WS!X13/10^6</f>
        <v>0</v>
      </c>
      <c r="J13" s="30">
        <f>WS!AA13/10^6</f>
        <v>0</v>
      </c>
      <c r="K13" s="30">
        <f>WS!AD13/10^6</f>
        <v>0</v>
      </c>
      <c r="L13" s="30">
        <f>WS!AG13/10^6</f>
        <v>0</v>
      </c>
      <c r="M13" s="30">
        <f>WS!AH13/10^6</f>
        <v>0</v>
      </c>
      <c r="N13" s="30">
        <f>WS!AI13/10^6</f>
        <v>0</v>
      </c>
      <c r="O13" s="33"/>
      <c r="P13" s="33"/>
      <c r="Q13" s="33"/>
      <c r="R13" s="33"/>
      <c r="S13" s="33"/>
      <c r="T13" s="33"/>
      <c r="U13" s="33"/>
      <c r="V13" s="33"/>
      <c r="W13" s="33"/>
      <c r="X13" s="33"/>
    </row>
    <row r="14" spans="1:24">
      <c r="A14" s="6">
        <v>1106</v>
      </c>
      <c r="B14" s="31" t="s">
        <v>184</v>
      </c>
      <c r="C14" s="30">
        <f>WS!F14/10^6</f>
        <v>0</v>
      </c>
      <c r="D14" s="30">
        <f>WS!I14/10^6</f>
        <v>0</v>
      </c>
      <c r="E14" s="30">
        <f>WS!L14/10^6</f>
        <v>0</v>
      </c>
      <c r="F14" s="30">
        <f>WS!O14/10^6</f>
        <v>0</v>
      </c>
      <c r="G14" s="30">
        <f>WS!R14/10^6</f>
        <v>0</v>
      </c>
      <c r="H14" s="30">
        <f>WS!U14/10^6</f>
        <v>0</v>
      </c>
      <c r="I14" s="30">
        <f>WS!X14/10^6</f>
        <v>0</v>
      </c>
      <c r="J14" s="30">
        <f>WS!AA14/10^6</f>
        <v>0</v>
      </c>
      <c r="K14" s="30">
        <f>WS!AD14/10^6</f>
        <v>0</v>
      </c>
      <c r="L14" s="30">
        <f>WS!AG14/10^6</f>
        <v>0</v>
      </c>
      <c r="M14" s="30">
        <f>WS!AH14/10^6</f>
        <v>0</v>
      </c>
      <c r="N14" s="30">
        <f>WS!AI14/10^6</f>
        <v>0</v>
      </c>
      <c r="O14" s="33"/>
      <c r="P14" s="33"/>
      <c r="Q14" s="33"/>
      <c r="R14" s="33"/>
      <c r="S14" s="33"/>
      <c r="T14" s="33"/>
      <c r="U14" s="33"/>
      <c r="V14" s="33"/>
      <c r="W14" s="33"/>
      <c r="X14" s="33"/>
    </row>
    <row r="15" spans="1:24">
      <c r="A15" s="6">
        <v>1107</v>
      </c>
      <c r="B15" s="31" t="s">
        <v>185</v>
      </c>
      <c r="C15" s="30">
        <f>WS!F15/10^6</f>
        <v>0</v>
      </c>
      <c r="D15" s="30">
        <f>WS!I15/10^6</f>
        <v>0</v>
      </c>
      <c r="E15" s="30">
        <f>WS!L15/10^6</f>
        <v>0</v>
      </c>
      <c r="F15" s="30">
        <f>WS!O15/10^6</f>
        <v>0</v>
      </c>
      <c r="G15" s="30">
        <f>WS!R15/10^6</f>
        <v>0</v>
      </c>
      <c r="H15" s="30">
        <f>WS!U15/10^6</f>
        <v>0</v>
      </c>
      <c r="I15" s="30">
        <f>WS!X15/10^6</f>
        <v>0</v>
      </c>
      <c r="J15" s="30">
        <f>WS!AA15/10^6</f>
        <v>0</v>
      </c>
      <c r="K15" s="30">
        <f>WS!AD15/10^6</f>
        <v>0</v>
      </c>
      <c r="L15" s="30">
        <f>WS!AG15/10^6</f>
        <v>0</v>
      </c>
      <c r="M15" s="30">
        <f>WS!AH15/10^6</f>
        <v>0</v>
      </c>
      <c r="N15" s="30">
        <f>WS!AI15/10^6</f>
        <v>0</v>
      </c>
      <c r="O15" s="33"/>
      <c r="P15" s="33"/>
      <c r="Q15" s="33"/>
      <c r="R15" s="33"/>
      <c r="S15" s="33"/>
      <c r="T15" s="33"/>
      <c r="U15" s="33"/>
      <c r="V15" s="33"/>
      <c r="W15" s="33"/>
      <c r="X15" s="33"/>
    </row>
    <row r="16" spans="1:24">
      <c r="A16" s="6">
        <v>1108</v>
      </c>
      <c r="B16" s="31" t="s">
        <v>155</v>
      </c>
      <c r="C16" s="30">
        <f>WS!F16/10^6</f>
        <v>0.14451800000000001</v>
      </c>
      <c r="D16" s="30">
        <f>WS!I16/10^6</f>
        <v>200.14451800000001</v>
      </c>
      <c r="E16" s="30">
        <f>WS!L16/10^6</f>
        <v>1200.1445180000001</v>
      </c>
      <c r="F16" s="30">
        <f>WS!O16/10^6</f>
        <v>436.14451800000001</v>
      </c>
      <c r="G16" s="30">
        <f>WS!R16/10^6</f>
        <v>791.14451799999995</v>
      </c>
      <c r="H16" s="30">
        <f>WS!U16/10^6</f>
        <v>791.14451799999995</v>
      </c>
      <c r="I16" s="30">
        <f>WS!X16/10^6</f>
        <v>791.14451799999995</v>
      </c>
      <c r="J16" s="30">
        <f>WS!AA16/10^6</f>
        <v>791.14451799999995</v>
      </c>
      <c r="K16" s="30">
        <f>WS!AD16/10^6</f>
        <v>791.14451799999995</v>
      </c>
      <c r="L16" s="30">
        <f>WS!AG16/10^6</f>
        <v>791.14451799999995</v>
      </c>
      <c r="M16" s="30">
        <f>WS!AH16/10^6</f>
        <v>0</v>
      </c>
      <c r="N16" s="30">
        <f>WS!AI16/10^6</f>
        <v>0</v>
      </c>
      <c r="O16" s="33"/>
      <c r="P16" s="33"/>
      <c r="Q16" s="33"/>
      <c r="R16" s="33"/>
      <c r="S16" s="33"/>
      <c r="T16" s="33"/>
      <c r="U16" s="33"/>
      <c r="V16" s="33"/>
      <c r="W16" s="33"/>
      <c r="X16" s="33"/>
    </row>
    <row r="17" spans="1:24">
      <c r="A17" s="6">
        <v>1109</v>
      </c>
      <c r="B17" s="31" t="s">
        <v>255</v>
      </c>
      <c r="C17" s="30">
        <f>WS!F17/10^6</f>
        <v>0</v>
      </c>
      <c r="D17" s="30">
        <f>WS!I17/10^6</f>
        <v>0</v>
      </c>
      <c r="E17" s="30">
        <f>WS!L17/10^6</f>
        <v>0</v>
      </c>
      <c r="F17" s="30">
        <f>WS!O17/10^6</f>
        <v>0</v>
      </c>
      <c r="G17" s="30">
        <f>WS!R17/10^6</f>
        <v>0</v>
      </c>
      <c r="H17" s="30">
        <f>WS!U17/10^6</f>
        <v>0</v>
      </c>
      <c r="I17" s="30">
        <f>WS!X17/10^6</f>
        <v>0</v>
      </c>
      <c r="J17" s="30">
        <f>WS!AA17/10^6</f>
        <v>0</v>
      </c>
      <c r="K17" s="30">
        <f>WS!AD17/10^6</f>
        <v>0</v>
      </c>
      <c r="L17" s="30">
        <f>WS!AG17/10^6</f>
        <v>0</v>
      </c>
      <c r="M17" s="30">
        <f>WS!AH17/10^6</f>
        <v>0</v>
      </c>
      <c r="N17" s="30">
        <f>WS!AI17/10^6</f>
        <v>0</v>
      </c>
      <c r="O17" s="33"/>
      <c r="P17" s="33"/>
      <c r="Q17" s="33"/>
      <c r="R17" s="33"/>
      <c r="S17" s="33"/>
      <c r="T17" s="33"/>
      <c r="U17" s="33"/>
      <c r="V17" s="33"/>
      <c r="W17" s="33"/>
      <c r="X17" s="33"/>
    </row>
    <row r="18" spans="1:24">
      <c r="A18" s="287" t="s">
        <v>208</v>
      </c>
      <c r="B18" s="287"/>
      <c r="C18" s="36">
        <f>SUM(C9:C17)</f>
        <v>29.59677920000005</v>
      </c>
      <c r="D18" s="36">
        <f t="shared" ref="D18:L18" si="0">SUM(D9:D17)</f>
        <v>270.1475221999998</v>
      </c>
      <c r="E18" s="36">
        <f t="shared" si="0"/>
        <v>1243.2494471999998</v>
      </c>
      <c r="F18" s="36">
        <f t="shared" si="0"/>
        <v>466.03001419999981</v>
      </c>
      <c r="G18" s="36">
        <f t="shared" si="0"/>
        <v>873.6870581999998</v>
      </c>
      <c r="H18" s="36">
        <f t="shared" si="0"/>
        <v>873.6870581999998</v>
      </c>
      <c r="I18" s="36">
        <f t="shared" si="0"/>
        <v>873.6870581999998</v>
      </c>
      <c r="J18" s="36">
        <f t="shared" si="0"/>
        <v>873.6870581999998</v>
      </c>
      <c r="K18" s="36">
        <f t="shared" si="0"/>
        <v>873.6870581999998</v>
      </c>
      <c r="L18" s="36">
        <f t="shared" si="0"/>
        <v>873.6870581999998</v>
      </c>
      <c r="M18" s="36">
        <f t="shared" ref="M18:N18" si="1">SUM(M9:M17)</f>
        <v>0</v>
      </c>
      <c r="N18" s="36">
        <f t="shared" si="1"/>
        <v>0</v>
      </c>
      <c r="O18" s="33"/>
      <c r="P18" s="33"/>
      <c r="Q18" s="33"/>
      <c r="R18" s="33"/>
      <c r="S18" s="33"/>
      <c r="T18" s="33"/>
      <c r="U18" s="33"/>
      <c r="V18" s="33"/>
      <c r="W18" s="33"/>
      <c r="X18" s="33"/>
    </row>
    <row r="19" spans="1:24">
      <c r="A19" s="12" t="s">
        <v>187</v>
      </c>
      <c r="B19" s="26"/>
      <c r="C19" s="30">
        <v>0</v>
      </c>
      <c r="D19" s="30">
        <f>WS!I19/10^6</f>
        <v>0</v>
      </c>
      <c r="E19" s="30">
        <f>WS!L19/10^6</f>
        <v>0</v>
      </c>
      <c r="F19" s="30">
        <f>WS!O19/10^6</f>
        <v>0</v>
      </c>
      <c r="G19" s="30">
        <f>WS!R19/10^6</f>
        <v>0</v>
      </c>
      <c r="H19" s="30">
        <f>WS!U19/10^6</f>
        <v>0</v>
      </c>
      <c r="I19" s="30">
        <f>WS!X19/10^6</f>
        <v>0</v>
      </c>
      <c r="J19" s="30">
        <f>WS!AA19/10^6</f>
        <v>0</v>
      </c>
      <c r="K19" s="30">
        <f>WS!AD19/10^6</f>
        <v>0</v>
      </c>
      <c r="L19" s="30">
        <f>WS!AG19/10^6</f>
        <v>0</v>
      </c>
      <c r="M19" s="30">
        <f>WS!AH19/10^6</f>
        <v>0</v>
      </c>
      <c r="N19" s="30">
        <f>WS!AI19/10^6</f>
        <v>0</v>
      </c>
      <c r="O19" s="33"/>
      <c r="P19" s="33"/>
      <c r="Q19" s="33"/>
      <c r="R19" s="33"/>
      <c r="S19" s="33"/>
      <c r="T19" s="33"/>
      <c r="U19" s="33"/>
      <c r="V19" s="33"/>
      <c r="W19" s="33"/>
      <c r="X19" s="33"/>
    </row>
    <row r="20" spans="1:24">
      <c r="A20" s="6">
        <v>1201</v>
      </c>
      <c r="B20" s="31" t="s">
        <v>26</v>
      </c>
      <c r="C20" s="30">
        <f>WS!F20/10^6</f>
        <v>0</v>
      </c>
      <c r="D20" s="30">
        <f>WS!I20/10^6</f>
        <v>0</v>
      </c>
      <c r="E20" s="30">
        <f>WS!L20/10^6</f>
        <v>0</v>
      </c>
      <c r="F20" s="30">
        <f>WS!O20/10^6</f>
        <v>0</v>
      </c>
      <c r="G20" s="30">
        <f>WS!R20/10^6</f>
        <v>0</v>
      </c>
      <c r="H20" s="30">
        <f>WS!U20/10^6</f>
        <v>0</v>
      </c>
      <c r="I20" s="30">
        <f>WS!X20/10^6</f>
        <v>0</v>
      </c>
      <c r="J20" s="30">
        <f>WS!AA20/10^6</f>
        <v>0</v>
      </c>
      <c r="K20" s="30">
        <f>WS!AD20/10^6</f>
        <v>0</v>
      </c>
      <c r="L20" s="30">
        <f>WS!AG20/10^6</f>
        <v>0</v>
      </c>
      <c r="M20" s="30">
        <f>WS!AH20/10^6</f>
        <v>0</v>
      </c>
      <c r="N20" s="30">
        <f>WS!AI20/10^6</f>
        <v>0</v>
      </c>
      <c r="O20" s="33"/>
      <c r="P20" s="33"/>
      <c r="Q20" s="33"/>
      <c r="R20" s="33"/>
      <c r="S20" s="33"/>
      <c r="T20" s="33"/>
      <c r="U20" s="33"/>
      <c r="V20" s="33"/>
      <c r="W20" s="33"/>
      <c r="X20" s="33"/>
    </row>
    <row r="21" spans="1:24">
      <c r="A21" s="6">
        <v>1202</v>
      </c>
      <c r="B21" s="31" t="s">
        <v>27</v>
      </c>
      <c r="C21" s="30">
        <f>WS!F21/10^6</f>
        <v>1041.1400000000001</v>
      </c>
      <c r="D21" s="30">
        <f>WS!I21/10^6</f>
        <v>813.46065399999998</v>
      </c>
      <c r="E21" s="30">
        <f>WS!L21/10^6</f>
        <v>711.46065399999998</v>
      </c>
      <c r="F21" s="30">
        <f>WS!O21/10^6</f>
        <v>1382.5706540000001</v>
      </c>
      <c r="G21" s="30">
        <f>WS!R21/10^6</f>
        <v>2304.324654</v>
      </c>
      <c r="H21" s="30">
        <f>WS!U21/10^6</f>
        <v>2304.324654</v>
      </c>
      <c r="I21" s="30">
        <f>WS!X21/10^6</f>
        <v>2304.324654</v>
      </c>
      <c r="J21" s="30">
        <f>WS!AA21/10^6</f>
        <v>2304.324654</v>
      </c>
      <c r="K21" s="30">
        <f>WS!AD21/10^6</f>
        <v>2304.324654</v>
      </c>
      <c r="L21" s="30">
        <f>WS!AG21/10^6</f>
        <v>2304.324654</v>
      </c>
      <c r="M21" s="30">
        <f>WS!AH21/10^6</f>
        <v>0</v>
      </c>
      <c r="N21" s="30">
        <f>WS!AI21/10^6</f>
        <v>0</v>
      </c>
      <c r="O21" s="33"/>
      <c r="P21" s="33"/>
      <c r="Q21" s="33"/>
      <c r="R21" s="33"/>
      <c r="S21" s="33"/>
      <c r="T21" s="33"/>
      <c r="U21" s="33"/>
      <c r="V21" s="33"/>
      <c r="W21" s="33"/>
      <c r="X21" s="33"/>
    </row>
    <row r="22" spans="1:24">
      <c r="A22" s="6">
        <v>1203</v>
      </c>
      <c r="B22" s="31" t="s">
        <v>140</v>
      </c>
      <c r="C22" s="30">
        <f>WS!F22/10^6</f>
        <v>335.2</v>
      </c>
      <c r="D22" s="30">
        <f>WS!I22/10^6</f>
        <v>510.2</v>
      </c>
      <c r="E22" s="30">
        <f>WS!L22/10^6</f>
        <v>603.45000000000005</v>
      </c>
      <c r="F22" s="30">
        <f>WS!O22/10^6</f>
        <v>709.81500000000005</v>
      </c>
      <c r="G22" s="30">
        <f>WS!R22/10^6</f>
        <v>1454.7570000000001</v>
      </c>
      <c r="H22" s="30">
        <f>WS!U22/10^6</f>
        <v>1454.7570000000001</v>
      </c>
      <c r="I22" s="30">
        <f>WS!X22/10^6</f>
        <v>1454.7570000000001</v>
      </c>
      <c r="J22" s="30">
        <f>WS!AA22/10^6</f>
        <v>1454.7570000000001</v>
      </c>
      <c r="K22" s="30">
        <f>WS!AD22/10^6</f>
        <v>1454.7570000000001</v>
      </c>
      <c r="L22" s="30">
        <f>WS!AG22/10^6</f>
        <v>1454.7570000000001</v>
      </c>
      <c r="M22" s="30">
        <f>WS!AH22/10^6</f>
        <v>0</v>
      </c>
      <c r="N22" s="30">
        <f>WS!AI22/10^6</f>
        <v>0</v>
      </c>
      <c r="O22" s="33"/>
      <c r="P22" s="33"/>
      <c r="Q22" s="33"/>
      <c r="R22" s="33"/>
      <c r="S22" s="33"/>
      <c r="T22" s="33"/>
      <c r="U22" s="33"/>
      <c r="V22" s="33"/>
      <c r="W22" s="33"/>
      <c r="X22" s="33"/>
    </row>
    <row r="23" spans="1:24">
      <c r="A23" s="6">
        <v>1204</v>
      </c>
      <c r="B23" s="31" t="s">
        <v>28</v>
      </c>
      <c r="C23" s="30">
        <f>WS!F23/10^6</f>
        <v>72</v>
      </c>
      <c r="D23" s="30">
        <f>WS!I23/10^6</f>
        <v>82</v>
      </c>
      <c r="E23" s="30">
        <f>WS!L23/10^6</f>
        <v>82</v>
      </c>
      <c r="F23" s="30">
        <f>WS!O23/10^6</f>
        <v>75.040000000000006</v>
      </c>
      <c r="G23" s="30">
        <f>WS!R23/10^6</f>
        <v>75.040000000000006</v>
      </c>
      <c r="H23" s="30">
        <f>WS!U23/10^6</f>
        <v>75.040000000000006</v>
      </c>
      <c r="I23" s="30">
        <f>WS!X23/10^6</f>
        <v>75.040000000000006</v>
      </c>
      <c r="J23" s="30">
        <f>WS!AA23/10^6</f>
        <v>75.040000000000006</v>
      </c>
      <c r="K23" s="30">
        <f>WS!AD23/10^6</f>
        <v>75.040000000000006</v>
      </c>
      <c r="L23" s="30">
        <f>WS!AG23/10^6</f>
        <v>75.040000000000006</v>
      </c>
      <c r="M23" s="30">
        <f>WS!AH23/10^6</f>
        <v>0</v>
      </c>
      <c r="N23" s="30">
        <f>WS!AI23/10^6</f>
        <v>0</v>
      </c>
      <c r="O23" s="33"/>
      <c r="P23" s="33"/>
      <c r="Q23" s="33"/>
      <c r="R23" s="33"/>
      <c r="S23" s="33"/>
      <c r="T23" s="33"/>
      <c r="U23" s="33"/>
      <c r="V23" s="33"/>
      <c r="W23" s="33"/>
      <c r="X23" s="33"/>
    </row>
    <row r="24" spans="1:24">
      <c r="A24" s="6">
        <v>1205</v>
      </c>
      <c r="B24" s="31" t="s">
        <v>29</v>
      </c>
      <c r="C24" s="30">
        <f>WS!F24/10^6</f>
        <v>0</v>
      </c>
      <c r="D24" s="30">
        <f>WS!I24/10^6</f>
        <v>0</v>
      </c>
      <c r="E24" s="30">
        <f>WS!L24/10^6</f>
        <v>0</v>
      </c>
      <c r="F24" s="30">
        <f>WS!O24/10^6</f>
        <v>0</v>
      </c>
      <c r="G24" s="30">
        <f>WS!R24/10^6</f>
        <v>0</v>
      </c>
      <c r="H24" s="30">
        <f>WS!U24/10^6</f>
        <v>0</v>
      </c>
      <c r="I24" s="30">
        <f>WS!X24/10^6</f>
        <v>0</v>
      </c>
      <c r="J24" s="30">
        <f>WS!AA24/10^6</f>
        <v>0</v>
      </c>
      <c r="K24" s="30">
        <f>WS!AD24/10^6</f>
        <v>0</v>
      </c>
      <c r="L24" s="30">
        <f>WS!AG24/10^6</f>
        <v>0</v>
      </c>
      <c r="M24" s="30">
        <f>WS!AH24/10^6</f>
        <v>0</v>
      </c>
      <c r="N24" s="30">
        <f>WS!AI24/10^6</f>
        <v>0</v>
      </c>
      <c r="O24" s="33"/>
      <c r="P24" s="33"/>
      <c r="Q24" s="33"/>
      <c r="R24" s="33"/>
      <c r="S24" s="33"/>
      <c r="T24" s="33"/>
      <c r="U24" s="33"/>
      <c r="V24" s="33"/>
      <c r="W24" s="33"/>
      <c r="X24" s="33"/>
    </row>
    <row r="25" spans="1:24" s="37" customFormat="1">
      <c r="A25" s="6">
        <v>1206</v>
      </c>
      <c r="B25" s="31" t="s">
        <v>193</v>
      </c>
      <c r="C25" s="30">
        <f>WS!F25/10^6</f>
        <v>0</v>
      </c>
      <c r="D25" s="30">
        <f>WS!I25/10^6</f>
        <v>0</v>
      </c>
      <c r="E25" s="30">
        <f>WS!L25/10^6</f>
        <v>0</v>
      </c>
      <c r="F25" s="30">
        <f>WS!O25/10^6</f>
        <v>0</v>
      </c>
      <c r="G25" s="30">
        <f>WS!R25/10^6</f>
        <v>0</v>
      </c>
      <c r="H25" s="30">
        <f>WS!U25/10^6</f>
        <v>0</v>
      </c>
      <c r="I25" s="30">
        <f>WS!X25/10^6</f>
        <v>0</v>
      </c>
      <c r="J25" s="30">
        <f>WS!AA25/10^6</f>
        <v>0</v>
      </c>
      <c r="K25" s="30">
        <f>WS!AD25/10^6</f>
        <v>0</v>
      </c>
      <c r="L25" s="30">
        <f>WS!AG25/10^6</f>
        <v>0</v>
      </c>
      <c r="M25" s="30">
        <f>WS!AH25/10^6</f>
        <v>0</v>
      </c>
      <c r="N25" s="30">
        <f>WS!AI25/10^6</f>
        <v>0</v>
      </c>
      <c r="O25" s="33"/>
      <c r="P25" s="33"/>
      <c r="Q25" s="33"/>
      <c r="R25" s="33"/>
      <c r="S25" s="33"/>
      <c r="T25" s="33"/>
      <c r="U25" s="33"/>
      <c r="V25" s="33"/>
      <c r="W25" s="33"/>
      <c r="X25" s="33"/>
    </row>
    <row r="26" spans="1:24">
      <c r="A26" s="6">
        <v>1207</v>
      </c>
      <c r="B26" s="31" t="s">
        <v>33</v>
      </c>
      <c r="C26" s="30">
        <f>WS!F26/10^6</f>
        <v>0</v>
      </c>
      <c r="D26" s="30">
        <f>WS!I26/10^6</f>
        <v>0</v>
      </c>
      <c r="E26" s="30">
        <f>WS!L26/10^6</f>
        <v>0</v>
      </c>
      <c r="F26" s="30">
        <f>WS!O26/10^6</f>
        <v>0</v>
      </c>
      <c r="G26" s="30">
        <f>WS!R26/10^6</f>
        <v>0</v>
      </c>
      <c r="H26" s="30">
        <f>WS!U26/10^6</f>
        <v>0</v>
      </c>
      <c r="I26" s="30">
        <f>WS!X26/10^6</f>
        <v>0</v>
      </c>
      <c r="J26" s="30">
        <f>WS!AA26/10^6</f>
        <v>0</v>
      </c>
      <c r="K26" s="30">
        <f>WS!AD26/10^6</f>
        <v>0</v>
      </c>
      <c r="L26" s="30">
        <f>WS!AG26/10^6</f>
        <v>0</v>
      </c>
      <c r="M26" s="30">
        <f>WS!AH26/10^6</f>
        <v>0</v>
      </c>
      <c r="N26" s="30">
        <f>WS!AI26/10^6</f>
        <v>0</v>
      </c>
      <c r="O26" s="33"/>
      <c r="P26" s="33"/>
      <c r="Q26" s="33"/>
      <c r="R26" s="33"/>
      <c r="S26" s="33"/>
      <c r="T26" s="33"/>
      <c r="U26" s="33"/>
      <c r="V26" s="33"/>
      <c r="W26" s="33"/>
      <c r="X26" s="33"/>
    </row>
    <row r="27" spans="1:24">
      <c r="A27" s="6">
        <v>1208</v>
      </c>
      <c r="B27" s="31" t="s">
        <v>34</v>
      </c>
      <c r="C27" s="30">
        <f>WS!F27/10^6</f>
        <v>0</v>
      </c>
      <c r="D27" s="30">
        <f>WS!I27/10^6</f>
        <v>0</v>
      </c>
      <c r="E27" s="30">
        <f>WS!L27/10^6</f>
        <v>0</v>
      </c>
      <c r="F27" s="30">
        <f>WS!O27/10^6</f>
        <v>62.5</v>
      </c>
      <c r="G27" s="30">
        <f>WS!R27/10^6</f>
        <v>62.5</v>
      </c>
      <c r="H27" s="30">
        <f>WS!U27/10^6</f>
        <v>62.5</v>
      </c>
      <c r="I27" s="30">
        <f>WS!X27/10^6</f>
        <v>62.5</v>
      </c>
      <c r="J27" s="30">
        <f>WS!AA27/10^6</f>
        <v>62.5</v>
      </c>
      <c r="K27" s="30">
        <f>WS!AD27/10^6</f>
        <v>62.5</v>
      </c>
      <c r="L27" s="30">
        <f>WS!AG27/10^6</f>
        <v>62.5</v>
      </c>
      <c r="M27" s="30">
        <f>WS!AH27/10^6</f>
        <v>0</v>
      </c>
      <c r="N27" s="30">
        <f>WS!AI27/10^6</f>
        <v>0</v>
      </c>
      <c r="O27" s="33"/>
      <c r="P27" s="33"/>
      <c r="Q27" s="33"/>
      <c r="R27" s="33"/>
      <c r="S27" s="33"/>
      <c r="T27" s="33"/>
      <c r="U27" s="33"/>
      <c r="V27" s="33"/>
      <c r="W27" s="33"/>
      <c r="X27" s="33"/>
    </row>
    <row r="28" spans="1:24">
      <c r="A28" s="287" t="s">
        <v>209</v>
      </c>
      <c r="B28" s="287"/>
      <c r="C28" s="30">
        <f>SUM(C20:C27)</f>
        <v>1448.3400000000001</v>
      </c>
      <c r="D28" s="30">
        <f t="shared" ref="D28:L28" si="2">SUM(D20:D27)</f>
        <v>1405.660654</v>
      </c>
      <c r="E28" s="30">
        <f t="shared" si="2"/>
        <v>1396.910654</v>
      </c>
      <c r="F28" s="30">
        <f t="shared" si="2"/>
        <v>2229.9256540000001</v>
      </c>
      <c r="G28" s="30">
        <f t="shared" si="2"/>
        <v>3896.621654</v>
      </c>
      <c r="H28" s="30">
        <f t="shared" si="2"/>
        <v>3896.621654</v>
      </c>
      <c r="I28" s="30">
        <f t="shared" si="2"/>
        <v>3896.621654</v>
      </c>
      <c r="J28" s="30">
        <f t="shared" si="2"/>
        <v>3896.621654</v>
      </c>
      <c r="K28" s="30">
        <f t="shared" si="2"/>
        <v>3896.621654</v>
      </c>
      <c r="L28" s="30">
        <f t="shared" si="2"/>
        <v>3896.621654</v>
      </c>
      <c r="M28" s="30">
        <f t="shared" ref="M28:N28" si="3">SUM(M20:M27)</f>
        <v>0</v>
      </c>
      <c r="N28" s="30">
        <f t="shared" si="3"/>
        <v>0</v>
      </c>
      <c r="O28" s="33"/>
      <c r="P28" s="33"/>
      <c r="Q28" s="33"/>
      <c r="R28" s="33"/>
      <c r="S28" s="33"/>
      <c r="T28" s="33"/>
      <c r="U28" s="33"/>
      <c r="V28" s="33"/>
      <c r="W28" s="33"/>
      <c r="X28" s="33"/>
    </row>
    <row r="29" spans="1:24">
      <c r="A29" s="4" t="s">
        <v>188</v>
      </c>
      <c r="B29" s="26"/>
      <c r="C29" s="30">
        <v>0</v>
      </c>
      <c r="D29" s="30">
        <f>WS!I29/10^6</f>
        <v>0</v>
      </c>
      <c r="E29" s="30">
        <f>WS!L29/10^6</f>
        <v>0</v>
      </c>
      <c r="F29" s="30">
        <f>WS!O29/10^6</f>
        <v>0</v>
      </c>
      <c r="G29" s="30">
        <f>WS!R29/10^6</f>
        <v>0</v>
      </c>
      <c r="H29" s="30">
        <f>WS!U29/10^6</f>
        <v>0</v>
      </c>
      <c r="I29" s="30">
        <f>WS!X29/10^6</f>
        <v>0</v>
      </c>
      <c r="J29" s="30">
        <f>WS!AA29/10^6</f>
        <v>0</v>
      </c>
      <c r="K29" s="30">
        <f>WS!AD29/10^6</f>
        <v>0</v>
      </c>
      <c r="L29" s="30">
        <f>WS!AG29/10^6</f>
        <v>0</v>
      </c>
      <c r="M29" s="30">
        <f>WS!AH29/10^6</f>
        <v>0</v>
      </c>
      <c r="N29" s="30">
        <f>WS!AI29/10^6</f>
        <v>0</v>
      </c>
      <c r="O29" s="33"/>
      <c r="P29" s="33"/>
      <c r="Q29" s="33"/>
      <c r="R29" s="33"/>
      <c r="S29" s="33"/>
      <c r="T29" s="33"/>
      <c r="U29" s="33"/>
      <c r="V29" s="33"/>
      <c r="W29" s="33"/>
      <c r="X29" s="33"/>
    </row>
    <row r="30" spans="1:24">
      <c r="A30" s="6">
        <v>1301</v>
      </c>
      <c r="B30" s="31" t="s">
        <v>30</v>
      </c>
      <c r="C30" s="30">
        <f>WS!F30/10^6</f>
        <v>1596.523717</v>
      </c>
      <c r="D30" s="30">
        <f>WS!I30/10^6</f>
        <v>2671.2037169999999</v>
      </c>
      <c r="E30" s="30">
        <f>WS!L30/10^6</f>
        <v>3931.9537169999999</v>
      </c>
      <c r="F30" s="30">
        <f>WS!O30/10^6</f>
        <v>4007.353717</v>
      </c>
      <c r="G30" s="30">
        <f>WS!R30/10^6</f>
        <v>4481.103717</v>
      </c>
      <c r="H30" s="30">
        <f>WS!U30/10^6</f>
        <v>4481.103717</v>
      </c>
      <c r="I30" s="30">
        <f>WS!X30/10^6</f>
        <v>4481.103717</v>
      </c>
      <c r="J30" s="30">
        <f>WS!AA30/10^6</f>
        <v>4481.103717</v>
      </c>
      <c r="K30" s="30">
        <f>WS!AD30/10^6</f>
        <v>4481.103717</v>
      </c>
      <c r="L30" s="30">
        <f>WS!AG30/10^6</f>
        <v>4481.103717</v>
      </c>
      <c r="M30" s="30">
        <f>WS!AH30/10^6</f>
        <v>0</v>
      </c>
      <c r="N30" s="30">
        <f>WS!AI30/10^6</f>
        <v>0</v>
      </c>
      <c r="O30" s="33"/>
      <c r="P30" s="33"/>
      <c r="Q30" s="33"/>
      <c r="R30" s="33"/>
      <c r="S30" s="33"/>
      <c r="T30" s="33"/>
      <c r="U30" s="33"/>
      <c r="V30" s="33"/>
      <c r="W30" s="33"/>
      <c r="X30" s="33"/>
    </row>
    <row r="31" spans="1:24">
      <c r="A31" s="6">
        <v>1302</v>
      </c>
      <c r="B31" s="31" t="s">
        <v>31</v>
      </c>
      <c r="C31" s="30">
        <f>WS!F31/10^6</f>
        <v>213.804059</v>
      </c>
      <c r="D31" s="30">
        <f>WS!I31/10^6</f>
        <v>503.26850899999999</v>
      </c>
      <c r="E31" s="30">
        <f>WS!L31/10^6</f>
        <v>1039.7335089999999</v>
      </c>
      <c r="F31" s="30">
        <f>WS!O31/10^6</f>
        <v>878.14860899999996</v>
      </c>
      <c r="G31" s="30">
        <f>WS!R31/10^6</f>
        <v>903.844109</v>
      </c>
      <c r="H31" s="30">
        <f>WS!U31/10^6</f>
        <v>903.844109</v>
      </c>
      <c r="I31" s="30">
        <f>WS!X31/10^6</f>
        <v>903.844109</v>
      </c>
      <c r="J31" s="30">
        <f>WS!AA31/10^6</f>
        <v>903.844109</v>
      </c>
      <c r="K31" s="30">
        <f>WS!AD31/10^6</f>
        <v>903.844109</v>
      </c>
      <c r="L31" s="30">
        <f>WS!AG31/10^6</f>
        <v>903.844109</v>
      </c>
      <c r="M31" s="30">
        <f>WS!AH31/10^6</f>
        <v>0</v>
      </c>
      <c r="N31" s="30">
        <f>WS!AI31/10^6</f>
        <v>0</v>
      </c>
      <c r="O31" s="33"/>
      <c r="P31" s="33"/>
      <c r="Q31" s="33"/>
      <c r="R31" s="33"/>
      <c r="S31" s="33"/>
      <c r="T31" s="33"/>
      <c r="U31" s="33"/>
      <c r="V31" s="33"/>
      <c r="W31" s="33"/>
      <c r="X31" s="33"/>
    </row>
    <row r="32" spans="1:24">
      <c r="A32" s="6">
        <v>1303</v>
      </c>
      <c r="B32" s="31" t="s">
        <v>32</v>
      </c>
      <c r="C32" s="30">
        <f>WS!F32/10^6</f>
        <v>1025.0000030000001</v>
      </c>
      <c r="D32" s="30">
        <f>WS!I32/10^6</f>
        <v>1025.0000030000001</v>
      </c>
      <c r="E32" s="30">
        <f>WS!L32/10^6</f>
        <v>1025.0000030000001</v>
      </c>
      <c r="F32" s="30">
        <f>WS!O32/10^6</f>
        <v>1025.0000030000001</v>
      </c>
      <c r="G32" s="30">
        <f>WS!R32/10^6</f>
        <v>1025.0000030000001</v>
      </c>
      <c r="H32" s="30">
        <f>WS!U32/10^6</f>
        <v>1025.0000030000001</v>
      </c>
      <c r="I32" s="30">
        <f>WS!X32/10^6</f>
        <v>1025.0000030000001</v>
      </c>
      <c r="J32" s="30">
        <f>WS!AA32/10^6</f>
        <v>1025.0000030000001</v>
      </c>
      <c r="K32" s="30">
        <f>WS!AD32/10^6</f>
        <v>1025.0000030000001</v>
      </c>
      <c r="L32" s="30">
        <f>WS!AG32/10^6</f>
        <v>1025.0000030000001</v>
      </c>
      <c r="M32" s="30">
        <f>WS!AH32/10^6</f>
        <v>0</v>
      </c>
      <c r="N32" s="30">
        <f>WS!AI32/10^6</f>
        <v>0</v>
      </c>
      <c r="O32" s="33"/>
      <c r="P32" s="33"/>
      <c r="Q32" s="33"/>
      <c r="R32" s="33"/>
      <c r="S32" s="33"/>
      <c r="T32" s="33"/>
      <c r="U32" s="33"/>
      <c r="V32" s="33"/>
      <c r="W32" s="33"/>
      <c r="X32" s="33"/>
    </row>
    <row r="33" spans="1:24">
      <c r="A33" s="6">
        <v>1304</v>
      </c>
      <c r="B33" s="31" t="s">
        <v>189</v>
      </c>
      <c r="C33" s="30">
        <f>WS!F33/10^6</f>
        <v>0</v>
      </c>
      <c r="D33" s="30">
        <f>WS!I33/10^6</f>
        <v>0</v>
      </c>
      <c r="E33" s="30">
        <f>WS!L33/10^6</f>
        <v>0</v>
      </c>
      <c r="F33" s="30">
        <f>WS!O33/10^6</f>
        <v>0</v>
      </c>
      <c r="G33" s="30">
        <f>WS!R33/10^6</f>
        <v>0</v>
      </c>
      <c r="H33" s="30">
        <f>WS!U33/10^6</f>
        <v>0</v>
      </c>
      <c r="I33" s="30">
        <f>WS!X33/10^6</f>
        <v>0</v>
      </c>
      <c r="J33" s="30">
        <f>WS!AA33/10^6</f>
        <v>0</v>
      </c>
      <c r="K33" s="30">
        <f>WS!AD33/10^6</f>
        <v>0</v>
      </c>
      <c r="L33" s="30">
        <f>WS!AG33/10^6</f>
        <v>0</v>
      </c>
      <c r="M33" s="30">
        <f>WS!AH33/10^6</f>
        <v>0</v>
      </c>
      <c r="N33" s="30">
        <f>WS!AI33/10^6</f>
        <v>0</v>
      </c>
      <c r="O33" s="33"/>
      <c r="P33" s="33"/>
      <c r="Q33" s="33"/>
      <c r="R33" s="33"/>
      <c r="S33" s="33"/>
      <c r="T33" s="33"/>
      <c r="U33" s="33"/>
      <c r="V33" s="33"/>
      <c r="W33" s="33"/>
      <c r="X33" s="33"/>
    </row>
    <row r="34" spans="1:24">
      <c r="A34" s="6">
        <v>1305</v>
      </c>
      <c r="B34" s="31" t="s">
        <v>190</v>
      </c>
      <c r="C34" s="30">
        <f>WS!F34/10^6</f>
        <v>0</v>
      </c>
      <c r="D34" s="30">
        <f>WS!I34/10^6</f>
        <v>0</v>
      </c>
      <c r="E34" s="30">
        <f>WS!L34/10^6</f>
        <v>0</v>
      </c>
      <c r="F34" s="30">
        <f>WS!O34/10^6</f>
        <v>0</v>
      </c>
      <c r="G34" s="30">
        <f>WS!R34/10^6</f>
        <v>0</v>
      </c>
      <c r="H34" s="30">
        <f>WS!U34/10^6</f>
        <v>0</v>
      </c>
      <c r="I34" s="30">
        <f>WS!X34/10^6</f>
        <v>0</v>
      </c>
      <c r="J34" s="30">
        <f>WS!AA34/10^6</f>
        <v>0</v>
      </c>
      <c r="K34" s="30">
        <f>WS!AD34/10^6</f>
        <v>0</v>
      </c>
      <c r="L34" s="30">
        <f>WS!AG34/10^6</f>
        <v>0</v>
      </c>
      <c r="M34" s="30">
        <f>WS!AH34/10^6</f>
        <v>0</v>
      </c>
      <c r="N34" s="30">
        <f>WS!AI34/10^6</f>
        <v>0</v>
      </c>
      <c r="O34" s="33"/>
      <c r="P34" s="33"/>
      <c r="Q34" s="33"/>
      <c r="R34" s="33"/>
      <c r="S34" s="33"/>
      <c r="T34" s="33"/>
      <c r="U34" s="33"/>
      <c r="V34" s="33"/>
      <c r="W34" s="33"/>
      <c r="X34" s="33"/>
    </row>
    <row r="35" spans="1:24">
      <c r="A35" s="6">
        <v>1306</v>
      </c>
      <c r="B35" s="31" t="s">
        <v>191</v>
      </c>
      <c r="C35" s="30">
        <f>WS!F35/10^6</f>
        <v>0</v>
      </c>
      <c r="D35" s="30">
        <f>WS!I35/10^6</f>
        <v>0</v>
      </c>
      <c r="E35" s="30">
        <f>WS!L35/10^6</f>
        <v>0</v>
      </c>
      <c r="F35" s="30">
        <f>WS!O35/10^6</f>
        <v>0</v>
      </c>
      <c r="G35" s="30">
        <f>WS!R35/10^6</f>
        <v>0</v>
      </c>
      <c r="H35" s="30">
        <f>WS!U35/10^6</f>
        <v>0</v>
      </c>
      <c r="I35" s="30">
        <f>WS!X35/10^6</f>
        <v>0</v>
      </c>
      <c r="J35" s="30">
        <f>WS!AA35/10^6</f>
        <v>0</v>
      </c>
      <c r="K35" s="30">
        <f>WS!AD35/10^6</f>
        <v>0</v>
      </c>
      <c r="L35" s="30">
        <f>WS!AG35/10^6</f>
        <v>0</v>
      </c>
      <c r="M35" s="30">
        <f>WS!AH35/10^6</f>
        <v>0</v>
      </c>
      <c r="N35" s="30">
        <f>WS!AI35/10^6</f>
        <v>0</v>
      </c>
      <c r="O35" s="33"/>
      <c r="P35" s="33"/>
      <c r="Q35" s="33"/>
      <c r="R35" s="33"/>
      <c r="S35" s="33"/>
      <c r="T35" s="33"/>
      <c r="U35" s="33"/>
      <c r="V35" s="33"/>
      <c r="W35" s="33"/>
      <c r="X35" s="33"/>
    </row>
    <row r="36" spans="1:24">
      <c r="A36" s="287" t="s">
        <v>210</v>
      </c>
      <c r="B36" s="287"/>
      <c r="C36" s="30">
        <f>SUM(C30:C35)</f>
        <v>2835.3277790000002</v>
      </c>
      <c r="D36" s="30">
        <f t="shared" ref="D36:L36" si="4">SUM(D30:D35)</f>
        <v>4199.472229</v>
      </c>
      <c r="E36" s="30">
        <f t="shared" si="4"/>
        <v>5996.6872290000001</v>
      </c>
      <c r="F36" s="30">
        <f t="shared" si="4"/>
        <v>5910.5023289999999</v>
      </c>
      <c r="G36" s="30">
        <f t="shared" si="4"/>
        <v>6409.9478289999997</v>
      </c>
      <c r="H36" s="30">
        <f t="shared" si="4"/>
        <v>6409.9478289999997</v>
      </c>
      <c r="I36" s="30">
        <f t="shared" si="4"/>
        <v>6409.9478289999997</v>
      </c>
      <c r="J36" s="30">
        <f t="shared" si="4"/>
        <v>6409.9478289999997</v>
      </c>
      <c r="K36" s="30">
        <f t="shared" si="4"/>
        <v>6409.9478289999997</v>
      </c>
      <c r="L36" s="30">
        <f t="shared" si="4"/>
        <v>6409.9478289999997</v>
      </c>
      <c r="M36" s="30">
        <f t="shared" ref="M36:N36" si="5">SUM(M30:M35)</f>
        <v>0</v>
      </c>
      <c r="N36" s="30">
        <f t="shared" si="5"/>
        <v>0</v>
      </c>
      <c r="O36" s="33"/>
      <c r="P36" s="33"/>
      <c r="Q36" s="33"/>
      <c r="R36" s="33"/>
      <c r="S36" s="33"/>
      <c r="T36" s="33"/>
      <c r="U36" s="33"/>
      <c r="V36" s="33"/>
      <c r="W36" s="33"/>
      <c r="X36" s="33"/>
    </row>
    <row r="37" spans="1:24">
      <c r="A37" s="287" t="s">
        <v>212</v>
      </c>
      <c r="B37" s="287"/>
      <c r="C37" s="30">
        <f>C18+C28+C36</f>
        <v>4313.2645582000005</v>
      </c>
      <c r="D37" s="30">
        <f t="shared" ref="D37:L37" si="6">D18+D28+D36</f>
        <v>5875.2804051999992</v>
      </c>
      <c r="E37" s="30">
        <f t="shared" si="6"/>
        <v>8636.8473302000002</v>
      </c>
      <c r="F37" s="30">
        <f t="shared" si="6"/>
        <v>8606.4579971999992</v>
      </c>
      <c r="G37" s="30">
        <f t="shared" si="6"/>
        <v>11180.2565412</v>
      </c>
      <c r="H37" s="30">
        <f t="shared" si="6"/>
        <v>11180.2565412</v>
      </c>
      <c r="I37" s="30">
        <f t="shared" si="6"/>
        <v>11180.2565412</v>
      </c>
      <c r="J37" s="30">
        <f t="shared" si="6"/>
        <v>11180.2565412</v>
      </c>
      <c r="K37" s="30">
        <f t="shared" si="6"/>
        <v>11180.2565412</v>
      </c>
      <c r="L37" s="30">
        <f t="shared" si="6"/>
        <v>11180.2565412</v>
      </c>
      <c r="M37" s="30">
        <f t="shared" ref="M37:N37" si="7">M18+M28+M36</f>
        <v>0</v>
      </c>
      <c r="N37" s="30">
        <f t="shared" si="7"/>
        <v>0</v>
      </c>
      <c r="O37" s="33"/>
      <c r="P37" s="33"/>
      <c r="Q37" s="33"/>
      <c r="R37" s="33"/>
      <c r="S37" s="33"/>
      <c r="T37" s="33"/>
      <c r="U37" s="33"/>
      <c r="V37" s="33"/>
      <c r="W37" s="33"/>
      <c r="X37" s="33"/>
    </row>
    <row r="38" spans="1:24">
      <c r="A38" s="280" t="s">
        <v>100</v>
      </c>
      <c r="B38" s="280"/>
      <c r="C38" s="30">
        <v>0</v>
      </c>
      <c r="D38" s="30">
        <f>WS!I38/10^6</f>
        <v>0</v>
      </c>
      <c r="E38" s="30">
        <f>WS!L38/10^6</f>
        <v>0</v>
      </c>
      <c r="F38" s="30">
        <f>WS!O38/10^6</f>
        <v>0</v>
      </c>
      <c r="G38" s="30">
        <f>WS!R38/10^6</f>
        <v>0</v>
      </c>
      <c r="H38" s="30">
        <f>WS!U38/10^6</f>
        <v>0</v>
      </c>
      <c r="I38" s="30">
        <f>WS!X38/10^6</f>
        <v>0</v>
      </c>
      <c r="J38" s="30">
        <f>WS!AA38/10^6</f>
        <v>0</v>
      </c>
      <c r="K38" s="30">
        <f>WS!AD38/10^6</f>
        <v>0</v>
      </c>
      <c r="L38" s="30">
        <f>WS!AG38/10^6</f>
        <v>0</v>
      </c>
      <c r="M38" s="30">
        <f>WS!AH38/10^6</f>
        <v>0</v>
      </c>
      <c r="N38" s="30">
        <f>WS!AI38/10^6</f>
        <v>0</v>
      </c>
      <c r="O38" s="33"/>
      <c r="P38" s="33"/>
      <c r="Q38" s="33"/>
      <c r="R38" s="33"/>
      <c r="S38" s="33"/>
      <c r="T38" s="33"/>
      <c r="U38" s="33"/>
      <c r="V38" s="33"/>
      <c r="W38" s="33"/>
      <c r="X38" s="33"/>
    </row>
    <row r="39" spans="1:24">
      <c r="A39" s="6">
        <v>1401</v>
      </c>
      <c r="B39" s="31" t="s">
        <v>35</v>
      </c>
      <c r="C39" s="30">
        <f>WS!F39/10^6</f>
        <v>1567</v>
      </c>
      <c r="D39" s="30">
        <f>WS!I39/10^6</f>
        <v>1567</v>
      </c>
      <c r="E39" s="30">
        <f>WS!L39/10^6</f>
        <v>1583.9697180000001</v>
      </c>
      <c r="F39" s="30">
        <f>WS!O39/10^6</f>
        <v>1671.1867580000001</v>
      </c>
      <c r="G39" s="30">
        <f>WS!R39/10^6</f>
        <v>1671.1867580000001</v>
      </c>
      <c r="H39" s="30">
        <f>WS!U39/10^6</f>
        <v>1671.1867580000001</v>
      </c>
      <c r="I39" s="30">
        <f>WS!X39/10^6</f>
        <v>1671.1867580000001</v>
      </c>
      <c r="J39" s="30">
        <f>WS!AA39/10^6</f>
        <v>1671.1867580000001</v>
      </c>
      <c r="K39" s="30">
        <f>WS!AD39/10^6</f>
        <v>1671.1867580000001</v>
      </c>
      <c r="L39" s="30">
        <f>WS!AG39/10^6</f>
        <v>1671.1867580000001</v>
      </c>
      <c r="M39" s="30">
        <f>WS!AH39/10^6</f>
        <v>0</v>
      </c>
      <c r="N39" s="30">
        <f>WS!AI39/10^6</f>
        <v>0</v>
      </c>
      <c r="O39" s="33"/>
      <c r="P39" s="33"/>
      <c r="Q39" s="33"/>
      <c r="R39" s="33"/>
      <c r="S39" s="33"/>
      <c r="T39" s="33"/>
      <c r="U39" s="33"/>
      <c r="V39" s="33"/>
      <c r="W39" s="33"/>
      <c r="X39" s="33"/>
    </row>
    <row r="40" spans="1:24" s="37" customFormat="1">
      <c r="A40" s="6">
        <v>1402</v>
      </c>
      <c r="B40" s="31" t="s">
        <v>36</v>
      </c>
      <c r="C40" s="30">
        <f>WS!F40/10^6</f>
        <v>0</v>
      </c>
      <c r="D40" s="30">
        <f>WS!I40/10^6</f>
        <v>0</v>
      </c>
      <c r="E40" s="30">
        <f>WS!L40/10^6</f>
        <v>0</v>
      </c>
      <c r="F40" s="30">
        <f>WS!O40/10^6</f>
        <v>0</v>
      </c>
      <c r="G40" s="30">
        <f>WS!R40/10^6</f>
        <v>0</v>
      </c>
      <c r="H40" s="30">
        <f>WS!U40/10^6</f>
        <v>0</v>
      </c>
      <c r="I40" s="30">
        <f>WS!X40/10^6</f>
        <v>0</v>
      </c>
      <c r="J40" s="30">
        <f>WS!AA40/10^6</f>
        <v>0</v>
      </c>
      <c r="K40" s="30">
        <f>WS!AD40/10^6</f>
        <v>0</v>
      </c>
      <c r="L40" s="30">
        <f>WS!AG40/10^6</f>
        <v>0</v>
      </c>
      <c r="M40" s="30">
        <f>WS!AH40/10^6</f>
        <v>0</v>
      </c>
      <c r="N40" s="30">
        <f>WS!AI40/10^6</f>
        <v>0</v>
      </c>
      <c r="O40" s="33"/>
      <c r="P40" s="33"/>
      <c r="Q40" s="33"/>
      <c r="R40" s="33"/>
      <c r="S40" s="33"/>
      <c r="T40" s="33"/>
      <c r="U40" s="33"/>
      <c r="V40" s="33"/>
      <c r="W40" s="33"/>
      <c r="X40" s="33"/>
    </row>
    <row r="41" spans="1:24">
      <c r="A41" s="6">
        <v>1403</v>
      </c>
      <c r="B41" s="31" t="s">
        <v>39</v>
      </c>
      <c r="C41" s="30">
        <f>WS!F41/10^6</f>
        <v>0</v>
      </c>
      <c r="D41" s="30">
        <f>WS!I41/10^6</f>
        <v>0</v>
      </c>
      <c r="E41" s="30">
        <f>WS!L41/10^6</f>
        <v>0</v>
      </c>
      <c r="F41" s="30">
        <f>WS!O41/10^6</f>
        <v>0</v>
      </c>
      <c r="G41" s="30">
        <f>WS!R41/10^6</f>
        <v>0</v>
      </c>
      <c r="H41" s="30">
        <f>WS!U41/10^6</f>
        <v>0</v>
      </c>
      <c r="I41" s="30">
        <f>WS!X41/10^6</f>
        <v>0</v>
      </c>
      <c r="J41" s="30">
        <f>WS!AA41/10^6</f>
        <v>0</v>
      </c>
      <c r="K41" s="30">
        <f>WS!AD41/10^6</f>
        <v>0</v>
      </c>
      <c r="L41" s="30">
        <f>WS!AG41/10^6</f>
        <v>0</v>
      </c>
      <c r="M41" s="30">
        <f>WS!AH41/10^6</f>
        <v>0</v>
      </c>
      <c r="N41" s="30">
        <f>WS!AI41/10^6</f>
        <v>0</v>
      </c>
      <c r="O41" s="33"/>
      <c r="P41" s="33"/>
      <c r="Q41" s="33"/>
      <c r="R41" s="33"/>
      <c r="S41" s="33"/>
      <c r="T41" s="33"/>
      <c r="U41" s="33"/>
      <c r="V41" s="33"/>
      <c r="W41" s="33"/>
      <c r="X41" s="33"/>
    </row>
    <row r="42" spans="1:24">
      <c r="A42" s="6">
        <v>1404</v>
      </c>
      <c r="B42" s="31" t="s">
        <v>37</v>
      </c>
      <c r="C42" s="30">
        <f>WS!F42/10^6</f>
        <v>0</v>
      </c>
      <c r="D42" s="30">
        <f>WS!I42/10^6</f>
        <v>0</v>
      </c>
      <c r="E42" s="30">
        <f>WS!L42/10^6</f>
        <v>0</v>
      </c>
      <c r="F42" s="30">
        <f>WS!O42/10^6</f>
        <v>0</v>
      </c>
      <c r="G42" s="30">
        <f>WS!R42/10^6</f>
        <v>0</v>
      </c>
      <c r="H42" s="30">
        <f>WS!U42/10^6</f>
        <v>0</v>
      </c>
      <c r="I42" s="30">
        <f>WS!X42/10^6</f>
        <v>0</v>
      </c>
      <c r="J42" s="30">
        <f>WS!AA42/10^6</f>
        <v>0</v>
      </c>
      <c r="K42" s="30">
        <f>WS!AD42/10^6</f>
        <v>0</v>
      </c>
      <c r="L42" s="30">
        <f>WS!AG42/10^6</f>
        <v>0</v>
      </c>
      <c r="M42" s="30">
        <f>WS!AH42/10^6</f>
        <v>0</v>
      </c>
      <c r="N42" s="30">
        <f>WS!AI42/10^6</f>
        <v>0</v>
      </c>
      <c r="O42" s="33"/>
      <c r="P42" s="33"/>
      <c r="Q42" s="33"/>
      <c r="R42" s="33"/>
      <c r="S42" s="33"/>
      <c r="T42" s="33"/>
      <c r="U42" s="33"/>
      <c r="V42" s="33"/>
      <c r="W42" s="33"/>
      <c r="X42" s="33"/>
    </row>
    <row r="43" spans="1:24">
      <c r="A43" s="6">
        <v>1405</v>
      </c>
      <c r="B43" s="31" t="s">
        <v>40</v>
      </c>
      <c r="C43" s="30">
        <f>WS!F43/10^6</f>
        <v>0</v>
      </c>
      <c r="D43" s="30">
        <f>WS!I43/10^6</f>
        <v>0</v>
      </c>
      <c r="E43" s="30">
        <f>WS!L43/10^6</f>
        <v>0</v>
      </c>
      <c r="F43" s="30">
        <f>WS!O43/10^6</f>
        <v>0</v>
      </c>
      <c r="G43" s="30">
        <f>WS!R43/10^6</f>
        <v>0</v>
      </c>
      <c r="H43" s="30">
        <f>WS!U43/10^6</f>
        <v>0</v>
      </c>
      <c r="I43" s="30">
        <f>WS!X43/10^6</f>
        <v>0</v>
      </c>
      <c r="J43" s="30">
        <f>WS!AA43/10^6</f>
        <v>0</v>
      </c>
      <c r="K43" s="30">
        <f>WS!AD43/10^6</f>
        <v>0</v>
      </c>
      <c r="L43" s="30">
        <f>WS!AG43/10^6</f>
        <v>0</v>
      </c>
      <c r="M43" s="30">
        <f>WS!AH43/10^6</f>
        <v>0</v>
      </c>
      <c r="N43" s="30">
        <f>WS!AI43/10^6</f>
        <v>0</v>
      </c>
      <c r="O43" s="33"/>
      <c r="P43" s="33"/>
      <c r="Q43" s="33"/>
      <c r="R43" s="33"/>
      <c r="S43" s="33"/>
      <c r="T43" s="33"/>
      <c r="U43" s="33"/>
      <c r="V43" s="33"/>
      <c r="W43" s="33"/>
      <c r="X43" s="33"/>
    </row>
    <row r="44" spans="1:24">
      <c r="A44" s="6">
        <v>1406</v>
      </c>
      <c r="B44" s="31" t="s">
        <v>38</v>
      </c>
      <c r="C44" s="30">
        <f>WS!F44/10^6</f>
        <v>0</v>
      </c>
      <c r="D44" s="30">
        <f>WS!I44/10^6</f>
        <v>0</v>
      </c>
      <c r="E44" s="30">
        <f>WS!L44/10^6</f>
        <v>0</v>
      </c>
      <c r="F44" s="30">
        <f>WS!O44/10^6</f>
        <v>0</v>
      </c>
      <c r="G44" s="30">
        <f>WS!R44/10^6</f>
        <v>36</v>
      </c>
      <c r="H44" s="30">
        <f>WS!U44/10^6</f>
        <v>36</v>
      </c>
      <c r="I44" s="30">
        <f>WS!X44/10^6</f>
        <v>36</v>
      </c>
      <c r="J44" s="30">
        <f>WS!AA44/10^6</f>
        <v>36</v>
      </c>
      <c r="K44" s="30">
        <f>WS!AD44/10^6</f>
        <v>36</v>
      </c>
      <c r="L44" s="30">
        <f>WS!AG44/10^6</f>
        <v>36</v>
      </c>
      <c r="M44" s="30">
        <f>WS!AH44/10^6</f>
        <v>0</v>
      </c>
      <c r="N44" s="30">
        <f>WS!AI44/10^6</f>
        <v>0</v>
      </c>
      <c r="O44" s="33"/>
      <c r="P44" s="33"/>
      <c r="Q44" s="33"/>
      <c r="R44" s="33"/>
      <c r="S44" s="33"/>
      <c r="T44" s="33"/>
      <c r="U44" s="33"/>
      <c r="V44" s="33"/>
      <c r="W44" s="33"/>
      <c r="X44" s="33"/>
    </row>
    <row r="45" spans="1:24">
      <c r="A45" s="6">
        <v>1407</v>
      </c>
      <c r="B45" s="31" t="s">
        <v>41</v>
      </c>
      <c r="C45" s="30">
        <f>WS!F45/10^6</f>
        <v>0</v>
      </c>
      <c r="D45" s="30">
        <f>WS!I45/10^6</f>
        <v>0</v>
      </c>
      <c r="E45" s="30">
        <f>WS!L45/10^6</f>
        <v>0</v>
      </c>
      <c r="F45" s="30">
        <f>WS!O45/10^6</f>
        <v>0</v>
      </c>
      <c r="G45" s="30">
        <f>WS!R45/10^6</f>
        <v>0</v>
      </c>
      <c r="H45" s="30">
        <f>WS!U45/10^6</f>
        <v>0</v>
      </c>
      <c r="I45" s="30">
        <f>WS!X45/10^6</f>
        <v>0</v>
      </c>
      <c r="J45" s="30">
        <f>WS!AA45/10^6</f>
        <v>0</v>
      </c>
      <c r="K45" s="30">
        <f>WS!AD45/10^6</f>
        <v>0</v>
      </c>
      <c r="L45" s="30">
        <f>WS!AG45/10^6</f>
        <v>0</v>
      </c>
      <c r="M45" s="30">
        <f>WS!AH45/10^6</f>
        <v>0</v>
      </c>
      <c r="N45" s="30">
        <f>WS!AI45/10^6</f>
        <v>0</v>
      </c>
      <c r="O45" s="33"/>
      <c r="P45" s="33"/>
      <c r="Q45" s="33"/>
      <c r="R45" s="33"/>
      <c r="S45" s="33"/>
      <c r="T45" s="33"/>
      <c r="U45" s="33"/>
      <c r="V45" s="33"/>
      <c r="W45" s="33"/>
      <c r="X45" s="33"/>
    </row>
    <row r="46" spans="1:24">
      <c r="A46" s="6">
        <v>1408</v>
      </c>
      <c r="B46" s="31" t="s">
        <v>194</v>
      </c>
      <c r="C46" s="30">
        <f>WS!F46/10^6</f>
        <v>6.5</v>
      </c>
      <c r="D46" s="30">
        <f>WS!I46/10^6</f>
        <v>6.5</v>
      </c>
      <c r="E46" s="30">
        <f>WS!L46/10^6</f>
        <v>6.5</v>
      </c>
      <c r="F46" s="30">
        <f>WS!O46/10^6</f>
        <v>6.5</v>
      </c>
      <c r="G46" s="30">
        <f>WS!R46/10^6</f>
        <v>13.2</v>
      </c>
      <c r="H46" s="30">
        <f>WS!U46/10^6</f>
        <v>13.2</v>
      </c>
      <c r="I46" s="30">
        <f>WS!X46/10^6</f>
        <v>13.2</v>
      </c>
      <c r="J46" s="30">
        <f>WS!AA46/10^6</f>
        <v>13.2</v>
      </c>
      <c r="K46" s="30">
        <f>WS!AD46/10^6</f>
        <v>13.2</v>
      </c>
      <c r="L46" s="30">
        <f>WS!AG46/10^6</f>
        <v>13.2</v>
      </c>
      <c r="M46" s="30">
        <f>WS!AH46/10^6</f>
        <v>0</v>
      </c>
      <c r="N46" s="30">
        <f>WS!AI46/10^6</f>
        <v>0</v>
      </c>
      <c r="O46" s="33"/>
      <c r="P46" s="33"/>
      <c r="Q46" s="33"/>
      <c r="R46" s="33"/>
      <c r="S46" s="33"/>
      <c r="T46" s="33"/>
      <c r="U46" s="33"/>
      <c r="V46" s="33"/>
      <c r="W46" s="33"/>
      <c r="X46" s="33"/>
    </row>
    <row r="47" spans="1:24">
      <c r="A47" s="6">
        <v>1409</v>
      </c>
      <c r="B47" s="31" t="s">
        <v>195</v>
      </c>
      <c r="C47" s="30">
        <f>WS!F47/10^6</f>
        <v>0</v>
      </c>
      <c r="D47" s="30">
        <f>WS!I47/10^6</f>
        <v>0</v>
      </c>
      <c r="E47" s="30">
        <f>WS!L47/10^6</f>
        <v>0</v>
      </c>
      <c r="F47" s="30">
        <f>WS!O47/10^6</f>
        <v>0</v>
      </c>
      <c r="G47" s="30">
        <f>WS!R47/10^6</f>
        <v>0</v>
      </c>
      <c r="H47" s="30">
        <f>WS!U47/10^6</f>
        <v>0</v>
      </c>
      <c r="I47" s="30">
        <f>WS!X47/10^6</f>
        <v>0</v>
      </c>
      <c r="J47" s="30">
        <f>WS!AA47/10^6</f>
        <v>0</v>
      </c>
      <c r="K47" s="30">
        <f>WS!AD47/10^6</f>
        <v>0</v>
      </c>
      <c r="L47" s="30">
        <f>WS!AG47/10^6</f>
        <v>0</v>
      </c>
      <c r="M47" s="30">
        <f>WS!AH47/10^6</f>
        <v>0</v>
      </c>
      <c r="N47" s="30">
        <f>WS!AI47/10^6</f>
        <v>0</v>
      </c>
      <c r="O47" s="33"/>
      <c r="P47" s="33"/>
      <c r="Q47" s="33"/>
      <c r="R47" s="33"/>
      <c r="S47" s="33"/>
      <c r="T47" s="33"/>
      <c r="U47" s="33"/>
      <c r="V47" s="33"/>
      <c r="W47" s="33"/>
      <c r="X47" s="33"/>
    </row>
    <row r="48" spans="1:24">
      <c r="A48" s="6">
        <v>1410</v>
      </c>
      <c r="B48" s="31" t="s">
        <v>42</v>
      </c>
      <c r="C48" s="30">
        <f>WS!F48/10^6</f>
        <v>0</v>
      </c>
      <c r="D48" s="30">
        <f>WS!I48/10^6</f>
        <v>0</v>
      </c>
      <c r="E48" s="30">
        <f>WS!L48/10^6</f>
        <v>0</v>
      </c>
      <c r="F48" s="30">
        <f>WS!O48/10^6</f>
        <v>0</v>
      </c>
      <c r="G48" s="30">
        <f>WS!R48/10^6</f>
        <v>0</v>
      </c>
      <c r="H48" s="30">
        <f>WS!U48/10^6</f>
        <v>0</v>
      </c>
      <c r="I48" s="30">
        <f>WS!X48/10^6</f>
        <v>0</v>
      </c>
      <c r="J48" s="30">
        <f>WS!AA48/10^6</f>
        <v>0</v>
      </c>
      <c r="K48" s="30">
        <f>WS!AD48/10^6</f>
        <v>0</v>
      </c>
      <c r="L48" s="30">
        <f>WS!AG48/10^6</f>
        <v>0</v>
      </c>
      <c r="M48" s="30">
        <f>WS!AH48/10^6</f>
        <v>0</v>
      </c>
      <c r="N48" s="30">
        <f>WS!AI48/10^6</f>
        <v>0</v>
      </c>
      <c r="O48" s="33"/>
      <c r="P48" s="33"/>
      <c r="Q48" s="33"/>
      <c r="R48" s="33"/>
      <c r="S48" s="33"/>
      <c r="T48" s="33"/>
      <c r="U48" s="33"/>
      <c r="V48" s="33"/>
      <c r="W48" s="33"/>
      <c r="X48" s="33"/>
    </row>
    <row r="49" spans="1:24">
      <c r="A49" s="6">
        <v>1411</v>
      </c>
      <c r="B49" s="31" t="s">
        <v>43</v>
      </c>
      <c r="C49" s="30">
        <f>WS!F49/10^6</f>
        <v>28.911999999999999</v>
      </c>
      <c r="D49" s="30">
        <f>WS!I49/10^6</f>
        <v>28.911999999999999</v>
      </c>
      <c r="E49" s="30">
        <f>WS!L49/10^6</f>
        <v>28.911999999999999</v>
      </c>
      <c r="F49" s="30">
        <f>WS!O49/10^6</f>
        <v>478.83199999999999</v>
      </c>
      <c r="G49" s="30">
        <f>WS!R49/10^6</f>
        <v>854.60075607999988</v>
      </c>
      <c r="H49" s="30">
        <f>WS!U49/10^6</f>
        <v>854.60075607999988</v>
      </c>
      <c r="I49" s="30">
        <f>WS!X49/10^6</f>
        <v>854.60075607999988</v>
      </c>
      <c r="J49" s="30">
        <f>WS!AA49/10^6</f>
        <v>854.60075607999988</v>
      </c>
      <c r="K49" s="30">
        <f>WS!AD49/10^6</f>
        <v>854.60075607999988</v>
      </c>
      <c r="L49" s="30">
        <f>WS!AG49/10^6</f>
        <v>854.60075607999988</v>
      </c>
      <c r="M49" s="30">
        <f>WS!AH49/10^6</f>
        <v>0</v>
      </c>
      <c r="N49" s="30">
        <f>WS!AI49/10^6</f>
        <v>0</v>
      </c>
      <c r="O49" s="33"/>
      <c r="P49" s="33"/>
      <c r="Q49" s="33"/>
      <c r="R49" s="33"/>
      <c r="S49" s="33"/>
      <c r="T49" s="33"/>
      <c r="U49" s="33"/>
      <c r="V49" s="33"/>
      <c r="W49" s="33"/>
      <c r="X49" s="33"/>
    </row>
    <row r="50" spans="1:24" s="37" customFormat="1">
      <c r="A50" s="6">
        <v>1412</v>
      </c>
      <c r="B50" s="31" t="s">
        <v>44</v>
      </c>
      <c r="C50" s="30">
        <f>WS!F50/10^6</f>
        <v>0</v>
      </c>
      <c r="D50" s="30">
        <f>WS!I50/10^6</f>
        <v>0</v>
      </c>
      <c r="E50" s="30">
        <f>WS!L50/10^6</f>
        <v>0</v>
      </c>
      <c r="F50" s="30">
        <f>WS!O50/10^6</f>
        <v>0</v>
      </c>
      <c r="G50" s="30">
        <f>WS!R50/10^6</f>
        <v>0</v>
      </c>
      <c r="H50" s="30">
        <f>WS!U50/10^6</f>
        <v>0</v>
      </c>
      <c r="I50" s="30">
        <f>WS!X50/10^6</f>
        <v>0</v>
      </c>
      <c r="J50" s="30">
        <f>WS!AA50/10^6</f>
        <v>0</v>
      </c>
      <c r="K50" s="30">
        <f>WS!AD50/10^6</f>
        <v>0</v>
      </c>
      <c r="L50" s="30">
        <f>WS!AG50/10^6</f>
        <v>0</v>
      </c>
      <c r="M50" s="30">
        <f>WS!AH50/10^6</f>
        <v>0</v>
      </c>
      <c r="N50" s="30">
        <f>WS!AI50/10^6</f>
        <v>0</v>
      </c>
      <c r="O50" s="33"/>
      <c r="P50" s="33"/>
      <c r="Q50" s="33"/>
      <c r="R50" s="33"/>
      <c r="S50" s="33"/>
      <c r="T50" s="33"/>
      <c r="U50" s="33"/>
      <c r="V50" s="33"/>
      <c r="W50" s="33"/>
      <c r="X50" s="33"/>
    </row>
    <row r="51" spans="1:24">
      <c r="A51" s="287" t="s">
        <v>211</v>
      </c>
      <c r="B51" s="287"/>
      <c r="C51" s="30">
        <f>SUM(C39:C50)</f>
        <v>1602.412</v>
      </c>
      <c r="D51" s="30">
        <f t="shared" ref="D51:L51" si="8">SUM(D39:D50)</f>
        <v>1602.412</v>
      </c>
      <c r="E51" s="30">
        <f t="shared" si="8"/>
        <v>1619.3817180000001</v>
      </c>
      <c r="F51" s="30">
        <f t="shared" si="8"/>
        <v>2156.5187580000002</v>
      </c>
      <c r="G51" s="30">
        <f t="shared" si="8"/>
        <v>2574.98751408</v>
      </c>
      <c r="H51" s="30">
        <f t="shared" si="8"/>
        <v>2574.98751408</v>
      </c>
      <c r="I51" s="30">
        <f t="shared" si="8"/>
        <v>2574.98751408</v>
      </c>
      <c r="J51" s="30">
        <f t="shared" si="8"/>
        <v>2574.98751408</v>
      </c>
      <c r="K51" s="30">
        <f t="shared" si="8"/>
        <v>2574.98751408</v>
      </c>
      <c r="L51" s="30">
        <f t="shared" si="8"/>
        <v>2574.98751408</v>
      </c>
      <c r="M51" s="30">
        <f t="shared" ref="M51:N51" si="9">SUM(M39:M50)</f>
        <v>0</v>
      </c>
      <c r="N51" s="30">
        <f t="shared" si="9"/>
        <v>0</v>
      </c>
      <c r="O51" s="33"/>
      <c r="P51" s="33"/>
      <c r="Q51" s="33"/>
      <c r="R51" s="33"/>
      <c r="S51" s="33"/>
      <c r="T51" s="33"/>
      <c r="U51" s="33"/>
      <c r="V51" s="33"/>
      <c r="W51" s="33"/>
      <c r="X51" s="33"/>
    </row>
    <row r="52" spans="1:24">
      <c r="A52" s="287" t="s">
        <v>213</v>
      </c>
      <c r="B52" s="287"/>
      <c r="C52" s="30">
        <f>C37+C51</f>
        <v>5915.6765582000007</v>
      </c>
      <c r="D52" s="30">
        <f t="shared" ref="D52:L52" si="10">D37+D51</f>
        <v>7477.6924051999995</v>
      </c>
      <c r="E52" s="30">
        <f t="shared" si="10"/>
        <v>10256.229048200001</v>
      </c>
      <c r="F52" s="30">
        <f t="shared" si="10"/>
        <v>10762.976755199999</v>
      </c>
      <c r="G52" s="30">
        <f t="shared" si="10"/>
        <v>13755.24405528</v>
      </c>
      <c r="H52" s="30">
        <f t="shared" si="10"/>
        <v>13755.24405528</v>
      </c>
      <c r="I52" s="30">
        <f t="shared" si="10"/>
        <v>13755.24405528</v>
      </c>
      <c r="J52" s="30">
        <f t="shared" si="10"/>
        <v>13755.24405528</v>
      </c>
      <c r="K52" s="30">
        <f t="shared" si="10"/>
        <v>13755.24405528</v>
      </c>
      <c r="L52" s="30">
        <f t="shared" si="10"/>
        <v>13755.24405528</v>
      </c>
      <c r="M52" s="30">
        <f t="shared" ref="M52:N52" si="11">M37+M51</f>
        <v>0</v>
      </c>
      <c r="N52" s="30">
        <f t="shared" si="11"/>
        <v>0</v>
      </c>
      <c r="O52" s="33"/>
      <c r="P52" s="33"/>
      <c r="Q52" s="33"/>
      <c r="R52" s="33"/>
      <c r="S52" s="33"/>
      <c r="T52" s="33"/>
      <c r="U52" s="33"/>
      <c r="V52" s="33"/>
      <c r="W52" s="33"/>
      <c r="X52" s="33"/>
    </row>
    <row r="53" spans="1:24">
      <c r="A53" s="280" t="s">
        <v>101</v>
      </c>
      <c r="B53" s="280"/>
      <c r="C53" s="30">
        <v>0</v>
      </c>
      <c r="D53" s="30">
        <f>WS!I53/10^6</f>
        <v>0</v>
      </c>
      <c r="E53" s="30">
        <f>WS!L53/10^6</f>
        <v>0</v>
      </c>
      <c r="F53" s="30">
        <f>WS!O53/10^6</f>
        <v>0</v>
      </c>
      <c r="G53" s="30">
        <f>WS!R53/10^6</f>
        <v>0</v>
      </c>
      <c r="H53" s="30">
        <f>WS!U53/10^6</f>
        <v>0</v>
      </c>
      <c r="I53" s="30">
        <f>WS!X53/10^6</f>
        <v>0</v>
      </c>
      <c r="J53" s="30">
        <f>WS!AA53/10^6</f>
        <v>0</v>
      </c>
      <c r="K53" s="30">
        <f>WS!AD53/10^6</f>
        <v>0</v>
      </c>
      <c r="L53" s="30">
        <f>WS!AG53/10^6</f>
        <v>0</v>
      </c>
      <c r="M53" s="30">
        <f>WS!AH53/10^6</f>
        <v>0</v>
      </c>
      <c r="N53" s="30">
        <f>WS!AI53/10^6</f>
        <v>0</v>
      </c>
      <c r="O53" s="33"/>
      <c r="P53" s="33"/>
      <c r="Q53" s="33"/>
      <c r="R53" s="33"/>
      <c r="S53" s="33"/>
      <c r="T53" s="33"/>
      <c r="U53" s="33"/>
      <c r="V53" s="33"/>
      <c r="W53" s="33"/>
      <c r="X53" s="33"/>
    </row>
    <row r="54" spans="1:24">
      <c r="A54" s="6" t="s">
        <v>2</v>
      </c>
      <c r="B54" s="31" t="s">
        <v>45</v>
      </c>
      <c r="C54" s="30">
        <f>WS!F54/10^6</f>
        <v>1585.259094</v>
      </c>
      <c r="D54" s="30">
        <f>WS!I54/10^6</f>
        <v>2972.0188939999998</v>
      </c>
      <c r="E54" s="30">
        <f>WS!L54/10^6</f>
        <v>6001.8913940000002</v>
      </c>
      <c r="F54" s="30">
        <f>WS!O54/10^6</f>
        <v>4530.8913940000002</v>
      </c>
      <c r="G54" s="30">
        <f>WS!R54/10^6</f>
        <v>5305.8913940000002</v>
      </c>
      <c r="H54" s="30">
        <f>WS!U54/10^6</f>
        <v>5305.8913940000002</v>
      </c>
      <c r="I54" s="30">
        <f>WS!X54/10^6</f>
        <v>5305.8913940000002</v>
      </c>
      <c r="J54" s="30">
        <f>WS!AA54/10^6</f>
        <v>5305.8913940000002</v>
      </c>
      <c r="K54" s="30">
        <f>WS!AD54/10^6</f>
        <v>5305.8913940000002</v>
      </c>
      <c r="L54" s="30">
        <f>WS!AG54/10^6</f>
        <v>5305.8913940000002</v>
      </c>
      <c r="M54" s="30">
        <f>WS!AH54/10^6</f>
        <v>0</v>
      </c>
      <c r="N54" s="30">
        <f>WS!AI54/10^6</f>
        <v>0</v>
      </c>
      <c r="O54" s="33"/>
      <c r="P54" s="33"/>
      <c r="Q54" s="33"/>
      <c r="R54" s="33"/>
      <c r="S54" s="33"/>
      <c r="T54" s="33"/>
      <c r="U54" s="33"/>
      <c r="V54" s="33"/>
      <c r="W54" s="33"/>
      <c r="X54" s="33"/>
    </row>
    <row r="55" spans="1:24">
      <c r="A55" s="6" t="s">
        <v>3</v>
      </c>
      <c r="B55" s="31" t="s">
        <v>46</v>
      </c>
      <c r="C55" s="30">
        <f>WS!F55/10^6</f>
        <v>0</v>
      </c>
      <c r="D55" s="30">
        <f>WS!I55/10^6</f>
        <v>0</v>
      </c>
      <c r="E55" s="30">
        <f>WS!L55/10^6</f>
        <v>0</v>
      </c>
      <c r="F55" s="30">
        <f>WS!O55/10^6</f>
        <v>0</v>
      </c>
      <c r="G55" s="30">
        <f>WS!R55/10^6</f>
        <v>0</v>
      </c>
      <c r="H55" s="30">
        <f>WS!U55/10^6</f>
        <v>0</v>
      </c>
      <c r="I55" s="30">
        <f>WS!X55/10^6</f>
        <v>0</v>
      </c>
      <c r="J55" s="30">
        <f>WS!AA55/10^6</f>
        <v>0</v>
      </c>
      <c r="K55" s="30">
        <f>WS!AD55/10^6</f>
        <v>0</v>
      </c>
      <c r="L55" s="30">
        <f>WS!AG55/10^6</f>
        <v>0</v>
      </c>
      <c r="M55" s="30">
        <f>WS!AH55/10^6</f>
        <v>0</v>
      </c>
      <c r="N55" s="30">
        <f>WS!AI55/10^6</f>
        <v>0</v>
      </c>
      <c r="O55" s="33"/>
      <c r="P55" s="33"/>
      <c r="Q55" s="33"/>
      <c r="R55" s="33"/>
      <c r="S55" s="33"/>
      <c r="T55" s="33"/>
      <c r="U55" s="33"/>
      <c r="V55" s="33"/>
      <c r="W55" s="33"/>
      <c r="X55" s="33"/>
    </row>
    <row r="56" spans="1:24">
      <c r="A56" s="6" t="s">
        <v>4</v>
      </c>
      <c r="B56" s="31" t="s">
        <v>159</v>
      </c>
      <c r="C56" s="30">
        <f>WS!F56/10^6</f>
        <v>0</v>
      </c>
      <c r="D56" s="30">
        <f>WS!I56/10^6</f>
        <v>0</v>
      </c>
      <c r="E56" s="30">
        <f>WS!L56/10^6</f>
        <v>0</v>
      </c>
      <c r="F56" s="30">
        <f>WS!O56/10^6</f>
        <v>0</v>
      </c>
      <c r="G56" s="30">
        <f>WS!R56/10^6</f>
        <v>0</v>
      </c>
      <c r="H56" s="30">
        <f>WS!U56/10^6</f>
        <v>0</v>
      </c>
      <c r="I56" s="30">
        <f>WS!X56/10^6</f>
        <v>0</v>
      </c>
      <c r="J56" s="30">
        <f>WS!AA56/10^6</f>
        <v>0</v>
      </c>
      <c r="K56" s="30">
        <f>WS!AD56/10^6</f>
        <v>0</v>
      </c>
      <c r="L56" s="30">
        <f>WS!AG56/10^6</f>
        <v>0</v>
      </c>
      <c r="M56" s="30">
        <f>WS!AH56/10^6</f>
        <v>0</v>
      </c>
      <c r="N56" s="30">
        <f>WS!AI56/10^6</f>
        <v>0</v>
      </c>
      <c r="O56" s="33"/>
      <c r="P56" s="33"/>
      <c r="Q56" s="33"/>
      <c r="R56" s="33"/>
      <c r="S56" s="33"/>
      <c r="T56" s="33"/>
      <c r="U56" s="33"/>
      <c r="V56" s="33"/>
      <c r="W56" s="33"/>
      <c r="X56" s="33"/>
    </row>
    <row r="57" spans="1:24">
      <c r="A57" s="6" t="s">
        <v>5</v>
      </c>
      <c r="B57" s="31" t="s">
        <v>48</v>
      </c>
      <c r="C57" s="30">
        <f>WS!F57/10^6</f>
        <v>0</v>
      </c>
      <c r="D57" s="30">
        <f>WS!I57/10^6</f>
        <v>0</v>
      </c>
      <c r="E57" s="30">
        <f>WS!L57/10^6</f>
        <v>0</v>
      </c>
      <c r="F57" s="30">
        <f>WS!O57/10^6</f>
        <v>0</v>
      </c>
      <c r="G57" s="30">
        <f>WS!R57/10^6</f>
        <v>0</v>
      </c>
      <c r="H57" s="30">
        <f>WS!U57/10^6</f>
        <v>0</v>
      </c>
      <c r="I57" s="30">
        <f>WS!X57/10^6</f>
        <v>0</v>
      </c>
      <c r="J57" s="30">
        <f>WS!AA57/10^6</f>
        <v>0</v>
      </c>
      <c r="K57" s="30">
        <f>WS!AD57/10^6</f>
        <v>0</v>
      </c>
      <c r="L57" s="30">
        <f>WS!AG57/10^6</f>
        <v>0</v>
      </c>
      <c r="M57" s="30">
        <f>WS!AH57/10^6</f>
        <v>0</v>
      </c>
      <c r="N57" s="30">
        <f>WS!AI57/10^6</f>
        <v>0</v>
      </c>
      <c r="O57" s="33"/>
      <c r="P57" s="33"/>
      <c r="Q57" s="33"/>
      <c r="R57" s="33"/>
      <c r="S57" s="33"/>
      <c r="T57" s="33"/>
      <c r="U57" s="33"/>
      <c r="V57" s="33"/>
      <c r="W57" s="33"/>
      <c r="X57" s="33"/>
    </row>
    <row r="58" spans="1:24" s="37" customFormat="1">
      <c r="A58" s="6" t="s">
        <v>6</v>
      </c>
      <c r="B58" s="31" t="s">
        <v>49</v>
      </c>
      <c r="C58" s="30">
        <f>WS!F58/10^6</f>
        <v>0</v>
      </c>
      <c r="D58" s="30">
        <f>WS!I58/10^6</f>
        <v>0</v>
      </c>
      <c r="E58" s="30">
        <f>WS!L58/10^6</f>
        <v>0</v>
      </c>
      <c r="F58" s="30">
        <f>WS!O58/10^6</f>
        <v>0</v>
      </c>
      <c r="G58" s="30">
        <f>WS!R58/10^6</f>
        <v>0</v>
      </c>
      <c r="H58" s="30">
        <f>WS!U58/10^6</f>
        <v>0</v>
      </c>
      <c r="I58" s="30">
        <f>WS!X58/10^6</f>
        <v>0</v>
      </c>
      <c r="J58" s="30">
        <f>WS!AA58/10^6</f>
        <v>0</v>
      </c>
      <c r="K58" s="30">
        <f>WS!AD58/10^6</f>
        <v>0</v>
      </c>
      <c r="L58" s="30">
        <f>WS!AG58/10^6</f>
        <v>0</v>
      </c>
      <c r="M58" s="30">
        <f>WS!AH58/10^6</f>
        <v>0</v>
      </c>
      <c r="N58" s="30">
        <f>WS!AI58/10^6</f>
        <v>0</v>
      </c>
      <c r="O58" s="33"/>
      <c r="P58" s="33"/>
      <c r="Q58" s="33"/>
      <c r="R58" s="33"/>
      <c r="S58" s="33"/>
      <c r="T58" s="33"/>
      <c r="U58" s="33"/>
      <c r="V58" s="33"/>
      <c r="W58" s="33"/>
      <c r="X58" s="33"/>
    </row>
    <row r="59" spans="1:24">
      <c r="A59" s="6" t="s">
        <v>7</v>
      </c>
      <c r="B59" s="31" t="s">
        <v>192</v>
      </c>
      <c r="C59" s="30">
        <f>WS!F59/10^6</f>
        <v>0</v>
      </c>
      <c r="D59" s="30">
        <f>WS!I59/10^6</f>
        <v>0</v>
      </c>
      <c r="E59" s="30">
        <f>WS!L59/10^6</f>
        <v>0</v>
      </c>
      <c r="F59" s="30">
        <f>WS!O59/10^6</f>
        <v>0</v>
      </c>
      <c r="G59" s="30">
        <f>WS!R59/10^6</f>
        <v>0</v>
      </c>
      <c r="H59" s="30">
        <f>WS!U59/10^6</f>
        <v>0</v>
      </c>
      <c r="I59" s="30">
        <f>WS!X59/10^6</f>
        <v>0</v>
      </c>
      <c r="J59" s="30">
        <f>WS!AA59/10^6</f>
        <v>0</v>
      </c>
      <c r="K59" s="30">
        <f>WS!AD59/10^6</f>
        <v>0</v>
      </c>
      <c r="L59" s="30">
        <f>WS!AG59/10^6</f>
        <v>0</v>
      </c>
      <c r="M59" s="30">
        <f>WS!AH59/10^6</f>
        <v>0</v>
      </c>
      <c r="N59" s="30">
        <f>WS!AI59/10^6</f>
        <v>0</v>
      </c>
      <c r="O59" s="33"/>
      <c r="P59" s="33"/>
      <c r="Q59" s="33"/>
      <c r="R59" s="33"/>
      <c r="S59" s="33"/>
      <c r="T59" s="33"/>
      <c r="U59" s="33"/>
      <c r="V59" s="33"/>
      <c r="W59" s="33"/>
      <c r="X59" s="33"/>
    </row>
    <row r="60" spans="1:24">
      <c r="A60" s="6" t="s">
        <v>8</v>
      </c>
      <c r="B60" s="31" t="s">
        <v>50</v>
      </c>
      <c r="C60" s="30">
        <f>WS!F60/10^6</f>
        <v>435</v>
      </c>
      <c r="D60" s="30">
        <f>WS!I60/10^6</f>
        <v>656.29049999999995</v>
      </c>
      <c r="E60" s="30">
        <f>WS!L60/10^6</f>
        <v>311.29050000000001</v>
      </c>
      <c r="F60" s="30">
        <f>WS!O60/10^6</f>
        <v>184.290088</v>
      </c>
      <c r="G60" s="30">
        <f>WS!R60/10^6</f>
        <v>182.705038</v>
      </c>
      <c r="H60" s="30">
        <f>WS!U60/10^6</f>
        <v>182.705038</v>
      </c>
      <c r="I60" s="30">
        <f>WS!X60/10^6</f>
        <v>182.705038</v>
      </c>
      <c r="J60" s="30">
        <f>WS!AA60/10^6</f>
        <v>182.705038</v>
      </c>
      <c r="K60" s="30">
        <f>WS!AD60/10^6</f>
        <v>182.705038</v>
      </c>
      <c r="L60" s="30">
        <f>WS!AG60/10^6</f>
        <v>182.705038</v>
      </c>
      <c r="M60" s="30">
        <f>WS!AH60/10^6</f>
        <v>0</v>
      </c>
      <c r="N60" s="30">
        <f>WS!AI60/10^6</f>
        <v>0</v>
      </c>
      <c r="O60" s="33"/>
      <c r="P60" s="33"/>
      <c r="Q60" s="33"/>
      <c r="R60" s="33"/>
      <c r="S60" s="33"/>
      <c r="T60" s="33"/>
      <c r="U60" s="33"/>
      <c r="V60" s="33"/>
      <c r="W60" s="33"/>
      <c r="X60" s="33"/>
    </row>
    <row r="61" spans="1:24">
      <c r="A61" s="6" t="s">
        <v>206</v>
      </c>
      <c r="B61" s="31" t="s">
        <v>51</v>
      </c>
      <c r="C61" s="30">
        <f>WS!F61/10^6</f>
        <v>22.716000000000001</v>
      </c>
      <c r="D61" s="30">
        <f>WS!I61/10^6</f>
        <v>16.884</v>
      </c>
      <c r="E61" s="30">
        <f>WS!L61/10^6</f>
        <v>16.884</v>
      </c>
      <c r="F61" s="30">
        <f>WS!O61/10^6</f>
        <v>270.69959999999998</v>
      </c>
      <c r="G61" s="30">
        <f>WS!R61/10^6</f>
        <v>297.98113208000001</v>
      </c>
      <c r="H61" s="30">
        <f>WS!U61/10^6</f>
        <v>297.98113208000001</v>
      </c>
      <c r="I61" s="30">
        <f>WS!X61/10^6</f>
        <v>297.98113208000001</v>
      </c>
      <c r="J61" s="30">
        <f>WS!AA61/10^6</f>
        <v>297.98113208000001</v>
      </c>
      <c r="K61" s="30">
        <f>WS!AD61/10^6</f>
        <v>297.98113208000001</v>
      </c>
      <c r="L61" s="30">
        <f>WS!AG61/10^6</f>
        <v>297.98113208000001</v>
      </c>
      <c r="M61" s="30">
        <f>WS!AH61/10^6</f>
        <v>0</v>
      </c>
      <c r="N61" s="30">
        <f>WS!AI61/10^6</f>
        <v>0</v>
      </c>
      <c r="O61" s="33"/>
      <c r="P61" s="33"/>
      <c r="Q61" s="33"/>
      <c r="R61" s="33"/>
      <c r="S61" s="33"/>
      <c r="T61" s="33"/>
      <c r="U61" s="33"/>
      <c r="V61" s="33"/>
      <c r="W61" s="33"/>
      <c r="X61" s="33"/>
    </row>
    <row r="62" spans="1:24">
      <c r="A62" s="287" t="s">
        <v>214</v>
      </c>
      <c r="B62" s="287"/>
      <c r="C62" s="30">
        <f>SUM(C54:C61)</f>
        <v>2042.9750939999999</v>
      </c>
      <c r="D62" s="30">
        <f t="shared" ref="D62:L62" si="12">SUM(D54:D61)</f>
        <v>3645.1933939999999</v>
      </c>
      <c r="E62" s="30">
        <f t="shared" si="12"/>
        <v>6330.0658940000003</v>
      </c>
      <c r="F62" s="30">
        <f t="shared" si="12"/>
        <v>4985.8810819999999</v>
      </c>
      <c r="G62" s="30">
        <f t="shared" si="12"/>
        <v>5786.5775640800002</v>
      </c>
      <c r="H62" s="30">
        <f t="shared" si="12"/>
        <v>5786.5775640800002</v>
      </c>
      <c r="I62" s="30">
        <f t="shared" si="12"/>
        <v>5786.5775640800002</v>
      </c>
      <c r="J62" s="30">
        <f t="shared" si="12"/>
        <v>5786.5775640800002</v>
      </c>
      <c r="K62" s="30">
        <f t="shared" si="12"/>
        <v>5786.5775640800002</v>
      </c>
      <c r="L62" s="30">
        <f t="shared" si="12"/>
        <v>5786.5775640800002</v>
      </c>
      <c r="M62" s="30">
        <f t="shared" ref="M62:N62" si="13">SUM(M54:M61)</f>
        <v>0</v>
      </c>
      <c r="N62" s="30">
        <f t="shared" si="13"/>
        <v>0</v>
      </c>
      <c r="O62" s="33"/>
      <c r="P62" s="33"/>
      <c r="Q62" s="33"/>
      <c r="R62" s="33"/>
      <c r="S62" s="33"/>
      <c r="T62" s="33"/>
      <c r="U62" s="33"/>
      <c r="V62" s="33"/>
      <c r="W62" s="33"/>
      <c r="X62" s="33"/>
    </row>
    <row r="63" spans="1:24">
      <c r="A63" s="280" t="s">
        <v>102</v>
      </c>
      <c r="B63" s="280"/>
      <c r="C63" s="30">
        <v>0</v>
      </c>
      <c r="D63" s="30">
        <f>WS!I63/10^6</f>
        <v>0</v>
      </c>
      <c r="E63" s="30">
        <f>WS!L63/10^6</f>
        <v>0</v>
      </c>
      <c r="F63" s="30">
        <f>WS!O63/10^6</f>
        <v>0</v>
      </c>
      <c r="G63" s="30">
        <f>WS!R63/10^6</f>
        <v>0</v>
      </c>
      <c r="H63" s="30">
        <f>WS!U63/10^6</f>
        <v>0</v>
      </c>
      <c r="I63" s="30">
        <f>WS!X63/10^6</f>
        <v>0</v>
      </c>
      <c r="J63" s="30">
        <f>WS!AA63/10^6</f>
        <v>0</v>
      </c>
      <c r="K63" s="30">
        <f>WS!AD63/10^6</f>
        <v>0</v>
      </c>
      <c r="L63" s="30">
        <f>WS!AG63/10^6</f>
        <v>0</v>
      </c>
      <c r="M63" s="30">
        <f>WS!AH63/10^6</f>
        <v>0</v>
      </c>
      <c r="N63" s="30">
        <f>WS!AI63/10^6</f>
        <v>0</v>
      </c>
      <c r="O63" s="33"/>
      <c r="P63" s="33"/>
      <c r="Q63" s="33"/>
      <c r="R63" s="33"/>
      <c r="S63" s="33"/>
      <c r="T63" s="33"/>
      <c r="U63" s="33"/>
      <c r="V63" s="33"/>
      <c r="W63" s="33"/>
      <c r="X63" s="33"/>
    </row>
    <row r="64" spans="1:24">
      <c r="A64" s="6" t="s">
        <v>9</v>
      </c>
      <c r="B64" s="31" t="s">
        <v>52</v>
      </c>
      <c r="C64" s="30">
        <f>WS!F64/10^6</f>
        <v>740.37</v>
      </c>
      <c r="D64" s="30">
        <f>WS!I64/10^6</f>
        <v>716.37</v>
      </c>
      <c r="E64" s="30">
        <f>WS!L64/10^6</f>
        <v>692.37</v>
      </c>
      <c r="F64" s="30">
        <f>WS!O64/10^6</f>
        <v>1348.37</v>
      </c>
      <c r="G64" s="30">
        <f>WS!R64/10^6</f>
        <v>1638.6366459999999</v>
      </c>
      <c r="H64" s="30">
        <f>WS!U64/10^6</f>
        <v>1638.6366459999999</v>
      </c>
      <c r="I64" s="30">
        <f>WS!X64/10^6</f>
        <v>1638.6366459999999</v>
      </c>
      <c r="J64" s="30">
        <f>WS!AA64/10^6</f>
        <v>1638.6366459999999</v>
      </c>
      <c r="K64" s="30">
        <f>WS!AD64/10^6</f>
        <v>1638.6366459999999</v>
      </c>
      <c r="L64" s="30">
        <f>WS!AG64/10^6</f>
        <v>1638.6366459999999</v>
      </c>
      <c r="M64" s="30">
        <f>WS!AH64/10^6</f>
        <v>0</v>
      </c>
      <c r="N64" s="30">
        <f>WS!AI64/10^6</f>
        <v>0</v>
      </c>
      <c r="O64" s="33"/>
      <c r="P64" s="33"/>
      <c r="Q64" s="33"/>
      <c r="R64" s="33"/>
      <c r="S64" s="33"/>
      <c r="T64" s="33"/>
      <c r="U64" s="33"/>
      <c r="V64" s="33"/>
      <c r="W64" s="33"/>
      <c r="X64" s="33"/>
    </row>
    <row r="65" spans="1:24">
      <c r="A65" s="6" t="s">
        <v>10</v>
      </c>
      <c r="B65" s="31" t="s">
        <v>53</v>
      </c>
      <c r="C65" s="30">
        <f>WS!F65/10^6</f>
        <v>0</v>
      </c>
      <c r="D65" s="30">
        <f>WS!I65/10^6</f>
        <v>0</v>
      </c>
      <c r="E65" s="30">
        <f>WS!L65/10^6</f>
        <v>0</v>
      </c>
      <c r="F65" s="30">
        <f>WS!O65/10^6</f>
        <v>0</v>
      </c>
      <c r="G65" s="30">
        <f>WS!R65/10^6</f>
        <v>0</v>
      </c>
      <c r="H65" s="30">
        <f>WS!U65/10^6</f>
        <v>0</v>
      </c>
      <c r="I65" s="30">
        <f>WS!X65/10^6</f>
        <v>0</v>
      </c>
      <c r="J65" s="30">
        <f>WS!AA65/10^6</f>
        <v>0</v>
      </c>
      <c r="K65" s="30">
        <f>WS!AD65/10^6</f>
        <v>0</v>
      </c>
      <c r="L65" s="30">
        <f>WS!AG65/10^6</f>
        <v>0</v>
      </c>
      <c r="M65" s="30">
        <f>WS!AH65/10^6</f>
        <v>0</v>
      </c>
      <c r="N65" s="30">
        <f>WS!AI65/10^6</f>
        <v>0</v>
      </c>
      <c r="O65" s="33"/>
      <c r="P65" s="33"/>
      <c r="Q65" s="33"/>
      <c r="R65" s="33"/>
      <c r="S65" s="33"/>
      <c r="T65" s="33"/>
      <c r="U65" s="33"/>
      <c r="V65" s="33"/>
      <c r="W65" s="33"/>
      <c r="X65" s="33"/>
    </row>
    <row r="66" spans="1:24" s="37" customFormat="1">
      <c r="A66" s="6" t="s">
        <v>11</v>
      </c>
      <c r="B66" s="31" t="s">
        <v>54</v>
      </c>
      <c r="C66" s="30">
        <f>WS!F66/10^6</f>
        <v>0</v>
      </c>
      <c r="D66" s="30">
        <f>WS!I66/10^6</f>
        <v>0</v>
      </c>
      <c r="E66" s="30">
        <f>WS!L66/10^6</f>
        <v>0</v>
      </c>
      <c r="F66" s="30">
        <f>WS!O66/10^6</f>
        <v>0</v>
      </c>
      <c r="G66" s="30">
        <f>WS!R66/10^6</f>
        <v>0</v>
      </c>
      <c r="H66" s="30">
        <f>WS!U66/10^6</f>
        <v>0</v>
      </c>
      <c r="I66" s="30">
        <f>WS!X66/10^6</f>
        <v>0</v>
      </c>
      <c r="J66" s="30">
        <f>WS!AA66/10^6</f>
        <v>0</v>
      </c>
      <c r="K66" s="30">
        <f>WS!AD66/10^6</f>
        <v>0</v>
      </c>
      <c r="L66" s="30">
        <f>WS!AG66/10^6</f>
        <v>0</v>
      </c>
      <c r="M66" s="30">
        <f>WS!AH66/10^6</f>
        <v>0</v>
      </c>
      <c r="N66" s="30">
        <f>WS!AI66/10^6</f>
        <v>0</v>
      </c>
      <c r="O66" s="33"/>
      <c r="P66" s="33"/>
      <c r="Q66" s="33"/>
      <c r="R66" s="33"/>
      <c r="S66" s="33"/>
      <c r="T66" s="33"/>
      <c r="U66" s="33"/>
      <c r="V66" s="33"/>
      <c r="W66" s="33"/>
      <c r="X66" s="33"/>
    </row>
    <row r="67" spans="1:24">
      <c r="A67" s="6" t="s">
        <v>12</v>
      </c>
      <c r="B67" s="31" t="s">
        <v>196</v>
      </c>
      <c r="C67" s="30">
        <f>WS!F67/10^6</f>
        <v>-350</v>
      </c>
      <c r="D67" s="30">
        <f>WS!I67/10^6</f>
        <v>-350</v>
      </c>
      <c r="E67" s="30">
        <f>WS!L67/10^6</f>
        <v>-350</v>
      </c>
      <c r="F67" s="30">
        <f>WS!O67/10^6</f>
        <v>-350</v>
      </c>
      <c r="G67" s="30">
        <f>WS!R67/10^6</f>
        <v>-350</v>
      </c>
      <c r="H67" s="30">
        <f>WS!U67/10^6</f>
        <v>-350</v>
      </c>
      <c r="I67" s="30">
        <f>WS!X67/10^6</f>
        <v>-350</v>
      </c>
      <c r="J67" s="30">
        <f>WS!AA67/10^6</f>
        <v>-350</v>
      </c>
      <c r="K67" s="30">
        <f>WS!AD67/10^6</f>
        <v>-350</v>
      </c>
      <c r="L67" s="30">
        <f>WS!AG67/10^6</f>
        <v>-350</v>
      </c>
      <c r="M67" s="30">
        <f>WS!AH67/10^6</f>
        <v>0</v>
      </c>
      <c r="N67" s="30">
        <f>WS!AI67/10^6</f>
        <v>0</v>
      </c>
      <c r="O67" s="33"/>
      <c r="P67" s="33"/>
      <c r="Q67" s="33"/>
      <c r="R67" s="33"/>
      <c r="S67" s="33"/>
      <c r="T67" s="33"/>
      <c r="U67" s="33"/>
      <c r="V67" s="33"/>
      <c r="W67" s="33"/>
      <c r="X67" s="33"/>
    </row>
    <row r="68" spans="1:24">
      <c r="A68" s="6" t="s">
        <v>207</v>
      </c>
      <c r="B68" s="31" t="s">
        <v>55</v>
      </c>
      <c r="C68" s="30">
        <f>WS!F68/10^6</f>
        <v>0</v>
      </c>
      <c r="D68" s="30">
        <f>WS!I68/10^6</f>
        <v>0</v>
      </c>
      <c r="E68" s="30">
        <f>WS!L68/10^6</f>
        <v>0</v>
      </c>
      <c r="F68" s="30">
        <f>WS!O68/10^6</f>
        <v>0</v>
      </c>
      <c r="G68" s="30">
        <f>WS!R68/10^6</f>
        <v>0</v>
      </c>
      <c r="H68" s="30">
        <f>WS!U68/10^6</f>
        <v>0</v>
      </c>
      <c r="I68" s="30">
        <f>WS!X68/10^6</f>
        <v>0</v>
      </c>
      <c r="J68" s="30">
        <f>WS!AA68/10^6</f>
        <v>0</v>
      </c>
      <c r="K68" s="30">
        <f>WS!AD68/10^6</f>
        <v>0</v>
      </c>
      <c r="L68" s="30">
        <f>WS!AG68/10^6</f>
        <v>0</v>
      </c>
      <c r="M68" s="30">
        <f>WS!AH68/10^6</f>
        <v>0</v>
      </c>
      <c r="N68" s="30">
        <f>WS!AI68/10^6</f>
        <v>0</v>
      </c>
      <c r="O68" s="33"/>
      <c r="P68" s="33"/>
      <c r="Q68" s="33"/>
      <c r="R68" s="33"/>
      <c r="S68" s="33"/>
      <c r="T68" s="33"/>
      <c r="U68" s="33"/>
      <c r="V68" s="33"/>
      <c r="W68" s="33"/>
      <c r="X68" s="33"/>
    </row>
    <row r="69" spans="1:24">
      <c r="A69" s="287" t="s">
        <v>215</v>
      </c>
      <c r="B69" s="287"/>
      <c r="C69" s="30">
        <f>SUM(C64:C68)</f>
        <v>390.37</v>
      </c>
      <c r="D69" s="30">
        <f t="shared" ref="D69:L69" si="14">SUM(D64:D68)</f>
        <v>366.37</v>
      </c>
      <c r="E69" s="30">
        <f t="shared" si="14"/>
        <v>342.37</v>
      </c>
      <c r="F69" s="30">
        <f t="shared" si="14"/>
        <v>998.36999999999989</v>
      </c>
      <c r="G69" s="30">
        <f t="shared" si="14"/>
        <v>1288.6366459999999</v>
      </c>
      <c r="H69" s="30">
        <f t="shared" si="14"/>
        <v>1288.6366459999999</v>
      </c>
      <c r="I69" s="30">
        <f t="shared" si="14"/>
        <v>1288.6366459999999</v>
      </c>
      <c r="J69" s="30">
        <f t="shared" si="14"/>
        <v>1288.6366459999999</v>
      </c>
      <c r="K69" s="30">
        <f t="shared" si="14"/>
        <v>1288.6366459999999</v>
      </c>
      <c r="L69" s="30">
        <f t="shared" si="14"/>
        <v>1288.6366459999999</v>
      </c>
      <c r="M69" s="30">
        <f t="shared" ref="M69:N69" si="15">SUM(M64:M68)</f>
        <v>0</v>
      </c>
      <c r="N69" s="30">
        <f t="shared" si="15"/>
        <v>0</v>
      </c>
      <c r="O69" s="33"/>
      <c r="P69" s="33"/>
      <c r="Q69" s="33"/>
      <c r="R69" s="33"/>
      <c r="S69" s="33"/>
      <c r="T69" s="33"/>
      <c r="U69" s="33"/>
      <c r="V69" s="33"/>
      <c r="W69" s="33"/>
      <c r="X69" s="33"/>
    </row>
    <row r="70" spans="1:24">
      <c r="A70" s="287" t="s">
        <v>216</v>
      </c>
      <c r="B70" s="287"/>
      <c r="C70" s="30">
        <f>C62+C69</f>
        <v>2433.3450939999998</v>
      </c>
      <c r="D70" s="30">
        <f t="shared" ref="D70:L70" si="16">D62+D69</f>
        <v>4011.5633939999998</v>
      </c>
      <c r="E70" s="30">
        <f t="shared" si="16"/>
        <v>6672.4358940000002</v>
      </c>
      <c r="F70" s="30">
        <f t="shared" si="16"/>
        <v>5984.2510819999998</v>
      </c>
      <c r="G70" s="30">
        <f t="shared" si="16"/>
        <v>7075.2142100800002</v>
      </c>
      <c r="H70" s="30">
        <f t="shared" si="16"/>
        <v>7075.2142100800002</v>
      </c>
      <c r="I70" s="30">
        <f t="shared" si="16"/>
        <v>7075.2142100800002</v>
      </c>
      <c r="J70" s="30">
        <f t="shared" si="16"/>
        <v>7075.2142100800002</v>
      </c>
      <c r="K70" s="30">
        <f t="shared" si="16"/>
        <v>7075.2142100800002</v>
      </c>
      <c r="L70" s="30">
        <f t="shared" si="16"/>
        <v>7075.2142100800002</v>
      </c>
      <c r="M70" s="30">
        <f t="shared" ref="M70:N70" si="17">M62+M69</f>
        <v>0</v>
      </c>
      <c r="N70" s="30">
        <f t="shared" si="17"/>
        <v>0</v>
      </c>
      <c r="O70" s="33"/>
      <c r="P70" s="33"/>
      <c r="Q70" s="33"/>
      <c r="R70" s="33"/>
      <c r="S70" s="33"/>
      <c r="T70" s="33"/>
      <c r="U70" s="33"/>
      <c r="V70" s="33"/>
      <c r="W70" s="33"/>
      <c r="X70" s="33"/>
    </row>
    <row r="71" spans="1:24">
      <c r="A71" s="280" t="s">
        <v>103</v>
      </c>
      <c r="B71" s="280"/>
      <c r="C71" s="30">
        <v>0</v>
      </c>
      <c r="D71" s="30">
        <f>WS!I71/10^6</f>
        <v>0</v>
      </c>
      <c r="E71" s="30">
        <f>WS!L71/10^6</f>
        <v>0</v>
      </c>
      <c r="F71" s="30">
        <f>WS!O71/10^6</f>
        <v>0</v>
      </c>
      <c r="G71" s="30">
        <f>WS!R71/10^6</f>
        <v>0</v>
      </c>
      <c r="H71" s="30">
        <f>WS!U71/10^6</f>
        <v>0</v>
      </c>
      <c r="I71" s="30">
        <f>WS!X71/10^6</f>
        <v>0</v>
      </c>
      <c r="J71" s="30">
        <f>WS!AA71/10^6</f>
        <v>0</v>
      </c>
      <c r="K71" s="30">
        <f>WS!AD71/10^6</f>
        <v>0</v>
      </c>
      <c r="L71" s="30">
        <f>WS!AG71/10^6</f>
        <v>0</v>
      </c>
      <c r="M71" s="30">
        <f>WS!AH71/10^6</f>
        <v>0</v>
      </c>
      <c r="N71" s="30">
        <f>WS!AI71/10^6</f>
        <v>0</v>
      </c>
      <c r="O71" s="33"/>
      <c r="P71" s="33"/>
      <c r="Q71" s="33"/>
      <c r="R71" s="33"/>
      <c r="S71" s="33"/>
      <c r="T71" s="33"/>
      <c r="U71" s="33"/>
      <c r="V71" s="33"/>
      <c r="W71" s="33"/>
      <c r="X71" s="33"/>
    </row>
    <row r="72" spans="1:24">
      <c r="A72" s="6" t="s">
        <v>13</v>
      </c>
      <c r="B72" s="31" t="s">
        <v>56</v>
      </c>
      <c r="C72" s="30">
        <f>WS!F72/10^6</f>
        <v>0</v>
      </c>
      <c r="D72" s="30">
        <f>WS!I72/10^6</f>
        <v>0</v>
      </c>
      <c r="E72" s="30">
        <f>WS!L72/10^6</f>
        <v>0</v>
      </c>
      <c r="F72" s="30">
        <f>WS!O72/10^6</f>
        <v>0</v>
      </c>
      <c r="G72" s="30">
        <f>WS!R72/10^6</f>
        <v>0</v>
      </c>
      <c r="H72" s="30">
        <f>WS!U72/10^6</f>
        <v>0</v>
      </c>
      <c r="I72" s="30">
        <f>WS!X72/10^6</f>
        <v>0</v>
      </c>
      <c r="J72" s="30">
        <f>WS!AA72/10^6</f>
        <v>0</v>
      </c>
      <c r="K72" s="30">
        <f>WS!AD72/10^6</f>
        <v>0</v>
      </c>
      <c r="L72" s="30">
        <f>WS!AG72/10^6</f>
        <v>0</v>
      </c>
      <c r="M72" s="30">
        <f>WS!AH72/10^6</f>
        <v>0</v>
      </c>
      <c r="N72" s="30">
        <f>WS!AI72/10^6</f>
        <v>0</v>
      </c>
      <c r="O72" s="33"/>
      <c r="P72" s="33"/>
      <c r="Q72" s="33"/>
      <c r="R72" s="33"/>
      <c r="S72" s="33"/>
      <c r="T72" s="33"/>
      <c r="U72" s="33"/>
      <c r="V72" s="33"/>
      <c r="W72" s="33"/>
      <c r="X72" s="33"/>
    </row>
    <row r="73" spans="1:24">
      <c r="A73" s="6" t="s">
        <v>14</v>
      </c>
      <c r="B73" s="31" t="s">
        <v>57</v>
      </c>
      <c r="C73" s="30">
        <f>WS!F73/10^6</f>
        <v>0</v>
      </c>
      <c r="D73" s="30">
        <f>WS!I73/10^6</f>
        <v>0</v>
      </c>
      <c r="E73" s="30">
        <f>WS!L73/10^6</f>
        <v>0</v>
      </c>
      <c r="F73" s="30">
        <f>WS!O73/10^6</f>
        <v>0</v>
      </c>
      <c r="G73" s="30">
        <f>WS!R73/10^6</f>
        <v>0</v>
      </c>
      <c r="H73" s="30">
        <f>WS!U73/10^6</f>
        <v>0</v>
      </c>
      <c r="I73" s="30">
        <f>WS!X73/10^6</f>
        <v>0</v>
      </c>
      <c r="J73" s="30">
        <f>WS!AA73/10^6</f>
        <v>0</v>
      </c>
      <c r="K73" s="30">
        <f>WS!AD73/10^6</f>
        <v>0</v>
      </c>
      <c r="L73" s="30">
        <f>WS!AG73/10^6</f>
        <v>0</v>
      </c>
      <c r="M73" s="30">
        <f>WS!AH73/10^6</f>
        <v>0</v>
      </c>
      <c r="N73" s="30">
        <f>WS!AI73/10^6</f>
        <v>0</v>
      </c>
      <c r="O73" s="33"/>
      <c r="P73" s="33"/>
      <c r="Q73" s="33"/>
      <c r="R73" s="33"/>
      <c r="S73" s="33"/>
      <c r="T73" s="33"/>
      <c r="U73" s="33"/>
      <c r="V73" s="33"/>
      <c r="W73" s="33"/>
      <c r="X73" s="33"/>
    </row>
    <row r="74" spans="1:24">
      <c r="A74" s="6" t="s">
        <v>15</v>
      </c>
      <c r="B74" s="31" t="s">
        <v>58</v>
      </c>
      <c r="C74" s="30">
        <f>WS!F74/10^6</f>
        <v>3541.0920981999998</v>
      </c>
      <c r="D74" s="30">
        <f>WS!I74/10^6</f>
        <v>3482.3314642</v>
      </c>
      <c r="E74" s="30">
        <f>WS!L74/10^6</f>
        <v>3466.1290111999997</v>
      </c>
      <c r="F74" s="30">
        <f>WS!O74/10^6</f>
        <v>3583.7931541999997</v>
      </c>
      <c r="G74" s="30">
        <f>WS!R74/10^6</f>
        <v>4778.7256731999996</v>
      </c>
      <c r="H74" s="30">
        <f>WS!U74/10^6</f>
        <v>6680.0298451999997</v>
      </c>
      <c r="I74" s="30">
        <f>WS!X74/10^6</f>
        <v>6680.0298451999997</v>
      </c>
      <c r="J74" s="30">
        <f>WS!AA74/10^6</f>
        <v>6680.0298451999997</v>
      </c>
      <c r="K74" s="30">
        <f>WS!AD74/10^6</f>
        <v>6680.0298451999997</v>
      </c>
      <c r="L74" s="30">
        <f>WS!AG74/10^6</f>
        <v>6680.0298451999997</v>
      </c>
      <c r="M74" s="30">
        <f>WS!AH74/10^6</f>
        <v>0</v>
      </c>
      <c r="N74" s="30">
        <f>WS!AI74/10^6</f>
        <v>0</v>
      </c>
      <c r="O74" s="33"/>
      <c r="P74" s="33"/>
      <c r="Q74" s="33"/>
      <c r="R74" s="33"/>
      <c r="S74" s="33"/>
      <c r="T74" s="33"/>
      <c r="U74" s="33"/>
      <c r="V74" s="33"/>
      <c r="W74" s="33"/>
      <c r="X74" s="33"/>
    </row>
    <row r="75" spans="1:24">
      <c r="A75" s="6" t="s">
        <v>16</v>
      </c>
      <c r="B75" s="31" t="s">
        <v>59</v>
      </c>
      <c r="C75" s="30">
        <f>WS!F75/10^6</f>
        <v>-58.760634000000003</v>
      </c>
      <c r="D75" s="30">
        <f>WS!I75/10^6</f>
        <v>-16.202452999999998</v>
      </c>
      <c r="E75" s="30">
        <f>WS!L75/10^6</f>
        <v>117.664143</v>
      </c>
      <c r="F75" s="30">
        <f>WS!O75/10^6</f>
        <v>1194.932519</v>
      </c>
      <c r="G75" s="30">
        <f>WS!R75/10^6</f>
        <v>1901.3041720000001</v>
      </c>
      <c r="H75" s="30">
        <f>WS!U75/10^6</f>
        <v>0</v>
      </c>
      <c r="I75" s="30">
        <f>WS!X75/10^6</f>
        <v>0</v>
      </c>
      <c r="J75" s="30">
        <f>WS!AA75/10^6</f>
        <v>0</v>
      </c>
      <c r="K75" s="30">
        <f>WS!AD75/10^6</f>
        <v>0</v>
      </c>
      <c r="L75" s="30">
        <f>WS!AG75/10^6</f>
        <v>0</v>
      </c>
      <c r="M75" s="30">
        <f>WS!AH75/10^6</f>
        <v>0</v>
      </c>
      <c r="N75" s="30">
        <f>WS!AI75/10^6</f>
        <v>0</v>
      </c>
      <c r="O75" s="33"/>
      <c r="P75" s="33"/>
      <c r="Q75" s="33"/>
      <c r="R75" s="33"/>
      <c r="S75" s="33"/>
      <c r="T75" s="33"/>
      <c r="U75" s="33"/>
      <c r="V75" s="33"/>
      <c r="W75" s="33"/>
      <c r="X75" s="33"/>
    </row>
    <row r="76" spans="1:24">
      <c r="A76" s="6" t="s">
        <v>17</v>
      </c>
      <c r="B76" s="31" t="s">
        <v>60</v>
      </c>
      <c r="C76" s="30">
        <f>WS!F76/10^6</f>
        <v>0</v>
      </c>
      <c r="D76" s="30">
        <f>WS!I76/10^6</f>
        <v>0</v>
      </c>
      <c r="E76" s="30">
        <f>WS!L76/10^6</f>
        <v>0</v>
      </c>
      <c r="F76" s="30">
        <f>WS!O76/10^6</f>
        <v>0</v>
      </c>
      <c r="G76" s="30">
        <f>WS!R76/10^6</f>
        <v>0</v>
      </c>
      <c r="H76" s="30">
        <f>WS!U76/10^6</f>
        <v>0</v>
      </c>
      <c r="I76" s="30">
        <f>WS!X76/10^6</f>
        <v>0</v>
      </c>
      <c r="J76" s="30">
        <f>WS!AA76/10^6</f>
        <v>0</v>
      </c>
      <c r="K76" s="30">
        <f>WS!AD76/10^6</f>
        <v>0</v>
      </c>
      <c r="L76" s="30">
        <f>WS!AG76/10^6</f>
        <v>0</v>
      </c>
      <c r="M76" s="30">
        <f>WS!AH76/10^6</f>
        <v>0</v>
      </c>
      <c r="N76" s="30">
        <f>WS!AI76/10^6</f>
        <v>0</v>
      </c>
      <c r="O76" s="33"/>
      <c r="P76" s="33"/>
      <c r="Q76" s="33"/>
      <c r="R76" s="33"/>
      <c r="S76" s="33"/>
      <c r="T76" s="33"/>
      <c r="U76" s="33"/>
      <c r="V76" s="33"/>
      <c r="W76" s="33"/>
      <c r="X76" s="33"/>
    </row>
    <row r="77" spans="1:24" s="37" customFormat="1">
      <c r="A77" s="287" t="s">
        <v>217</v>
      </c>
      <c r="B77" s="287"/>
      <c r="C77" s="30">
        <f>SUM(C72:C76)</f>
        <v>3482.3314641999996</v>
      </c>
      <c r="D77" s="30">
        <f t="shared" ref="D77:L77" si="18">SUM(D72:D76)</f>
        <v>3466.1290112000001</v>
      </c>
      <c r="E77" s="30">
        <f t="shared" si="18"/>
        <v>3583.7931541999997</v>
      </c>
      <c r="F77" s="30">
        <f t="shared" si="18"/>
        <v>4778.7256731999996</v>
      </c>
      <c r="G77" s="30">
        <f t="shared" si="18"/>
        <v>6680.0298451999997</v>
      </c>
      <c r="H77" s="30">
        <f t="shared" si="18"/>
        <v>6680.0298451999997</v>
      </c>
      <c r="I77" s="30">
        <f t="shared" si="18"/>
        <v>6680.0298451999997</v>
      </c>
      <c r="J77" s="30">
        <f t="shared" si="18"/>
        <v>6680.0298451999997</v>
      </c>
      <c r="K77" s="30">
        <f t="shared" si="18"/>
        <v>6680.0298451999997</v>
      </c>
      <c r="L77" s="30">
        <f t="shared" si="18"/>
        <v>6680.0298451999997</v>
      </c>
      <c r="M77" s="30">
        <f t="shared" ref="M77:N77" si="19">SUM(M72:M76)</f>
        <v>0</v>
      </c>
      <c r="N77" s="30">
        <f t="shared" si="19"/>
        <v>0</v>
      </c>
      <c r="O77" s="33"/>
      <c r="P77" s="33"/>
      <c r="Q77" s="33"/>
      <c r="R77" s="33"/>
      <c r="S77" s="33"/>
      <c r="T77" s="33"/>
      <c r="U77" s="33"/>
      <c r="V77" s="33"/>
      <c r="W77" s="33"/>
      <c r="X77" s="33"/>
    </row>
    <row r="78" spans="1:24" s="37" customFormat="1">
      <c r="A78" s="287" t="s">
        <v>218</v>
      </c>
      <c r="B78" s="287"/>
      <c r="C78" s="30">
        <f>C70+C77</f>
        <v>5915.6765581999989</v>
      </c>
      <c r="D78" s="30">
        <f t="shared" ref="D78:L78" si="20">D70+D77</f>
        <v>7477.6924051999995</v>
      </c>
      <c r="E78" s="30">
        <f t="shared" si="20"/>
        <v>10256.229048199999</v>
      </c>
      <c r="F78" s="30">
        <f t="shared" si="20"/>
        <v>10762.976755199999</v>
      </c>
      <c r="G78" s="30">
        <f t="shared" si="20"/>
        <v>13755.24405528</v>
      </c>
      <c r="H78" s="30">
        <f t="shared" si="20"/>
        <v>13755.24405528</v>
      </c>
      <c r="I78" s="30">
        <f t="shared" si="20"/>
        <v>13755.24405528</v>
      </c>
      <c r="J78" s="30">
        <f t="shared" si="20"/>
        <v>13755.24405528</v>
      </c>
      <c r="K78" s="30">
        <f t="shared" si="20"/>
        <v>13755.24405528</v>
      </c>
      <c r="L78" s="30">
        <f t="shared" si="20"/>
        <v>13755.24405528</v>
      </c>
      <c r="M78" s="30">
        <f t="shared" ref="M78:N78" si="21">M70+M77</f>
        <v>0</v>
      </c>
      <c r="N78" s="30">
        <f t="shared" si="21"/>
        <v>0</v>
      </c>
      <c r="O78" s="33"/>
      <c r="P78" s="33"/>
      <c r="Q78" s="33"/>
      <c r="R78" s="33"/>
      <c r="S78" s="33"/>
      <c r="T78" s="33"/>
      <c r="U78" s="33"/>
      <c r="V78" s="33"/>
      <c r="W78" s="33"/>
      <c r="X78" s="33"/>
    </row>
    <row r="79" spans="1:24" s="37" customFormat="1">
      <c r="A79" s="35"/>
      <c r="B79" s="39" t="s">
        <v>227</v>
      </c>
      <c r="C79" s="30">
        <f>C52-C78</f>
        <v>0</v>
      </c>
      <c r="D79" s="30">
        <f t="shared" ref="D79:L79" si="22">D52-D78</f>
        <v>0</v>
      </c>
      <c r="E79" s="30">
        <f t="shared" si="22"/>
        <v>0</v>
      </c>
      <c r="F79" s="30">
        <f t="shared" si="22"/>
        <v>0</v>
      </c>
      <c r="G79" s="30">
        <f t="shared" si="22"/>
        <v>0</v>
      </c>
      <c r="H79" s="30">
        <f t="shared" si="22"/>
        <v>0</v>
      </c>
      <c r="I79" s="30">
        <f t="shared" si="22"/>
        <v>0</v>
      </c>
      <c r="J79" s="30">
        <f t="shared" si="22"/>
        <v>0</v>
      </c>
      <c r="K79" s="30">
        <f t="shared" si="22"/>
        <v>0</v>
      </c>
      <c r="L79" s="30">
        <f t="shared" si="22"/>
        <v>0</v>
      </c>
      <c r="M79" s="30">
        <f t="shared" ref="M79:N79" si="23">M52-M78</f>
        <v>0</v>
      </c>
      <c r="N79" s="30">
        <f t="shared" si="23"/>
        <v>0</v>
      </c>
      <c r="O79" s="33"/>
      <c r="P79" s="33"/>
      <c r="Q79" s="33"/>
      <c r="R79" s="33"/>
      <c r="S79" s="33"/>
      <c r="T79" s="33"/>
      <c r="U79" s="33"/>
      <c r="V79" s="33"/>
      <c r="W79" s="33"/>
      <c r="X79" s="33"/>
    </row>
    <row r="80" spans="1:24" s="37" customFormat="1">
      <c r="A80" s="280" t="s">
        <v>224</v>
      </c>
      <c r="B80" s="280"/>
      <c r="C80" s="30">
        <v>0</v>
      </c>
      <c r="D80" s="30">
        <f>WS!I80/10^6</f>
        <v>0</v>
      </c>
      <c r="E80" s="30">
        <f>WS!L80/10^6</f>
        <v>0</v>
      </c>
      <c r="F80" s="30">
        <f>WS!O80/10^6</f>
        <v>0</v>
      </c>
      <c r="G80" s="30">
        <f>WS!R80/10^6</f>
        <v>0</v>
      </c>
      <c r="H80" s="30">
        <f>WS!U80/10^6</f>
        <v>0</v>
      </c>
      <c r="I80" s="30">
        <f>WS!X80/10^6</f>
        <v>0</v>
      </c>
      <c r="J80" s="30">
        <f>WS!AA80/10^6</f>
        <v>0</v>
      </c>
      <c r="K80" s="30">
        <f>WS!AD80/10^6</f>
        <v>0</v>
      </c>
      <c r="L80" s="30">
        <f>WS!AG80/10^6</f>
        <v>0</v>
      </c>
      <c r="M80" s="30">
        <f>WS!AH80/10^6</f>
        <v>0</v>
      </c>
      <c r="N80" s="30">
        <f>WS!AI80/10^6</f>
        <v>0</v>
      </c>
      <c r="O80" s="33"/>
      <c r="P80" s="33"/>
      <c r="Q80" s="33"/>
      <c r="R80" s="33"/>
      <c r="S80" s="33"/>
      <c r="T80" s="33"/>
      <c r="U80" s="33"/>
      <c r="V80" s="33"/>
      <c r="W80" s="33"/>
      <c r="X80" s="33"/>
    </row>
    <row r="81" spans="1:24">
      <c r="A81" s="6">
        <v>4101</v>
      </c>
      <c r="B81" s="31" t="s">
        <v>61</v>
      </c>
      <c r="C81" s="30">
        <f>WS!F81/10^6</f>
        <v>85</v>
      </c>
      <c r="D81" s="30">
        <f>WS!I81/10^6</f>
        <v>34.5</v>
      </c>
      <c r="E81" s="30">
        <f>WS!L81/10^6</f>
        <v>10</v>
      </c>
      <c r="F81" s="30">
        <f>WS!O81/10^6</f>
        <v>2</v>
      </c>
      <c r="G81" s="30">
        <f>WS!R81/10^6</f>
        <v>36</v>
      </c>
      <c r="H81" s="30">
        <f>WS!U81/10^6</f>
        <v>0</v>
      </c>
      <c r="I81" s="30">
        <f>WS!X81/10^6</f>
        <v>0</v>
      </c>
      <c r="J81" s="30">
        <f>WS!AA81/10^6</f>
        <v>0</v>
      </c>
      <c r="K81" s="30">
        <f>WS!AD81/10^6</f>
        <v>0</v>
      </c>
      <c r="L81" s="30">
        <f>WS!AG81/10^6</f>
        <v>0</v>
      </c>
      <c r="M81" s="30">
        <f>WS!AH81/10^6</f>
        <v>0</v>
      </c>
      <c r="N81" s="30">
        <f>WS!AI81/10^6</f>
        <v>0</v>
      </c>
      <c r="O81" s="33"/>
      <c r="P81" s="33"/>
      <c r="Q81" s="33"/>
      <c r="R81" s="33"/>
      <c r="S81" s="33"/>
      <c r="T81" s="33"/>
      <c r="U81" s="33"/>
      <c r="V81" s="33"/>
      <c r="W81" s="33"/>
      <c r="X81" s="33"/>
    </row>
    <row r="82" spans="1:24">
      <c r="A82" s="6">
        <v>4102</v>
      </c>
      <c r="B82" s="31" t="s">
        <v>62</v>
      </c>
      <c r="C82" s="30">
        <f>WS!F82/10^6</f>
        <v>34</v>
      </c>
      <c r="D82" s="30">
        <f>WS!I82/10^6</f>
        <v>576.5</v>
      </c>
      <c r="E82" s="30">
        <f>WS!L82/10^6</f>
        <v>568</v>
      </c>
      <c r="F82" s="30">
        <f>WS!O82/10^6</f>
        <v>2269.9</v>
      </c>
      <c r="G82" s="30">
        <f>WS!R82/10^6</f>
        <v>2836.6</v>
      </c>
      <c r="H82" s="30">
        <f>WS!U82/10^6</f>
        <v>0</v>
      </c>
      <c r="I82" s="30">
        <f>WS!X82/10^6</f>
        <v>0</v>
      </c>
      <c r="J82" s="30">
        <f>WS!AA82/10^6</f>
        <v>0</v>
      </c>
      <c r="K82" s="30">
        <f>WS!AD82/10^6</f>
        <v>0</v>
      </c>
      <c r="L82" s="30">
        <f>WS!AG82/10^6</f>
        <v>0</v>
      </c>
      <c r="M82" s="30">
        <f>WS!AH82/10^6</f>
        <v>0</v>
      </c>
      <c r="N82" s="30">
        <f>WS!AI82/10^6</f>
        <v>0</v>
      </c>
      <c r="O82" s="33"/>
      <c r="P82" s="33"/>
      <c r="Q82" s="33"/>
      <c r="R82" s="33"/>
      <c r="S82" s="33"/>
      <c r="T82" s="33"/>
      <c r="U82" s="33"/>
      <c r="V82" s="33"/>
      <c r="W82" s="33"/>
      <c r="X82" s="33"/>
    </row>
    <row r="83" spans="1:24">
      <c r="A83" s="6">
        <v>4103</v>
      </c>
      <c r="B83" s="31" t="s">
        <v>63</v>
      </c>
      <c r="C83" s="30">
        <f>WS!F83/10^6</f>
        <v>0</v>
      </c>
      <c r="D83" s="30">
        <f>WS!I83/10^6</f>
        <v>182.4</v>
      </c>
      <c r="E83" s="30">
        <f>WS!L83/10^6</f>
        <v>-40</v>
      </c>
      <c r="F83" s="30">
        <f>WS!O83/10^6</f>
        <v>0</v>
      </c>
      <c r="G83" s="30">
        <f>WS!R83/10^6</f>
        <v>285</v>
      </c>
      <c r="H83" s="30">
        <f>WS!U83/10^6</f>
        <v>0</v>
      </c>
      <c r="I83" s="30">
        <f>WS!X83/10^6</f>
        <v>0</v>
      </c>
      <c r="J83" s="30">
        <f>WS!AA83/10^6</f>
        <v>0</v>
      </c>
      <c r="K83" s="30">
        <f>WS!AD83/10^6</f>
        <v>0</v>
      </c>
      <c r="L83" s="30">
        <f>WS!AG83/10^6</f>
        <v>0</v>
      </c>
      <c r="M83" s="30">
        <f>WS!AH83/10^6</f>
        <v>0</v>
      </c>
      <c r="N83" s="30">
        <f>WS!AI83/10^6</f>
        <v>0</v>
      </c>
      <c r="O83" s="33"/>
      <c r="P83" s="33"/>
      <c r="Q83" s="33"/>
      <c r="R83" s="33"/>
      <c r="S83" s="33"/>
      <c r="T83" s="33"/>
      <c r="U83" s="33"/>
      <c r="V83" s="33"/>
      <c r="W83" s="33"/>
      <c r="X83" s="33"/>
    </row>
    <row r="84" spans="1:24">
      <c r="A84" s="6">
        <v>4104</v>
      </c>
      <c r="B84" s="31" t="s">
        <v>64</v>
      </c>
      <c r="C84" s="30">
        <f>WS!F84/10^6</f>
        <v>0</v>
      </c>
      <c r="D84" s="30">
        <f>WS!I84/10^6</f>
        <v>0</v>
      </c>
      <c r="E84" s="30">
        <f>WS!L84/10^6</f>
        <v>0</v>
      </c>
      <c r="F84" s="30">
        <f>WS!O84/10^6</f>
        <v>0</v>
      </c>
      <c r="G84" s="30">
        <f>WS!R84/10^6</f>
        <v>0</v>
      </c>
      <c r="H84" s="30">
        <f>WS!U84/10^6</f>
        <v>0</v>
      </c>
      <c r="I84" s="30">
        <f>WS!X84/10^6</f>
        <v>0</v>
      </c>
      <c r="J84" s="30">
        <f>WS!AA84/10^6</f>
        <v>0</v>
      </c>
      <c r="K84" s="30">
        <f>WS!AD84/10^6</f>
        <v>0</v>
      </c>
      <c r="L84" s="30">
        <f>WS!AG84/10^6</f>
        <v>0</v>
      </c>
      <c r="M84" s="30">
        <f>WS!AH84/10^6</f>
        <v>0</v>
      </c>
      <c r="N84" s="30">
        <f>WS!AI84/10^6</f>
        <v>0</v>
      </c>
      <c r="O84" s="33"/>
      <c r="P84" s="33"/>
      <c r="Q84" s="33"/>
      <c r="R84" s="33"/>
      <c r="S84" s="33"/>
      <c r="T84" s="33"/>
      <c r="U84" s="33"/>
      <c r="V84" s="33"/>
      <c r="W84" s="33"/>
      <c r="X84" s="33"/>
    </row>
    <row r="85" spans="1:24">
      <c r="A85" s="6">
        <v>4105</v>
      </c>
      <c r="B85" s="31" t="s">
        <v>65</v>
      </c>
      <c r="C85" s="30">
        <f>WS!F85/10^6</f>
        <v>0</v>
      </c>
      <c r="D85" s="30">
        <f>WS!I85/10^6</f>
        <v>0</v>
      </c>
      <c r="E85" s="30">
        <f>WS!L85/10^6</f>
        <v>0</v>
      </c>
      <c r="F85" s="30">
        <f>WS!O85/10^6</f>
        <v>0</v>
      </c>
      <c r="G85" s="30">
        <f>WS!R85/10^6</f>
        <v>0</v>
      </c>
      <c r="H85" s="30">
        <f>WS!U85/10^6</f>
        <v>0</v>
      </c>
      <c r="I85" s="30">
        <f>WS!X85/10^6</f>
        <v>0</v>
      </c>
      <c r="J85" s="30">
        <f>WS!AA85/10^6</f>
        <v>0</v>
      </c>
      <c r="K85" s="30">
        <f>WS!AD85/10^6</f>
        <v>0</v>
      </c>
      <c r="L85" s="30">
        <f>WS!AG85/10^6</f>
        <v>0</v>
      </c>
      <c r="M85" s="30">
        <f>WS!AH85/10^6</f>
        <v>0</v>
      </c>
      <c r="N85" s="30">
        <f>WS!AI85/10^6</f>
        <v>0</v>
      </c>
      <c r="O85" s="33"/>
      <c r="P85" s="33"/>
      <c r="Q85" s="33"/>
      <c r="R85" s="33"/>
      <c r="S85" s="33"/>
      <c r="T85" s="33"/>
      <c r="U85" s="33"/>
      <c r="V85" s="33"/>
      <c r="W85" s="33"/>
      <c r="X85" s="33"/>
    </row>
    <row r="86" spans="1:24">
      <c r="A86" s="6">
        <v>4106</v>
      </c>
      <c r="B86" s="31" t="s">
        <v>199</v>
      </c>
      <c r="C86" s="30">
        <f>WS!F86/10^6</f>
        <v>0</v>
      </c>
      <c r="D86" s="30">
        <f>WS!I86/10^6</f>
        <v>0</v>
      </c>
      <c r="E86" s="30">
        <f>WS!L86/10^6</f>
        <v>0</v>
      </c>
      <c r="F86" s="30">
        <f>WS!O86/10^6</f>
        <v>0</v>
      </c>
      <c r="G86" s="30">
        <f>WS!R86/10^6</f>
        <v>0</v>
      </c>
      <c r="H86" s="30">
        <f>WS!U86/10^6</f>
        <v>0</v>
      </c>
      <c r="I86" s="30">
        <f>WS!X86/10^6</f>
        <v>0</v>
      </c>
      <c r="J86" s="30">
        <f>WS!AA86/10^6</f>
        <v>0</v>
      </c>
      <c r="K86" s="30">
        <f>WS!AD86/10^6</f>
        <v>0</v>
      </c>
      <c r="L86" s="30">
        <f>WS!AG86/10^6</f>
        <v>0</v>
      </c>
      <c r="M86" s="30">
        <f>WS!AH86/10^6</f>
        <v>0</v>
      </c>
      <c r="N86" s="30">
        <f>WS!AI86/10^6</f>
        <v>0</v>
      </c>
      <c r="O86" s="33"/>
      <c r="P86" s="33"/>
      <c r="Q86" s="33"/>
      <c r="R86" s="33"/>
      <c r="S86" s="33"/>
      <c r="T86" s="33"/>
      <c r="U86" s="33"/>
      <c r="V86" s="33"/>
      <c r="W86" s="33"/>
      <c r="X86" s="33"/>
    </row>
    <row r="87" spans="1:24">
      <c r="A87" s="6">
        <v>4107</v>
      </c>
      <c r="B87" s="31" t="s">
        <v>142</v>
      </c>
      <c r="C87" s="30">
        <f>WS!F87/10^6</f>
        <v>0</v>
      </c>
      <c r="D87" s="30">
        <f>WS!I87/10^6</f>
        <v>0</v>
      </c>
      <c r="E87" s="30">
        <f>WS!L87/10^6</f>
        <v>0</v>
      </c>
      <c r="F87" s="30">
        <f>WS!O87/10^6</f>
        <v>0</v>
      </c>
      <c r="G87" s="30">
        <f>WS!R87/10^6</f>
        <v>0</v>
      </c>
      <c r="H87" s="30">
        <f>WS!U87/10^6</f>
        <v>0</v>
      </c>
      <c r="I87" s="30">
        <f>WS!X87/10^6</f>
        <v>0</v>
      </c>
      <c r="J87" s="30">
        <f>WS!AA87/10^6</f>
        <v>0</v>
      </c>
      <c r="K87" s="30">
        <f>WS!AD87/10^6</f>
        <v>0</v>
      </c>
      <c r="L87" s="30">
        <f>WS!AG87/10^6</f>
        <v>0</v>
      </c>
      <c r="M87" s="30">
        <f>WS!AH87/10^6</f>
        <v>0</v>
      </c>
      <c r="N87" s="30">
        <f>WS!AI87/10^6</f>
        <v>0</v>
      </c>
      <c r="O87" s="33"/>
      <c r="P87" s="33"/>
      <c r="Q87" s="33"/>
      <c r="R87" s="33"/>
      <c r="S87" s="33"/>
      <c r="T87" s="33"/>
      <c r="U87" s="33"/>
      <c r="V87" s="33"/>
      <c r="W87" s="33"/>
      <c r="X87" s="33"/>
    </row>
    <row r="88" spans="1:24" s="37" customFormat="1">
      <c r="A88" s="6">
        <v>4108</v>
      </c>
      <c r="B88" s="31" t="s">
        <v>197</v>
      </c>
      <c r="C88" s="30">
        <f>WS!F88/10^6</f>
        <v>0</v>
      </c>
      <c r="D88" s="30">
        <f>WS!I88/10^6</f>
        <v>0</v>
      </c>
      <c r="E88" s="30">
        <f>WS!L88/10^6</f>
        <v>0</v>
      </c>
      <c r="F88" s="30">
        <f>WS!O88/10^6</f>
        <v>0</v>
      </c>
      <c r="G88" s="30">
        <f>WS!R88/10^6</f>
        <v>0</v>
      </c>
      <c r="H88" s="30">
        <f>WS!U88/10^6</f>
        <v>0</v>
      </c>
      <c r="I88" s="30">
        <f>WS!X88/10^6</f>
        <v>0</v>
      </c>
      <c r="J88" s="30">
        <f>WS!AA88/10^6</f>
        <v>0</v>
      </c>
      <c r="K88" s="30">
        <f>WS!AD88/10^6</f>
        <v>0</v>
      </c>
      <c r="L88" s="30">
        <f>WS!AG88/10^6</f>
        <v>0</v>
      </c>
      <c r="M88" s="30">
        <f>WS!AH88/10^6</f>
        <v>0</v>
      </c>
      <c r="N88" s="30">
        <f>WS!AI88/10^6</f>
        <v>0</v>
      </c>
      <c r="O88" s="33"/>
      <c r="P88" s="33"/>
      <c r="Q88" s="33"/>
      <c r="R88" s="33"/>
      <c r="S88" s="33"/>
      <c r="T88" s="33"/>
      <c r="U88" s="33"/>
      <c r="V88" s="33"/>
      <c r="W88" s="33"/>
      <c r="X88" s="33"/>
    </row>
    <row r="89" spans="1:24">
      <c r="A89" s="6">
        <v>4109</v>
      </c>
      <c r="B89" s="31" t="s">
        <v>198</v>
      </c>
      <c r="C89" s="30">
        <f>WS!F89/10^6</f>
        <v>0</v>
      </c>
      <c r="D89" s="30">
        <f>WS!I89/10^6</f>
        <v>0</v>
      </c>
      <c r="E89" s="30">
        <f>WS!L89/10^6</f>
        <v>0</v>
      </c>
      <c r="F89" s="30">
        <f>WS!O89/10^6</f>
        <v>0</v>
      </c>
      <c r="G89" s="30">
        <f>WS!R89/10^6</f>
        <v>0</v>
      </c>
      <c r="H89" s="30">
        <f>WS!U89/10^6</f>
        <v>0</v>
      </c>
      <c r="I89" s="30">
        <f>WS!X89/10^6</f>
        <v>0</v>
      </c>
      <c r="J89" s="30">
        <f>WS!AA89/10^6</f>
        <v>0</v>
      </c>
      <c r="K89" s="30">
        <f>WS!AD89/10^6</f>
        <v>0</v>
      </c>
      <c r="L89" s="30">
        <f>WS!AG89/10^6</f>
        <v>0</v>
      </c>
      <c r="M89" s="30">
        <f>WS!AH89/10^6</f>
        <v>0</v>
      </c>
      <c r="N89" s="30">
        <f>WS!AI89/10^6</f>
        <v>0</v>
      </c>
      <c r="O89" s="33"/>
      <c r="P89" s="33"/>
      <c r="Q89" s="33"/>
      <c r="R89" s="33"/>
      <c r="S89" s="33"/>
      <c r="T89" s="33"/>
      <c r="U89" s="33"/>
      <c r="V89" s="33"/>
      <c r="W89" s="33"/>
      <c r="X89" s="33"/>
    </row>
    <row r="90" spans="1:24">
      <c r="A90" s="6">
        <v>4110</v>
      </c>
      <c r="B90" s="31" t="s">
        <v>200</v>
      </c>
      <c r="C90" s="30">
        <f>WS!F90/10^6</f>
        <v>0</v>
      </c>
      <c r="D90" s="30">
        <f>WS!I90/10^6</f>
        <v>0</v>
      </c>
      <c r="E90" s="30">
        <f>WS!L90/10^6</f>
        <v>0</v>
      </c>
      <c r="F90" s="30">
        <f>WS!O90/10^6</f>
        <v>0</v>
      </c>
      <c r="G90" s="30">
        <f>WS!R90/10^6</f>
        <v>0</v>
      </c>
      <c r="H90" s="30">
        <f>WS!U90/10^6</f>
        <v>0</v>
      </c>
      <c r="I90" s="30">
        <f>WS!X90/10^6</f>
        <v>0</v>
      </c>
      <c r="J90" s="30">
        <f>WS!AA90/10^6</f>
        <v>0</v>
      </c>
      <c r="K90" s="30">
        <f>WS!AD90/10^6</f>
        <v>0</v>
      </c>
      <c r="L90" s="30">
        <f>WS!AG90/10^6</f>
        <v>0</v>
      </c>
      <c r="M90" s="30">
        <f>WS!AH90/10^6</f>
        <v>0</v>
      </c>
      <c r="N90" s="30">
        <f>WS!AI90/10^6</f>
        <v>0</v>
      </c>
      <c r="O90" s="33"/>
      <c r="P90" s="33"/>
      <c r="Q90" s="33"/>
      <c r="R90" s="33"/>
      <c r="S90" s="33"/>
      <c r="T90" s="33"/>
      <c r="U90" s="33"/>
      <c r="V90" s="33"/>
      <c r="W90" s="33"/>
      <c r="X90" s="33"/>
    </row>
    <row r="91" spans="1:24" s="37" customFormat="1">
      <c r="A91" s="287" t="s">
        <v>225</v>
      </c>
      <c r="B91" s="287"/>
      <c r="C91" s="30">
        <f>SUM(C81:C90)</f>
        <v>119</v>
      </c>
      <c r="D91" s="30">
        <f t="shared" ref="D91:L91" si="24">SUM(D81:D90)</f>
        <v>793.4</v>
      </c>
      <c r="E91" s="30">
        <f t="shared" si="24"/>
        <v>538</v>
      </c>
      <c r="F91" s="30">
        <f t="shared" si="24"/>
        <v>2271.9</v>
      </c>
      <c r="G91" s="30">
        <f t="shared" si="24"/>
        <v>3157.6</v>
      </c>
      <c r="H91" s="30">
        <f t="shared" si="24"/>
        <v>0</v>
      </c>
      <c r="I91" s="30">
        <f t="shared" si="24"/>
        <v>0</v>
      </c>
      <c r="J91" s="30">
        <f t="shared" si="24"/>
        <v>0</v>
      </c>
      <c r="K91" s="30">
        <f t="shared" si="24"/>
        <v>0</v>
      </c>
      <c r="L91" s="30">
        <f t="shared" si="24"/>
        <v>0</v>
      </c>
      <c r="M91" s="30">
        <f t="shared" ref="M91:N91" si="25">SUM(M81:M90)</f>
        <v>0</v>
      </c>
      <c r="N91" s="30">
        <f t="shared" si="25"/>
        <v>0</v>
      </c>
      <c r="O91" s="33"/>
      <c r="P91" s="33"/>
      <c r="Q91" s="33"/>
      <c r="R91" s="33"/>
      <c r="S91" s="33"/>
      <c r="T91" s="33"/>
      <c r="U91" s="33"/>
      <c r="V91" s="33"/>
      <c r="W91" s="33"/>
      <c r="X91" s="33"/>
    </row>
    <row r="92" spans="1:24" s="37" customFormat="1">
      <c r="A92" s="280" t="s">
        <v>111</v>
      </c>
      <c r="B92" s="280"/>
      <c r="C92" s="30">
        <v>0</v>
      </c>
      <c r="D92" s="30">
        <f>WS!I92/10^6</f>
        <v>0</v>
      </c>
      <c r="E92" s="30">
        <f>WS!L92/10^6</f>
        <v>0</v>
      </c>
      <c r="F92" s="30">
        <f>WS!O92/10^6</f>
        <v>0</v>
      </c>
      <c r="G92" s="30">
        <f>WS!R92/10^6</f>
        <v>0</v>
      </c>
      <c r="H92" s="30">
        <f>WS!U92/10^6</f>
        <v>0</v>
      </c>
      <c r="I92" s="30">
        <f>WS!X92/10^6</f>
        <v>0</v>
      </c>
      <c r="J92" s="30">
        <f>WS!AA92/10^6</f>
        <v>0</v>
      </c>
      <c r="K92" s="30">
        <f>WS!AD92/10^6</f>
        <v>0</v>
      </c>
      <c r="L92" s="30">
        <f>WS!AG92/10^6</f>
        <v>0</v>
      </c>
      <c r="M92" s="30">
        <f>WS!AH92/10^6</f>
        <v>0</v>
      </c>
      <c r="N92" s="30">
        <f>WS!AI92/10^6</f>
        <v>0</v>
      </c>
      <c r="O92" s="33"/>
      <c r="P92" s="33"/>
      <c r="Q92" s="33"/>
      <c r="R92" s="33"/>
      <c r="S92" s="33"/>
      <c r="T92" s="33"/>
      <c r="U92" s="33"/>
      <c r="V92" s="33"/>
      <c r="W92" s="33"/>
      <c r="X92" s="33"/>
    </row>
    <row r="93" spans="1:24">
      <c r="A93" s="6">
        <v>4201</v>
      </c>
      <c r="B93" s="31" t="s">
        <v>66</v>
      </c>
      <c r="C93" s="30">
        <f>WS!F93/10^6</f>
        <v>0</v>
      </c>
      <c r="D93" s="30">
        <f>WS!I93/10^6</f>
        <v>0</v>
      </c>
      <c r="E93" s="30">
        <f>WS!L93/10^6</f>
        <v>0</v>
      </c>
      <c r="F93" s="30">
        <f>WS!O93/10^6</f>
        <v>0</v>
      </c>
      <c r="G93" s="30">
        <f>WS!R93/10^6</f>
        <v>0</v>
      </c>
      <c r="H93" s="30">
        <f>WS!U93/10^6</f>
        <v>0</v>
      </c>
      <c r="I93" s="30">
        <f>WS!X93/10^6</f>
        <v>0</v>
      </c>
      <c r="J93" s="30">
        <f>WS!AA93/10^6</f>
        <v>0</v>
      </c>
      <c r="K93" s="30">
        <f>WS!AD93/10^6</f>
        <v>0</v>
      </c>
      <c r="L93" s="30">
        <f>WS!AG93/10^6</f>
        <v>0</v>
      </c>
      <c r="M93" s="30">
        <f>WS!AH93/10^6</f>
        <v>0</v>
      </c>
      <c r="N93" s="30">
        <f>WS!AI93/10^6</f>
        <v>0</v>
      </c>
      <c r="O93" s="33"/>
      <c r="P93" s="33"/>
      <c r="Q93" s="33"/>
      <c r="R93" s="33"/>
      <c r="S93" s="33"/>
      <c r="T93" s="33"/>
      <c r="U93" s="33"/>
      <c r="V93" s="33"/>
      <c r="W93" s="33"/>
      <c r="X93" s="33"/>
    </row>
    <row r="94" spans="1:24">
      <c r="A94" s="6">
        <v>4202</v>
      </c>
      <c r="B94" s="31" t="s">
        <v>67</v>
      </c>
      <c r="C94" s="30">
        <f>WS!F94/10^6</f>
        <v>0</v>
      </c>
      <c r="D94" s="30">
        <f>WS!I94/10^6</f>
        <v>0.29364400000000002</v>
      </c>
      <c r="E94" s="30">
        <f>WS!L94/10^6</f>
        <v>0</v>
      </c>
      <c r="F94" s="30">
        <f>WS!O94/10^6</f>
        <v>0</v>
      </c>
      <c r="G94" s="30">
        <f>WS!R94/10^6</f>
        <v>0</v>
      </c>
      <c r="H94" s="30">
        <f>WS!U94/10^6</f>
        <v>0</v>
      </c>
      <c r="I94" s="30">
        <f>WS!X94/10^6</f>
        <v>0</v>
      </c>
      <c r="J94" s="30">
        <f>WS!AA94/10^6</f>
        <v>0</v>
      </c>
      <c r="K94" s="30">
        <f>WS!AD94/10^6</f>
        <v>0</v>
      </c>
      <c r="L94" s="30">
        <f>WS!AG94/10^6</f>
        <v>0</v>
      </c>
      <c r="M94" s="30">
        <f>WS!AH94/10^6</f>
        <v>0</v>
      </c>
      <c r="N94" s="30">
        <f>WS!AI94/10^6</f>
        <v>0</v>
      </c>
      <c r="O94" s="33"/>
      <c r="P94" s="33"/>
      <c r="Q94" s="33"/>
      <c r="R94" s="33"/>
      <c r="S94" s="33"/>
      <c r="T94" s="33"/>
      <c r="U94" s="33"/>
      <c r="V94" s="33"/>
      <c r="W94" s="33"/>
      <c r="X94" s="33"/>
    </row>
    <row r="95" spans="1:24">
      <c r="A95" s="6">
        <v>4203</v>
      </c>
      <c r="B95" s="31" t="s">
        <v>68</v>
      </c>
      <c r="C95" s="30">
        <f>WS!F95/10^6</f>
        <v>0</v>
      </c>
      <c r="D95" s="30">
        <f>WS!I95/10^6</f>
        <v>0</v>
      </c>
      <c r="E95" s="30">
        <f>WS!L95/10^6</f>
        <v>0</v>
      </c>
      <c r="F95" s="30">
        <f>WS!O95/10^6</f>
        <v>0</v>
      </c>
      <c r="G95" s="30">
        <f>WS!R95/10^6</f>
        <v>0</v>
      </c>
      <c r="H95" s="30">
        <f>WS!U95/10^6</f>
        <v>0</v>
      </c>
      <c r="I95" s="30">
        <f>WS!X95/10^6</f>
        <v>0</v>
      </c>
      <c r="J95" s="30">
        <f>WS!AA95/10^6</f>
        <v>0</v>
      </c>
      <c r="K95" s="30">
        <f>WS!AD95/10^6</f>
        <v>0</v>
      </c>
      <c r="L95" s="30">
        <f>WS!AG95/10^6</f>
        <v>0</v>
      </c>
      <c r="M95" s="30">
        <f>WS!AH95/10^6</f>
        <v>0</v>
      </c>
      <c r="N95" s="30">
        <f>WS!AI95/10^6</f>
        <v>0</v>
      </c>
      <c r="O95" s="33"/>
      <c r="P95" s="33"/>
      <c r="Q95" s="33"/>
      <c r="R95" s="33"/>
      <c r="S95" s="33"/>
      <c r="T95" s="33"/>
      <c r="U95" s="33"/>
      <c r="V95" s="33"/>
      <c r="W95" s="33"/>
      <c r="X95" s="33"/>
    </row>
    <row r="96" spans="1:24">
      <c r="A96" s="6">
        <v>4204</v>
      </c>
      <c r="B96" s="31" t="s">
        <v>69</v>
      </c>
      <c r="C96" s="30">
        <f>WS!F96/10^6</f>
        <v>0</v>
      </c>
      <c r="D96" s="30">
        <f>WS!I96/10^6</f>
        <v>0</v>
      </c>
      <c r="E96" s="30">
        <f>WS!L96/10^6</f>
        <v>0.253029</v>
      </c>
      <c r="F96" s="30">
        <f>WS!O96/10^6</f>
        <v>0.45425399999999999</v>
      </c>
      <c r="G96" s="30">
        <f>WS!R96/10^6</f>
        <v>0</v>
      </c>
      <c r="H96" s="30">
        <f>WS!U96/10^6</f>
        <v>0</v>
      </c>
      <c r="I96" s="30">
        <f>WS!X96/10^6</f>
        <v>0</v>
      </c>
      <c r="J96" s="30">
        <f>WS!AA96/10^6</f>
        <v>0</v>
      </c>
      <c r="K96" s="30">
        <f>WS!AD96/10^6</f>
        <v>0</v>
      </c>
      <c r="L96" s="30">
        <f>WS!AG96/10^6</f>
        <v>0</v>
      </c>
      <c r="M96" s="30">
        <f>WS!AH96/10^6</f>
        <v>0</v>
      </c>
      <c r="N96" s="30">
        <f>WS!AI96/10^6</f>
        <v>0</v>
      </c>
      <c r="O96" s="33"/>
      <c r="P96" s="33"/>
      <c r="Q96" s="33"/>
      <c r="R96" s="33"/>
      <c r="S96" s="33"/>
      <c r="T96" s="33"/>
      <c r="U96" s="33"/>
      <c r="V96" s="33"/>
      <c r="W96" s="33"/>
      <c r="X96" s="33"/>
    </row>
    <row r="97" spans="1:24">
      <c r="A97" s="6">
        <v>4205</v>
      </c>
      <c r="B97" s="31" t="s">
        <v>88</v>
      </c>
      <c r="C97" s="30">
        <f>WS!F97/10^6</f>
        <v>0</v>
      </c>
      <c r="D97" s="30">
        <f>WS!I97/10^6</f>
        <v>0</v>
      </c>
      <c r="E97" s="30">
        <f>WS!L97/10^6</f>
        <v>0</v>
      </c>
      <c r="F97" s="30">
        <f>WS!O97/10^6</f>
        <v>0</v>
      </c>
      <c r="G97" s="30">
        <f>WS!R97/10^6</f>
        <v>0</v>
      </c>
      <c r="H97" s="30">
        <f>WS!U97/10^6</f>
        <v>0</v>
      </c>
      <c r="I97" s="30">
        <f>WS!X97/10^6</f>
        <v>0</v>
      </c>
      <c r="J97" s="30">
        <f>WS!AA97/10^6</f>
        <v>0</v>
      </c>
      <c r="K97" s="30">
        <f>WS!AD97/10^6</f>
        <v>0</v>
      </c>
      <c r="L97" s="30">
        <f>WS!AG97/10^6</f>
        <v>0</v>
      </c>
      <c r="M97" s="30">
        <f>WS!AH97/10^6</f>
        <v>0</v>
      </c>
      <c r="N97" s="30">
        <f>WS!AI97/10^6</f>
        <v>0</v>
      </c>
      <c r="O97" s="33"/>
      <c r="P97" s="33"/>
      <c r="Q97" s="33"/>
      <c r="R97" s="33"/>
      <c r="S97" s="33"/>
      <c r="T97" s="33"/>
      <c r="U97" s="33"/>
      <c r="V97" s="33"/>
      <c r="W97" s="33"/>
      <c r="X97" s="33"/>
    </row>
    <row r="98" spans="1:24">
      <c r="A98" s="6">
        <v>4206</v>
      </c>
      <c r="B98" s="31" t="s">
        <v>91</v>
      </c>
      <c r="C98" s="30">
        <f>WS!F98/10^6</f>
        <v>0</v>
      </c>
      <c r="D98" s="30">
        <f>WS!I98/10^6</f>
        <v>0</v>
      </c>
      <c r="E98" s="30">
        <f>WS!L98/10^6</f>
        <v>0</v>
      </c>
      <c r="F98" s="30">
        <f>WS!O98/10^6</f>
        <v>0</v>
      </c>
      <c r="G98" s="30">
        <f>WS!R98/10^6</f>
        <v>0</v>
      </c>
      <c r="H98" s="30">
        <f>WS!U98/10^6</f>
        <v>0</v>
      </c>
      <c r="I98" s="30">
        <f>WS!X98/10^6</f>
        <v>0</v>
      </c>
      <c r="J98" s="30">
        <f>WS!AA98/10^6</f>
        <v>0</v>
      </c>
      <c r="K98" s="30">
        <f>WS!AD98/10^6</f>
        <v>0</v>
      </c>
      <c r="L98" s="30">
        <f>WS!AG98/10^6</f>
        <v>0</v>
      </c>
      <c r="M98" s="30">
        <f>WS!AH98/10^6</f>
        <v>0</v>
      </c>
      <c r="N98" s="30">
        <f>WS!AI98/10^6</f>
        <v>0</v>
      </c>
      <c r="O98" s="33"/>
      <c r="P98" s="33"/>
      <c r="Q98" s="33"/>
      <c r="R98" s="33"/>
      <c r="S98" s="33"/>
      <c r="T98" s="33"/>
      <c r="U98" s="33"/>
      <c r="V98" s="33"/>
      <c r="W98" s="33"/>
      <c r="X98" s="33"/>
    </row>
    <row r="99" spans="1:24" s="37" customFormat="1">
      <c r="A99" s="287" t="s">
        <v>220</v>
      </c>
      <c r="B99" s="287"/>
      <c r="C99" s="30">
        <f>SUM(C93:C98)</f>
        <v>0</v>
      </c>
      <c r="D99" s="30">
        <f t="shared" ref="D99:L99" si="26">SUM(D93:D98)</f>
        <v>0.29364400000000002</v>
      </c>
      <c r="E99" s="30">
        <f t="shared" si="26"/>
        <v>0.253029</v>
      </c>
      <c r="F99" s="30">
        <f t="shared" si="26"/>
        <v>0.45425399999999999</v>
      </c>
      <c r="G99" s="30">
        <f t="shared" si="26"/>
        <v>0</v>
      </c>
      <c r="H99" s="30">
        <f t="shared" si="26"/>
        <v>0</v>
      </c>
      <c r="I99" s="30">
        <f t="shared" si="26"/>
        <v>0</v>
      </c>
      <c r="J99" s="30">
        <f t="shared" si="26"/>
        <v>0</v>
      </c>
      <c r="K99" s="30">
        <f t="shared" si="26"/>
        <v>0</v>
      </c>
      <c r="L99" s="30">
        <f t="shared" si="26"/>
        <v>0</v>
      </c>
      <c r="M99" s="30">
        <f t="shared" ref="M99:N99" si="27">SUM(M93:M98)</f>
        <v>0</v>
      </c>
      <c r="N99" s="30">
        <f t="shared" si="27"/>
        <v>0</v>
      </c>
      <c r="O99" s="33"/>
      <c r="P99" s="33"/>
      <c r="Q99" s="33"/>
      <c r="R99" s="33"/>
      <c r="S99" s="33"/>
      <c r="T99" s="33"/>
      <c r="U99" s="33"/>
      <c r="V99" s="33"/>
      <c r="W99" s="33"/>
      <c r="X99" s="33"/>
    </row>
    <row r="100" spans="1:24" s="37" customFormat="1">
      <c r="A100" s="287" t="s">
        <v>219</v>
      </c>
      <c r="B100" s="287"/>
      <c r="C100" s="30">
        <f>C91+C99</f>
        <v>119</v>
      </c>
      <c r="D100" s="30">
        <f t="shared" ref="D100:L100" si="28">D91+D99</f>
        <v>793.69364399999995</v>
      </c>
      <c r="E100" s="30">
        <f t="shared" si="28"/>
        <v>538.25302899999997</v>
      </c>
      <c r="F100" s="30">
        <f t="shared" si="28"/>
        <v>2272.3542540000003</v>
      </c>
      <c r="G100" s="30">
        <f t="shared" si="28"/>
        <v>3157.6</v>
      </c>
      <c r="H100" s="30">
        <f t="shared" si="28"/>
        <v>0</v>
      </c>
      <c r="I100" s="30">
        <f t="shared" si="28"/>
        <v>0</v>
      </c>
      <c r="J100" s="30">
        <f t="shared" si="28"/>
        <v>0</v>
      </c>
      <c r="K100" s="30">
        <f t="shared" si="28"/>
        <v>0</v>
      </c>
      <c r="L100" s="30">
        <f t="shared" si="28"/>
        <v>0</v>
      </c>
      <c r="M100" s="30">
        <f t="shared" ref="M100:N100" si="29">M91+M99</f>
        <v>0</v>
      </c>
      <c r="N100" s="30">
        <f t="shared" si="29"/>
        <v>0</v>
      </c>
      <c r="O100" s="33"/>
      <c r="P100" s="33"/>
      <c r="Q100" s="33"/>
      <c r="R100" s="33"/>
      <c r="S100" s="33"/>
      <c r="T100" s="33"/>
      <c r="U100" s="33"/>
      <c r="V100" s="33"/>
      <c r="W100" s="33"/>
      <c r="X100" s="33"/>
    </row>
    <row r="101" spans="1:24" s="37" customFormat="1">
      <c r="A101" s="280" t="s">
        <v>105</v>
      </c>
      <c r="B101" s="280"/>
      <c r="C101" s="30">
        <v>0</v>
      </c>
      <c r="D101" s="30">
        <f>WS!I101/10^6</f>
        <v>0</v>
      </c>
      <c r="E101" s="30">
        <f>WS!L101/10^6</f>
        <v>0</v>
      </c>
      <c r="F101" s="30">
        <f>WS!O101/10^6</f>
        <v>0</v>
      </c>
      <c r="G101" s="30">
        <f>WS!R101/10^6</f>
        <v>0</v>
      </c>
      <c r="H101" s="30">
        <f>WS!U101/10^6</f>
        <v>0</v>
      </c>
      <c r="I101" s="30">
        <f>WS!X101/10^6</f>
        <v>0</v>
      </c>
      <c r="J101" s="30">
        <f>WS!AA101/10^6</f>
        <v>0</v>
      </c>
      <c r="K101" s="30">
        <f>WS!AD101/10^6</f>
        <v>0</v>
      </c>
      <c r="L101" s="30">
        <f>WS!AG101/10^6</f>
        <v>0</v>
      </c>
      <c r="M101" s="30">
        <f>WS!AH101/10^6</f>
        <v>0</v>
      </c>
      <c r="N101" s="30">
        <f>WS!AI101/10^6</f>
        <v>0</v>
      </c>
      <c r="O101" s="33"/>
      <c r="P101" s="33"/>
      <c r="Q101" s="33"/>
      <c r="R101" s="33"/>
      <c r="S101" s="33"/>
      <c r="T101" s="33"/>
      <c r="U101" s="33"/>
      <c r="V101" s="33"/>
      <c r="W101" s="33"/>
      <c r="X101" s="33"/>
    </row>
    <row r="102" spans="1:24" s="37" customFormat="1">
      <c r="A102" s="6">
        <v>5101</v>
      </c>
      <c r="B102" s="31" t="s">
        <v>70</v>
      </c>
      <c r="C102" s="30">
        <f>WS!F102/10^6</f>
        <v>0</v>
      </c>
      <c r="D102" s="30">
        <f>WS!I102/10^6</f>
        <v>0</v>
      </c>
      <c r="E102" s="30">
        <f>WS!L102/10^6</f>
        <v>0</v>
      </c>
      <c r="F102" s="30">
        <f>WS!O102/10^6</f>
        <v>0</v>
      </c>
      <c r="G102" s="30">
        <f>WS!R102/10^6</f>
        <v>0</v>
      </c>
      <c r="H102" s="30">
        <f>WS!U102/10^6</f>
        <v>0</v>
      </c>
      <c r="I102" s="30">
        <f>WS!X102/10^6</f>
        <v>0</v>
      </c>
      <c r="J102" s="30">
        <f>WS!AA102/10^6</f>
        <v>0</v>
      </c>
      <c r="K102" s="30">
        <f>WS!AD102/10^6</f>
        <v>0</v>
      </c>
      <c r="L102" s="30">
        <f>WS!AG102/10^6</f>
        <v>0</v>
      </c>
      <c r="M102" s="30">
        <f>WS!AH102/10^6</f>
        <v>0</v>
      </c>
      <c r="N102" s="30">
        <f>WS!AI102/10^6</f>
        <v>0</v>
      </c>
      <c r="O102" s="33"/>
      <c r="P102" s="33"/>
      <c r="Q102" s="33"/>
      <c r="R102" s="33"/>
      <c r="S102" s="33"/>
      <c r="T102" s="33"/>
      <c r="U102" s="33"/>
      <c r="V102" s="33"/>
      <c r="W102" s="33"/>
      <c r="X102" s="33"/>
    </row>
    <row r="103" spans="1:24">
      <c r="A103" s="6">
        <v>5102</v>
      </c>
      <c r="B103" s="31" t="s">
        <v>201</v>
      </c>
      <c r="C103" s="30">
        <f>WS!F103/10^6</f>
        <v>0</v>
      </c>
      <c r="D103" s="30">
        <f>WS!I103/10^6</f>
        <v>195</v>
      </c>
      <c r="E103" s="30">
        <f>WS!L103/10^6</f>
        <v>195</v>
      </c>
      <c r="F103" s="30">
        <f>WS!O103/10^6</f>
        <v>780</v>
      </c>
      <c r="G103" s="30">
        <f>WS!R103/10^6</f>
        <v>845</v>
      </c>
      <c r="H103" s="30">
        <f>WS!U103/10^6</f>
        <v>0</v>
      </c>
      <c r="I103" s="30">
        <f>WS!X103/10^6</f>
        <v>0</v>
      </c>
      <c r="J103" s="30">
        <f>WS!AA103/10^6</f>
        <v>0</v>
      </c>
      <c r="K103" s="30">
        <f>WS!AD103/10^6</f>
        <v>0</v>
      </c>
      <c r="L103" s="30">
        <f>WS!AG103/10^6</f>
        <v>0</v>
      </c>
      <c r="M103" s="30">
        <f>WS!AH103/10^6</f>
        <v>0</v>
      </c>
      <c r="N103" s="30">
        <f>WS!AI103/10^6</f>
        <v>0</v>
      </c>
      <c r="O103" s="33"/>
      <c r="P103" s="33"/>
      <c r="Q103" s="33"/>
      <c r="R103" s="33"/>
      <c r="S103" s="33"/>
      <c r="T103" s="33"/>
      <c r="U103" s="33"/>
      <c r="V103" s="33"/>
      <c r="W103" s="33"/>
      <c r="X103" s="33"/>
    </row>
    <row r="104" spans="1:24">
      <c r="A104" s="6">
        <v>5103</v>
      </c>
      <c r="B104" s="31" t="s">
        <v>202</v>
      </c>
      <c r="C104" s="30">
        <f>WS!F104/10^6</f>
        <v>0</v>
      </c>
      <c r="D104" s="30">
        <f>WS!I104/10^6</f>
        <v>0</v>
      </c>
      <c r="E104" s="30">
        <f>WS!L104/10^6</f>
        <v>0</v>
      </c>
      <c r="F104" s="30">
        <f>WS!O104/10^6</f>
        <v>0</v>
      </c>
      <c r="G104" s="30">
        <f>WS!R104/10^6</f>
        <v>0</v>
      </c>
      <c r="H104" s="30">
        <f>WS!U104/10^6</f>
        <v>0</v>
      </c>
      <c r="I104" s="30">
        <f>WS!X104/10^6</f>
        <v>0</v>
      </c>
      <c r="J104" s="30">
        <f>WS!AA104/10^6</f>
        <v>0</v>
      </c>
      <c r="K104" s="30">
        <f>WS!AD104/10^6</f>
        <v>0</v>
      </c>
      <c r="L104" s="30">
        <f>WS!AG104/10^6</f>
        <v>0</v>
      </c>
      <c r="M104" s="30">
        <f>WS!AH104/10^6</f>
        <v>0</v>
      </c>
      <c r="N104" s="30">
        <f>WS!AI104/10^6</f>
        <v>0</v>
      </c>
      <c r="O104" s="33"/>
      <c r="P104" s="33"/>
      <c r="Q104" s="33"/>
      <c r="R104" s="33"/>
      <c r="S104" s="33"/>
      <c r="T104" s="33"/>
      <c r="U104" s="33"/>
      <c r="V104" s="33"/>
      <c r="W104" s="33"/>
      <c r="X104" s="33"/>
    </row>
    <row r="105" spans="1:24">
      <c r="A105" s="6">
        <v>5104</v>
      </c>
      <c r="B105" s="31" t="s">
        <v>144</v>
      </c>
      <c r="C105" s="30">
        <f>WS!F105/10^6</f>
        <v>0</v>
      </c>
      <c r="D105" s="30">
        <f>WS!I105/10^6</f>
        <v>0</v>
      </c>
      <c r="E105" s="30">
        <f>WS!L105/10^6</f>
        <v>0</v>
      </c>
      <c r="F105" s="30">
        <f>WS!O105/10^6</f>
        <v>0</v>
      </c>
      <c r="G105" s="30">
        <f>WS!R105/10^6</f>
        <v>0</v>
      </c>
      <c r="H105" s="30">
        <f>WS!U105/10^6</f>
        <v>0</v>
      </c>
      <c r="I105" s="30">
        <f>WS!X105/10^6</f>
        <v>0</v>
      </c>
      <c r="J105" s="30">
        <f>WS!AA105/10^6</f>
        <v>0</v>
      </c>
      <c r="K105" s="30">
        <f>WS!AD105/10^6</f>
        <v>0</v>
      </c>
      <c r="L105" s="30">
        <f>WS!AG105/10^6</f>
        <v>0</v>
      </c>
      <c r="M105" s="30">
        <f>WS!AH105/10^6</f>
        <v>0</v>
      </c>
      <c r="N105" s="30">
        <f>WS!AI105/10^6</f>
        <v>0</v>
      </c>
      <c r="O105" s="33"/>
      <c r="P105" s="33"/>
      <c r="Q105" s="33"/>
      <c r="R105" s="33"/>
      <c r="S105" s="33"/>
      <c r="T105" s="33"/>
      <c r="U105" s="33"/>
      <c r="V105" s="33"/>
      <c r="W105" s="33"/>
      <c r="X105" s="33"/>
    </row>
    <row r="106" spans="1:24">
      <c r="A106" s="6">
        <v>5105</v>
      </c>
      <c r="B106" s="31" t="s">
        <v>145</v>
      </c>
      <c r="C106" s="30">
        <f>WS!F106/10^6</f>
        <v>0</v>
      </c>
      <c r="D106" s="30">
        <f>WS!I106/10^6</f>
        <v>0</v>
      </c>
      <c r="E106" s="30">
        <f>WS!L106/10^6</f>
        <v>0</v>
      </c>
      <c r="F106" s="30">
        <f>WS!O106/10^6</f>
        <v>0</v>
      </c>
      <c r="G106" s="30">
        <f>WS!R106/10^6</f>
        <v>0</v>
      </c>
      <c r="H106" s="30">
        <f>WS!U106/10^6</f>
        <v>0</v>
      </c>
      <c r="I106" s="30">
        <f>WS!X106/10^6</f>
        <v>0</v>
      </c>
      <c r="J106" s="30">
        <f>WS!AA106/10^6</f>
        <v>0</v>
      </c>
      <c r="K106" s="30">
        <f>WS!AD106/10^6</f>
        <v>0</v>
      </c>
      <c r="L106" s="30">
        <f>WS!AG106/10^6</f>
        <v>0</v>
      </c>
      <c r="M106" s="30">
        <f>WS!AH106/10^6</f>
        <v>0</v>
      </c>
      <c r="N106" s="30">
        <f>WS!AI106/10^6</f>
        <v>0</v>
      </c>
      <c r="O106" s="33"/>
      <c r="P106" s="33"/>
      <c r="Q106" s="33"/>
      <c r="R106" s="33"/>
      <c r="S106" s="33"/>
      <c r="T106" s="33"/>
      <c r="U106" s="33"/>
      <c r="V106" s="33"/>
      <c r="W106" s="33"/>
      <c r="X106" s="33"/>
    </row>
    <row r="107" spans="1:24">
      <c r="A107" s="6">
        <v>5106</v>
      </c>
      <c r="B107" s="31" t="s">
        <v>146</v>
      </c>
      <c r="C107" s="30">
        <f>WS!F107/10^6</f>
        <v>0</v>
      </c>
      <c r="D107" s="30">
        <f>WS!I107/10^6</f>
        <v>0</v>
      </c>
      <c r="E107" s="30">
        <f>WS!L107/10^6</f>
        <v>0</v>
      </c>
      <c r="F107" s="30">
        <f>WS!O107/10^6</f>
        <v>0</v>
      </c>
      <c r="G107" s="30">
        <f>WS!R107/10^6</f>
        <v>0</v>
      </c>
      <c r="H107" s="30">
        <f>WS!U107/10^6</f>
        <v>0</v>
      </c>
      <c r="I107" s="30">
        <f>WS!X107/10^6</f>
        <v>0</v>
      </c>
      <c r="J107" s="30">
        <f>WS!AA107/10^6</f>
        <v>0</v>
      </c>
      <c r="K107" s="30">
        <f>WS!AD107/10^6</f>
        <v>0</v>
      </c>
      <c r="L107" s="30">
        <f>WS!AG107/10^6</f>
        <v>0</v>
      </c>
      <c r="M107" s="30">
        <f>WS!AH107/10^6</f>
        <v>0</v>
      </c>
      <c r="N107" s="30">
        <f>WS!AI107/10^6</f>
        <v>0</v>
      </c>
      <c r="O107" s="33"/>
      <c r="P107" s="33"/>
      <c r="Q107" s="33"/>
      <c r="R107" s="33"/>
      <c r="S107" s="33"/>
      <c r="T107" s="33"/>
      <c r="U107" s="33"/>
      <c r="V107" s="33"/>
      <c r="W107" s="33"/>
      <c r="X107" s="33"/>
    </row>
    <row r="108" spans="1:24">
      <c r="A108" s="6">
        <v>5107</v>
      </c>
      <c r="B108" s="31" t="s">
        <v>71</v>
      </c>
      <c r="C108" s="30">
        <f>WS!F108/10^6</f>
        <v>45.33</v>
      </c>
      <c r="D108" s="30">
        <f>WS!I108/10^6</f>
        <v>80.522999999999996</v>
      </c>
      <c r="E108" s="30">
        <f>WS!L108/10^6</f>
        <v>13.237</v>
      </c>
      <c r="F108" s="30">
        <f>WS!O108/10^6</f>
        <v>16.373000000000001</v>
      </c>
      <c r="G108" s="30">
        <f>WS!R108/10^6</f>
        <v>43.859499999999997</v>
      </c>
      <c r="H108" s="30">
        <f>WS!U108/10^6</f>
        <v>0</v>
      </c>
      <c r="I108" s="30">
        <f>WS!X108/10^6</f>
        <v>0</v>
      </c>
      <c r="J108" s="30">
        <f>WS!AA108/10^6</f>
        <v>0</v>
      </c>
      <c r="K108" s="30">
        <f>WS!AD108/10^6</f>
        <v>0</v>
      </c>
      <c r="L108" s="30">
        <f>WS!AG108/10^6</f>
        <v>0</v>
      </c>
      <c r="M108" s="30">
        <f>WS!AH108/10^6</f>
        <v>0</v>
      </c>
      <c r="N108" s="30">
        <f>WS!AI108/10^6</f>
        <v>0</v>
      </c>
      <c r="O108" s="33"/>
      <c r="P108" s="33"/>
      <c r="Q108" s="33"/>
      <c r="R108" s="33"/>
      <c r="S108" s="33"/>
      <c r="T108" s="33"/>
      <c r="U108" s="33"/>
      <c r="V108" s="33"/>
      <c r="W108" s="33"/>
      <c r="X108" s="33"/>
    </row>
    <row r="109" spans="1:24">
      <c r="A109" s="6">
        <v>5108</v>
      </c>
      <c r="B109" s="31" t="s">
        <v>72</v>
      </c>
      <c r="C109" s="30">
        <f>WS!F109/10^6</f>
        <v>13.228</v>
      </c>
      <c r="D109" s="30">
        <f>WS!I109/10^6</f>
        <v>30.2</v>
      </c>
      <c r="E109" s="30">
        <f>WS!L109/10^6</f>
        <v>14.3</v>
      </c>
      <c r="F109" s="30">
        <f>WS!O109/10^6</f>
        <v>34.085000000000001</v>
      </c>
      <c r="G109" s="30">
        <f>WS!R109/10^6</f>
        <v>47.62</v>
      </c>
      <c r="H109" s="30">
        <f>WS!U109/10^6</f>
        <v>0</v>
      </c>
      <c r="I109" s="30">
        <f>WS!X109/10^6</f>
        <v>0</v>
      </c>
      <c r="J109" s="30">
        <f>WS!AA109/10^6</f>
        <v>0</v>
      </c>
      <c r="K109" s="30">
        <f>WS!AD109/10^6</f>
        <v>0</v>
      </c>
      <c r="L109" s="30">
        <f>WS!AG109/10^6</f>
        <v>0</v>
      </c>
      <c r="M109" s="30">
        <f>WS!AH109/10^6</f>
        <v>0</v>
      </c>
      <c r="N109" s="30">
        <f>WS!AI109/10^6</f>
        <v>0</v>
      </c>
      <c r="O109" s="33"/>
      <c r="P109" s="33"/>
      <c r="Q109" s="33"/>
      <c r="R109" s="33"/>
      <c r="S109" s="33"/>
      <c r="T109" s="33"/>
      <c r="U109" s="33"/>
      <c r="V109" s="33"/>
      <c r="W109" s="33"/>
      <c r="X109" s="33"/>
    </row>
    <row r="110" spans="1:24">
      <c r="A110" s="6">
        <v>5109</v>
      </c>
      <c r="B110" s="31" t="s">
        <v>73</v>
      </c>
      <c r="C110" s="30">
        <f>WS!F110/10^6</f>
        <v>3</v>
      </c>
      <c r="D110" s="30">
        <f>WS!I110/10^6</f>
        <v>0</v>
      </c>
      <c r="E110" s="30">
        <f>WS!L110/10^6</f>
        <v>6</v>
      </c>
      <c r="F110" s="30">
        <f>WS!O110/10^6</f>
        <v>1</v>
      </c>
      <c r="G110" s="30">
        <f>WS!R110/10^6</f>
        <v>32.5</v>
      </c>
      <c r="H110" s="30">
        <f>WS!U110/10^6</f>
        <v>0</v>
      </c>
      <c r="I110" s="30">
        <f>WS!X110/10^6</f>
        <v>0</v>
      </c>
      <c r="J110" s="30">
        <f>WS!AA110/10^6</f>
        <v>0</v>
      </c>
      <c r="K110" s="30">
        <f>WS!AD110/10^6</f>
        <v>0</v>
      </c>
      <c r="L110" s="30">
        <f>WS!AG110/10^6</f>
        <v>0</v>
      </c>
      <c r="M110" s="30">
        <f>WS!AH110/10^6</f>
        <v>0</v>
      </c>
      <c r="N110" s="30">
        <f>WS!AI110/10^6</f>
        <v>0</v>
      </c>
      <c r="O110" s="33"/>
      <c r="P110" s="33"/>
      <c r="Q110" s="33"/>
      <c r="R110" s="33"/>
      <c r="S110" s="33"/>
      <c r="T110" s="33"/>
      <c r="U110" s="33"/>
      <c r="V110" s="33"/>
      <c r="W110" s="33"/>
      <c r="X110" s="33"/>
    </row>
    <row r="111" spans="1:24">
      <c r="A111" s="6">
        <v>5110</v>
      </c>
      <c r="B111" s="31" t="s">
        <v>74</v>
      </c>
      <c r="C111" s="30">
        <f>WS!F111/10^6</f>
        <v>0</v>
      </c>
      <c r="D111" s="30">
        <f>WS!I111/10^6</f>
        <v>7.48</v>
      </c>
      <c r="E111" s="30">
        <f>WS!L111/10^6</f>
        <v>21.22</v>
      </c>
      <c r="F111" s="30">
        <f>WS!O111/10^6</f>
        <v>39.255000000000003</v>
      </c>
      <c r="G111" s="30">
        <f>WS!R111/10^6</f>
        <v>44.977499999999999</v>
      </c>
      <c r="H111" s="30">
        <f>WS!U111/10^6</f>
        <v>0</v>
      </c>
      <c r="I111" s="30">
        <f>WS!X111/10^6</f>
        <v>0</v>
      </c>
      <c r="J111" s="30">
        <f>WS!AA111/10^6</f>
        <v>0</v>
      </c>
      <c r="K111" s="30">
        <f>WS!AD111/10^6</f>
        <v>0</v>
      </c>
      <c r="L111" s="30">
        <f>WS!AG111/10^6</f>
        <v>0</v>
      </c>
      <c r="M111" s="30">
        <f>WS!AH111/10^6</f>
        <v>0</v>
      </c>
      <c r="N111" s="30">
        <f>WS!AI111/10^6</f>
        <v>0</v>
      </c>
      <c r="O111" s="33"/>
      <c r="P111" s="33"/>
      <c r="Q111" s="33"/>
      <c r="R111" s="33"/>
      <c r="S111" s="33"/>
      <c r="T111" s="33"/>
      <c r="U111" s="33"/>
      <c r="V111" s="33"/>
      <c r="W111" s="33"/>
      <c r="X111" s="33"/>
    </row>
    <row r="112" spans="1:24">
      <c r="A112" s="6">
        <v>5111</v>
      </c>
      <c r="B112" s="31" t="s">
        <v>256</v>
      </c>
      <c r="C112" s="30">
        <f>WS!F112/10^6</f>
        <v>0</v>
      </c>
      <c r="D112" s="30">
        <f>WS!I112/10^6</f>
        <v>0</v>
      </c>
      <c r="E112" s="30">
        <f>WS!L112/10^6</f>
        <v>0</v>
      </c>
      <c r="F112" s="30">
        <f>WS!O112/10^6</f>
        <v>0</v>
      </c>
      <c r="G112" s="30">
        <f>WS!R112/10^6</f>
        <v>0</v>
      </c>
      <c r="H112" s="30">
        <f>WS!U112/10^6</f>
        <v>0</v>
      </c>
      <c r="I112" s="30">
        <f>WS!X112/10^6</f>
        <v>0</v>
      </c>
      <c r="J112" s="30">
        <f>WS!AA112/10^6</f>
        <v>0</v>
      </c>
      <c r="K112" s="30">
        <f>WS!AD112/10^6</f>
        <v>0</v>
      </c>
      <c r="L112" s="30">
        <f>WS!AG112/10^6</f>
        <v>0</v>
      </c>
      <c r="M112" s="30">
        <f>WS!AH112/10^6</f>
        <v>0</v>
      </c>
      <c r="N112" s="30">
        <f>WS!AI112/10^6</f>
        <v>0</v>
      </c>
      <c r="O112" s="33"/>
      <c r="P112" s="33"/>
      <c r="Q112" s="33"/>
      <c r="R112" s="33"/>
      <c r="S112" s="33"/>
      <c r="T112" s="33"/>
      <c r="U112" s="33"/>
      <c r="V112" s="33"/>
      <c r="W112" s="33"/>
      <c r="X112" s="33"/>
    </row>
    <row r="113" spans="1:24" s="37" customFormat="1">
      <c r="A113" s="287" t="s">
        <v>221</v>
      </c>
      <c r="B113" s="287"/>
      <c r="C113" s="30">
        <f>SUM(C102:C112)</f>
        <v>61.558</v>
      </c>
      <c r="D113" s="30">
        <f t="shared" ref="D113:L113" si="30">SUM(D102:D112)</f>
        <v>313.20300000000003</v>
      </c>
      <c r="E113" s="30">
        <f t="shared" si="30"/>
        <v>249.75700000000001</v>
      </c>
      <c r="F113" s="30">
        <f t="shared" si="30"/>
        <v>870.71300000000008</v>
      </c>
      <c r="G113" s="30">
        <f t="shared" si="30"/>
        <v>1013.957</v>
      </c>
      <c r="H113" s="30">
        <f t="shared" si="30"/>
        <v>0</v>
      </c>
      <c r="I113" s="30">
        <f t="shared" si="30"/>
        <v>0</v>
      </c>
      <c r="J113" s="30">
        <f t="shared" si="30"/>
        <v>0</v>
      </c>
      <c r="K113" s="30">
        <f t="shared" si="30"/>
        <v>0</v>
      </c>
      <c r="L113" s="30">
        <f t="shared" si="30"/>
        <v>0</v>
      </c>
      <c r="M113" s="30">
        <f t="shared" ref="M113:N113" si="31">SUM(M102:M112)</f>
        <v>0</v>
      </c>
      <c r="N113" s="30">
        <f t="shared" si="31"/>
        <v>0</v>
      </c>
      <c r="O113" s="33"/>
      <c r="P113" s="33"/>
      <c r="Q113" s="33"/>
      <c r="R113" s="33"/>
      <c r="S113" s="33"/>
      <c r="T113" s="33"/>
      <c r="U113" s="33"/>
      <c r="V113" s="33"/>
      <c r="W113" s="33"/>
      <c r="X113" s="33"/>
    </row>
    <row r="114" spans="1:24" s="37" customFormat="1">
      <c r="A114" s="280" t="s">
        <v>106</v>
      </c>
      <c r="B114" s="280"/>
      <c r="C114" s="30">
        <v>0</v>
      </c>
      <c r="D114" s="30">
        <f>WS!I114/10^6</f>
        <v>0</v>
      </c>
      <c r="E114" s="30">
        <f>WS!L114/10^6</f>
        <v>0</v>
      </c>
      <c r="F114" s="30">
        <f>WS!O114/10^6</f>
        <v>0</v>
      </c>
      <c r="G114" s="30">
        <f>WS!R114/10^6</f>
        <v>0</v>
      </c>
      <c r="H114" s="30">
        <f>WS!U114/10^6</f>
        <v>0</v>
      </c>
      <c r="I114" s="30">
        <f>WS!X114/10^6</f>
        <v>0</v>
      </c>
      <c r="J114" s="30">
        <f>WS!AA114/10^6</f>
        <v>0</v>
      </c>
      <c r="K114" s="30">
        <f>WS!AD114/10^6</f>
        <v>0</v>
      </c>
      <c r="L114" s="30">
        <f>WS!AG114/10^6</f>
        <v>0</v>
      </c>
      <c r="M114" s="30">
        <f>WS!AH114/10^6</f>
        <v>0</v>
      </c>
      <c r="N114" s="30">
        <f>WS!AI114/10^6</f>
        <v>0</v>
      </c>
      <c r="O114" s="33"/>
      <c r="P114" s="33"/>
      <c r="Q114" s="33"/>
      <c r="R114" s="33"/>
      <c r="S114" s="33"/>
      <c r="T114" s="33"/>
      <c r="U114" s="33"/>
      <c r="V114" s="33"/>
      <c r="W114" s="33"/>
      <c r="X114" s="33"/>
    </row>
    <row r="115" spans="1:24">
      <c r="A115" s="6">
        <v>6101</v>
      </c>
      <c r="B115" s="31" t="s">
        <v>75</v>
      </c>
      <c r="C115" s="30">
        <f>WS!F115/10^6</f>
        <v>38.242275999999997</v>
      </c>
      <c r="D115" s="30">
        <f>WS!I115/10^6</f>
        <v>53.917388000000003</v>
      </c>
      <c r="E115" s="30">
        <f>WS!L115/10^6</f>
        <v>36.196890000000003</v>
      </c>
      <c r="F115" s="30">
        <f>WS!O115/10^6</f>
        <v>38.789963999999998</v>
      </c>
      <c r="G115" s="30">
        <f>WS!R115/10^6</f>
        <v>62.537528000000002</v>
      </c>
      <c r="H115" s="30">
        <f>WS!U115/10^6</f>
        <v>0</v>
      </c>
      <c r="I115" s="30">
        <f>WS!X115/10^6</f>
        <v>0</v>
      </c>
      <c r="J115" s="30">
        <f>WS!AA115/10^6</f>
        <v>0</v>
      </c>
      <c r="K115" s="30">
        <f>WS!AD115/10^6</f>
        <v>0</v>
      </c>
      <c r="L115" s="30">
        <f>WS!AG115/10^6</f>
        <v>0</v>
      </c>
      <c r="M115" s="30">
        <f>WS!AH115/10^6</f>
        <v>0</v>
      </c>
      <c r="N115" s="30">
        <f>WS!AI115/10^6</f>
        <v>0</v>
      </c>
      <c r="O115" s="33"/>
      <c r="P115" s="33"/>
      <c r="Q115" s="33"/>
      <c r="R115" s="33"/>
      <c r="S115" s="33"/>
      <c r="T115" s="33"/>
      <c r="U115" s="33"/>
      <c r="V115" s="33"/>
      <c r="W115" s="33"/>
      <c r="X115" s="33"/>
    </row>
    <row r="116" spans="1:24" s="37" customFormat="1">
      <c r="A116" s="6">
        <v>6102</v>
      </c>
      <c r="B116" s="31" t="s">
        <v>204</v>
      </c>
      <c r="C116" s="30">
        <f>WS!F116/10^6</f>
        <v>0</v>
      </c>
      <c r="D116" s="30">
        <f>WS!I116/10^6</f>
        <v>0.1</v>
      </c>
      <c r="E116" s="30">
        <f>WS!L116/10^6</f>
        <v>0</v>
      </c>
      <c r="F116" s="30">
        <f>WS!O116/10^6</f>
        <v>0</v>
      </c>
      <c r="G116" s="30">
        <f>WS!R116/10^6</f>
        <v>0</v>
      </c>
      <c r="H116" s="30">
        <f>WS!U116/10^6</f>
        <v>0</v>
      </c>
      <c r="I116" s="30">
        <f>WS!X116/10^6</f>
        <v>0</v>
      </c>
      <c r="J116" s="30">
        <f>WS!AA116/10^6</f>
        <v>0</v>
      </c>
      <c r="K116" s="30">
        <f>WS!AD116/10^6</f>
        <v>0</v>
      </c>
      <c r="L116" s="30">
        <f>WS!AG116/10^6</f>
        <v>0</v>
      </c>
      <c r="M116" s="30">
        <f>WS!AH116/10^6</f>
        <v>0</v>
      </c>
      <c r="N116" s="30">
        <f>WS!AI116/10^6</f>
        <v>0</v>
      </c>
      <c r="O116" s="33"/>
      <c r="P116" s="33"/>
      <c r="Q116" s="33"/>
      <c r="R116" s="33"/>
      <c r="S116" s="33"/>
      <c r="T116" s="33"/>
      <c r="U116" s="33"/>
      <c r="V116" s="33"/>
      <c r="W116" s="33"/>
      <c r="X116" s="33"/>
    </row>
    <row r="117" spans="1:24">
      <c r="A117" s="6">
        <v>6103</v>
      </c>
      <c r="B117" s="31" t="s">
        <v>203</v>
      </c>
      <c r="C117" s="30">
        <f>WS!F117/10^6</f>
        <v>0</v>
      </c>
      <c r="D117" s="30">
        <f>WS!I117/10^6</f>
        <v>0</v>
      </c>
      <c r="E117" s="30">
        <f>WS!L117/10^6</f>
        <v>0</v>
      </c>
      <c r="F117" s="30">
        <f>WS!O117/10^6</f>
        <v>0</v>
      </c>
      <c r="G117" s="30">
        <f>WS!R117/10^6</f>
        <v>0</v>
      </c>
      <c r="H117" s="30">
        <f>WS!U117/10^6</f>
        <v>0</v>
      </c>
      <c r="I117" s="30">
        <f>WS!X117/10^6</f>
        <v>0</v>
      </c>
      <c r="J117" s="30">
        <f>WS!AA117/10^6</f>
        <v>0</v>
      </c>
      <c r="K117" s="30">
        <f>WS!AD117/10^6</f>
        <v>0</v>
      </c>
      <c r="L117" s="30">
        <f>WS!AG117/10^6</f>
        <v>0</v>
      </c>
      <c r="M117" s="30">
        <f>WS!AH117/10^6</f>
        <v>0</v>
      </c>
      <c r="N117" s="30">
        <f>WS!AI117/10^6</f>
        <v>0</v>
      </c>
      <c r="O117" s="33"/>
      <c r="P117" s="33"/>
      <c r="Q117" s="33"/>
      <c r="R117" s="33"/>
      <c r="S117" s="33"/>
      <c r="T117" s="33"/>
      <c r="U117" s="33"/>
      <c r="V117" s="33"/>
      <c r="W117" s="33"/>
      <c r="X117" s="33"/>
    </row>
    <row r="118" spans="1:24">
      <c r="A118" s="6">
        <v>6104</v>
      </c>
      <c r="B118" s="31" t="s">
        <v>147</v>
      </c>
      <c r="C118" s="30">
        <f>WS!F118/10^6</f>
        <v>0</v>
      </c>
      <c r="D118" s="30">
        <f>WS!I118/10^6</f>
        <v>0</v>
      </c>
      <c r="E118" s="30">
        <f>WS!L118/10^6</f>
        <v>0</v>
      </c>
      <c r="F118" s="30">
        <f>WS!O118/10^6</f>
        <v>0</v>
      </c>
      <c r="G118" s="30">
        <f>WS!R118/10^6</f>
        <v>0</v>
      </c>
      <c r="H118" s="30">
        <f>WS!U118/10^6</f>
        <v>0</v>
      </c>
      <c r="I118" s="30">
        <f>WS!X118/10^6</f>
        <v>0</v>
      </c>
      <c r="J118" s="30">
        <f>WS!AA118/10^6</f>
        <v>0</v>
      </c>
      <c r="K118" s="30">
        <f>WS!AD118/10^6</f>
        <v>0</v>
      </c>
      <c r="L118" s="30">
        <f>WS!AG118/10^6</f>
        <v>0</v>
      </c>
      <c r="M118" s="30">
        <f>WS!AH118/10^6</f>
        <v>0</v>
      </c>
      <c r="N118" s="30">
        <f>WS!AI118/10^6</f>
        <v>0</v>
      </c>
      <c r="O118" s="33"/>
      <c r="P118" s="33"/>
      <c r="Q118" s="33"/>
      <c r="R118" s="33"/>
      <c r="S118" s="33"/>
      <c r="T118" s="33"/>
      <c r="U118" s="33"/>
      <c r="V118" s="33"/>
      <c r="W118" s="33"/>
      <c r="X118" s="33"/>
    </row>
    <row r="119" spans="1:24">
      <c r="A119" s="6">
        <v>6105</v>
      </c>
      <c r="B119" s="31" t="s">
        <v>148</v>
      </c>
      <c r="C119" s="30">
        <f>WS!F119/10^6</f>
        <v>0</v>
      </c>
      <c r="D119" s="30">
        <f>WS!I119/10^6</f>
        <v>1.5</v>
      </c>
      <c r="E119" s="30">
        <f>WS!L119/10^6</f>
        <v>0.871</v>
      </c>
      <c r="F119" s="30">
        <f>WS!O119/10^6</f>
        <v>1.145</v>
      </c>
      <c r="G119" s="30">
        <f>WS!R119/10^6</f>
        <v>3.5259999999999998</v>
      </c>
      <c r="H119" s="30">
        <f>WS!U119/10^6</f>
        <v>0</v>
      </c>
      <c r="I119" s="30">
        <f>WS!X119/10^6</f>
        <v>0</v>
      </c>
      <c r="J119" s="30">
        <f>WS!AA119/10^6</f>
        <v>0</v>
      </c>
      <c r="K119" s="30">
        <f>WS!AD119/10^6</f>
        <v>0</v>
      </c>
      <c r="L119" s="30">
        <f>WS!AG119/10^6</f>
        <v>0</v>
      </c>
      <c r="M119" s="30">
        <f>WS!AH119/10^6</f>
        <v>0</v>
      </c>
      <c r="N119" s="30">
        <f>WS!AI119/10^6</f>
        <v>0</v>
      </c>
      <c r="O119" s="33"/>
      <c r="P119" s="33"/>
      <c r="Q119" s="33"/>
      <c r="R119" s="33"/>
      <c r="S119" s="33"/>
      <c r="T119" s="33"/>
      <c r="U119" s="33"/>
      <c r="V119" s="33"/>
      <c r="W119" s="33"/>
      <c r="X119" s="33"/>
    </row>
    <row r="120" spans="1:24">
      <c r="A120" s="6">
        <v>6106</v>
      </c>
      <c r="B120" s="31" t="s">
        <v>149</v>
      </c>
      <c r="C120" s="30">
        <f>WS!F120/10^6</f>
        <v>0.21072099999999999</v>
      </c>
      <c r="D120" s="30">
        <f>WS!I120/10^6</f>
        <v>0.21645</v>
      </c>
      <c r="E120" s="30">
        <f>WS!L120/10^6</f>
        <v>0.63824999999999998</v>
      </c>
      <c r="F120" s="30">
        <f>WS!O120/10^6</f>
        <v>0.63824999999999998</v>
      </c>
      <c r="G120" s="30">
        <f>WS!R120/10^6</f>
        <v>0.63824999999999998</v>
      </c>
      <c r="H120" s="30">
        <f>WS!U120/10^6</f>
        <v>0</v>
      </c>
      <c r="I120" s="30">
        <f>WS!X120/10^6</f>
        <v>0</v>
      </c>
      <c r="J120" s="30">
        <f>WS!AA120/10^6</f>
        <v>0</v>
      </c>
      <c r="K120" s="30">
        <f>WS!AD120/10^6</f>
        <v>0</v>
      </c>
      <c r="L120" s="30">
        <f>WS!AG120/10^6</f>
        <v>0</v>
      </c>
      <c r="M120" s="30">
        <f>WS!AH120/10^6</f>
        <v>0</v>
      </c>
      <c r="N120" s="30">
        <f>WS!AI120/10^6</f>
        <v>0</v>
      </c>
      <c r="O120" s="33"/>
      <c r="P120" s="33"/>
      <c r="Q120" s="33"/>
      <c r="R120" s="33"/>
      <c r="S120" s="33"/>
      <c r="T120" s="33"/>
      <c r="U120" s="33"/>
      <c r="V120" s="33"/>
      <c r="W120" s="33"/>
      <c r="X120" s="33"/>
    </row>
    <row r="121" spans="1:24">
      <c r="A121" s="6">
        <v>6107</v>
      </c>
      <c r="B121" s="31" t="s">
        <v>77</v>
      </c>
      <c r="C121" s="30">
        <f>WS!F121/10^6</f>
        <v>0</v>
      </c>
      <c r="D121" s="30">
        <f>WS!I121/10^6</f>
        <v>0</v>
      </c>
      <c r="E121" s="30">
        <f>WS!L121/10^6</f>
        <v>0</v>
      </c>
      <c r="F121" s="30">
        <f>WS!O121/10^6</f>
        <v>0</v>
      </c>
      <c r="G121" s="30">
        <f>WS!R121/10^6</f>
        <v>0</v>
      </c>
      <c r="H121" s="30">
        <f>WS!U121/10^6</f>
        <v>0</v>
      </c>
      <c r="I121" s="30">
        <f>WS!X121/10^6</f>
        <v>0</v>
      </c>
      <c r="J121" s="30">
        <f>WS!AA121/10^6</f>
        <v>0</v>
      </c>
      <c r="K121" s="30">
        <f>WS!AD121/10^6</f>
        <v>0</v>
      </c>
      <c r="L121" s="30">
        <f>WS!AG121/10^6</f>
        <v>0</v>
      </c>
      <c r="M121" s="30">
        <f>WS!AH121/10^6</f>
        <v>0</v>
      </c>
      <c r="N121" s="30">
        <f>WS!AI121/10^6</f>
        <v>0</v>
      </c>
      <c r="O121" s="33"/>
      <c r="P121" s="33"/>
      <c r="Q121" s="33"/>
      <c r="R121" s="33"/>
      <c r="S121" s="33"/>
      <c r="T121" s="33"/>
      <c r="U121" s="33"/>
      <c r="V121" s="33"/>
      <c r="W121" s="33"/>
      <c r="X121" s="33"/>
    </row>
    <row r="122" spans="1:24" s="37" customFormat="1">
      <c r="A122" s="6">
        <v>6108</v>
      </c>
      <c r="B122" s="31" t="s">
        <v>78</v>
      </c>
      <c r="C122" s="30">
        <f>WS!F122/10^6</f>
        <v>0.12</v>
      </c>
      <c r="D122" s="30">
        <f>WS!I122/10^6</f>
        <v>0</v>
      </c>
      <c r="E122" s="30">
        <f>WS!L122/10^6</f>
        <v>0</v>
      </c>
      <c r="F122" s="30">
        <f>WS!O122/10^6</f>
        <v>0</v>
      </c>
      <c r="G122" s="30">
        <f>WS!R122/10^6</f>
        <v>0</v>
      </c>
      <c r="H122" s="30">
        <f>WS!U122/10^6</f>
        <v>0</v>
      </c>
      <c r="I122" s="30">
        <f>WS!X122/10^6</f>
        <v>0</v>
      </c>
      <c r="J122" s="30">
        <f>WS!AA122/10^6</f>
        <v>0</v>
      </c>
      <c r="K122" s="30">
        <f>WS!AD122/10^6</f>
        <v>0</v>
      </c>
      <c r="L122" s="30">
        <f>WS!AG122/10^6</f>
        <v>0</v>
      </c>
      <c r="M122" s="30">
        <f>WS!AH122/10^6</f>
        <v>0</v>
      </c>
      <c r="N122" s="30">
        <f>WS!AI122/10^6</f>
        <v>0</v>
      </c>
      <c r="O122" s="33"/>
      <c r="P122" s="33"/>
      <c r="Q122" s="33"/>
      <c r="R122" s="33"/>
      <c r="S122" s="33"/>
      <c r="T122" s="33"/>
      <c r="U122" s="33"/>
      <c r="V122" s="33"/>
      <c r="W122" s="33"/>
      <c r="X122" s="33"/>
    </row>
    <row r="123" spans="1:24">
      <c r="A123" s="6">
        <v>6109</v>
      </c>
      <c r="B123" s="31" t="s">
        <v>79</v>
      </c>
      <c r="C123" s="30">
        <f>WS!F123/10^6</f>
        <v>0.5</v>
      </c>
      <c r="D123" s="30">
        <f>WS!I123/10^6</f>
        <v>0</v>
      </c>
      <c r="E123" s="30">
        <f>WS!L123/10^6</f>
        <v>0</v>
      </c>
      <c r="F123" s="30">
        <f>WS!O123/10^6</f>
        <v>0</v>
      </c>
      <c r="G123" s="30">
        <f>WS!R123/10^6</f>
        <v>0.2</v>
      </c>
      <c r="H123" s="30">
        <f>WS!U123/10^6</f>
        <v>0</v>
      </c>
      <c r="I123" s="30">
        <f>WS!X123/10^6</f>
        <v>0</v>
      </c>
      <c r="J123" s="30">
        <f>WS!AA123/10^6</f>
        <v>0</v>
      </c>
      <c r="K123" s="30">
        <f>WS!AD123/10^6</f>
        <v>0</v>
      </c>
      <c r="L123" s="30">
        <f>WS!AG123/10^6</f>
        <v>0</v>
      </c>
      <c r="M123" s="30">
        <f>WS!AH123/10^6</f>
        <v>0</v>
      </c>
      <c r="N123" s="30">
        <f>WS!AI123/10^6</f>
        <v>0</v>
      </c>
      <c r="O123" s="33"/>
      <c r="P123" s="33"/>
      <c r="Q123" s="33"/>
      <c r="R123" s="33"/>
      <c r="S123" s="33"/>
      <c r="T123" s="33"/>
      <c r="U123" s="33"/>
      <c r="V123" s="33"/>
      <c r="W123" s="33"/>
      <c r="X123" s="33"/>
    </row>
    <row r="124" spans="1:24">
      <c r="A124" s="6">
        <v>6110</v>
      </c>
      <c r="B124" s="31" t="s">
        <v>80</v>
      </c>
      <c r="C124" s="30">
        <f>WS!F124/10^6</f>
        <v>0</v>
      </c>
      <c r="D124" s="30">
        <f>WS!I124/10^6</f>
        <v>0</v>
      </c>
      <c r="E124" s="30">
        <f>WS!L124/10^6</f>
        <v>0</v>
      </c>
      <c r="F124" s="30">
        <f>WS!O124/10^6</f>
        <v>0</v>
      </c>
      <c r="G124" s="30">
        <f>WS!R124/10^6</f>
        <v>0</v>
      </c>
      <c r="H124" s="30">
        <f>WS!U124/10^6</f>
        <v>0</v>
      </c>
      <c r="I124" s="30">
        <f>WS!X124/10^6</f>
        <v>0</v>
      </c>
      <c r="J124" s="30">
        <f>WS!AA124/10^6</f>
        <v>0</v>
      </c>
      <c r="K124" s="30">
        <f>WS!AD124/10^6</f>
        <v>0</v>
      </c>
      <c r="L124" s="30">
        <f>WS!AG124/10^6</f>
        <v>0</v>
      </c>
      <c r="M124" s="30">
        <f>WS!AH124/10^6</f>
        <v>0</v>
      </c>
      <c r="N124" s="30">
        <f>WS!AI124/10^6</f>
        <v>0</v>
      </c>
      <c r="O124" s="33"/>
      <c r="P124" s="33"/>
      <c r="Q124" s="33"/>
      <c r="R124" s="33"/>
      <c r="S124" s="33"/>
      <c r="T124" s="33"/>
      <c r="U124" s="33"/>
      <c r="V124" s="33"/>
      <c r="W124" s="33"/>
      <c r="X124" s="33"/>
    </row>
    <row r="125" spans="1:24">
      <c r="A125" s="6">
        <v>6111</v>
      </c>
      <c r="B125" s="31" t="s">
        <v>150</v>
      </c>
      <c r="C125" s="30">
        <f>WS!F125/10^6</f>
        <v>33.932000000000002</v>
      </c>
      <c r="D125" s="30">
        <f>WS!I125/10^6</f>
        <v>30</v>
      </c>
      <c r="E125" s="30">
        <f>WS!L125/10^6</f>
        <v>35</v>
      </c>
      <c r="F125" s="30">
        <f>WS!O125/10^6</f>
        <v>53.686</v>
      </c>
      <c r="G125" s="30">
        <f>WS!R125/10^6</f>
        <v>36.5</v>
      </c>
      <c r="H125" s="30">
        <f>WS!U125/10^6</f>
        <v>0</v>
      </c>
      <c r="I125" s="30">
        <f>WS!X125/10^6</f>
        <v>0</v>
      </c>
      <c r="J125" s="30">
        <f>WS!AA125/10^6</f>
        <v>0</v>
      </c>
      <c r="K125" s="30">
        <f>WS!AD125/10^6</f>
        <v>0</v>
      </c>
      <c r="L125" s="30">
        <f>WS!AG125/10^6</f>
        <v>0</v>
      </c>
      <c r="M125" s="30">
        <f>WS!AH125/10^6</f>
        <v>0</v>
      </c>
      <c r="N125" s="30">
        <f>WS!AI125/10^6</f>
        <v>0</v>
      </c>
      <c r="O125" s="33"/>
      <c r="P125" s="33"/>
      <c r="Q125" s="33"/>
      <c r="R125" s="33"/>
      <c r="S125" s="33"/>
      <c r="T125" s="33"/>
      <c r="U125" s="33"/>
      <c r="V125" s="33"/>
      <c r="W125" s="33"/>
      <c r="X125" s="33"/>
    </row>
    <row r="126" spans="1:24">
      <c r="A126" s="6">
        <v>6112</v>
      </c>
      <c r="B126" s="31" t="s">
        <v>205</v>
      </c>
      <c r="C126" s="30">
        <f>WS!F126/10^6</f>
        <v>21.466000000000001</v>
      </c>
      <c r="D126" s="30">
        <f>WS!I126/10^6</f>
        <v>5.9631980000000002</v>
      </c>
      <c r="E126" s="30">
        <f>WS!L126/10^6</f>
        <v>7.9431459999999996</v>
      </c>
      <c r="F126" s="30">
        <f>WS!O126/10^6</f>
        <v>35.691921000000001</v>
      </c>
      <c r="G126" s="30">
        <f>WS!R126/10^6</f>
        <v>16.60736</v>
      </c>
      <c r="H126" s="30">
        <f>WS!U126/10^6</f>
        <v>0</v>
      </c>
      <c r="I126" s="30">
        <f>WS!X126/10^6</f>
        <v>0</v>
      </c>
      <c r="J126" s="30">
        <f>WS!AA126/10^6</f>
        <v>0</v>
      </c>
      <c r="K126" s="30">
        <f>WS!AD126/10^6</f>
        <v>0</v>
      </c>
      <c r="L126" s="30">
        <f>WS!AG126/10^6</f>
        <v>0</v>
      </c>
      <c r="M126" s="30">
        <f>WS!AH126/10^6</f>
        <v>0</v>
      </c>
      <c r="N126" s="30">
        <f>WS!AI126/10^6</f>
        <v>0</v>
      </c>
      <c r="O126" s="33"/>
      <c r="P126" s="33"/>
      <c r="Q126" s="33"/>
      <c r="R126" s="33"/>
      <c r="S126" s="33"/>
      <c r="T126" s="33"/>
      <c r="U126" s="33"/>
      <c r="V126" s="33"/>
      <c r="W126" s="33"/>
      <c r="X126" s="33"/>
    </row>
    <row r="127" spans="1:24" s="37" customFormat="1">
      <c r="A127" s="287" t="s">
        <v>222</v>
      </c>
      <c r="B127" s="287"/>
      <c r="C127" s="30">
        <f>SUM(C115:C126)</f>
        <v>94.470997000000011</v>
      </c>
      <c r="D127" s="30">
        <f t="shared" ref="D127:L127" si="32">SUM(D115:D126)</f>
        <v>91.697036000000011</v>
      </c>
      <c r="E127" s="30">
        <f t="shared" si="32"/>
        <v>80.649286000000004</v>
      </c>
      <c r="F127" s="30">
        <f t="shared" si="32"/>
        <v>129.95113499999999</v>
      </c>
      <c r="G127" s="30">
        <f t="shared" si="32"/>
        <v>120.00913800000001</v>
      </c>
      <c r="H127" s="30">
        <f t="shared" si="32"/>
        <v>0</v>
      </c>
      <c r="I127" s="30">
        <f t="shared" si="32"/>
        <v>0</v>
      </c>
      <c r="J127" s="30">
        <f t="shared" si="32"/>
        <v>0</v>
      </c>
      <c r="K127" s="30">
        <f t="shared" si="32"/>
        <v>0</v>
      </c>
      <c r="L127" s="30">
        <f t="shared" si="32"/>
        <v>0</v>
      </c>
      <c r="M127" s="30">
        <f t="shared" ref="M127:N127" si="33">SUM(M115:M126)</f>
        <v>0</v>
      </c>
      <c r="N127" s="30">
        <f t="shared" si="33"/>
        <v>0</v>
      </c>
      <c r="O127" s="33"/>
      <c r="P127" s="33"/>
      <c r="Q127" s="33"/>
      <c r="R127" s="33"/>
      <c r="S127" s="33"/>
      <c r="T127" s="33"/>
      <c r="U127" s="33"/>
      <c r="V127" s="33"/>
      <c r="W127" s="33"/>
      <c r="X127" s="33"/>
    </row>
    <row r="128" spans="1:24" s="37" customFormat="1">
      <c r="A128" s="280" t="s">
        <v>107</v>
      </c>
      <c r="B128" s="280"/>
      <c r="C128" s="30">
        <v>0</v>
      </c>
      <c r="D128" s="30">
        <f>WS!I128/10^6</f>
        <v>0</v>
      </c>
      <c r="E128" s="30">
        <f>WS!L128/10^6</f>
        <v>0</v>
      </c>
      <c r="F128" s="30">
        <f>WS!O128/10^6</f>
        <v>0</v>
      </c>
      <c r="G128" s="30">
        <f>WS!R128/10^6</f>
        <v>0</v>
      </c>
      <c r="H128" s="30">
        <f>WS!U128/10^6</f>
        <v>0</v>
      </c>
      <c r="I128" s="30">
        <f>WS!X128/10^6</f>
        <v>0</v>
      </c>
      <c r="J128" s="30">
        <f>WS!AA128/10^6</f>
        <v>0</v>
      </c>
      <c r="K128" s="30">
        <f>WS!AD128/10^6</f>
        <v>0</v>
      </c>
      <c r="L128" s="30">
        <f>WS!AG128/10^6</f>
        <v>0</v>
      </c>
      <c r="M128" s="30">
        <f>WS!AH128/10^6</f>
        <v>0</v>
      </c>
      <c r="N128" s="30">
        <f>WS!AI128/10^6</f>
        <v>0</v>
      </c>
      <c r="O128" s="33"/>
      <c r="P128" s="33"/>
      <c r="Q128" s="33"/>
      <c r="R128" s="33"/>
      <c r="S128" s="33"/>
      <c r="T128" s="33"/>
      <c r="U128" s="33"/>
      <c r="V128" s="33"/>
      <c r="W128" s="33"/>
      <c r="X128" s="33"/>
    </row>
    <row r="129" spans="1:24">
      <c r="A129" s="6" t="s">
        <v>18</v>
      </c>
      <c r="B129" s="31" t="s">
        <v>81</v>
      </c>
      <c r="C129" s="30">
        <f>WS!F129/10^6</f>
        <v>2</v>
      </c>
      <c r="D129" s="30">
        <f>WS!I129/10^6</f>
        <v>4.1500000000000004</v>
      </c>
      <c r="E129" s="30">
        <f>WS!L129/10^6</f>
        <v>3.41</v>
      </c>
      <c r="F129" s="30">
        <f>WS!O129/10^6</f>
        <v>4.8540000000000001</v>
      </c>
      <c r="G129" s="30">
        <f>WS!R129/10^6</f>
        <v>7.15</v>
      </c>
      <c r="H129" s="30">
        <f>WS!U129/10^6</f>
        <v>0</v>
      </c>
      <c r="I129" s="30">
        <f>WS!X129/10^6</f>
        <v>0</v>
      </c>
      <c r="J129" s="30">
        <f>WS!AA129/10^6</f>
        <v>0</v>
      </c>
      <c r="K129" s="30">
        <f>WS!AD129/10^6</f>
        <v>0</v>
      </c>
      <c r="L129" s="30">
        <f>WS!AG129/10^6</f>
        <v>0</v>
      </c>
      <c r="M129" s="30">
        <f>WS!AH129/10^6</f>
        <v>0</v>
      </c>
      <c r="N129" s="30">
        <f>WS!AI129/10^6</f>
        <v>0</v>
      </c>
      <c r="O129" s="33"/>
      <c r="P129" s="33"/>
      <c r="Q129" s="33"/>
      <c r="R129" s="33"/>
      <c r="S129" s="33"/>
      <c r="T129" s="33"/>
      <c r="U129" s="33"/>
      <c r="V129" s="33"/>
      <c r="W129" s="33"/>
      <c r="X129" s="33"/>
    </row>
    <row r="130" spans="1:24">
      <c r="A130" s="6" t="s">
        <v>19</v>
      </c>
      <c r="B130" s="31" t="s">
        <v>82</v>
      </c>
      <c r="C130" s="30">
        <f>WS!F130/10^6</f>
        <v>0</v>
      </c>
      <c r="D130" s="30">
        <f>WS!I130/10^6</f>
        <v>0</v>
      </c>
      <c r="E130" s="30">
        <f>WS!L130/10^6</f>
        <v>0</v>
      </c>
      <c r="F130" s="30">
        <f>WS!O130/10^6</f>
        <v>0</v>
      </c>
      <c r="G130" s="30">
        <f>WS!R130/10^6</f>
        <v>0</v>
      </c>
      <c r="H130" s="30">
        <f>WS!U130/10^6</f>
        <v>0</v>
      </c>
      <c r="I130" s="30">
        <f>WS!X130/10^6</f>
        <v>0</v>
      </c>
      <c r="J130" s="30">
        <f>WS!AA130/10^6</f>
        <v>0</v>
      </c>
      <c r="K130" s="30">
        <f>WS!AD130/10^6</f>
        <v>0</v>
      </c>
      <c r="L130" s="30">
        <f>WS!AG130/10^6</f>
        <v>0</v>
      </c>
      <c r="M130" s="30">
        <f>WS!AH130/10^6</f>
        <v>0</v>
      </c>
      <c r="N130" s="30">
        <f>WS!AI130/10^6</f>
        <v>0</v>
      </c>
      <c r="O130" s="33"/>
      <c r="P130" s="33"/>
      <c r="Q130" s="33"/>
      <c r="R130" s="33"/>
      <c r="S130" s="33"/>
      <c r="T130" s="33"/>
      <c r="U130" s="33"/>
      <c r="V130" s="33"/>
      <c r="W130" s="33"/>
      <c r="X130" s="33"/>
    </row>
    <row r="131" spans="1:24">
      <c r="A131" s="6" t="s">
        <v>20</v>
      </c>
      <c r="B131" s="31" t="s">
        <v>83</v>
      </c>
      <c r="C131" s="30">
        <f>WS!F131/10^6</f>
        <v>0</v>
      </c>
      <c r="D131" s="30">
        <f>WS!I131/10^6</f>
        <v>0</v>
      </c>
      <c r="E131" s="30">
        <f>WS!L131/10^6</f>
        <v>0</v>
      </c>
      <c r="F131" s="30">
        <f>WS!O131/10^6</f>
        <v>0</v>
      </c>
      <c r="G131" s="30">
        <f>WS!R131/10^6</f>
        <v>0</v>
      </c>
      <c r="H131" s="30">
        <f>WS!U131/10^6</f>
        <v>0</v>
      </c>
      <c r="I131" s="30">
        <f>WS!X131/10^6</f>
        <v>0</v>
      </c>
      <c r="J131" s="30">
        <f>WS!AA131/10^6</f>
        <v>0</v>
      </c>
      <c r="K131" s="30">
        <f>WS!AD131/10^6</f>
        <v>0</v>
      </c>
      <c r="L131" s="30">
        <f>WS!AG131/10^6</f>
        <v>0</v>
      </c>
      <c r="M131" s="30">
        <f>WS!AH131/10^6</f>
        <v>0</v>
      </c>
      <c r="N131" s="30">
        <f>WS!AI131/10^6</f>
        <v>0</v>
      </c>
      <c r="O131" s="33"/>
      <c r="P131" s="33"/>
      <c r="Q131" s="33"/>
      <c r="R131" s="33"/>
      <c r="S131" s="33"/>
      <c r="T131" s="33"/>
      <c r="U131" s="33"/>
      <c r="V131" s="33"/>
      <c r="W131" s="33"/>
      <c r="X131" s="33"/>
    </row>
    <row r="132" spans="1:24">
      <c r="A132" s="6" t="s">
        <v>21</v>
      </c>
      <c r="B132" s="31" t="s">
        <v>84</v>
      </c>
      <c r="C132" s="30">
        <f>WS!F132/10^6</f>
        <v>3.73</v>
      </c>
      <c r="D132" s="30">
        <f>WS!I132/10^6</f>
        <v>4.7770000000000001</v>
      </c>
      <c r="E132" s="30">
        <f>WS!L132/10^6</f>
        <v>0</v>
      </c>
      <c r="F132" s="30">
        <f>WS!O132/10^6</f>
        <v>0</v>
      </c>
      <c r="G132" s="30">
        <f>WS!R132/10^6</f>
        <v>1.75</v>
      </c>
      <c r="H132" s="30">
        <f>WS!U132/10^6</f>
        <v>0</v>
      </c>
      <c r="I132" s="30">
        <f>WS!X132/10^6</f>
        <v>0</v>
      </c>
      <c r="J132" s="30">
        <f>WS!AA132/10^6</f>
        <v>0</v>
      </c>
      <c r="K132" s="30">
        <f>WS!AD132/10^6</f>
        <v>0</v>
      </c>
      <c r="L132" s="30">
        <f>WS!AG132/10^6</f>
        <v>0</v>
      </c>
      <c r="M132" s="30">
        <f>WS!AH132/10^6</f>
        <v>0</v>
      </c>
      <c r="N132" s="30">
        <f>WS!AI132/10^6</f>
        <v>0</v>
      </c>
      <c r="O132" s="33"/>
      <c r="P132" s="33"/>
      <c r="Q132" s="33"/>
      <c r="R132" s="33"/>
      <c r="S132" s="33"/>
      <c r="T132" s="33"/>
      <c r="U132" s="33"/>
      <c r="V132" s="33"/>
      <c r="W132" s="33"/>
      <c r="X132" s="33"/>
    </row>
    <row r="133" spans="1:24" s="37" customFormat="1">
      <c r="A133" s="287" t="s">
        <v>223</v>
      </c>
      <c r="B133" s="287"/>
      <c r="C133" s="30">
        <f>SUM(C129:C132)</f>
        <v>5.73</v>
      </c>
      <c r="D133" s="30">
        <f t="shared" ref="D133:L133" si="34">SUM(D129:D132)</f>
        <v>8.9269999999999996</v>
      </c>
      <c r="E133" s="30">
        <f t="shared" si="34"/>
        <v>3.41</v>
      </c>
      <c r="F133" s="30">
        <f t="shared" si="34"/>
        <v>4.8540000000000001</v>
      </c>
      <c r="G133" s="30">
        <f t="shared" si="34"/>
        <v>8.9</v>
      </c>
      <c r="H133" s="30">
        <f t="shared" si="34"/>
        <v>0</v>
      </c>
      <c r="I133" s="30">
        <f t="shared" si="34"/>
        <v>0</v>
      </c>
      <c r="J133" s="30">
        <f t="shared" si="34"/>
        <v>0</v>
      </c>
      <c r="K133" s="30">
        <f t="shared" si="34"/>
        <v>0</v>
      </c>
      <c r="L133" s="30">
        <f t="shared" si="34"/>
        <v>0</v>
      </c>
      <c r="M133" s="30">
        <f t="shared" ref="M133:N133" si="35">SUM(M129:M132)</f>
        <v>0</v>
      </c>
      <c r="N133" s="30">
        <f t="shared" si="35"/>
        <v>0</v>
      </c>
      <c r="O133" s="33"/>
      <c r="P133" s="33"/>
      <c r="Q133" s="33"/>
      <c r="R133" s="33"/>
      <c r="S133" s="33"/>
      <c r="T133" s="33"/>
      <c r="U133" s="33"/>
      <c r="V133" s="33"/>
      <c r="W133" s="33"/>
      <c r="X133" s="33"/>
    </row>
    <row r="134" spans="1:24" s="37" customFormat="1">
      <c r="A134" s="280" t="s">
        <v>108</v>
      </c>
      <c r="B134" s="280"/>
      <c r="C134" s="30">
        <v>0</v>
      </c>
      <c r="D134" s="30">
        <f>WS!I134/10^6</f>
        <v>0</v>
      </c>
      <c r="E134" s="30">
        <f>WS!L134/10^6</f>
        <v>0</v>
      </c>
      <c r="F134" s="30">
        <f>WS!O134/10^6</f>
        <v>0</v>
      </c>
      <c r="G134" s="30">
        <f>WS!R134/10^6</f>
        <v>0</v>
      </c>
      <c r="H134" s="30">
        <f>WS!U134/10^6</f>
        <v>0</v>
      </c>
      <c r="I134" s="30">
        <f>WS!X134/10^6</f>
        <v>0</v>
      </c>
      <c r="J134" s="30">
        <f>WS!AA134/10^6</f>
        <v>0</v>
      </c>
      <c r="K134" s="30">
        <f>WS!AD134/10^6</f>
        <v>0</v>
      </c>
      <c r="L134" s="30">
        <f>WS!AG134/10^6</f>
        <v>0</v>
      </c>
      <c r="M134" s="30">
        <f>WS!AH134/10^6</f>
        <v>0</v>
      </c>
      <c r="N134" s="30">
        <f>WS!AI134/10^6</f>
        <v>0</v>
      </c>
      <c r="O134" s="33"/>
      <c r="P134" s="33"/>
      <c r="Q134" s="33"/>
      <c r="R134" s="33"/>
      <c r="S134" s="33"/>
      <c r="T134" s="33"/>
      <c r="U134" s="33"/>
      <c r="V134" s="33"/>
      <c r="W134" s="33"/>
      <c r="X134" s="33"/>
    </row>
    <row r="135" spans="1:24">
      <c r="A135" s="6" t="s">
        <v>22</v>
      </c>
      <c r="B135" s="31" t="s">
        <v>85</v>
      </c>
      <c r="C135" s="30">
        <f>WS!F135/10^6</f>
        <v>0</v>
      </c>
      <c r="D135" s="30">
        <f>WS!I135/10^6</f>
        <v>365.25</v>
      </c>
      <c r="E135" s="30">
        <f>WS!L135/10^6</f>
        <v>0</v>
      </c>
      <c r="F135" s="30">
        <f>WS!O135/10^6</f>
        <v>17.600000000000001</v>
      </c>
      <c r="G135" s="30">
        <f>WS!R135/10^6</f>
        <v>13.65</v>
      </c>
      <c r="H135" s="30">
        <f>WS!U135/10^6</f>
        <v>0</v>
      </c>
      <c r="I135" s="30">
        <f>WS!X135/10^6</f>
        <v>0</v>
      </c>
      <c r="J135" s="30">
        <f>WS!AA135/10^6</f>
        <v>0</v>
      </c>
      <c r="K135" s="30">
        <f>WS!AD135/10^6</f>
        <v>0</v>
      </c>
      <c r="L135" s="30">
        <f>WS!AG135/10^6</f>
        <v>0</v>
      </c>
      <c r="M135" s="30">
        <f>WS!AH135/10^6</f>
        <v>0</v>
      </c>
      <c r="N135" s="30">
        <f>WS!AI135/10^6</f>
        <v>0</v>
      </c>
      <c r="O135" s="33"/>
      <c r="P135" s="33"/>
      <c r="Q135" s="33"/>
      <c r="R135" s="33"/>
      <c r="S135" s="33"/>
      <c r="T135" s="33"/>
      <c r="U135" s="33"/>
      <c r="V135" s="33"/>
      <c r="W135" s="33"/>
      <c r="X135" s="33"/>
    </row>
    <row r="136" spans="1:24">
      <c r="A136" s="6" t="s">
        <v>23</v>
      </c>
      <c r="B136" s="31" t="s">
        <v>86</v>
      </c>
      <c r="C136" s="30">
        <f>WS!F136/10^6</f>
        <v>0</v>
      </c>
      <c r="D136" s="30">
        <f>WS!I136/10^6</f>
        <v>0</v>
      </c>
      <c r="E136" s="30">
        <f>WS!L136/10^6</f>
        <v>0</v>
      </c>
      <c r="F136" s="30">
        <f>WS!O136/10^6</f>
        <v>0</v>
      </c>
      <c r="G136" s="30">
        <f>WS!R136/10^6</f>
        <v>0</v>
      </c>
      <c r="H136" s="30">
        <f>WS!U136/10^6</f>
        <v>0</v>
      </c>
      <c r="I136" s="30">
        <f>WS!X136/10^6</f>
        <v>0</v>
      </c>
      <c r="J136" s="30">
        <f>WS!AA136/10^6</f>
        <v>0</v>
      </c>
      <c r="K136" s="30">
        <f>WS!AD136/10^6</f>
        <v>0</v>
      </c>
      <c r="L136" s="30">
        <f>WS!AG136/10^6</f>
        <v>0</v>
      </c>
      <c r="M136" s="30">
        <f>WS!AH136/10^6</f>
        <v>0</v>
      </c>
      <c r="N136" s="30">
        <f>WS!AI136/10^6</f>
        <v>0</v>
      </c>
      <c r="O136" s="33"/>
      <c r="P136" s="33"/>
      <c r="Q136" s="33"/>
      <c r="R136" s="33"/>
      <c r="S136" s="33"/>
      <c r="T136" s="33"/>
      <c r="U136" s="33"/>
      <c r="V136" s="33"/>
      <c r="W136" s="33"/>
      <c r="X136" s="33"/>
    </row>
    <row r="137" spans="1:24">
      <c r="A137" s="6" t="s">
        <v>24</v>
      </c>
      <c r="B137" s="31" t="s">
        <v>87</v>
      </c>
      <c r="C137" s="30">
        <f>WS!F137/10^6</f>
        <v>4.8300000000000003E-2</v>
      </c>
      <c r="D137" s="30">
        <f>WS!I137/10^6</f>
        <v>2.6465290000000001</v>
      </c>
      <c r="E137" s="30">
        <f>WS!L137/10^6</f>
        <v>0.1086</v>
      </c>
      <c r="F137" s="30">
        <f>WS!O137/10^6</f>
        <v>32.043599999999998</v>
      </c>
      <c r="G137" s="30">
        <f>WS!R137/10^6</f>
        <v>0.17660000000000001</v>
      </c>
      <c r="H137" s="30">
        <f>WS!U137/10^6</f>
        <v>0</v>
      </c>
      <c r="I137" s="30">
        <f>WS!X137/10^6</f>
        <v>0</v>
      </c>
      <c r="J137" s="30">
        <f>WS!AA137/10^6</f>
        <v>0</v>
      </c>
      <c r="K137" s="30">
        <f>WS!AD137/10^6</f>
        <v>0</v>
      </c>
      <c r="L137" s="30">
        <f>WS!AG137/10^6</f>
        <v>0</v>
      </c>
      <c r="M137" s="30">
        <f>WS!AH137/10^6</f>
        <v>0</v>
      </c>
      <c r="N137" s="30">
        <f>WS!AI137/10^6</f>
        <v>0</v>
      </c>
      <c r="O137" s="33"/>
      <c r="P137" s="33"/>
      <c r="Q137" s="33"/>
      <c r="R137" s="33"/>
      <c r="S137" s="33"/>
      <c r="T137" s="33"/>
      <c r="U137" s="33"/>
      <c r="V137" s="33"/>
      <c r="W137" s="33"/>
      <c r="X137" s="33"/>
    </row>
    <row r="138" spans="1:24" s="37" customFormat="1">
      <c r="A138" s="287" t="s">
        <v>238</v>
      </c>
      <c r="B138" s="287"/>
      <c r="C138" s="30">
        <f>SUM(C135:C137)</f>
        <v>4.8300000000000003E-2</v>
      </c>
      <c r="D138" s="30">
        <f t="shared" ref="D138:L138" si="36">SUM(D135:D137)</f>
        <v>367.89652899999999</v>
      </c>
      <c r="E138" s="30">
        <f t="shared" si="36"/>
        <v>0.1086</v>
      </c>
      <c r="F138" s="30">
        <f t="shared" si="36"/>
        <v>49.643599999999999</v>
      </c>
      <c r="G138" s="30">
        <f t="shared" si="36"/>
        <v>13.826600000000001</v>
      </c>
      <c r="H138" s="30">
        <f t="shared" si="36"/>
        <v>0</v>
      </c>
      <c r="I138" s="30">
        <f t="shared" si="36"/>
        <v>0</v>
      </c>
      <c r="J138" s="30">
        <f t="shared" si="36"/>
        <v>0</v>
      </c>
      <c r="K138" s="30">
        <f t="shared" si="36"/>
        <v>0</v>
      </c>
      <c r="L138" s="30">
        <f t="shared" si="36"/>
        <v>0</v>
      </c>
      <c r="M138" s="30">
        <f t="shared" ref="M138:N138" si="37">SUM(M135:M137)</f>
        <v>0</v>
      </c>
      <c r="N138" s="30">
        <f t="shared" si="37"/>
        <v>0</v>
      </c>
      <c r="O138" s="33"/>
      <c r="P138" s="33"/>
      <c r="Q138" s="33"/>
      <c r="R138" s="33"/>
      <c r="S138" s="33"/>
      <c r="T138" s="33"/>
      <c r="U138" s="33"/>
      <c r="V138" s="33"/>
      <c r="W138" s="33"/>
      <c r="X138" s="33"/>
    </row>
    <row r="139" spans="1:24" s="37" customFormat="1">
      <c r="A139" s="282" t="s">
        <v>151</v>
      </c>
      <c r="B139" s="283"/>
      <c r="C139" s="30">
        <v>0</v>
      </c>
      <c r="D139" s="30">
        <f>WS!I139/10^6</f>
        <v>0</v>
      </c>
      <c r="E139" s="30">
        <f>WS!L139/10^6</f>
        <v>0</v>
      </c>
      <c r="F139" s="30">
        <f>WS!O139/10^6</f>
        <v>0</v>
      </c>
      <c r="G139" s="30">
        <f>WS!R139/10^6</f>
        <v>0</v>
      </c>
      <c r="H139" s="30">
        <f>WS!U139/10^6</f>
        <v>0</v>
      </c>
      <c r="I139" s="30">
        <f>WS!X139/10^6</f>
        <v>0</v>
      </c>
      <c r="J139" s="30">
        <f>WS!AA139/10^6</f>
        <v>0</v>
      </c>
      <c r="K139" s="30">
        <f>WS!AD139/10^6</f>
        <v>0</v>
      </c>
      <c r="L139" s="30">
        <f>WS!AG139/10^6</f>
        <v>0</v>
      </c>
      <c r="M139" s="30">
        <f>WS!AH139/10^6</f>
        <v>0</v>
      </c>
      <c r="N139" s="30">
        <f>WS!AI139/10^6</f>
        <v>0</v>
      </c>
      <c r="O139" s="33"/>
      <c r="P139" s="33"/>
      <c r="Q139" s="33"/>
      <c r="R139" s="33"/>
      <c r="S139" s="33"/>
      <c r="T139" s="33"/>
      <c r="U139" s="33"/>
      <c r="V139" s="33"/>
      <c r="W139" s="33"/>
      <c r="X139" s="33"/>
    </row>
    <row r="140" spans="1:24" s="37" customFormat="1">
      <c r="A140" s="8">
        <v>6401</v>
      </c>
      <c r="B140" s="41" t="s">
        <v>89</v>
      </c>
      <c r="C140" s="30">
        <f>WS!F140/10^6</f>
        <v>0</v>
      </c>
      <c r="D140" s="30">
        <f>WS!I140/10^6</f>
        <v>0</v>
      </c>
      <c r="E140" s="30">
        <f>WS!L140/10^6</f>
        <v>0</v>
      </c>
      <c r="F140" s="30">
        <f>WS!O140/10^6</f>
        <v>0</v>
      </c>
      <c r="G140" s="30">
        <f>WS!R140/10^6</f>
        <v>0</v>
      </c>
      <c r="H140" s="30">
        <f>WS!U140/10^6</f>
        <v>0</v>
      </c>
      <c r="I140" s="30">
        <f>WS!X140/10^6</f>
        <v>0</v>
      </c>
      <c r="J140" s="30">
        <f>WS!AA140/10^6</f>
        <v>0</v>
      </c>
      <c r="K140" s="30">
        <f>WS!AD140/10^6</f>
        <v>0</v>
      </c>
      <c r="L140" s="30">
        <f>WS!AG140/10^6</f>
        <v>0</v>
      </c>
      <c r="M140" s="30">
        <f>WS!AH140/10^6</f>
        <v>0</v>
      </c>
      <c r="N140" s="30">
        <f>WS!AI140/10^6</f>
        <v>0</v>
      </c>
      <c r="O140" s="33"/>
      <c r="P140" s="33"/>
      <c r="Q140" s="33"/>
      <c r="R140" s="33"/>
      <c r="S140" s="33"/>
      <c r="T140" s="33"/>
      <c r="U140" s="33"/>
      <c r="V140" s="33"/>
      <c r="W140" s="33"/>
      <c r="X140" s="33"/>
    </row>
    <row r="141" spans="1:24">
      <c r="A141" s="8">
        <v>6402</v>
      </c>
      <c r="B141" s="41" t="s">
        <v>90</v>
      </c>
      <c r="C141" s="30">
        <f>WS!F141/10^6</f>
        <v>1.8</v>
      </c>
      <c r="D141" s="30">
        <f>WS!I141/10^6</f>
        <v>5.53</v>
      </c>
      <c r="E141" s="30">
        <f>WS!L141/10^6</f>
        <v>75.474000000000004</v>
      </c>
      <c r="F141" s="30">
        <f>WS!O141/10^6</f>
        <v>1.5</v>
      </c>
      <c r="G141" s="30">
        <f>WS!R141/10^6</f>
        <v>22.1</v>
      </c>
      <c r="H141" s="30">
        <f>WS!U141/10^6</f>
        <v>0</v>
      </c>
      <c r="I141" s="30">
        <f>WS!X141/10^6</f>
        <v>0</v>
      </c>
      <c r="J141" s="30">
        <f>WS!AA141/10^6</f>
        <v>0</v>
      </c>
      <c r="K141" s="30">
        <f>WS!AD141/10^6</f>
        <v>0</v>
      </c>
      <c r="L141" s="30">
        <f>WS!AG141/10^6</f>
        <v>0</v>
      </c>
      <c r="M141" s="30">
        <f>WS!AH141/10^6</f>
        <v>0</v>
      </c>
      <c r="N141" s="30">
        <f>WS!AI141/10^6</f>
        <v>0</v>
      </c>
      <c r="O141" s="33"/>
      <c r="P141" s="33"/>
      <c r="Q141" s="33"/>
      <c r="R141" s="33"/>
      <c r="S141" s="33"/>
      <c r="T141" s="33"/>
      <c r="U141" s="33"/>
      <c r="V141" s="33"/>
      <c r="W141" s="33"/>
      <c r="X141" s="33"/>
    </row>
    <row r="142" spans="1:24">
      <c r="A142" s="8">
        <v>6403</v>
      </c>
      <c r="B142" s="41" t="s">
        <v>92</v>
      </c>
      <c r="C142" s="30">
        <f>WS!F142/10^6</f>
        <v>0</v>
      </c>
      <c r="D142" s="30">
        <f>WS!I142/10^6</f>
        <v>0</v>
      </c>
      <c r="E142" s="30">
        <f>WS!L142/10^6</f>
        <v>0</v>
      </c>
      <c r="F142" s="30">
        <f>WS!O142/10^6</f>
        <v>0</v>
      </c>
      <c r="G142" s="30">
        <f>WS!R142/10^6</f>
        <v>0</v>
      </c>
      <c r="H142" s="30">
        <f>WS!U142/10^6</f>
        <v>0</v>
      </c>
      <c r="I142" s="30">
        <f>WS!X142/10^6</f>
        <v>0</v>
      </c>
      <c r="J142" s="30">
        <f>WS!AA142/10^6</f>
        <v>0</v>
      </c>
      <c r="K142" s="30">
        <f>WS!AD142/10^6</f>
        <v>0</v>
      </c>
      <c r="L142" s="30">
        <f>WS!AG142/10^6</f>
        <v>0</v>
      </c>
      <c r="M142" s="30">
        <f>WS!AH142/10^6</f>
        <v>0</v>
      </c>
      <c r="N142" s="30">
        <f>WS!AI142/10^6</f>
        <v>0</v>
      </c>
      <c r="O142" s="33"/>
      <c r="P142" s="33"/>
      <c r="Q142" s="33"/>
      <c r="R142" s="33"/>
      <c r="S142" s="33"/>
      <c r="T142" s="33"/>
      <c r="U142" s="33"/>
      <c r="V142" s="33"/>
      <c r="W142" s="33"/>
      <c r="X142" s="33"/>
    </row>
    <row r="143" spans="1:24" s="37" customFormat="1">
      <c r="A143" s="287" t="s">
        <v>239</v>
      </c>
      <c r="B143" s="287"/>
      <c r="C143" s="30">
        <f>SUM(C140:C142)</f>
        <v>1.8</v>
      </c>
      <c r="D143" s="30">
        <f t="shared" ref="D143:L143" si="38">SUM(D140:D142)</f>
        <v>5.53</v>
      </c>
      <c r="E143" s="30">
        <f t="shared" si="38"/>
        <v>75.474000000000004</v>
      </c>
      <c r="F143" s="30">
        <f t="shared" si="38"/>
        <v>1.5</v>
      </c>
      <c r="G143" s="30">
        <f t="shared" si="38"/>
        <v>22.1</v>
      </c>
      <c r="H143" s="30">
        <f t="shared" si="38"/>
        <v>0</v>
      </c>
      <c r="I143" s="30">
        <f t="shared" si="38"/>
        <v>0</v>
      </c>
      <c r="J143" s="30">
        <f t="shared" si="38"/>
        <v>0</v>
      </c>
      <c r="K143" s="30">
        <f t="shared" si="38"/>
        <v>0</v>
      </c>
      <c r="L143" s="30">
        <f t="shared" si="38"/>
        <v>0</v>
      </c>
      <c r="M143" s="30">
        <f t="shared" ref="M143:N143" si="39">SUM(M140:M142)</f>
        <v>0</v>
      </c>
      <c r="N143" s="30">
        <f t="shared" si="39"/>
        <v>0</v>
      </c>
      <c r="O143" s="33"/>
      <c r="P143" s="33"/>
      <c r="Q143" s="33"/>
      <c r="R143" s="33"/>
      <c r="S143" s="33"/>
      <c r="T143" s="33"/>
      <c r="U143" s="33"/>
      <c r="V143" s="33"/>
      <c r="W143" s="33"/>
      <c r="X143" s="33"/>
    </row>
    <row r="144" spans="1:24" s="37" customFormat="1">
      <c r="A144" s="280" t="s">
        <v>109</v>
      </c>
      <c r="B144" s="280"/>
      <c r="C144" s="30">
        <v>0</v>
      </c>
      <c r="D144" s="30">
        <f>WS!I144/10^6</f>
        <v>0</v>
      </c>
      <c r="E144" s="30">
        <f>WS!L144/10^6</f>
        <v>0</v>
      </c>
      <c r="F144" s="30">
        <f>WS!O144/10^6</f>
        <v>0</v>
      </c>
      <c r="G144" s="30">
        <f>WS!R144/10^6</f>
        <v>0</v>
      </c>
      <c r="H144" s="30">
        <f>WS!U144/10^6</f>
        <v>0</v>
      </c>
      <c r="I144" s="30">
        <f>WS!X144/10^6</f>
        <v>0</v>
      </c>
      <c r="J144" s="30">
        <f>WS!AA144/10^6</f>
        <v>0</v>
      </c>
      <c r="K144" s="30">
        <f>WS!AD144/10^6</f>
        <v>0</v>
      </c>
      <c r="L144" s="30">
        <f>WS!AG144/10^6</f>
        <v>0</v>
      </c>
      <c r="M144" s="30">
        <f>WS!AH144/10^6</f>
        <v>0</v>
      </c>
      <c r="N144" s="30">
        <f>WS!AI144/10^6</f>
        <v>0</v>
      </c>
      <c r="O144" s="33"/>
      <c r="P144" s="33"/>
      <c r="Q144" s="33"/>
      <c r="R144" s="33"/>
      <c r="S144" s="33"/>
      <c r="T144" s="33"/>
      <c r="U144" s="33"/>
      <c r="V144" s="33"/>
      <c r="W144" s="33"/>
      <c r="X144" s="33"/>
    </row>
    <row r="145" spans="1:24">
      <c r="A145" s="6">
        <v>7101</v>
      </c>
      <c r="B145" s="31" t="s">
        <v>93</v>
      </c>
      <c r="C145" s="30">
        <f>WS!F145/10^6</f>
        <v>1.73</v>
      </c>
      <c r="D145" s="30">
        <f>WS!I145/10^6</f>
        <v>16.965</v>
      </c>
      <c r="E145" s="30">
        <f>WS!L145/10^6</f>
        <v>11.19</v>
      </c>
      <c r="F145" s="30">
        <f>WS!O145/10^6</f>
        <v>20.76</v>
      </c>
      <c r="G145" s="30">
        <f>WS!R145/10^6</f>
        <v>76.654750000000007</v>
      </c>
      <c r="H145" s="30">
        <f>WS!U145/10^6</f>
        <v>0</v>
      </c>
      <c r="I145" s="30">
        <f>WS!X145/10^6</f>
        <v>0</v>
      </c>
      <c r="J145" s="30">
        <f>WS!AA145/10^6</f>
        <v>0</v>
      </c>
      <c r="K145" s="30">
        <f>WS!AD145/10^6</f>
        <v>0</v>
      </c>
      <c r="L145" s="30">
        <f>WS!AG145/10^6</f>
        <v>0</v>
      </c>
      <c r="M145" s="30">
        <f>WS!AH145/10^6</f>
        <v>0</v>
      </c>
      <c r="N145" s="30">
        <f>WS!AI145/10^6</f>
        <v>0</v>
      </c>
      <c r="O145" s="33"/>
      <c r="P145" s="33"/>
      <c r="Q145" s="33"/>
      <c r="R145" s="33"/>
      <c r="S145" s="33"/>
      <c r="T145" s="33"/>
      <c r="U145" s="33"/>
      <c r="V145" s="33"/>
      <c r="W145" s="33"/>
      <c r="X145" s="33"/>
    </row>
    <row r="146" spans="1:24" s="37" customFormat="1">
      <c r="A146" s="6">
        <v>7102</v>
      </c>
      <c r="B146" s="31" t="s">
        <v>94</v>
      </c>
      <c r="C146" s="30">
        <f>WS!F146/10^6</f>
        <v>0</v>
      </c>
      <c r="D146" s="30">
        <f>WS!I146/10^6</f>
        <v>0</v>
      </c>
      <c r="E146" s="30">
        <f>WS!L146/10^6</f>
        <v>0</v>
      </c>
      <c r="F146" s="30">
        <f>WS!O146/10^6</f>
        <v>0</v>
      </c>
      <c r="G146" s="30">
        <f>WS!R146/10^6</f>
        <v>0</v>
      </c>
      <c r="H146" s="30">
        <f>WS!U146/10^6</f>
        <v>0</v>
      </c>
      <c r="I146" s="30">
        <f>WS!X146/10^6</f>
        <v>0</v>
      </c>
      <c r="J146" s="30">
        <f>WS!AA146/10^6</f>
        <v>0</v>
      </c>
      <c r="K146" s="30">
        <f>WS!AD146/10^6</f>
        <v>0</v>
      </c>
      <c r="L146" s="30">
        <f>WS!AG146/10^6</f>
        <v>0</v>
      </c>
      <c r="M146" s="30">
        <f>WS!AH146/10^6</f>
        <v>0</v>
      </c>
      <c r="N146" s="30">
        <f>WS!AI146/10^6</f>
        <v>0</v>
      </c>
      <c r="O146" s="33"/>
      <c r="P146" s="33"/>
      <c r="Q146" s="33"/>
      <c r="R146" s="33"/>
      <c r="S146" s="33"/>
      <c r="T146" s="33"/>
      <c r="U146" s="33"/>
      <c r="V146" s="33"/>
      <c r="W146" s="33"/>
      <c r="X146" s="33"/>
    </row>
    <row r="147" spans="1:24">
      <c r="A147" s="6">
        <v>7103</v>
      </c>
      <c r="B147" s="31" t="s">
        <v>95</v>
      </c>
      <c r="C147" s="30">
        <f>WS!F147/10^6</f>
        <v>2.1733370000000001</v>
      </c>
      <c r="D147" s="30">
        <f>WS!I147/10^6</f>
        <v>0.42753200000000002</v>
      </c>
      <c r="E147" s="30">
        <f>WS!L147/10^6</f>
        <v>0</v>
      </c>
      <c r="F147" s="30">
        <f>WS!O147/10^6</f>
        <v>0</v>
      </c>
      <c r="G147" s="30">
        <f>WS!R147/10^6</f>
        <v>0.84833999999999998</v>
      </c>
      <c r="H147" s="30">
        <f>WS!U147/10^6</f>
        <v>0</v>
      </c>
      <c r="I147" s="30">
        <f>WS!X147/10^6</f>
        <v>0</v>
      </c>
      <c r="J147" s="30">
        <f>WS!AA147/10^6</f>
        <v>0</v>
      </c>
      <c r="K147" s="30">
        <f>WS!AD147/10^6</f>
        <v>0</v>
      </c>
      <c r="L147" s="30">
        <f>WS!AG147/10^6</f>
        <v>0</v>
      </c>
      <c r="M147" s="30">
        <f>WS!AH147/10^6</f>
        <v>0</v>
      </c>
      <c r="N147" s="30">
        <f>WS!AI147/10^6</f>
        <v>0</v>
      </c>
      <c r="O147" s="33"/>
      <c r="P147" s="33"/>
      <c r="Q147" s="33"/>
      <c r="R147" s="33"/>
      <c r="S147" s="33"/>
      <c r="T147" s="33"/>
      <c r="U147" s="33"/>
      <c r="V147" s="33"/>
      <c r="W147" s="33"/>
      <c r="X147" s="33"/>
    </row>
    <row r="148" spans="1:24">
      <c r="A148" s="6">
        <v>7104</v>
      </c>
      <c r="B148" s="31" t="s">
        <v>181</v>
      </c>
      <c r="C148" s="30">
        <f>WS!F148/10^6</f>
        <v>10.25</v>
      </c>
      <c r="D148" s="30">
        <f>WS!I148/10^6</f>
        <v>5.25</v>
      </c>
      <c r="E148" s="30">
        <f>WS!L148/10^6</f>
        <v>0</v>
      </c>
      <c r="F148" s="30">
        <f>WS!O148/10^6</f>
        <v>0</v>
      </c>
      <c r="G148" s="30">
        <f>WS!R148/10^6</f>
        <v>0</v>
      </c>
      <c r="H148" s="30">
        <f>WS!U148/10^6</f>
        <v>0</v>
      </c>
      <c r="I148" s="30">
        <f>WS!X148/10^6</f>
        <v>0</v>
      </c>
      <c r="J148" s="30">
        <f>WS!AA148/10^6</f>
        <v>0</v>
      </c>
      <c r="K148" s="30">
        <f>WS!AD148/10^6</f>
        <v>0</v>
      </c>
      <c r="L148" s="30">
        <f>WS!AG148/10^6</f>
        <v>0</v>
      </c>
      <c r="M148" s="30">
        <f>WS!AH148/10^6</f>
        <v>0</v>
      </c>
      <c r="N148" s="30">
        <f>WS!AI148/10^6</f>
        <v>0</v>
      </c>
      <c r="O148" s="33"/>
      <c r="P148" s="33"/>
      <c r="Q148" s="33"/>
      <c r="R148" s="33"/>
      <c r="S148" s="33"/>
      <c r="T148" s="33"/>
      <c r="U148" s="33"/>
      <c r="V148" s="33"/>
      <c r="W148" s="33"/>
      <c r="X148" s="33"/>
    </row>
    <row r="149" spans="1:24" s="37" customFormat="1">
      <c r="A149" s="287" t="s">
        <v>240</v>
      </c>
      <c r="B149" s="287"/>
      <c r="C149" s="30">
        <f>SUM(C145:C148)</f>
        <v>14.153337000000001</v>
      </c>
      <c r="D149" s="30">
        <f t="shared" ref="D149:L149" si="40">SUM(D145:D148)</f>
        <v>22.642531999999999</v>
      </c>
      <c r="E149" s="30">
        <f t="shared" si="40"/>
        <v>11.19</v>
      </c>
      <c r="F149" s="30">
        <f t="shared" si="40"/>
        <v>20.76</v>
      </c>
      <c r="G149" s="30">
        <f t="shared" si="40"/>
        <v>77.50309</v>
      </c>
      <c r="H149" s="30">
        <f t="shared" si="40"/>
        <v>0</v>
      </c>
      <c r="I149" s="30">
        <f t="shared" si="40"/>
        <v>0</v>
      </c>
      <c r="J149" s="30">
        <f t="shared" si="40"/>
        <v>0</v>
      </c>
      <c r="K149" s="30">
        <f t="shared" si="40"/>
        <v>0</v>
      </c>
      <c r="L149" s="30">
        <f t="shared" si="40"/>
        <v>0</v>
      </c>
      <c r="M149" s="30">
        <f t="shared" ref="M149:N149" si="41">SUM(M145:M148)</f>
        <v>0</v>
      </c>
      <c r="N149" s="30">
        <f t="shared" si="41"/>
        <v>0</v>
      </c>
      <c r="O149" s="33"/>
      <c r="P149" s="33"/>
      <c r="Q149" s="33"/>
      <c r="R149" s="33"/>
      <c r="S149" s="33"/>
      <c r="T149" s="33"/>
      <c r="U149" s="33"/>
      <c r="V149" s="33"/>
      <c r="W149" s="33"/>
      <c r="X149" s="33"/>
    </row>
    <row r="150" spans="1:24" s="37" customFormat="1">
      <c r="A150" s="287" t="s">
        <v>226</v>
      </c>
      <c r="B150" s="287"/>
      <c r="C150" s="30">
        <f>C113+C127+C133+C138+C143+C149</f>
        <v>177.76063400000001</v>
      </c>
      <c r="D150" s="30">
        <f t="shared" ref="D150:L150" si="42">D113+D127+D133+D138+D143+D149</f>
        <v>809.89609699999994</v>
      </c>
      <c r="E150" s="30">
        <f t="shared" si="42"/>
        <v>420.58888600000006</v>
      </c>
      <c r="F150" s="30">
        <f t="shared" si="42"/>
        <v>1077.4217350000001</v>
      </c>
      <c r="G150" s="30">
        <f t="shared" si="42"/>
        <v>1256.295828</v>
      </c>
      <c r="H150" s="30">
        <f t="shared" si="42"/>
        <v>0</v>
      </c>
      <c r="I150" s="30">
        <f t="shared" si="42"/>
        <v>0</v>
      </c>
      <c r="J150" s="30">
        <f t="shared" si="42"/>
        <v>0</v>
      </c>
      <c r="K150" s="30">
        <f t="shared" si="42"/>
        <v>0</v>
      </c>
      <c r="L150" s="30">
        <f t="shared" si="42"/>
        <v>0</v>
      </c>
      <c r="M150" s="30">
        <f t="shared" ref="M150:N150" si="43">M113+M127+M133+M138+M143+M149</f>
        <v>0</v>
      </c>
      <c r="N150" s="30">
        <f t="shared" si="43"/>
        <v>0</v>
      </c>
      <c r="O150" s="33"/>
      <c r="P150" s="33"/>
      <c r="Q150" s="33"/>
      <c r="R150" s="33"/>
      <c r="S150" s="33"/>
      <c r="T150" s="33"/>
      <c r="U150" s="33"/>
      <c r="V150" s="33"/>
      <c r="W150" s="33"/>
      <c r="X150" s="33"/>
    </row>
    <row r="151" spans="1:24">
      <c r="O151" s="34"/>
    </row>
    <row r="152" spans="1:24">
      <c r="O152" s="34"/>
    </row>
    <row r="153" spans="1:24">
      <c r="C153" s="121">
        <f>C133+C138+C143</f>
        <v>7.5783000000000005</v>
      </c>
      <c r="D153" s="121">
        <f t="shared" ref="D153:L153" si="44">D133+D138+D143</f>
        <v>382.35352899999998</v>
      </c>
      <c r="E153" s="121">
        <f t="shared" si="44"/>
        <v>78.99260000000001</v>
      </c>
      <c r="F153" s="121">
        <f t="shared" si="44"/>
        <v>55.997599999999998</v>
      </c>
      <c r="G153" s="121">
        <f t="shared" si="44"/>
        <v>44.826599999999999</v>
      </c>
      <c r="H153" s="121">
        <f t="shared" si="44"/>
        <v>0</v>
      </c>
      <c r="I153" s="121">
        <f t="shared" si="44"/>
        <v>0</v>
      </c>
      <c r="J153" s="121">
        <f t="shared" si="44"/>
        <v>0</v>
      </c>
      <c r="K153" s="121">
        <f t="shared" si="44"/>
        <v>0</v>
      </c>
      <c r="L153" s="121">
        <f t="shared" si="44"/>
        <v>0</v>
      </c>
      <c r="M153" s="121">
        <f t="shared" ref="M153:N153" si="45">M133+M138+M143</f>
        <v>0</v>
      </c>
      <c r="N153" s="121">
        <f t="shared" si="45"/>
        <v>0</v>
      </c>
      <c r="O153" s="34"/>
    </row>
  </sheetData>
  <mergeCells count="48">
    <mergeCell ref="A150:B150"/>
    <mergeCell ref="A143:B143"/>
    <mergeCell ref="A7:B7"/>
    <mergeCell ref="M5:M6"/>
    <mergeCell ref="A18:B18"/>
    <mergeCell ref="A127:B127"/>
    <mergeCell ref="A38:B38"/>
    <mergeCell ref="A144:B144"/>
    <mergeCell ref="A139:B139"/>
    <mergeCell ref="A138:B138"/>
    <mergeCell ref="A134:B134"/>
    <mergeCell ref="A133:B133"/>
    <mergeCell ref="A5:A6"/>
    <mergeCell ref="K5:K6"/>
    <mergeCell ref="L5:L6"/>
    <mergeCell ref="J5:J6"/>
    <mergeCell ref="C5:C6"/>
    <mergeCell ref="N5:N6"/>
    <mergeCell ref="F5:F6"/>
    <mergeCell ref="A114:B114"/>
    <mergeCell ref="A53:B53"/>
    <mergeCell ref="D5:D6"/>
    <mergeCell ref="E5:E6"/>
    <mergeCell ref="G5:G6"/>
    <mergeCell ref="H5:H6"/>
    <mergeCell ref="I5:I6"/>
    <mergeCell ref="A36:B36"/>
    <mergeCell ref="A100:B100"/>
    <mergeCell ref="A99:B99"/>
    <mergeCell ref="A63:B63"/>
    <mergeCell ref="B5:B6"/>
    <mergeCell ref="A101:B101"/>
    <mergeCell ref="A149:B149"/>
    <mergeCell ref="A37:B37"/>
    <mergeCell ref="A28:B28"/>
    <mergeCell ref="A113:B113"/>
    <mergeCell ref="A62:B62"/>
    <mergeCell ref="A80:B80"/>
    <mergeCell ref="A71:B71"/>
    <mergeCell ref="A78:B78"/>
    <mergeCell ref="A70:B70"/>
    <mergeCell ref="A69:B69"/>
    <mergeCell ref="A77:B77"/>
    <mergeCell ref="A92:B92"/>
    <mergeCell ref="A128:B128"/>
    <mergeCell ref="A51:B51"/>
    <mergeCell ref="A91:B91"/>
    <mergeCell ref="A52:B52"/>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8"/>
  <sheetViews>
    <sheetView topLeftCell="A10" workbookViewId="0">
      <selection activeCell="B7" sqref="B7:D22"/>
    </sheetView>
  </sheetViews>
  <sheetFormatPr defaultColWidth="10" defaultRowHeight="14.5"/>
  <cols>
    <col min="2" max="2" width="4.26953125" customWidth="1"/>
    <col min="3" max="3" width="42" customWidth="1"/>
    <col min="4" max="4" width="28.6328125" customWidth="1"/>
  </cols>
  <sheetData>
    <row r="1" spans="1:10" ht="15.5">
      <c r="A1" s="75"/>
      <c r="B1" s="75"/>
      <c r="C1" s="75"/>
      <c r="D1" s="75"/>
      <c r="E1" s="75"/>
      <c r="F1" s="75"/>
      <c r="G1" s="75"/>
      <c r="H1" s="75"/>
      <c r="I1" s="76"/>
      <c r="J1" s="75"/>
    </row>
    <row r="2" spans="1:10" ht="16.5" customHeight="1">
      <c r="A2" s="77"/>
      <c r="B2" s="77" t="s">
        <v>250</v>
      </c>
      <c r="C2" s="77"/>
      <c r="D2" s="77"/>
      <c r="E2" s="77"/>
      <c r="F2" s="78"/>
      <c r="G2" s="77"/>
      <c r="H2" s="77"/>
      <c r="I2" s="79"/>
      <c r="J2" s="77"/>
    </row>
    <row r="3" spans="1:10" ht="16.5" customHeight="1">
      <c r="A3" s="75"/>
      <c r="B3" s="76" t="s">
        <v>230</v>
      </c>
      <c r="C3" s="75"/>
      <c r="D3" s="75"/>
      <c r="E3" s="75"/>
      <c r="F3" s="75"/>
      <c r="G3" s="75"/>
      <c r="H3" s="75"/>
      <c r="I3" s="75"/>
      <c r="J3" s="75"/>
    </row>
    <row r="4" spans="1:10" ht="16.5" customHeight="1">
      <c r="A4" s="75"/>
      <c r="B4" s="304" t="s">
        <v>249</v>
      </c>
      <c r="C4" s="304"/>
      <c r="D4" s="75"/>
      <c r="E4" s="75"/>
      <c r="F4" s="75"/>
      <c r="G4" s="75"/>
      <c r="H4" s="75"/>
      <c r="I4" s="75"/>
      <c r="J4" s="75"/>
    </row>
    <row r="5" spans="1:10" ht="16.5" customHeight="1">
      <c r="A5" s="75"/>
      <c r="B5" s="80" t="s">
        <v>231</v>
      </c>
      <c r="C5" s="75"/>
      <c r="D5" s="81" t="s">
        <v>232</v>
      </c>
      <c r="E5" s="75"/>
      <c r="F5" s="75"/>
      <c r="G5" s="75"/>
      <c r="H5" s="75"/>
      <c r="I5" s="75"/>
      <c r="J5" s="75"/>
    </row>
    <row r="6" spans="1:10" ht="16.5" customHeight="1">
      <c r="A6" s="75"/>
      <c r="B6" s="76"/>
      <c r="C6" s="76"/>
      <c r="D6" s="76"/>
      <c r="E6" s="76"/>
      <c r="F6" s="75"/>
      <c r="G6" s="75"/>
      <c r="H6" s="75"/>
      <c r="I6" s="75"/>
      <c r="J6" s="76"/>
    </row>
    <row r="7" spans="1:10" ht="16.5" customHeight="1">
      <c r="A7" s="82"/>
      <c r="B7" s="83" t="s">
        <v>233</v>
      </c>
      <c r="C7" s="84"/>
      <c r="D7" s="86" t="s">
        <v>303</v>
      </c>
      <c r="E7" s="85"/>
      <c r="F7" s="87"/>
      <c r="G7" s="85"/>
      <c r="H7" s="87"/>
      <c r="I7" s="88"/>
      <c r="J7" s="85"/>
    </row>
    <row r="8" spans="1:10" ht="16.5" customHeight="1">
      <c r="A8" s="91"/>
      <c r="B8" s="91" t="s">
        <v>241</v>
      </c>
      <c r="C8" s="91"/>
      <c r="D8" s="92"/>
      <c r="E8" s="91"/>
      <c r="F8" s="93"/>
      <c r="G8" s="91"/>
      <c r="H8" s="93"/>
      <c r="I8" s="94"/>
      <c r="J8" s="91"/>
    </row>
    <row r="9" spans="1:10" ht="16.5" customHeight="1">
      <c r="A9" s="91"/>
      <c r="B9" s="111"/>
      <c r="C9" s="112" t="s">
        <v>186</v>
      </c>
      <c r="D9" s="112">
        <f>WS!AG18</f>
        <v>873687058.19999981</v>
      </c>
      <c r="E9" s="94"/>
      <c r="F9" s="91"/>
    </row>
    <row r="10" spans="1:10" ht="16.5" customHeight="1">
      <c r="A10" s="75"/>
      <c r="B10" s="109"/>
      <c r="C10" s="113" t="s">
        <v>187</v>
      </c>
      <c r="D10" s="113">
        <f>WS!AG28</f>
        <v>3896621654</v>
      </c>
      <c r="E10" s="75"/>
      <c r="F10" s="75"/>
    </row>
    <row r="11" spans="1:10" ht="16.5" customHeight="1">
      <c r="A11" s="91"/>
      <c r="B11" s="111"/>
      <c r="C11" s="113" t="s">
        <v>188</v>
      </c>
      <c r="D11" s="113">
        <f>WS!AG36</f>
        <v>6409947829</v>
      </c>
      <c r="E11" s="94"/>
      <c r="F11" s="91"/>
    </row>
    <row r="12" spans="1:10" ht="16.5" customHeight="1">
      <c r="A12" s="91"/>
      <c r="B12" s="111"/>
      <c r="C12" s="98" t="s">
        <v>127</v>
      </c>
      <c r="D12" s="113">
        <f>SUM(D9:D11)</f>
        <v>11180256541.200001</v>
      </c>
      <c r="E12" s="94"/>
      <c r="F12" s="91"/>
    </row>
    <row r="13" spans="1:10" ht="16.5" customHeight="1">
      <c r="B13" s="109"/>
      <c r="C13" s="114"/>
      <c r="D13" s="114"/>
      <c r="E13" s="75"/>
    </row>
    <row r="14" spans="1:10" ht="16.5" customHeight="1">
      <c r="B14" s="91" t="s">
        <v>242</v>
      </c>
      <c r="C14" s="114"/>
      <c r="D14" s="114"/>
      <c r="E14" s="75"/>
    </row>
    <row r="15" spans="1:10" ht="16.5" customHeight="1">
      <c r="B15" s="109"/>
      <c r="C15" s="114" t="s">
        <v>36</v>
      </c>
      <c r="D15" s="114">
        <f>WS!AG40-WS!AG41</f>
        <v>0</v>
      </c>
      <c r="E15" s="75"/>
    </row>
    <row r="16" spans="1:10" ht="16.5" customHeight="1">
      <c r="B16" s="109"/>
      <c r="C16" s="113" t="s">
        <v>37</v>
      </c>
      <c r="D16" s="113">
        <f>WS!AG42-WS!AG43</f>
        <v>0</v>
      </c>
      <c r="E16" s="75"/>
    </row>
    <row r="17" spans="1:10" ht="16.5" customHeight="1">
      <c r="B17" s="111"/>
      <c r="C17" s="113" t="s">
        <v>38</v>
      </c>
      <c r="D17" s="113">
        <f>WS!AG44-WS!AG45</f>
        <v>36000000</v>
      </c>
      <c r="E17" s="94"/>
    </row>
    <row r="18" spans="1:10" ht="16.5" customHeight="1">
      <c r="B18" s="109"/>
      <c r="C18" s="113" t="s">
        <v>194</v>
      </c>
      <c r="D18" s="114">
        <f>WS!AG46-WS!AG47</f>
        <v>13200000</v>
      </c>
      <c r="E18" s="75"/>
    </row>
    <row r="19" spans="1:10" ht="16.5" customHeight="1">
      <c r="B19" s="111"/>
      <c r="C19" s="113" t="s">
        <v>44</v>
      </c>
      <c r="D19" s="113">
        <f>WS!AG50</f>
        <v>0</v>
      </c>
      <c r="E19" s="94"/>
    </row>
    <row r="20" spans="1:10" ht="16.5" customHeight="1">
      <c r="B20" s="109"/>
      <c r="C20" s="113" t="s">
        <v>243</v>
      </c>
      <c r="D20" s="114">
        <f>WS!AG39+WS!AG48+WS!AG49</f>
        <v>2525787514.0799999</v>
      </c>
      <c r="E20" s="75"/>
    </row>
    <row r="21" spans="1:10" ht="16.5" customHeight="1">
      <c r="B21" s="109"/>
      <c r="C21" s="98" t="s">
        <v>244</v>
      </c>
      <c r="D21" s="113">
        <f>SUM(D15:D20)</f>
        <v>2574987514.0799999</v>
      </c>
      <c r="E21" s="75"/>
    </row>
    <row r="22" spans="1:10" ht="16.5" customHeight="1">
      <c r="B22" s="91" t="s">
        <v>245</v>
      </c>
      <c r="C22" s="113"/>
      <c r="D22" s="113">
        <f>D12+D21</f>
        <v>13755244055.280001</v>
      </c>
      <c r="E22" s="94"/>
    </row>
    <row r="23" spans="1:10" ht="16.5" customHeight="1">
      <c r="B23" s="111"/>
      <c r="C23" s="113"/>
      <c r="D23" s="113"/>
      <c r="E23" s="94"/>
    </row>
    <row r="24" spans="1:10" ht="16.5" customHeight="1">
      <c r="A24" s="82"/>
      <c r="B24" s="83" t="s">
        <v>233</v>
      </c>
      <c r="C24" s="84"/>
      <c r="D24" s="86" t="s">
        <v>303</v>
      </c>
      <c r="E24" s="85"/>
      <c r="F24" s="87"/>
      <c r="G24" s="85"/>
      <c r="H24" s="87"/>
      <c r="I24" s="88"/>
      <c r="J24" s="85"/>
    </row>
    <row r="25" spans="1:10" ht="16.5" customHeight="1">
      <c r="B25" s="91" t="s">
        <v>246</v>
      </c>
      <c r="C25" s="113"/>
      <c r="D25" s="113"/>
      <c r="E25" s="94"/>
    </row>
    <row r="26" spans="1:10" ht="16.5" customHeight="1">
      <c r="B26" s="116"/>
      <c r="C26" s="117" t="s">
        <v>101</v>
      </c>
      <c r="D26" s="114">
        <f>WS!AG62</f>
        <v>5786577564.0799999</v>
      </c>
      <c r="E26" s="100"/>
    </row>
    <row r="27" spans="1:10" ht="16.5" customHeight="1">
      <c r="B27" s="116"/>
      <c r="C27" s="117" t="s">
        <v>102</v>
      </c>
      <c r="D27" s="117">
        <f>WS!AG69</f>
        <v>1288636646</v>
      </c>
      <c r="E27" s="102"/>
    </row>
    <row r="28" spans="1:10" ht="16.5" customHeight="1">
      <c r="A28" s="90"/>
      <c r="B28" s="116"/>
      <c r="C28" s="93" t="s">
        <v>216</v>
      </c>
      <c r="D28" s="113">
        <f>SUM(D26:D27)</f>
        <v>7075214210.0799999</v>
      </c>
      <c r="E28" s="102"/>
    </row>
    <row r="29" spans="1:10" ht="16.5" customHeight="1">
      <c r="A29" s="90"/>
      <c r="B29" s="116"/>
      <c r="C29" s="113"/>
      <c r="D29" s="113"/>
      <c r="E29" s="102"/>
    </row>
    <row r="30" spans="1:10" ht="16.5" customHeight="1">
      <c r="A30" s="90"/>
      <c r="B30" s="98" t="s">
        <v>247</v>
      </c>
      <c r="C30" s="113"/>
      <c r="D30" s="113"/>
      <c r="E30" s="102"/>
    </row>
    <row r="31" spans="1:10" ht="16.5" customHeight="1">
      <c r="A31" s="75"/>
      <c r="B31" s="109"/>
      <c r="C31" s="113" t="s">
        <v>56</v>
      </c>
      <c r="D31" s="114">
        <f>WS!AG72</f>
        <v>0</v>
      </c>
      <c r="E31" s="75"/>
    </row>
    <row r="32" spans="1:10" ht="16.5" customHeight="1">
      <c r="A32" s="91"/>
      <c r="B32" s="111"/>
      <c r="C32" s="113" t="s">
        <v>57</v>
      </c>
      <c r="D32" s="114">
        <f>WS!AG73</f>
        <v>0</v>
      </c>
      <c r="E32" s="94"/>
    </row>
    <row r="33" spans="1:9" ht="16.5" customHeight="1">
      <c r="A33" s="75"/>
      <c r="B33" s="109"/>
      <c r="C33" s="113" t="s">
        <v>58</v>
      </c>
      <c r="D33" s="114">
        <f>WS!AG74</f>
        <v>6680029845.1999998</v>
      </c>
      <c r="E33" s="75"/>
    </row>
    <row r="34" spans="1:9" ht="16.5" customHeight="1">
      <c r="A34" s="75"/>
      <c r="B34" s="118"/>
      <c r="C34" s="113" t="s">
        <v>59</v>
      </c>
      <c r="D34" s="114">
        <f>WS!AG75</f>
        <v>0</v>
      </c>
      <c r="E34" s="105"/>
      <c r="F34" s="106"/>
      <c r="G34" s="104"/>
      <c r="H34" s="106"/>
      <c r="I34" s="75"/>
    </row>
    <row r="35" spans="1:9" ht="16.5" customHeight="1">
      <c r="A35" s="75"/>
      <c r="B35" s="109"/>
      <c r="C35" s="113" t="s">
        <v>60</v>
      </c>
      <c r="D35" s="114">
        <f>WS!AG76</f>
        <v>0</v>
      </c>
      <c r="E35" s="75"/>
      <c r="F35" s="75"/>
      <c r="G35" s="75"/>
      <c r="H35" s="75"/>
      <c r="I35" s="75"/>
    </row>
    <row r="36" spans="1:9" ht="16.5" customHeight="1">
      <c r="A36" s="75"/>
      <c r="B36" s="109"/>
      <c r="C36" s="93" t="s">
        <v>217</v>
      </c>
      <c r="D36" s="120">
        <f>SUM(D31:D35)</f>
        <v>6680029845.1999998</v>
      </c>
      <c r="E36" s="75"/>
      <c r="F36" s="75"/>
      <c r="G36" s="75"/>
      <c r="H36" s="75"/>
      <c r="I36" s="75"/>
    </row>
    <row r="37" spans="1:9" ht="16.5" customHeight="1">
      <c r="A37" s="75"/>
      <c r="B37" s="109"/>
      <c r="C37" s="109"/>
      <c r="D37" s="119"/>
      <c r="E37" s="75"/>
      <c r="F37" s="75"/>
      <c r="G37" s="75"/>
      <c r="H37" s="75"/>
      <c r="I37" s="75"/>
    </row>
    <row r="38" spans="1:9" ht="16.5" customHeight="1">
      <c r="A38" s="75"/>
      <c r="B38" s="91" t="s">
        <v>248</v>
      </c>
      <c r="C38" s="109"/>
      <c r="D38" s="120">
        <f>D28+D36</f>
        <v>13755244055.279999</v>
      </c>
      <c r="E38" s="75"/>
      <c r="F38" s="75"/>
      <c r="G38" s="75"/>
      <c r="H38" s="75"/>
      <c r="I38" s="75"/>
    </row>
    <row r="39" spans="1:9" ht="16.5" customHeight="1">
      <c r="A39" s="75"/>
      <c r="B39" s="109"/>
      <c r="C39" s="109"/>
      <c r="D39" s="119"/>
      <c r="E39" s="75"/>
      <c r="F39" s="75"/>
      <c r="G39" s="75"/>
      <c r="H39" s="75"/>
      <c r="I39" s="75"/>
    </row>
    <row r="40" spans="1:9" ht="16.5" customHeight="1">
      <c r="A40" s="95"/>
      <c r="B40" s="95" t="s">
        <v>236</v>
      </c>
      <c r="C40" s="95"/>
      <c r="D40" s="95"/>
      <c r="E40" s="95"/>
      <c r="F40" s="96"/>
      <c r="G40" s="95"/>
      <c r="H40" s="95"/>
      <c r="I40" s="108"/>
    </row>
    <row r="41" spans="1:9" ht="16.5" customHeight="1">
      <c r="A41" s="95"/>
      <c r="B41" s="95" t="s">
        <v>237</v>
      </c>
      <c r="C41" s="95"/>
      <c r="D41" s="95"/>
      <c r="E41" s="95"/>
      <c r="F41" s="96"/>
      <c r="G41" s="95"/>
      <c r="H41" s="95"/>
      <c r="I41" s="108"/>
    </row>
    <row r="42" spans="1:9" ht="16.5" customHeight="1">
      <c r="A42" s="75"/>
      <c r="B42" s="75"/>
      <c r="C42" s="75"/>
      <c r="D42" s="75"/>
      <c r="E42" s="75"/>
      <c r="F42" s="75"/>
      <c r="G42" s="75"/>
      <c r="H42" s="75"/>
      <c r="I42" s="75"/>
    </row>
    <row r="43" spans="1:9" ht="16.5" customHeight="1">
      <c r="A43" s="75"/>
      <c r="B43" s="75"/>
      <c r="C43" s="75"/>
      <c r="D43" s="95"/>
      <c r="E43" s="75"/>
      <c r="F43" s="96"/>
      <c r="G43" s="75"/>
      <c r="H43" s="95"/>
      <c r="I43" s="75"/>
    </row>
    <row r="44" spans="1:9" ht="16.5" customHeight="1">
      <c r="A44" s="75"/>
      <c r="B44" s="75"/>
      <c r="C44" s="75"/>
      <c r="D44" s="103"/>
      <c r="E44" s="75"/>
      <c r="F44" s="99"/>
      <c r="G44" s="75"/>
      <c r="H44" s="103"/>
      <c r="I44" s="75"/>
    </row>
    <row r="45" spans="1:9" ht="16.5" customHeight="1">
      <c r="A45" s="75"/>
      <c r="B45" s="75"/>
      <c r="C45" s="75"/>
      <c r="D45" s="103"/>
      <c r="E45" s="75"/>
      <c r="F45" s="99"/>
      <c r="G45" s="75"/>
      <c r="H45" s="103"/>
      <c r="I45" s="75"/>
    </row>
    <row r="46" spans="1:9" ht="16.5" customHeight="1">
      <c r="A46" s="75"/>
      <c r="B46" s="75"/>
      <c r="C46" s="75"/>
      <c r="D46" s="103"/>
      <c r="E46" s="75"/>
      <c r="F46" s="99"/>
      <c r="G46" s="75"/>
      <c r="H46" s="75"/>
      <c r="I46" s="75"/>
    </row>
    <row r="47" spans="1:9" ht="16.5" customHeight="1">
      <c r="F47" s="99"/>
      <c r="G47" s="75"/>
      <c r="H47" s="75"/>
      <c r="I47" s="75"/>
    </row>
    <row r="48" spans="1:9" ht="15.5">
      <c r="F48" s="99"/>
      <c r="G48" s="75"/>
      <c r="H48" s="75"/>
      <c r="I48" s="75"/>
    </row>
  </sheetData>
  <mergeCells count="1">
    <mergeCell ref="B4:C4"/>
  </mergeCells>
  <pageMargins left="0.7" right="0.7" top="0.75" bottom="0.75" header="0.3" footer="0.3"/>
  <pageSetup paperSize="9" scale="8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54"/>
  <sheetViews>
    <sheetView topLeftCell="B1" workbookViewId="0">
      <selection activeCell="M7" sqref="M7"/>
    </sheetView>
  </sheetViews>
  <sheetFormatPr defaultColWidth="10" defaultRowHeight="14.5"/>
  <cols>
    <col min="1" max="1" width="9.90625" hidden="1" customWidth="1"/>
    <col min="2" max="2" width="40.90625" bestFit="1" customWidth="1"/>
    <col min="3" max="11" width="16.26953125" hidden="1" customWidth="1"/>
    <col min="12" max="23" width="16.26953125" customWidth="1"/>
  </cols>
  <sheetData>
    <row r="1" spans="1:35" ht="4.5" customHeight="1"/>
    <row r="2" spans="1:35" ht="4.5" customHeight="1"/>
    <row r="3" spans="1:35" ht="15" customHeight="1">
      <c r="A3" s="19" t="s">
        <v>0</v>
      </c>
      <c r="B3" s="20" t="s">
        <v>1</v>
      </c>
      <c r="C3" s="22">
        <v>45323</v>
      </c>
      <c r="D3" s="22">
        <v>45474</v>
      </c>
      <c r="E3" s="22">
        <v>45536</v>
      </c>
      <c r="F3" s="22">
        <v>45566</v>
      </c>
      <c r="G3" s="22">
        <v>45597</v>
      </c>
      <c r="H3" s="22">
        <v>45627</v>
      </c>
      <c r="I3" s="22"/>
      <c r="J3" s="22" t="s">
        <v>259</v>
      </c>
      <c r="K3" s="22" t="s">
        <v>260</v>
      </c>
      <c r="L3" s="22" t="s">
        <v>259</v>
      </c>
      <c r="M3" s="22" t="s">
        <v>260</v>
      </c>
      <c r="N3" s="22" t="s">
        <v>261</v>
      </c>
      <c r="O3" s="22" t="s">
        <v>262</v>
      </c>
      <c r="P3" s="209" t="s">
        <v>273</v>
      </c>
      <c r="Q3" s="22" t="s">
        <v>263</v>
      </c>
      <c r="R3" s="209" t="s">
        <v>264</v>
      </c>
      <c r="S3" s="209" t="s">
        <v>265</v>
      </c>
      <c r="T3" s="22" t="s">
        <v>266</v>
      </c>
      <c r="U3" s="22" t="s">
        <v>274</v>
      </c>
      <c r="V3" s="22" t="s">
        <v>267</v>
      </c>
      <c r="W3" s="22" t="s">
        <v>275</v>
      </c>
    </row>
    <row r="4" spans="1:35" s="37" customFormat="1" hidden="1">
      <c r="A4" s="3" t="s">
        <v>224</v>
      </c>
      <c r="B4" s="3" t="s">
        <v>224</v>
      </c>
      <c r="C4" s="36"/>
      <c r="D4" s="36"/>
      <c r="E4" s="36"/>
      <c r="F4" s="36"/>
      <c r="G4" s="36"/>
      <c r="H4" s="36"/>
      <c r="I4" s="36"/>
      <c r="J4" s="36"/>
      <c r="K4" s="36"/>
      <c r="L4" s="36"/>
      <c r="M4" s="36"/>
      <c r="N4" s="36"/>
      <c r="O4" s="36"/>
      <c r="P4" s="36"/>
      <c r="Q4" s="36"/>
      <c r="R4" s="36"/>
      <c r="S4" s="36"/>
      <c r="T4" s="36"/>
      <c r="U4" s="36"/>
      <c r="V4" s="36"/>
      <c r="W4" s="36"/>
    </row>
    <row r="5" spans="1:35" hidden="1">
      <c r="A5" s="6">
        <v>4102</v>
      </c>
      <c r="B5" s="31" t="s">
        <v>62</v>
      </c>
      <c r="C5" s="30">
        <v>0</v>
      </c>
      <c r="D5" s="30">
        <v>0</v>
      </c>
      <c r="E5" s="30">
        <v>0</v>
      </c>
      <c r="F5" s="30">
        <v>0</v>
      </c>
      <c r="G5" s="30">
        <v>0</v>
      </c>
      <c r="H5" s="30">
        <v>0</v>
      </c>
      <c r="I5" s="30">
        <f t="shared" ref="I5:I54" si="0">SUM(J5:U5)</f>
        <v>14048.21</v>
      </c>
      <c r="J5" s="30">
        <v>0</v>
      </c>
      <c r="K5" s="30">
        <v>0</v>
      </c>
      <c r="L5" s="30">
        <v>189</v>
      </c>
      <c r="M5" s="30">
        <v>0</v>
      </c>
      <c r="N5" s="30">
        <v>2298</v>
      </c>
      <c r="O5" s="30">
        <v>3034.25</v>
      </c>
      <c r="P5" s="30">
        <v>1303.7</v>
      </c>
      <c r="Q5" s="30">
        <v>3275.51</v>
      </c>
      <c r="R5" s="30">
        <v>2445.25</v>
      </c>
      <c r="S5" s="30">
        <v>1488</v>
      </c>
      <c r="T5" s="30">
        <v>5</v>
      </c>
      <c r="U5" s="30">
        <v>9.5</v>
      </c>
      <c r="V5" s="30">
        <v>9.5</v>
      </c>
      <c r="W5" s="30">
        <v>9.5</v>
      </c>
      <c r="X5" s="33"/>
      <c r="Y5" s="33"/>
      <c r="Z5" s="33"/>
      <c r="AA5" s="33"/>
      <c r="AB5" s="33"/>
      <c r="AC5" s="33"/>
      <c r="AD5" s="33"/>
      <c r="AE5" s="33"/>
      <c r="AF5" s="33"/>
      <c r="AG5" s="33"/>
      <c r="AH5" s="33"/>
      <c r="AI5" s="33"/>
    </row>
    <row r="6" spans="1:35" hidden="1">
      <c r="A6" s="6">
        <v>4103</v>
      </c>
      <c r="B6" s="31" t="s">
        <v>63</v>
      </c>
      <c r="C6" s="30">
        <v>0</v>
      </c>
      <c r="D6" s="30">
        <v>0</v>
      </c>
      <c r="E6" s="30">
        <v>0</v>
      </c>
      <c r="F6" s="30">
        <v>0</v>
      </c>
      <c r="G6" s="30">
        <v>0</v>
      </c>
      <c r="H6" s="30">
        <v>0</v>
      </c>
      <c r="I6" s="30">
        <f t="shared" si="0"/>
        <v>1770.5</v>
      </c>
      <c r="J6" s="30">
        <v>0</v>
      </c>
      <c r="K6" s="30">
        <v>0</v>
      </c>
      <c r="L6" s="30">
        <v>0</v>
      </c>
      <c r="M6" s="30">
        <v>0</v>
      </c>
      <c r="N6" s="30">
        <v>0</v>
      </c>
      <c r="O6" s="30">
        <v>0</v>
      </c>
      <c r="P6" s="30">
        <v>0</v>
      </c>
      <c r="Q6" s="30">
        <v>1485.5</v>
      </c>
      <c r="R6" s="30">
        <v>0</v>
      </c>
      <c r="S6" s="30">
        <v>240</v>
      </c>
      <c r="T6" s="30">
        <v>45</v>
      </c>
      <c r="U6" s="30">
        <v>0</v>
      </c>
      <c r="V6" s="30">
        <v>0</v>
      </c>
      <c r="W6" s="30">
        <v>0</v>
      </c>
      <c r="X6" s="33"/>
      <c r="Y6" s="33"/>
      <c r="Z6" s="33"/>
      <c r="AA6" s="33"/>
      <c r="AB6" s="33"/>
      <c r="AC6" s="33"/>
      <c r="AD6" s="33"/>
      <c r="AE6" s="33"/>
      <c r="AF6" s="33"/>
      <c r="AG6" s="33"/>
      <c r="AH6" s="33"/>
      <c r="AI6" s="33"/>
    </row>
    <row r="7" spans="1:35" s="37" customFormat="1">
      <c r="A7" s="35" t="s">
        <v>225</v>
      </c>
      <c r="B7" s="35" t="s">
        <v>225</v>
      </c>
      <c r="C7" s="36">
        <v>0</v>
      </c>
      <c r="D7" s="36">
        <v>0</v>
      </c>
      <c r="E7" s="36">
        <v>0</v>
      </c>
      <c r="F7" s="36">
        <v>0</v>
      </c>
      <c r="G7" s="36">
        <v>0</v>
      </c>
      <c r="H7" s="36">
        <v>0</v>
      </c>
      <c r="I7" s="30">
        <f>SUM(I5:I6)</f>
        <v>15818.71</v>
      </c>
      <c r="J7" s="36">
        <v>0</v>
      </c>
      <c r="K7" s="36">
        <v>0</v>
      </c>
      <c r="L7" s="36">
        <f>FH!L7</f>
        <v>119</v>
      </c>
      <c r="M7" s="36">
        <f>FH!M7</f>
        <v>793.4</v>
      </c>
      <c r="N7" s="36">
        <f>FH!N7</f>
        <v>538</v>
      </c>
      <c r="O7" s="36">
        <f>FH!O7</f>
        <v>2271.9</v>
      </c>
      <c r="P7" s="36">
        <f>FH!P7</f>
        <v>3157.6</v>
      </c>
      <c r="Q7" s="36">
        <f>FH!Q7</f>
        <v>0</v>
      </c>
      <c r="R7" s="36">
        <f>FH!R7</f>
        <v>0</v>
      </c>
      <c r="S7" s="36">
        <f>FH!S7</f>
        <v>0</v>
      </c>
      <c r="T7" s="36">
        <f>FH!T7</f>
        <v>0</v>
      </c>
      <c r="U7" s="36">
        <f>FH!U7</f>
        <v>0</v>
      </c>
      <c r="V7" s="36">
        <f>FH!V7</f>
        <v>0</v>
      </c>
      <c r="W7" s="36">
        <f>FH!W7</f>
        <v>0</v>
      </c>
      <c r="X7" s="33"/>
      <c r="Y7" s="33"/>
      <c r="Z7" s="33"/>
      <c r="AA7" s="33"/>
      <c r="AB7" s="33"/>
      <c r="AC7" s="33"/>
      <c r="AD7" s="33"/>
      <c r="AE7" s="33"/>
      <c r="AF7" s="33"/>
      <c r="AG7" s="33"/>
      <c r="AH7" s="33"/>
      <c r="AI7" s="33"/>
    </row>
    <row r="8" spans="1:35" s="37" customFormat="1" hidden="1">
      <c r="A8" s="35" t="s">
        <v>219</v>
      </c>
      <c r="B8" s="35" t="s">
        <v>219</v>
      </c>
      <c r="C8" s="36">
        <v>0</v>
      </c>
      <c r="D8" s="36">
        <v>0</v>
      </c>
      <c r="E8" s="36">
        <v>0</v>
      </c>
      <c r="F8" s="36">
        <v>0</v>
      </c>
      <c r="G8" s="36">
        <v>0</v>
      </c>
      <c r="H8" s="36">
        <v>0</v>
      </c>
      <c r="I8" s="30">
        <f>I7+I36</f>
        <v>15818.71</v>
      </c>
      <c r="J8" s="36">
        <v>0</v>
      </c>
      <c r="K8" s="36">
        <v>0</v>
      </c>
      <c r="L8" s="36">
        <v>189</v>
      </c>
      <c r="M8" s="36">
        <v>189</v>
      </c>
      <c r="N8" s="36">
        <v>189</v>
      </c>
      <c r="O8" s="36">
        <v>189</v>
      </c>
      <c r="P8" s="36">
        <v>189</v>
      </c>
      <c r="Q8" s="36">
        <v>189</v>
      </c>
      <c r="R8" s="36">
        <v>189</v>
      </c>
      <c r="S8" s="36">
        <v>189</v>
      </c>
      <c r="T8" s="36">
        <v>189</v>
      </c>
      <c r="U8" s="36">
        <v>189</v>
      </c>
      <c r="V8" s="36">
        <v>189</v>
      </c>
      <c r="W8" s="36">
        <v>189</v>
      </c>
      <c r="X8" s="33"/>
      <c r="Y8" s="33"/>
      <c r="Z8" s="33"/>
      <c r="AA8" s="33"/>
      <c r="AB8" s="33"/>
      <c r="AC8" s="33"/>
      <c r="AD8" s="33"/>
      <c r="AE8" s="33"/>
      <c r="AF8" s="33"/>
      <c r="AG8" s="33"/>
      <c r="AH8" s="33"/>
      <c r="AI8" s="33"/>
    </row>
    <row r="9" spans="1:35" s="37" customFormat="1" hidden="1">
      <c r="A9" s="3" t="s">
        <v>105</v>
      </c>
      <c r="B9" s="3" t="s">
        <v>105</v>
      </c>
      <c r="C9" s="36"/>
      <c r="D9" s="36"/>
      <c r="E9" s="36"/>
      <c r="F9" s="36"/>
      <c r="G9" s="36"/>
      <c r="H9" s="36"/>
      <c r="I9" s="30">
        <f t="shared" si="0"/>
        <v>0</v>
      </c>
      <c r="J9" s="36">
        <v>0</v>
      </c>
      <c r="K9" s="36">
        <v>0</v>
      </c>
      <c r="L9" s="36">
        <v>0</v>
      </c>
      <c r="M9" s="36">
        <v>0</v>
      </c>
      <c r="N9" s="36">
        <v>0</v>
      </c>
      <c r="O9" s="36">
        <v>0</v>
      </c>
      <c r="P9" s="36">
        <v>0</v>
      </c>
      <c r="Q9" s="36">
        <v>0</v>
      </c>
      <c r="R9" s="36">
        <v>0</v>
      </c>
      <c r="S9" s="36">
        <v>0</v>
      </c>
      <c r="T9" s="36">
        <v>0</v>
      </c>
      <c r="U9" s="36">
        <v>0</v>
      </c>
      <c r="V9" s="36">
        <v>0</v>
      </c>
      <c r="W9" s="36">
        <v>0</v>
      </c>
      <c r="X9" s="33"/>
      <c r="Y9" s="33"/>
      <c r="Z9" s="33"/>
      <c r="AA9" s="33"/>
      <c r="AB9" s="33"/>
      <c r="AC9" s="33"/>
      <c r="AD9" s="33"/>
      <c r="AE9" s="33"/>
      <c r="AF9" s="33"/>
      <c r="AG9" s="33"/>
      <c r="AH9" s="33"/>
      <c r="AI9" s="33"/>
    </row>
    <row r="10" spans="1:35" s="37" customFormat="1" hidden="1">
      <c r="A10" s="6">
        <v>5101</v>
      </c>
      <c r="B10" s="31" t="s">
        <v>70</v>
      </c>
      <c r="C10" s="30">
        <v>0</v>
      </c>
      <c r="D10" s="30">
        <v>0</v>
      </c>
      <c r="E10" s="30">
        <v>0</v>
      </c>
      <c r="F10" s="30">
        <v>0</v>
      </c>
      <c r="G10" s="30">
        <v>0</v>
      </c>
      <c r="H10" s="30">
        <v>0</v>
      </c>
      <c r="I10" s="30">
        <f t="shared" si="0"/>
        <v>0</v>
      </c>
      <c r="J10" s="30">
        <v>0</v>
      </c>
      <c r="K10" s="30">
        <v>0</v>
      </c>
      <c r="L10" s="30">
        <v>0</v>
      </c>
      <c r="M10" s="30">
        <v>0</v>
      </c>
      <c r="N10" s="30">
        <v>0</v>
      </c>
      <c r="O10" s="30">
        <v>0</v>
      </c>
      <c r="P10" s="30">
        <v>0</v>
      </c>
      <c r="Q10" s="30">
        <v>0</v>
      </c>
      <c r="R10" s="30">
        <v>0</v>
      </c>
      <c r="S10" s="30">
        <v>0</v>
      </c>
      <c r="T10" s="30">
        <v>0</v>
      </c>
      <c r="U10" s="30">
        <v>0</v>
      </c>
      <c r="V10" s="30">
        <v>0</v>
      </c>
      <c r="W10" s="30">
        <v>0</v>
      </c>
      <c r="X10" s="33"/>
      <c r="Y10" s="33"/>
      <c r="Z10" s="33"/>
      <c r="AA10" s="33"/>
      <c r="AB10" s="33"/>
      <c r="AC10" s="33"/>
      <c r="AD10" s="33"/>
      <c r="AE10" s="33"/>
      <c r="AF10" s="33"/>
      <c r="AG10" s="33"/>
      <c r="AH10" s="33"/>
      <c r="AI10" s="33"/>
    </row>
    <row r="11" spans="1:35" hidden="1">
      <c r="A11" s="6">
        <v>5102</v>
      </c>
      <c r="B11" s="31" t="s">
        <v>201</v>
      </c>
      <c r="C11" s="30">
        <v>0</v>
      </c>
      <c r="D11" s="30">
        <v>0</v>
      </c>
      <c r="E11" s="30">
        <v>0</v>
      </c>
      <c r="F11" s="30">
        <v>0</v>
      </c>
      <c r="G11" s="30">
        <v>0</v>
      </c>
      <c r="H11" s="30">
        <v>16700000</v>
      </c>
      <c r="I11" s="30">
        <f t="shared" si="0"/>
        <v>2174.0249999999996</v>
      </c>
      <c r="J11" s="30">
        <v>59.8</v>
      </c>
      <c r="K11" s="30">
        <v>188.02500000000001</v>
      </c>
      <c r="L11" s="30">
        <v>192.62</v>
      </c>
      <c r="M11" s="30">
        <v>192.62</v>
      </c>
      <c r="N11" s="30">
        <v>192.62</v>
      </c>
      <c r="O11" s="30">
        <v>192.62</v>
      </c>
      <c r="P11" s="30">
        <v>192.62</v>
      </c>
      <c r="Q11" s="30">
        <v>192.62</v>
      </c>
      <c r="R11" s="30">
        <v>192.62</v>
      </c>
      <c r="S11" s="30">
        <v>192.62</v>
      </c>
      <c r="T11" s="30">
        <v>192.62</v>
      </c>
      <c r="U11" s="30">
        <v>192.62</v>
      </c>
      <c r="V11" s="30">
        <v>192.62</v>
      </c>
      <c r="W11" s="30">
        <v>192.62</v>
      </c>
      <c r="X11" s="33"/>
      <c r="Y11" s="33"/>
      <c r="Z11" s="33"/>
      <c r="AA11" s="33"/>
      <c r="AB11" s="33"/>
      <c r="AC11" s="33"/>
      <c r="AD11" s="33"/>
      <c r="AE11" s="33"/>
      <c r="AF11" s="33"/>
      <c r="AG11" s="33"/>
      <c r="AH11" s="33"/>
      <c r="AI11" s="33"/>
    </row>
    <row r="12" spans="1:35" hidden="1">
      <c r="A12" s="6">
        <v>5103</v>
      </c>
      <c r="B12" s="31" t="s">
        <v>202</v>
      </c>
      <c r="C12" s="30">
        <v>0</v>
      </c>
      <c r="D12" s="30">
        <v>0</v>
      </c>
      <c r="E12" s="30">
        <v>15000</v>
      </c>
      <c r="F12" s="30">
        <v>590000</v>
      </c>
      <c r="G12" s="30">
        <v>0</v>
      </c>
      <c r="H12" s="30">
        <v>140000</v>
      </c>
      <c r="I12" s="30">
        <f t="shared" si="0"/>
        <v>3047.0269999999996</v>
      </c>
      <c r="J12" s="30">
        <v>0</v>
      </c>
      <c r="K12" s="30">
        <v>157.34200000000001</v>
      </c>
      <c r="L12" s="30">
        <v>288.96850000000001</v>
      </c>
      <c r="M12" s="30">
        <v>288.96850000000001</v>
      </c>
      <c r="N12" s="30">
        <v>288.96850000000001</v>
      </c>
      <c r="O12" s="30">
        <v>288.96850000000001</v>
      </c>
      <c r="P12" s="30">
        <v>288.96850000000001</v>
      </c>
      <c r="Q12" s="30">
        <v>288.96850000000001</v>
      </c>
      <c r="R12" s="30">
        <v>288.96850000000001</v>
      </c>
      <c r="S12" s="30">
        <v>288.96850000000001</v>
      </c>
      <c r="T12" s="30">
        <v>288.96850000000001</v>
      </c>
      <c r="U12" s="30">
        <v>288.96850000000001</v>
      </c>
      <c r="V12" s="30">
        <v>288.96850000000001</v>
      </c>
      <c r="W12" s="30">
        <v>288.96850000000001</v>
      </c>
      <c r="X12" s="33"/>
      <c r="Y12" s="33"/>
      <c r="Z12" s="33"/>
      <c r="AA12" s="33"/>
      <c r="AB12" s="33"/>
      <c r="AC12" s="33"/>
      <c r="AD12" s="33"/>
      <c r="AE12" s="33"/>
      <c r="AF12" s="33"/>
      <c r="AG12" s="33"/>
      <c r="AH12" s="33"/>
      <c r="AI12" s="33"/>
    </row>
    <row r="13" spans="1:35" hidden="1">
      <c r="A13" s="6">
        <v>5104</v>
      </c>
      <c r="B13" s="31" t="s">
        <v>144</v>
      </c>
      <c r="C13" s="30">
        <v>0</v>
      </c>
      <c r="D13" s="30">
        <v>0</v>
      </c>
      <c r="E13" s="30">
        <v>31000000</v>
      </c>
      <c r="F13" s="30">
        <v>0</v>
      </c>
      <c r="G13" s="30">
        <v>0</v>
      </c>
      <c r="H13" s="30">
        <v>0</v>
      </c>
      <c r="I13" s="30">
        <f t="shared" si="0"/>
        <v>7941.5349999999999</v>
      </c>
      <c r="J13" s="30">
        <v>0</v>
      </c>
      <c r="K13" s="30">
        <v>251.535</v>
      </c>
      <c r="L13" s="30">
        <v>769</v>
      </c>
      <c r="M13" s="30">
        <v>769</v>
      </c>
      <c r="N13" s="30">
        <v>769</v>
      </c>
      <c r="O13" s="30">
        <v>769</v>
      </c>
      <c r="P13" s="30">
        <v>769</v>
      </c>
      <c r="Q13" s="30">
        <v>769</v>
      </c>
      <c r="R13" s="30">
        <v>769</v>
      </c>
      <c r="S13" s="30">
        <v>769</v>
      </c>
      <c r="T13" s="30">
        <v>769</v>
      </c>
      <c r="U13" s="30">
        <v>769</v>
      </c>
      <c r="V13" s="30">
        <v>769</v>
      </c>
      <c r="W13" s="30">
        <v>769</v>
      </c>
      <c r="X13" s="33"/>
      <c r="Y13" s="33"/>
      <c r="Z13" s="33"/>
      <c r="AA13" s="33"/>
      <c r="AB13" s="33"/>
      <c r="AC13" s="33"/>
      <c r="AD13" s="33"/>
      <c r="AE13" s="33"/>
      <c r="AF13" s="33"/>
      <c r="AG13" s="33"/>
      <c r="AH13" s="33"/>
      <c r="AI13" s="33"/>
    </row>
    <row r="14" spans="1:35" hidden="1">
      <c r="A14" s="6">
        <v>5106</v>
      </c>
      <c r="B14" s="31" t="s">
        <v>146</v>
      </c>
      <c r="C14" s="30">
        <v>0</v>
      </c>
      <c r="D14" s="30">
        <v>0</v>
      </c>
      <c r="E14" s="30">
        <v>0</v>
      </c>
      <c r="F14" s="30">
        <v>0</v>
      </c>
      <c r="G14" s="30">
        <v>0</v>
      </c>
      <c r="H14" s="30">
        <v>0</v>
      </c>
      <c r="I14" s="30">
        <f t="shared" si="0"/>
        <v>75</v>
      </c>
      <c r="J14" s="30">
        <v>75</v>
      </c>
      <c r="K14" s="30">
        <v>0</v>
      </c>
      <c r="L14" s="30">
        <v>0</v>
      </c>
      <c r="M14" s="30">
        <v>0</v>
      </c>
      <c r="N14" s="30">
        <v>0</v>
      </c>
      <c r="O14" s="30">
        <v>0</v>
      </c>
      <c r="P14" s="30">
        <v>0</v>
      </c>
      <c r="Q14" s="30">
        <v>0</v>
      </c>
      <c r="R14" s="30">
        <v>0</v>
      </c>
      <c r="S14" s="30">
        <v>0</v>
      </c>
      <c r="T14" s="30">
        <v>0</v>
      </c>
      <c r="U14" s="30">
        <v>0</v>
      </c>
      <c r="V14" s="30">
        <v>0</v>
      </c>
      <c r="W14" s="30">
        <v>0</v>
      </c>
      <c r="X14" s="33"/>
      <c r="Y14" s="33"/>
      <c r="Z14" s="33"/>
      <c r="AA14" s="33"/>
      <c r="AB14" s="33"/>
      <c r="AC14" s="33"/>
      <c r="AD14" s="33"/>
      <c r="AE14" s="33"/>
      <c r="AF14" s="33"/>
      <c r="AG14" s="33"/>
      <c r="AH14" s="33"/>
      <c r="AI14" s="33"/>
    </row>
    <row r="15" spans="1:35" hidden="1">
      <c r="A15" s="6">
        <v>5107</v>
      </c>
      <c r="B15" s="31" t="s">
        <v>71</v>
      </c>
      <c r="C15" s="30">
        <v>0</v>
      </c>
      <c r="D15" s="30">
        <v>0</v>
      </c>
      <c r="E15" s="30">
        <v>0</v>
      </c>
      <c r="F15" s="30">
        <v>0</v>
      </c>
      <c r="G15" s="30">
        <v>0</v>
      </c>
      <c r="H15" s="30">
        <v>0</v>
      </c>
      <c r="I15" s="30">
        <f t="shared" si="0"/>
        <v>0</v>
      </c>
      <c r="J15" s="30">
        <v>0</v>
      </c>
      <c r="K15" s="30">
        <v>0</v>
      </c>
      <c r="L15" s="30">
        <v>0</v>
      </c>
      <c r="M15" s="30">
        <v>0</v>
      </c>
      <c r="N15" s="30">
        <v>0</v>
      </c>
      <c r="O15" s="30">
        <v>0</v>
      </c>
      <c r="P15" s="30">
        <v>0</v>
      </c>
      <c r="Q15" s="30">
        <v>0</v>
      </c>
      <c r="R15" s="30">
        <v>0</v>
      </c>
      <c r="S15" s="30">
        <v>0</v>
      </c>
      <c r="T15" s="30">
        <v>0</v>
      </c>
      <c r="U15" s="30">
        <v>0</v>
      </c>
      <c r="V15" s="30">
        <v>0</v>
      </c>
      <c r="W15" s="30">
        <v>0</v>
      </c>
      <c r="X15" s="33"/>
      <c r="Y15" s="33"/>
      <c r="Z15" s="33"/>
      <c r="AA15" s="33"/>
      <c r="AB15" s="33"/>
      <c r="AC15" s="33"/>
      <c r="AD15" s="33"/>
      <c r="AE15" s="33"/>
      <c r="AF15" s="33"/>
      <c r="AG15" s="33"/>
      <c r="AH15" s="33"/>
      <c r="AI15" s="33"/>
    </row>
    <row r="16" spans="1:35" hidden="1">
      <c r="A16" s="6">
        <v>5108</v>
      </c>
      <c r="B16" s="31" t="s">
        <v>72</v>
      </c>
      <c r="C16" s="30">
        <v>0</v>
      </c>
      <c r="D16" s="30">
        <v>0</v>
      </c>
      <c r="E16" s="30">
        <v>38100000</v>
      </c>
      <c r="F16" s="30">
        <v>13154450</v>
      </c>
      <c r="G16" s="30">
        <v>0</v>
      </c>
      <c r="H16" s="30">
        <v>35613270</v>
      </c>
      <c r="I16" s="30">
        <f t="shared" si="0"/>
        <v>217.45480000000001</v>
      </c>
      <c r="J16" s="30">
        <v>0</v>
      </c>
      <c r="K16" s="30">
        <v>97.454800000000006</v>
      </c>
      <c r="L16" s="30">
        <v>12</v>
      </c>
      <c r="M16" s="30">
        <v>12</v>
      </c>
      <c r="N16" s="30">
        <v>12</v>
      </c>
      <c r="O16" s="30">
        <v>12</v>
      </c>
      <c r="P16" s="30">
        <v>12</v>
      </c>
      <c r="Q16" s="30">
        <v>12</v>
      </c>
      <c r="R16" s="30">
        <v>12</v>
      </c>
      <c r="S16" s="30">
        <v>12</v>
      </c>
      <c r="T16" s="30">
        <v>12</v>
      </c>
      <c r="U16" s="30">
        <v>12</v>
      </c>
      <c r="V16" s="30">
        <v>12</v>
      </c>
      <c r="W16" s="30">
        <v>12</v>
      </c>
      <c r="X16" s="33"/>
      <c r="Y16" s="33"/>
      <c r="Z16" s="33"/>
      <c r="AA16" s="33"/>
      <c r="AB16" s="33"/>
      <c r="AC16" s="33"/>
      <c r="AD16" s="33"/>
      <c r="AE16" s="33"/>
      <c r="AF16" s="33"/>
      <c r="AG16" s="33"/>
      <c r="AH16" s="33"/>
      <c r="AI16" s="33"/>
    </row>
    <row r="17" spans="1:35" hidden="1">
      <c r="A17" s="6">
        <v>5109</v>
      </c>
      <c r="B17" s="31" t="s">
        <v>73</v>
      </c>
      <c r="C17" s="30">
        <v>0</v>
      </c>
      <c r="D17" s="30">
        <v>0</v>
      </c>
      <c r="E17" s="30">
        <v>0</v>
      </c>
      <c r="F17" s="30">
        <v>0</v>
      </c>
      <c r="G17" s="30">
        <v>0</v>
      </c>
      <c r="H17" s="30">
        <v>0</v>
      </c>
      <c r="I17" s="30">
        <f t="shared" si="0"/>
        <v>0</v>
      </c>
      <c r="J17" s="30">
        <v>0</v>
      </c>
      <c r="K17" s="30">
        <v>0</v>
      </c>
      <c r="L17" s="30">
        <v>0</v>
      </c>
      <c r="M17" s="30">
        <v>0</v>
      </c>
      <c r="N17" s="30">
        <v>0</v>
      </c>
      <c r="O17" s="30">
        <v>0</v>
      </c>
      <c r="P17" s="30">
        <v>0</v>
      </c>
      <c r="Q17" s="30">
        <v>0</v>
      </c>
      <c r="R17" s="30">
        <v>0</v>
      </c>
      <c r="S17" s="30">
        <v>0</v>
      </c>
      <c r="T17" s="30">
        <v>0</v>
      </c>
      <c r="U17" s="30">
        <v>0</v>
      </c>
      <c r="V17" s="30">
        <v>0</v>
      </c>
      <c r="W17" s="30">
        <v>0</v>
      </c>
      <c r="X17" s="33"/>
      <c r="Y17" s="33"/>
      <c r="Z17" s="33"/>
      <c r="AA17" s="33"/>
      <c r="AB17" s="33"/>
      <c r="AC17" s="33"/>
      <c r="AD17" s="33"/>
      <c r="AE17" s="33"/>
      <c r="AF17" s="33"/>
      <c r="AG17" s="33"/>
      <c r="AH17" s="33"/>
      <c r="AI17" s="33"/>
    </row>
    <row r="18" spans="1:35" hidden="1">
      <c r="A18" s="6">
        <v>5110</v>
      </c>
      <c r="B18" s="31" t="s">
        <v>74</v>
      </c>
      <c r="C18" s="30">
        <v>0</v>
      </c>
      <c r="D18" s="30">
        <v>0</v>
      </c>
      <c r="E18" s="30">
        <v>850000</v>
      </c>
      <c r="F18" s="30">
        <v>18544200</v>
      </c>
      <c r="G18" s="30">
        <v>0</v>
      </c>
      <c r="H18" s="30">
        <v>0</v>
      </c>
      <c r="I18" s="30">
        <f t="shared" si="0"/>
        <v>482.03457999999995</v>
      </c>
      <c r="J18" s="30">
        <v>0</v>
      </c>
      <c r="K18" s="30">
        <v>2.54</v>
      </c>
      <c r="L18" s="30">
        <v>47.949458</v>
      </c>
      <c r="M18" s="30">
        <v>47.949458</v>
      </c>
      <c r="N18" s="30">
        <v>47.949458</v>
      </c>
      <c r="O18" s="30">
        <v>47.949458</v>
      </c>
      <c r="P18" s="30">
        <v>47.949458</v>
      </c>
      <c r="Q18" s="30">
        <v>47.949458</v>
      </c>
      <c r="R18" s="30">
        <v>47.949458</v>
      </c>
      <c r="S18" s="30">
        <v>47.949458</v>
      </c>
      <c r="T18" s="30">
        <v>47.949458</v>
      </c>
      <c r="U18" s="30">
        <v>47.949458</v>
      </c>
      <c r="V18" s="30">
        <v>47.949458</v>
      </c>
      <c r="W18" s="30">
        <v>47.949458</v>
      </c>
      <c r="X18" s="33"/>
      <c r="Y18" s="33"/>
      <c r="Z18" s="33"/>
      <c r="AA18" s="33"/>
      <c r="AB18" s="33"/>
      <c r="AC18" s="33"/>
      <c r="AD18" s="33"/>
      <c r="AE18" s="33"/>
      <c r="AF18" s="33"/>
      <c r="AG18" s="33"/>
      <c r="AH18" s="33"/>
      <c r="AI18" s="33"/>
    </row>
    <row r="19" spans="1:35" s="37" customFormat="1">
      <c r="A19" s="35" t="s">
        <v>221</v>
      </c>
      <c r="B19" s="35" t="s">
        <v>221</v>
      </c>
      <c r="C19" s="36">
        <v>0</v>
      </c>
      <c r="D19" s="36">
        <v>0</v>
      </c>
      <c r="E19" s="36">
        <v>69965000</v>
      </c>
      <c r="F19" s="36">
        <v>32288650</v>
      </c>
      <c r="G19" s="36">
        <v>0</v>
      </c>
      <c r="H19" s="36">
        <v>52453270</v>
      </c>
      <c r="I19" s="30">
        <f>SUM(I10:I18)</f>
        <v>13937.076379999999</v>
      </c>
      <c r="J19" s="36">
        <v>134.80000000000001</v>
      </c>
      <c r="K19" s="36">
        <v>696.89679999999998</v>
      </c>
      <c r="L19" s="36">
        <f>FH!L19</f>
        <v>61.558</v>
      </c>
      <c r="M19" s="36">
        <f>FH!M19</f>
        <v>313.20300000000003</v>
      </c>
      <c r="N19" s="36">
        <f>FH!N19</f>
        <v>249.75700000000001</v>
      </c>
      <c r="O19" s="36">
        <f>FH!O19</f>
        <v>870.71300000000008</v>
      </c>
      <c r="P19" s="36">
        <f>FH!P19</f>
        <v>1013.957</v>
      </c>
      <c r="Q19" s="36">
        <f>FH!Q19</f>
        <v>0</v>
      </c>
      <c r="R19" s="36">
        <f>FH!R19</f>
        <v>0</v>
      </c>
      <c r="S19" s="36">
        <f>FH!S19</f>
        <v>0</v>
      </c>
      <c r="T19" s="36">
        <f>FH!T19</f>
        <v>0</v>
      </c>
      <c r="U19" s="36">
        <f>FH!U19</f>
        <v>0</v>
      </c>
      <c r="V19" s="36">
        <f>FH!V19</f>
        <v>0</v>
      </c>
      <c r="W19" s="36">
        <f>FH!W19</f>
        <v>0</v>
      </c>
      <c r="X19" s="33"/>
      <c r="Y19" s="33"/>
      <c r="Z19" s="33"/>
      <c r="AA19" s="33"/>
      <c r="AB19" s="33"/>
      <c r="AC19" s="33"/>
      <c r="AD19" s="33"/>
      <c r="AE19" s="33"/>
      <c r="AF19" s="33"/>
      <c r="AG19" s="33"/>
      <c r="AH19" s="33"/>
      <c r="AI19" s="33"/>
    </row>
    <row r="20" spans="1:35" s="37" customFormat="1" hidden="1">
      <c r="A20" s="3" t="s">
        <v>106</v>
      </c>
      <c r="B20" s="3" t="s">
        <v>106</v>
      </c>
      <c r="C20" s="36"/>
      <c r="D20" s="36"/>
      <c r="E20" s="36"/>
      <c r="F20" s="36"/>
      <c r="G20" s="36"/>
      <c r="H20" s="36"/>
      <c r="I20" s="30">
        <f t="shared" si="0"/>
        <v>0</v>
      </c>
      <c r="J20" s="36">
        <v>0</v>
      </c>
      <c r="K20" s="36">
        <v>0</v>
      </c>
      <c r="L20" s="36">
        <v>0</v>
      </c>
      <c r="M20" s="36">
        <v>0</v>
      </c>
      <c r="N20" s="36">
        <v>0</v>
      </c>
      <c r="O20" s="36">
        <v>0</v>
      </c>
      <c r="P20" s="36">
        <v>0</v>
      </c>
      <c r="Q20" s="36">
        <v>0</v>
      </c>
      <c r="R20" s="36">
        <v>0</v>
      </c>
      <c r="S20" s="36">
        <v>0</v>
      </c>
      <c r="T20" s="36">
        <v>0</v>
      </c>
      <c r="U20" s="36">
        <v>0</v>
      </c>
      <c r="V20" s="36">
        <v>0</v>
      </c>
      <c r="W20" s="36">
        <v>0</v>
      </c>
      <c r="X20" s="33"/>
      <c r="Y20" s="33"/>
      <c r="Z20" s="33"/>
      <c r="AA20" s="33"/>
      <c r="AB20" s="33"/>
      <c r="AC20" s="33"/>
      <c r="AD20" s="33"/>
      <c r="AE20" s="33"/>
      <c r="AF20" s="33"/>
      <c r="AG20" s="33"/>
      <c r="AH20" s="33"/>
      <c r="AI20" s="33"/>
    </row>
    <row r="21" spans="1:35" hidden="1">
      <c r="A21" s="6">
        <v>6101</v>
      </c>
      <c r="B21" s="31" t="s">
        <v>75</v>
      </c>
      <c r="C21" s="30">
        <v>0</v>
      </c>
      <c r="D21" s="30">
        <v>0</v>
      </c>
      <c r="E21" s="30">
        <v>1500000</v>
      </c>
      <c r="F21" s="30">
        <v>1500000</v>
      </c>
      <c r="G21" s="30">
        <v>1500000</v>
      </c>
      <c r="H21" s="30">
        <v>0</v>
      </c>
      <c r="I21" s="30">
        <f t="shared" si="0"/>
        <v>86.75</v>
      </c>
      <c r="J21" s="30">
        <v>1.75</v>
      </c>
      <c r="K21" s="30">
        <v>5</v>
      </c>
      <c r="L21" s="30">
        <v>8</v>
      </c>
      <c r="M21" s="30">
        <v>8</v>
      </c>
      <c r="N21" s="30">
        <v>8</v>
      </c>
      <c r="O21" s="30">
        <v>8</v>
      </c>
      <c r="P21" s="30">
        <v>8</v>
      </c>
      <c r="Q21" s="30">
        <v>8</v>
      </c>
      <c r="R21" s="30">
        <v>8</v>
      </c>
      <c r="S21" s="30">
        <v>8</v>
      </c>
      <c r="T21" s="30">
        <v>8</v>
      </c>
      <c r="U21" s="30">
        <v>8</v>
      </c>
      <c r="V21" s="30">
        <v>8</v>
      </c>
      <c r="W21" s="30">
        <v>8</v>
      </c>
      <c r="X21" s="33"/>
      <c r="Y21" s="33"/>
      <c r="Z21" s="33"/>
      <c r="AA21" s="33"/>
      <c r="AB21" s="33"/>
      <c r="AC21" s="33"/>
      <c r="AD21" s="33"/>
      <c r="AE21" s="33"/>
      <c r="AF21" s="33"/>
      <c r="AG21" s="33"/>
      <c r="AH21" s="33"/>
      <c r="AI21" s="33"/>
    </row>
    <row r="22" spans="1:35" s="37" customFormat="1" hidden="1">
      <c r="A22" s="6">
        <v>6102</v>
      </c>
      <c r="B22" s="31" t="s">
        <v>204</v>
      </c>
      <c r="C22" s="30">
        <v>0</v>
      </c>
      <c r="D22" s="30">
        <v>0</v>
      </c>
      <c r="E22" s="30">
        <v>0</v>
      </c>
      <c r="F22" s="30">
        <v>0</v>
      </c>
      <c r="G22" s="30">
        <v>0</v>
      </c>
      <c r="H22" s="30">
        <v>0</v>
      </c>
      <c r="I22" s="30">
        <f t="shared" si="0"/>
        <v>0</v>
      </c>
      <c r="J22" s="30">
        <v>0</v>
      </c>
      <c r="K22" s="30">
        <v>0</v>
      </c>
      <c r="L22" s="30">
        <v>0</v>
      </c>
      <c r="M22" s="30">
        <v>0</v>
      </c>
      <c r="N22" s="30">
        <v>0</v>
      </c>
      <c r="O22" s="30">
        <v>0</v>
      </c>
      <c r="P22" s="30">
        <v>0</v>
      </c>
      <c r="Q22" s="30">
        <v>0</v>
      </c>
      <c r="R22" s="30">
        <v>0</v>
      </c>
      <c r="S22" s="30">
        <v>0</v>
      </c>
      <c r="T22" s="30">
        <v>0</v>
      </c>
      <c r="U22" s="30">
        <v>0</v>
      </c>
      <c r="V22" s="30">
        <v>0</v>
      </c>
      <c r="W22" s="30">
        <v>0</v>
      </c>
      <c r="X22" s="33"/>
      <c r="Y22" s="33"/>
      <c r="Z22" s="33"/>
      <c r="AA22" s="33"/>
      <c r="AB22" s="33"/>
      <c r="AC22" s="33"/>
      <c r="AD22" s="33"/>
      <c r="AE22" s="33"/>
      <c r="AF22" s="33"/>
      <c r="AG22" s="33"/>
      <c r="AH22" s="33"/>
      <c r="AI22" s="33"/>
    </row>
    <row r="23" spans="1:35" hidden="1">
      <c r="A23" s="6">
        <v>6103</v>
      </c>
      <c r="B23" s="31" t="s">
        <v>203</v>
      </c>
      <c r="C23" s="30">
        <v>0</v>
      </c>
      <c r="D23" s="30">
        <v>0</v>
      </c>
      <c r="E23" s="30">
        <v>0</v>
      </c>
      <c r="F23" s="30">
        <v>0</v>
      </c>
      <c r="G23" s="30">
        <v>0</v>
      </c>
      <c r="H23" s="30">
        <v>0</v>
      </c>
      <c r="I23" s="30">
        <f t="shared" si="0"/>
        <v>1.7</v>
      </c>
      <c r="J23" s="30">
        <v>0</v>
      </c>
      <c r="K23" s="30">
        <v>1.7</v>
      </c>
      <c r="L23" s="30">
        <v>0</v>
      </c>
      <c r="M23" s="30">
        <v>0</v>
      </c>
      <c r="N23" s="30">
        <v>0</v>
      </c>
      <c r="O23" s="30">
        <v>0</v>
      </c>
      <c r="P23" s="30">
        <v>0</v>
      </c>
      <c r="Q23" s="30">
        <v>0</v>
      </c>
      <c r="R23" s="30">
        <v>0</v>
      </c>
      <c r="S23" s="30">
        <v>0</v>
      </c>
      <c r="T23" s="30">
        <v>0</v>
      </c>
      <c r="U23" s="30">
        <v>0</v>
      </c>
      <c r="V23" s="30">
        <v>0</v>
      </c>
      <c r="W23" s="30">
        <v>0</v>
      </c>
      <c r="X23" s="33"/>
      <c r="Y23" s="33"/>
      <c r="Z23" s="33"/>
      <c r="AA23" s="33"/>
      <c r="AB23" s="33"/>
      <c r="AC23" s="33"/>
      <c r="AD23" s="33"/>
      <c r="AE23" s="33"/>
      <c r="AF23" s="33"/>
      <c r="AG23" s="33"/>
      <c r="AH23" s="33"/>
      <c r="AI23" s="33"/>
    </row>
    <row r="24" spans="1:35" hidden="1">
      <c r="A24" s="6">
        <v>6105</v>
      </c>
      <c r="B24" s="31" t="s">
        <v>148</v>
      </c>
      <c r="C24" s="30">
        <v>0</v>
      </c>
      <c r="D24" s="30">
        <v>0</v>
      </c>
      <c r="E24" s="30">
        <v>37000</v>
      </c>
      <c r="F24" s="30">
        <v>0</v>
      </c>
      <c r="G24" s="30">
        <v>25000</v>
      </c>
      <c r="H24" s="30">
        <v>0</v>
      </c>
      <c r="I24" s="30">
        <f t="shared" si="0"/>
        <v>11.314</v>
      </c>
      <c r="J24" s="30">
        <v>0</v>
      </c>
      <c r="K24" s="30">
        <v>6.4000000000000001E-2</v>
      </c>
      <c r="L24" s="30">
        <v>1.125</v>
      </c>
      <c r="M24" s="30">
        <v>1.125</v>
      </c>
      <c r="N24" s="30">
        <v>1.125</v>
      </c>
      <c r="O24" s="30">
        <v>1.125</v>
      </c>
      <c r="P24" s="30">
        <v>1.125</v>
      </c>
      <c r="Q24" s="30">
        <v>1.125</v>
      </c>
      <c r="R24" s="30">
        <v>1.125</v>
      </c>
      <c r="S24" s="30">
        <v>1.125</v>
      </c>
      <c r="T24" s="30">
        <v>1.125</v>
      </c>
      <c r="U24" s="30">
        <v>1.125</v>
      </c>
      <c r="V24" s="30">
        <v>1.125</v>
      </c>
      <c r="W24" s="30">
        <v>1.125</v>
      </c>
      <c r="X24" s="33"/>
      <c r="Y24" s="33"/>
      <c r="Z24" s="33"/>
      <c r="AA24" s="33"/>
      <c r="AB24" s="33"/>
      <c r="AC24" s="33"/>
      <c r="AD24" s="33"/>
      <c r="AE24" s="33"/>
      <c r="AF24" s="33"/>
      <c r="AG24" s="33"/>
      <c r="AH24" s="33"/>
      <c r="AI24" s="33"/>
    </row>
    <row r="25" spans="1:35" hidden="1">
      <c r="A25" s="6">
        <v>6106</v>
      </c>
      <c r="B25" s="31" t="s">
        <v>149</v>
      </c>
      <c r="C25" s="30">
        <v>0</v>
      </c>
      <c r="D25" s="30">
        <v>0</v>
      </c>
      <c r="E25" s="30">
        <v>0</v>
      </c>
      <c r="F25" s="30">
        <v>0</v>
      </c>
      <c r="G25" s="30">
        <v>0</v>
      </c>
      <c r="H25" s="30">
        <v>0</v>
      </c>
      <c r="I25" s="30">
        <f t="shared" si="0"/>
        <v>0</v>
      </c>
      <c r="J25" s="30">
        <v>0</v>
      </c>
      <c r="K25" s="30">
        <v>0</v>
      </c>
      <c r="L25" s="30">
        <v>0</v>
      </c>
      <c r="M25" s="30">
        <v>0</v>
      </c>
      <c r="N25" s="30">
        <v>0</v>
      </c>
      <c r="O25" s="30">
        <v>0</v>
      </c>
      <c r="P25" s="30">
        <v>0</v>
      </c>
      <c r="Q25" s="30">
        <v>0</v>
      </c>
      <c r="R25" s="30">
        <v>0</v>
      </c>
      <c r="S25" s="30">
        <v>0</v>
      </c>
      <c r="T25" s="30">
        <v>0</v>
      </c>
      <c r="U25" s="30">
        <v>0</v>
      </c>
      <c r="V25" s="30">
        <v>0</v>
      </c>
      <c r="W25" s="30">
        <v>0</v>
      </c>
      <c r="X25" s="33"/>
      <c r="Y25" s="33"/>
      <c r="Z25" s="33"/>
      <c r="AA25" s="33"/>
      <c r="AB25" s="33"/>
      <c r="AC25" s="33"/>
      <c r="AD25" s="33"/>
      <c r="AE25" s="33"/>
      <c r="AF25" s="33"/>
      <c r="AG25" s="33"/>
      <c r="AH25" s="33"/>
      <c r="AI25" s="33"/>
    </row>
    <row r="26" spans="1:35" s="37" customFormat="1" hidden="1">
      <c r="A26" s="6">
        <v>6108</v>
      </c>
      <c r="B26" s="31" t="s">
        <v>78</v>
      </c>
      <c r="C26" s="30">
        <v>0</v>
      </c>
      <c r="D26" s="30">
        <v>0</v>
      </c>
      <c r="E26" s="30">
        <v>0</v>
      </c>
      <c r="F26" s="30">
        <v>0</v>
      </c>
      <c r="G26" s="30">
        <v>0</v>
      </c>
      <c r="H26" s="30">
        <v>0</v>
      </c>
      <c r="I26" s="30">
        <f t="shared" si="0"/>
        <v>0</v>
      </c>
      <c r="J26" s="30">
        <v>0</v>
      </c>
      <c r="K26" s="30">
        <v>0</v>
      </c>
      <c r="L26" s="30">
        <v>0</v>
      </c>
      <c r="M26" s="30">
        <v>0</v>
      </c>
      <c r="N26" s="30">
        <v>0</v>
      </c>
      <c r="O26" s="30">
        <v>0</v>
      </c>
      <c r="P26" s="30">
        <v>0</v>
      </c>
      <c r="Q26" s="30">
        <v>0</v>
      </c>
      <c r="R26" s="30">
        <v>0</v>
      </c>
      <c r="S26" s="30">
        <v>0</v>
      </c>
      <c r="T26" s="30">
        <v>0</v>
      </c>
      <c r="U26" s="30">
        <v>0</v>
      </c>
      <c r="V26" s="30">
        <v>0</v>
      </c>
      <c r="W26" s="30">
        <v>0</v>
      </c>
      <c r="X26" s="33"/>
      <c r="Y26" s="33"/>
      <c r="Z26" s="33"/>
      <c r="AA26" s="33"/>
      <c r="AB26" s="33"/>
      <c r="AC26" s="33"/>
      <c r="AD26" s="33"/>
      <c r="AE26" s="33"/>
      <c r="AF26" s="33"/>
      <c r="AG26" s="33"/>
      <c r="AH26" s="33"/>
      <c r="AI26" s="33"/>
    </row>
    <row r="27" spans="1:35" hidden="1">
      <c r="A27" s="6">
        <v>6109</v>
      </c>
      <c r="B27" s="31" t="s">
        <v>79</v>
      </c>
      <c r="C27" s="30">
        <v>0</v>
      </c>
      <c r="D27" s="30">
        <v>0</v>
      </c>
      <c r="E27" s="30">
        <v>36000</v>
      </c>
      <c r="F27" s="30">
        <v>0</v>
      </c>
      <c r="G27" s="30">
        <v>0</v>
      </c>
      <c r="H27" s="30">
        <v>0</v>
      </c>
      <c r="I27" s="30">
        <f t="shared" si="0"/>
        <v>0.73600000000000021</v>
      </c>
      <c r="J27" s="30">
        <v>0</v>
      </c>
      <c r="K27" s="30">
        <v>0.436</v>
      </c>
      <c r="L27" s="30">
        <v>0.03</v>
      </c>
      <c r="M27" s="30">
        <v>0.03</v>
      </c>
      <c r="N27" s="30">
        <v>0.03</v>
      </c>
      <c r="O27" s="30">
        <v>0.03</v>
      </c>
      <c r="P27" s="30">
        <v>0.03</v>
      </c>
      <c r="Q27" s="30">
        <v>0.03</v>
      </c>
      <c r="R27" s="30">
        <v>0.03</v>
      </c>
      <c r="S27" s="30">
        <v>0.03</v>
      </c>
      <c r="T27" s="30">
        <v>0.03</v>
      </c>
      <c r="U27" s="30">
        <v>0.03</v>
      </c>
      <c r="V27" s="30">
        <v>0.03</v>
      </c>
      <c r="W27" s="30">
        <v>0.03</v>
      </c>
      <c r="X27" s="33"/>
      <c r="Y27" s="33"/>
      <c r="Z27" s="33"/>
      <c r="AA27" s="33"/>
      <c r="AB27" s="33"/>
      <c r="AC27" s="33"/>
      <c r="AD27" s="33"/>
      <c r="AE27" s="33"/>
      <c r="AF27" s="33"/>
      <c r="AG27" s="33"/>
      <c r="AH27" s="33"/>
      <c r="AI27" s="33"/>
    </row>
    <row r="28" spans="1:35" hidden="1">
      <c r="A28" s="6">
        <v>6111</v>
      </c>
      <c r="B28" s="31" t="s">
        <v>150</v>
      </c>
      <c r="C28" s="30">
        <v>0</v>
      </c>
      <c r="D28" s="30">
        <v>0</v>
      </c>
      <c r="E28" s="30">
        <v>0</v>
      </c>
      <c r="F28" s="30">
        <v>0</v>
      </c>
      <c r="G28" s="30">
        <v>0</v>
      </c>
      <c r="H28" s="30">
        <v>0</v>
      </c>
      <c r="I28" s="30">
        <f t="shared" si="0"/>
        <v>0</v>
      </c>
      <c r="J28" s="30">
        <v>0</v>
      </c>
      <c r="K28" s="30">
        <v>0</v>
      </c>
      <c r="L28" s="30">
        <v>0</v>
      </c>
      <c r="M28" s="30">
        <v>0</v>
      </c>
      <c r="N28" s="30">
        <v>0</v>
      </c>
      <c r="O28" s="30">
        <v>0</v>
      </c>
      <c r="P28" s="30">
        <v>0</v>
      </c>
      <c r="Q28" s="30">
        <v>0</v>
      </c>
      <c r="R28" s="30">
        <v>0</v>
      </c>
      <c r="S28" s="30">
        <v>0</v>
      </c>
      <c r="T28" s="30">
        <v>0</v>
      </c>
      <c r="U28" s="30">
        <v>0</v>
      </c>
      <c r="V28" s="30">
        <v>0</v>
      </c>
      <c r="W28" s="30">
        <v>0</v>
      </c>
      <c r="X28" s="33"/>
      <c r="Y28" s="33"/>
      <c r="Z28" s="33"/>
      <c r="AA28" s="33"/>
      <c r="AB28" s="33"/>
      <c r="AC28" s="33"/>
      <c r="AD28" s="33"/>
      <c r="AE28" s="33"/>
      <c r="AF28" s="33"/>
      <c r="AG28" s="33"/>
      <c r="AH28" s="33"/>
      <c r="AI28" s="33"/>
    </row>
    <row r="29" spans="1:35" hidden="1">
      <c r="A29" s="6">
        <v>6112</v>
      </c>
      <c r="B29" s="31" t="s">
        <v>205</v>
      </c>
      <c r="C29" s="30">
        <v>0</v>
      </c>
      <c r="D29" s="30">
        <v>0</v>
      </c>
      <c r="E29" s="30">
        <v>4854000</v>
      </c>
      <c r="F29" s="30">
        <v>400000</v>
      </c>
      <c r="G29" s="30">
        <v>0</v>
      </c>
      <c r="H29" s="30">
        <v>0</v>
      </c>
      <c r="I29" s="30">
        <f t="shared" si="0"/>
        <v>10.199999999999998</v>
      </c>
      <c r="J29" s="30">
        <v>0</v>
      </c>
      <c r="K29" s="30">
        <v>0</v>
      </c>
      <c r="L29" s="30">
        <v>1.02</v>
      </c>
      <c r="M29" s="30">
        <v>1.02</v>
      </c>
      <c r="N29" s="30">
        <v>1.02</v>
      </c>
      <c r="O29" s="30">
        <v>1.02</v>
      </c>
      <c r="P29" s="30">
        <v>1.02</v>
      </c>
      <c r="Q29" s="30">
        <v>1.02</v>
      </c>
      <c r="R29" s="30">
        <v>1.02</v>
      </c>
      <c r="S29" s="30">
        <v>1.02</v>
      </c>
      <c r="T29" s="30">
        <v>1.02</v>
      </c>
      <c r="U29" s="30">
        <v>1.02</v>
      </c>
      <c r="V29" s="30">
        <v>1.02</v>
      </c>
      <c r="W29" s="30">
        <v>1.02</v>
      </c>
      <c r="X29" s="33"/>
      <c r="Y29" s="33"/>
      <c r="Z29" s="33"/>
      <c r="AA29" s="33"/>
      <c r="AB29" s="33"/>
      <c r="AC29" s="33"/>
      <c r="AD29" s="33"/>
      <c r="AE29" s="33"/>
      <c r="AF29" s="33"/>
      <c r="AG29" s="33"/>
      <c r="AH29" s="33"/>
      <c r="AI29" s="33"/>
    </row>
    <row r="30" spans="1:35" s="37" customFormat="1" hidden="1">
      <c r="A30" s="35" t="s">
        <v>221</v>
      </c>
      <c r="B30" s="35" t="s">
        <v>276</v>
      </c>
      <c r="C30" s="36">
        <v>0</v>
      </c>
      <c r="D30" s="36">
        <v>0</v>
      </c>
      <c r="E30" s="36">
        <v>69965000</v>
      </c>
      <c r="F30" s="36">
        <v>32288650</v>
      </c>
      <c r="G30" s="36">
        <v>0</v>
      </c>
      <c r="H30" s="36">
        <v>52453270</v>
      </c>
      <c r="I30" s="30">
        <f>SUM(I21:I29)</f>
        <v>110.70000000000002</v>
      </c>
      <c r="J30" s="36">
        <f>J7-J19</f>
        <v>-134.80000000000001</v>
      </c>
      <c r="K30" s="36">
        <f t="shared" ref="K30:L30" si="1">K7-K19</f>
        <v>-696.89679999999998</v>
      </c>
      <c r="L30" s="36">
        <f t="shared" si="1"/>
        <v>57.442</v>
      </c>
      <c r="M30" s="36">
        <f t="shared" ref="M30:U30" si="2">M7-M19</f>
        <v>480.19699999999995</v>
      </c>
      <c r="N30" s="36">
        <f t="shared" si="2"/>
        <v>288.24299999999999</v>
      </c>
      <c r="O30" s="36">
        <f t="shared" si="2"/>
        <v>1401.1869999999999</v>
      </c>
      <c r="P30" s="36">
        <f t="shared" si="2"/>
        <v>2143.643</v>
      </c>
      <c r="Q30" s="36">
        <f t="shared" si="2"/>
        <v>0</v>
      </c>
      <c r="R30" s="36">
        <f t="shared" si="2"/>
        <v>0</v>
      </c>
      <c r="S30" s="36">
        <f t="shared" si="2"/>
        <v>0</v>
      </c>
      <c r="T30" s="36">
        <f t="shared" si="2"/>
        <v>0</v>
      </c>
      <c r="U30" s="36">
        <f t="shared" si="2"/>
        <v>0</v>
      </c>
      <c r="V30" s="36">
        <f t="shared" ref="V30:W30" si="3">V7-V19</f>
        <v>0</v>
      </c>
      <c r="W30" s="36">
        <f t="shared" si="3"/>
        <v>0</v>
      </c>
      <c r="X30" s="33"/>
      <c r="Y30" s="33"/>
      <c r="Z30" s="33"/>
      <c r="AA30" s="33"/>
      <c r="AB30" s="33"/>
      <c r="AC30" s="33"/>
      <c r="AD30" s="33"/>
      <c r="AE30" s="33"/>
      <c r="AF30" s="33"/>
      <c r="AG30" s="33"/>
      <c r="AH30" s="33"/>
      <c r="AI30" s="33"/>
    </row>
    <row r="31" spans="1:35" s="37" customFormat="1">
      <c r="A31" s="35" t="s">
        <v>222</v>
      </c>
      <c r="B31" s="35" t="s">
        <v>222</v>
      </c>
      <c r="C31" s="36">
        <v>0</v>
      </c>
      <c r="D31" s="36">
        <v>0</v>
      </c>
      <c r="E31" s="36">
        <v>6427000</v>
      </c>
      <c r="F31" s="36">
        <v>1900000</v>
      </c>
      <c r="G31" s="36">
        <v>1525000</v>
      </c>
      <c r="H31" s="36">
        <v>0</v>
      </c>
      <c r="I31" s="30">
        <f>SUM(I21:I29)</f>
        <v>110.70000000000002</v>
      </c>
      <c r="J31" s="36">
        <v>1.75</v>
      </c>
      <c r="K31" s="36">
        <v>7.2</v>
      </c>
      <c r="L31" s="36">
        <f>FH!L31</f>
        <v>94.470997000000011</v>
      </c>
      <c r="M31" s="36">
        <f>FH!M31</f>
        <v>91.697036000000011</v>
      </c>
      <c r="N31" s="36">
        <f>FH!N31</f>
        <v>80.649286000000004</v>
      </c>
      <c r="O31" s="36">
        <f>FH!O31</f>
        <v>129.95113499999999</v>
      </c>
      <c r="P31" s="36">
        <f>FH!P31</f>
        <v>120.00913800000001</v>
      </c>
      <c r="Q31" s="36">
        <f>FH!Q31</f>
        <v>0</v>
      </c>
      <c r="R31" s="36">
        <f>FH!R31</f>
        <v>0</v>
      </c>
      <c r="S31" s="36">
        <f>FH!S31</f>
        <v>0</v>
      </c>
      <c r="T31" s="36">
        <f>FH!T31</f>
        <v>0</v>
      </c>
      <c r="U31" s="36">
        <f>FH!U31</f>
        <v>0</v>
      </c>
      <c r="V31" s="36">
        <f>FH!V31</f>
        <v>0</v>
      </c>
      <c r="W31" s="36">
        <f>FH!W31</f>
        <v>0</v>
      </c>
      <c r="X31" s="33"/>
      <c r="Y31" s="33"/>
      <c r="Z31" s="33"/>
      <c r="AA31" s="33"/>
      <c r="AB31" s="33"/>
      <c r="AC31" s="33"/>
      <c r="AD31" s="33"/>
      <c r="AE31" s="33"/>
      <c r="AF31" s="33"/>
      <c r="AG31" s="33"/>
      <c r="AH31" s="33"/>
      <c r="AI31" s="33"/>
    </row>
    <row r="32" spans="1:35" s="37" customFormat="1" hidden="1">
      <c r="A32" s="3" t="s">
        <v>111</v>
      </c>
      <c r="B32" s="3" t="s">
        <v>111</v>
      </c>
      <c r="C32" s="36"/>
      <c r="D32" s="36"/>
      <c r="E32" s="36"/>
      <c r="F32" s="36"/>
      <c r="G32" s="36"/>
      <c r="H32" s="36"/>
      <c r="I32" s="30">
        <f>SUM(J32:U32)</f>
        <v>0</v>
      </c>
      <c r="J32" s="36">
        <v>0</v>
      </c>
      <c r="K32" s="36">
        <v>0</v>
      </c>
      <c r="L32" s="36">
        <v>0</v>
      </c>
      <c r="M32" s="36">
        <v>0</v>
      </c>
      <c r="N32" s="36">
        <v>0</v>
      </c>
      <c r="O32" s="36">
        <v>0</v>
      </c>
      <c r="P32" s="36">
        <v>0</v>
      </c>
      <c r="Q32" s="36">
        <v>0</v>
      </c>
      <c r="R32" s="36">
        <v>0</v>
      </c>
      <c r="S32" s="36">
        <v>0</v>
      </c>
      <c r="T32" s="36">
        <v>0</v>
      </c>
      <c r="U32" s="36">
        <v>0</v>
      </c>
      <c r="V32" s="36">
        <v>0</v>
      </c>
      <c r="W32" s="36">
        <v>0</v>
      </c>
      <c r="X32" s="33"/>
      <c r="Y32" s="33"/>
      <c r="Z32" s="33"/>
      <c r="AA32" s="33"/>
      <c r="AB32" s="33"/>
      <c r="AC32" s="33"/>
      <c r="AD32" s="33"/>
      <c r="AE32" s="33"/>
      <c r="AF32" s="33"/>
      <c r="AG32" s="33"/>
      <c r="AH32" s="33"/>
      <c r="AI32" s="33"/>
    </row>
    <row r="33" spans="1:35" hidden="1">
      <c r="A33" s="6">
        <v>4204</v>
      </c>
      <c r="B33" s="31" t="s">
        <v>69</v>
      </c>
      <c r="C33" s="30">
        <v>0</v>
      </c>
      <c r="D33" s="30">
        <v>0</v>
      </c>
      <c r="E33" s="30">
        <v>0</v>
      </c>
      <c r="F33" s="30">
        <v>0</v>
      </c>
      <c r="G33" s="30">
        <v>0</v>
      </c>
      <c r="H33" s="30">
        <v>0</v>
      </c>
      <c r="I33" s="30">
        <f>SUM(J33:U33)</f>
        <v>0</v>
      </c>
      <c r="J33" s="30">
        <v>0</v>
      </c>
      <c r="K33" s="30">
        <v>0</v>
      </c>
      <c r="L33" s="30">
        <v>0</v>
      </c>
      <c r="M33" s="30">
        <v>0</v>
      </c>
      <c r="N33" s="30">
        <v>0</v>
      </c>
      <c r="O33" s="30">
        <v>0</v>
      </c>
      <c r="P33" s="30">
        <v>0</v>
      </c>
      <c r="Q33" s="30">
        <v>0</v>
      </c>
      <c r="R33" s="30">
        <v>0</v>
      </c>
      <c r="S33" s="30">
        <v>0</v>
      </c>
      <c r="T33" s="30">
        <v>0</v>
      </c>
      <c r="U33" s="30">
        <v>0</v>
      </c>
      <c r="V33" s="30">
        <v>0</v>
      </c>
      <c r="W33" s="30">
        <v>0</v>
      </c>
      <c r="X33" s="33"/>
      <c r="Y33" s="33"/>
      <c r="Z33" s="33"/>
      <c r="AA33" s="33"/>
      <c r="AB33" s="33"/>
      <c r="AC33" s="33"/>
      <c r="AD33" s="33"/>
      <c r="AE33" s="33"/>
      <c r="AF33" s="33"/>
      <c r="AG33" s="33"/>
      <c r="AH33" s="33"/>
      <c r="AI33" s="33"/>
    </row>
    <row r="34" spans="1:35" hidden="1">
      <c r="A34" s="6">
        <v>4205</v>
      </c>
      <c r="B34" s="31" t="s">
        <v>88</v>
      </c>
      <c r="C34" s="30">
        <v>0</v>
      </c>
      <c r="D34" s="30">
        <v>0</v>
      </c>
      <c r="E34" s="30">
        <v>0</v>
      </c>
      <c r="F34" s="30">
        <v>0</v>
      </c>
      <c r="G34" s="30">
        <v>0</v>
      </c>
      <c r="H34" s="30">
        <v>0</v>
      </c>
      <c r="I34" s="30">
        <f>SUM(J34:U34)</f>
        <v>0</v>
      </c>
      <c r="J34" s="30">
        <v>0</v>
      </c>
      <c r="K34" s="30">
        <v>0</v>
      </c>
      <c r="L34" s="30">
        <v>0</v>
      </c>
      <c r="M34" s="30">
        <v>0</v>
      </c>
      <c r="N34" s="30">
        <v>0</v>
      </c>
      <c r="O34" s="30">
        <v>0</v>
      </c>
      <c r="P34" s="30">
        <v>0</v>
      </c>
      <c r="Q34" s="30">
        <v>0</v>
      </c>
      <c r="R34" s="30">
        <v>0</v>
      </c>
      <c r="S34" s="30">
        <v>0</v>
      </c>
      <c r="T34" s="30">
        <v>0</v>
      </c>
      <c r="U34" s="30">
        <v>0</v>
      </c>
      <c r="V34" s="30">
        <v>0</v>
      </c>
      <c r="W34" s="30">
        <v>0</v>
      </c>
      <c r="X34" s="33"/>
      <c r="Y34" s="33"/>
      <c r="Z34" s="33"/>
      <c r="AA34" s="33"/>
      <c r="AB34" s="33"/>
      <c r="AC34" s="33"/>
      <c r="AD34" s="33"/>
      <c r="AE34" s="33"/>
      <c r="AF34" s="33"/>
      <c r="AG34" s="33"/>
      <c r="AH34" s="33"/>
      <c r="AI34" s="33"/>
    </row>
    <row r="35" spans="1:35" s="37" customFormat="1" hidden="1">
      <c r="A35" s="35" t="s">
        <v>220</v>
      </c>
      <c r="B35" s="35" t="s">
        <v>277</v>
      </c>
      <c r="C35" s="36">
        <v>0</v>
      </c>
      <c r="D35" s="36">
        <v>0</v>
      </c>
      <c r="E35" s="36">
        <v>0</v>
      </c>
      <c r="F35" s="36">
        <v>0</v>
      </c>
      <c r="G35" s="36">
        <v>0</v>
      </c>
      <c r="H35" s="36">
        <v>0</v>
      </c>
      <c r="I35" s="30">
        <f>SUM(I31:I33)</f>
        <v>110.70000000000002</v>
      </c>
      <c r="J35" s="36">
        <f>J30-J31</f>
        <v>-136.55000000000001</v>
      </c>
      <c r="K35" s="36">
        <f t="shared" ref="K35:L35" si="4">K30-K31</f>
        <v>-704.09680000000003</v>
      </c>
      <c r="L35" s="36">
        <f t="shared" si="4"/>
        <v>-37.028997000000011</v>
      </c>
      <c r="M35" s="36">
        <f t="shared" ref="M35:U35" si="5">M30-M31</f>
        <v>388.49996399999992</v>
      </c>
      <c r="N35" s="36">
        <f t="shared" si="5"/>
        <v>207.59371399999998</v>
      </c>
      <c r="O35" s="36">
        <f t="shared" si="5"/>
        <v>1271.2358649999999</v>
      </c>
      <c r="P35" s="36">
        <f t="shared" si="5"/>
        <v>2023.6338620000001</v>
      </c>
      <c r="Q35" s="36">
        <f t="shared" si="5"/>
        <v>0</v>
      </c>
      <c r="R35" s="36">
        <f t="shared" si="5"/>
        <v>0</v>
      </c>
      <c r="S35" s="36">
        <f t="shared" si="5"/>
        <v>0</v>
      </c>
      <c r="T35" s="36">
        <f t="shared" si="5"/>
        <v>0</v>
      </c>
      <c r="U35" s="36">
        <f t="shared" si="5"/>
        <v>0</v>
      </c>
      <c r="V35" s="36">
        <f t="shared" ref="V35:W35" si="6">V30-V31</f>
        <v>0</v>
      </c>
      <c r="W35" s="36">
        <f t="shared" si="6"/>
        <v>0</v>
      </c>
      <c r="X35" s="33"/>
      <c r="Y35" s="33"/>
      <c r="Z35" s="33"/>
      <c r="AA35" s="33"/>
      <c r="AB35" s="33"/>
      <c r="AC35" s="33"/>
      <c r="AD35" s="33"/>
      <c r="AE35" s="33"/>
      <c r="AF35" s="33"/>
      <c r="AG35" s="33"/>
      <c r="AH35" s="33"/>
      <c r="AI35" s="33"/>
    </row>
    <row r="36" spans="1:35" s="37" customFormat="1">
      <c r="A36" s="35" t="s">
        <v>220</v>
      </c>
      <c r="B36" s="35" t="s">
        <v>220</v>
      </c>
      <c r="C36" s="36">
        <v>0</v>
      </c>
      <c r="D36" s="36">
        <v>0</v>
      </c>
      <c r="E36" s="36">
        <v>0</v>
      </c>
      <c r="F36" s="36">
        <v>0</v>
      </c>
      <c r="G36" s="36">
        <v>0</v>
      </c>
      <c r="H36" s="36">
        <v>0</v>
      </c>
      <c r="I36" s="30">
        <f>SUM(I32:I34)</f>
        <v>0</v>
      </c>
      <c r="J36" s="36">
        <v>0</v>
      </c>
      <c r="K36" s="36">
        <v>0</v>
      </c>
      <c r="L36" s="36">
        <f>FH!L36</f>
        <v>0</v>
      </c>
      <c r="M36" s="36">
        <f>FH!M36</f>
        <v>0.29364400000000002</v>
      </c>
      <c r="N36" s="36">
        <f>FH!N36</f>
        <v>0.253029</v>
      </c>
      <c r="O36" s="36">
        <f>FH!O36</f>
        <v>0.45425399999999999</v>
      </c>
      <c r="P36" s="36">
        <f>FH!P36</f>
        <v>0</v>
      </c>
      <c r="Q36" s="36">
        <f>FH!Q36</f>
        <v>0</v>
      </c>
      <c r="R36" s="36">
        <f>FH!R36</f>
        <v>0</v>
      </c>
      <c r="S36" s="36">
        <f>FH!S36</f>
        <v>0</v>
      </c>
      <c r="T36" s="36">
        <f>FH!T36</f>
        <v>0</v>
      </c>
      <c r="U36" s="36">
        <f>FH!U36</f>
        <v>0</v>
      </c>
      <c r="V36" s="36">
        <f>FH!V36</f>
        <v>0</v>
      </c>
      <c r="W36" s="36">
        <f>FH!W36</f>
        <v>0</v>
      </c>
      <c r="X36" s="33"/>
      <c r="Y36" s="33"/>
      <c r="Z36" s="33"/>
      <c r="AA36" s="33"/>
      <c r="AB36" s="33"/>
      <c r="AC36" s="33"/>
      <c r="AD36" s="33"/>
      <c r="AE36" s="33"/>
      <c r="AF36" s="33"/>
      <c r="AG36" s="33"/>
      <c r="AH36" s="33"/>
      <c r="AI36" s="33"/>
    </row>
    <row r="37" spans="1:35" s="37" customFormat="1" hidden="1">
      <c r="A37" s="3" t="s">
        <v>107</v>
      </c>
      <c r="B37" s="3" t="s">
        <v>107</v>
      </c>
      <c r="C37" s="36"/>
      <c r="D37" s="36"/>
      <c r="E37" s="36"/>
      <c r="F37" s="36"/>
      <c r="G37" s="36"/>
      <c r="H37" s="36"/>
      <c r="I37" s="30">
        <f t="shared" si="0"/>
        <v>0</v>
      </c>
      <c r="J37" s="36">
        <v>0</v>
      </c>
      <c r="K37" s="36">
        <v>0</v>
      </c>
      <c r="L37" s="36">
        <v>0</v>
      </c>
      <c r="M37" s="36">
        <v>0</v>
      </c>
      <c r="N37" s="36">
        <v>0</v>
      </c>
      <c r="O37" s="36">
        <v>0</v>
      </c>
      <c r="P37" s="36">
        <v>0</v>
      </c>
      <c r="Q37" s="36">
        <v>0</v>
      </c>
      <c r="R37" s="36">
        <v>0</v>
      </c>
      <c r="S37" s="36">
        <v>0</v>
      </c>
      <c r="T37" s="36">
        <v>0</v>
      </c>
      <c r="U37" s="36">
        <v>0</v>
      </c>
      <c r="V37" s="36">
        <v>0</v>
      </c>
      <c r="W37" s="36">
        <v>0</v>
      </c>
      <c r="X37" s="33"/>
      <c r="Y37" s="33"/>
      <c r="Z37" s="33"/>
      <c r="AA37" s="33"/>
      <c r="AB37" s="33"/>
      <c r="AC37" s="33"/>
      <c r="AD37" s="33"/>
      <c r="AE37" s="33"/>
      <c r="AF37" s="33"/>
      <c r="AG37" s="33"/>
      <c r="AH37" s="33"/>
      <c r="AI37" s="33"/>
    </row>
    <row r="38" spans="1:35" hidden="1">
      <c r="A38" s="6" t="s">
        <v>18</v>
      </c>
      <c r="B38" s="31" t="s">
        <v>81</v>
      </c>
      <c r="C38" s="30">
        <v>0</v>
      </c>
      <c r="D38" s="30">
        <v>0</v>
      </c>
      <c r="E38" s="30">
        <v>0</v>
      </c>
      <c r="F38" s="30">
        <v>0</v>
      </c>
      <c r="G38" s="30">
        <v>0</v>
      </c>
      <c r="H38" s="30">
        <v>0</v>
      </c>
      <c r="I38" s="30">
        <f t="shared" si="0"/>
        <v>0</v>
      </c>
      <c r="J38" s="30">
        <v>0</v>
      </c>
      <c r="K38" s="30">
        <v>0</v>
      </c>
      <c r="L38" s="30">
        <v>0</v>
      </c>
      <c r="M38" s="30">
        <v>0</v>
      </c>
      <c r="N38" s="30">
        <v>0</v>
      </c>
      <c r="O38" s="30">
        <v>0</v>
      </c>
      <c r="P38" s="30">
        <v>0</v>
      </c>
      <c r="Q38" s="30">
        <v>0</v>
      </c>
      <c r="R38" s="30">
        <v>0</v>
      </c>
      <c r="S38" s="30">
        <v>0</v>
      </c>
      <c r="T38" s="30">
        <v>0</v>
      </c>
      <c r="U38" s="30">
        <v>0</v>
      </c>
      <c r="V38" s="30">
        <v>0</v>
      </c>
      <c r="W38" s="30">
        <v>0</v>
      </c>
      <c r="X38" s="33"/>
      <c r="Y38" s="33"/>
      <c r="Z38" s="33"/>
      <c r="AA38" s="33"/>
      <c r="AB38" s="33"/>
      <c r="AC38" s="33"/>
      <c r="AD38" s="33"/>
      <c r="AE38" s="33"/>
      <c r="AF38" s="33"/>
      <c r="AG38" s="33"/>
      <c r="AH38" s="33"/>
      <c r="AI38" s="33"/>
    </row>
    <row r="39" spans="1:35" hidden="1">
      <c r="A39" s="6" t="s">
        <v>21</v>
      </c>
      <c r="B39" s="31" t="s">
        <v>84</v>
      </c>
      <c r="C39" s="30">
        <v>0</v>
      </c>
      <c r="D39" s="30">
        <v>0</v>
      </c>
      <c r="E39" s="30">
        <v>0</v>
      </c>
      <c r="F39" s="30">
        <v>0</v>
      </c>
      <c r="G39" s="30">
        <v>0</v>
      </c>
      <c r="H39" s="30">
        <v>0</v>
      </c>
      <c r="I39" s="30">
        <f t="shared" si="0"/>
        <v>0</v>
      </c>
      <c r="J39" s="30">
        <v>0</v>
      </c>
      <c r="K39" s="30">
        <v>0</v>
      </c>
      <c r="L39" s="30">
        <v>0</v>
      </c>
      <c r="M39" s="30">
        <v>0</v>
      </c>
      <c r="N39" s="30">
        <v>0</v>
      </c>
      <c r="O39" s="30">
        <v>0</v>
      </c>
      <c r="P39" s="30">
        <v>0</v>
      </c>
      <c r="Q39" s="30">
        <v>0</v>
      </c>
      <c r="R39" s="30">
        <v>0</v>
      </c>
      <c r="S39" s="30">
        <v>0</v>
      </c>
      <c r="T39" s="30">
        <v>0</v>
      </c>
      <c r="U39" s="30">
        <v>0</v>
      </c>
      <c r="V39" s="30">
        <v>0</v>
      </c>
      <c r="W39" s="30">
        <v>0</v>
      </c>
      <c r="X39" s="33"/>
      <c r="Y39" s="33"/>
      <c r="Z39" s="33"/>
      <c r="AA39" s="33"/>
      <c r="AB39" s="33"/>
      <c r="AC39" s="33"/>
      <c r="AD39" s="33"/>
      <c r="AE39" s="33"/>
      <c r="AF39" s="33"/>
      <c r="AG39" s="33"/>
      <c r="AH39" s="33"/>
      <c r="AI39" s="33"/>
    </row>
    <row r="40" spans="1:35" s="37" customFormat="1" hidden="1">
      <c r="A40" s="35" t="s">
        <v>223</v>
      </c>
      <c r="B40" s="35" t="s">
        <v>223</v>
      </c>
      <c r="C40" s="38">
        <v>0</v>
      </c>
      <c r="D40" s="38">
        <v>0</v>
      </c>
      <c r="E40" s="38">
        <v>0</v>
      </c>
      <c r="F40" s="38">
        <v>0</v>
      </c>
      <c r="G40" s="38">
        <v>0</v>
      </c>
      <c r="H40" s="38">
        <v>0</v>
      </c>
      <c r="I40" s="30">
        <f t="shared" si="0"/>
        <v>0</v>
      </c>
      <c r="J40" s="38">
        <v>0</v>
      </c>
      <c r="K40" s="38">
        <v>0</v>
      </c>
      <c r="L40" s="38">
        <v>0</v>
      </c>
      <c r="M40" s="38">
        <v>0</v>
      </c>
      <c r="N40" s="38">
        <v>0</v>
      </c>
      <c r="O40" s="38">
        <v>0</v>
      </c>
      <c r="P40" s="38">
        <v>0</v>
      </c>
      <c r="Q40" s="38">
        <v>0</v>
      </c>
      <c r="R40" s="38">
        <v>0</v>
      </c>
      <c r="S40" s="38">
        <v>0</v>
      </c>
      <c r="T40" s="38">
        <v>0</v>
      </c>
      <c r="U40" s="38">
        <v>0</v>
      </c>
      <c r="V40" s="38">
        <v>0</v>
      </c>
      <c r="W40" s="38">
        <v>0</v>
      </c>
      <c r="X40" s="33"/>
      <c r="Y40" s="33"/>
      <c r="Z40" s="33"/>
      <c r="AA40" s="33"/>
      <c r="AB40" s="33"/>
      <c r="AC40" s="33"/>
      <c r="AD40" s="33"/>
      <c r="AE40" s="33"/>
      <c r="AF40" s="33"/>
      <c r="AG40" s="33"/>
      <c r="AH40" s="33"/>
      <c r="AI40" s="33"/>
    </row>
    <row r="41" spans="1:35" s="37" customFormat="1" hidden="1">
      <c r="A41" s="3" t="s">
        <v>108</v>
      </c>
      <c r="B41" s="3" t="s">
        <v>108</v>
      </c>
      <c r="C41" s="36"/>
      <c r="D41" s="36"/>
      <c r="E41" s="36"/>
      <c r="F41" s="36"/>
      <c r="G41" s="36"/>
      <c r="H41" s="36"/>
      <c r="I41" s="30">
        <f t="shared" si="0"/>
        <v>0</v>
      </c>
      <c r="J41" s="36">
        <v>0</v>
      </c>
      <c r="K41" s="36">
        <v>0</v>
      </c>
      <c r="L41" s="36">
        <v>0</v>
      </c>
      <c r="M41" s="36">
        <v>0</v>
      </c>
      <c r="N41" s="36">
        <v>0</v>
      </c>
      <c r="O41" s="36">
        <v>0</v>
      </c>
      <c r="P41" s="36">
        <v>0</v>
      </c>
      <c r="Q41" s="36">
        <v>0</v>
      </c>
      <c r="R41" s="36">
        <v>0</v>
      </c>
      <c r="S41" s="36">
        <v>0</v>
      </c>
      <c r="T41" s="36">
        <v>0</v>
      </c>
      <c r="U41" s="36">
        <v>0</v>
      </c>
      <c r="V41" s="36">
        <v>0</v>
      </c>
      <c r="W41" s="36">
        <v>0</v>
      </c>
      <c r="X41" s="33"/>
      <c r="Y41" s="33"/>
      <c r="Z41" s="33"/>
      <c r="AA41" s="33"/>
      <c r="AB41" s="33"/>
      <c r="AC41" s="33"/>
      <c r="AD41" s="33"/>
      <c r="AE41" s="33"/>
      <c r="AF41" s="33"/>
      <c r="AG41" s="33"/>
      <c r="AH41" s="33"/>
      <c r="AI41" s="33"/>
    </row>
    <row r="42" spans="1:35" hidden="1">
      <c r="A42" s="6" t="s">
        <v>22</v>
      </c>
      <c r="B42" s="31" t="s">
        <v>85</v>
      </c>
      <c r="C42" s="30">
        <v>0</v>
      </c>
      <c r="D42" s="30">
        <v>0</v>
      </c>
      <c r="E42" s="30">
        <v>0</v>
      </c>
      <c r="F42" s="30">
        <v>0</v>
      </c>
      <c r="G42" s="30">
        <v>0</v>
      </c>
      <c r="H42" s="30">
        <v>0</v>
      </c>
      <c r="I42" s="30">
        <f t="shared" si="0"/>
        <v>0</v>
      </c>
      <c r="J42" s="30">
        <v>0</v>
      </c>
      <c r="K42" s="30">
        <v>0</v>
      </c>
      <c r="L42" s="30">
        <v>0</v>
      </c>
      <c r="M42" s="30">
        <v>0</v>
      </c>
      <c r="N42" s="30">
        <v>0</v>
      </c>
      <c r="O42" s="30">
        <v>0</v>
      </c>
      <c r="P42" s="30">
        <v>0</v>
      </c>
      <c r="Q42" s="30">
        <v>0</v>
      </c>
      <c r="R42" s="30">
        <v>0</v>
      </c>
      <c r="S42" s="30">
        <v>0</v>
      </c>
      <c r="T42" s="30">
        <v>0</v>
      </c>
      <c r="U42" s="30">
        <v>0</v>
      </c>
      <c r="V42" s="30">
        <v>0</v>
      </c>
      <c r="W42" s="30">
        <v>0</v>
      </c>
      <c r="X42" s="33"/>
      <c r="Y42" s="33"/>
      <c r="Z42" s="33"/>
      <c r="AA42" s="33"/>
      <c r="AB42" s="33"/>
      <c r="AC42" s="33"/>
      <c r="AD42" s="33"/>
      <c r="AE42" s="33"/>
      <c r="AF42" s="33"/>
      <c r="AG42" s="33"/>
      <c r="AH42" s="33"/>
      <c r="AI42" s="33"/>
    </row>
    <row r="43" spans="1:35" s="37" customFormat="1" hidden="1">
      <c r="A43" s="35" t="s">
        <v>238</v>
      </c>
      <c r="B43" s="35" t="s">
        <v>238</v>
      </c>
      <c r="C43" s="38">
        <v>0</v>
      </c>
      <c r="D43" s="38">
        <v>0</v>
      </c>
      <c r="E43" s="38">
        <v>0</v>
      </c>
      <c r="F43" s="38">
        <v>0</v>
      </c>
      <c r="G43" s="38">
        <v>0</v>
      </c>
      <c r="H43" s="38">
        <v>0</v>
      </c>
      <c r="I43" s="30">
        <f t="shared" si="0"/>
        <v>0</v>
      </c>
      <c r="J43" s="38">
        <v>0</v>
      </c>
      <c r="K43" s="38">
        <v>0</v>
      </c>
      <c r="L43" s="38">
        <v>0</v>
      </c>
      <c r="M43" s="38">
        <v>0</v>
      </c>
      <c r="N43" s="38">
        <v>0</v>
      </c>
      <c r="O43" s="38">
        <v>0</v>
      </c>
      <c r="P43" s="38">
        <v>0</v>
      </c>
      <c r="Q43" s="38">
        <v>0</v>
      </c>
      <c r="R43" s="38">
        <v>0</v>
      </c>
      <c r="S43" s="38">
        <v>0</v>
      </c>
      <c r="T43" s="38">
        <v>0</v>
      </c>
      <c r="U43" s="38">
        <v>0</v>
      </c>
      <c r="V43" s="38">
        <v>0</v>
      </c>
      <c r="W43" s="38">
        <v>0</v>
      </c>
      <c r="X43" s="33"/>
      <c r="Y43" s="33"/>
      <c r="Z43" s="33"/>
      <c r="AA43" s="33"/>
      <c r="AB43" s="33"/>
      <c r="AC43" s="33"/>
      <c r="AD43" s="33"/>
      <c r="AE43" s="33"/>
      <c r="AF43" s="33"/>
      <c r="AG43" s="33"/>
      <c r="AH43" s="33"/>
      <c r="AI43" s="33"/>
    </row>
    <row r="44" spans="1:35" s="37" customFormat="1" hidden="1">
      <c r="A44" s="16" t="s">
        <v>151</v>
      </c>
      <c r="B44" s="16" t="s">
        <v>151</v>
      </c>
      <c r="C44" s="36"/>
      <c r="D44" s="36"/>
      <c r="E44" s="36"/>
      <c r="F44" s="36"/>
      <c r="G44" s="36"/>
      <c r="H44" s="36"/>
      <c r="I44" s="30">
        <f t="shared" si="0"/>
        <v>0</v>
      </c>
      <c r="J44" s="36">
        <v>0</v>
      </c>
      <c r="K44" s="36">
        <v>0</v>
      </c>
      <c r="L44" s="36">
        <v>0</v>
      </c>
      <c r="M44" s="36">
        <v>0</v>
      </c>
      <c r="N44" s="36">
        <v>0</v>
      </c>
      <c r="O44" s="36">
        <v>0</v>
      </c>
      <c r="P44" s="36">
        <v>0</v>
      </c>
      <c r="Q44" s="36">
        <v>0</v>
      </c>
      <c r="R44" s="36">
        <v>0</v>
      </c>
      <c r="S44" s="36">
        <v>0</v>
      </c>
      <c r="T44" s="36">
        <v>0</v>
      </c>
      <c r="U44" s="36">
        <v>0</v>
      </c>
      <c r="V44" s="36">
        <v>0</v>
      </c>
      <c r="W44" s="36">
        <v>0</v>
      </c>
      <c r="X44" s="33"/>
      <c r="Y44" s="33"/>
      <c r="Z44" s="33"/>
      <c r="AA44" s="33"/>
      <c r="AB44" s="33"/>
      <c r="AC44" s="33"/>
      <c r="AD44" s="33"/>
      <c r="AE44" s="33"/>
      <c r="AF44" s="33"/>
      <c r="AG44" s="33"/>
      <c r="AH44" s="33"/>
      <c r="AI44" s="33"/>
    </row>
    <row r="45" spans="1:35" hidden="1">
      <c r="A45" s="8">
        <v>6402</v>
      </c>
      <c r="B45" s="41" t="s">
        <v>90</v>
      </c>
      <c r="C45" s="30">
        <v>0</v>
      </c>
      <c r="D45" s="30">
        <v>0</v>
      </c>
      <c r="E45" s="30">
        <v>0</v>
      </c>
      <c r="F45" s="30">
        <v>0</v>
      </c>
      <c r="G45" s="30">
        <v>0</v>
      </c>
      <c r="H45" s="30">
        <v>0</v>
      </c>
      <c r="I45" s="30">
        <f t="shared" si="0"/>
        <v>0</v>
      </c>
      <c r="J45" s="30">
        <v>0</v>
      </c>
      <c r="K45" s="30">
        <v>0</v>
      </c>
      <c r="L45" s="30">
        <v>0</v>
      </c>
      <c r="M45" s="30">
        <v>0</v>
      </c>
      <c r="N45" s="30">
        <v>0</v>
      </c>
      <c r="O45" s="30">
        <v>0</v>
      </c>
      <c r="P45" s="30">
        <v>0</v>
      </c>
      <c r="Q45" s="30">
        <v>0</v>
      </c>
      <c r="R45" s="30">
        <v>0</v>
      </c>
      <c r="S45" s="30">
        <v>0</v>
      </c>
      <c r="T45" s="30">
        <v>0</v>
      </c>
      <c r="U45" s="30">
        <v>0</v>
      </c>
      <c r="V45" s="30">
        <v>0</v>
      </c>
      <c r="W45" s="30">
        <v>0</v>
      </c>
      <c r="X45" s="33"/>
      <c r="Y45" s="33"/>
      <c r="Z45" s="33"/>
      <c r="AA45" s="33"/>
      <c r="AB45" s="33"/>
      <c r="AC45" s="33"/>
      <c r="AD45" s="33"/>
      <c r="AE45" s="33"/>
      <c r="AF45" s="33"/>
      <c r="AG45" s="33"/>
      <c r="AH45" s="33"/>
      <c r="AI45" s="33"/>
    </row>
    <row r="46" spans="1:35" hidden="1">
      <c r="A46" s="8">
        <v>6403</v>
      </c>
      <c r="B46" s="41" t="s">
        <v>92</v>
      </c>
      <c r="C46" s="30">
        <v>0</v>
      </c>
      <c r="D46" s="30">
        <v>0</v>
      </c>
      <c r="E46" s="30">
        <v>0</v>
      </c>
      <c r="F46" s="30">
        <v>0</v>
      </c>
      <c r="G46" s="30">
        <v>0</v>
      </c>
      <c r="H46" s="30">
        <v>0</v>
      </c>
      <c r="I46" s="30">
        <f t="shared" si="0"/>
        <v>0</v>
      </c>
      <c r="J46" s="30">
        <v>0</v>
      </c>
      <c r="K46" s="30">
        <v>0</v>
      </c>
      <c r="L46" s="30">
        <v>0</v>
      </c>
      <c r="M46" s="30">
        <v>0</v>
      </c>
      <c r="N46" s="30">
        <v>0</v>
      </c>
      <c r="O46" s="30">
        <v>0</v>
      </c>
      <c r="P46" s="30">
        <v>0</v>
      </c>
      <c r="Q46" s="30">
        <v>0</v>
      </c>
      <c r="R46" s="30">
        <v>0</v>
      </c>
      <c r="S46" s="30">
        <v>0</v>
      </c>
      <c r="T46" s="30">
        <v>0</v>
      </c>
      <c r="U46" s="30">
        <v>0</v>
      </c>
      <c r="V46" s="30">
        <v>0</v>
      </c>
      <c r="W46" s="30">
        <v>0</v>
      </c>
      <c r="X46" s="33"/>
      <c r="Y46" s="33"/>
      <c r="Z46" s="33"/>
      <c r="AA46" s="33"/>
      <c r="AB46" s="33"/>
      <c r="AC46" s="33"/>
      <c r="AD46" s="33"/>
      <c r="AE46" s="33"/>
      <c r="AF46" s="33"/>
      <c r="AG46" s="33"/>
      <c r="AH46" s="33"/>
      <c r="AI46" s="33"/>
    </row>
    <row r="47" spans="1:35" s="37" customFormat="1" hidden="1">
      <c r="A47" s="35" t="s">
        <v>239</v>
      </c>
      <c r="B47" s="35" t="s">
        <v>239</v>
      </c>
      <c r="C47" s="36">
        <v>0</v>
      </c>
      <c r="D47" s="36">
        <v>0</v>
      </c>
      <c r="E47" s="36">
        <v>0</v>
      </c>
      <c r="F47" s="36">
        <v>0</v>
      </c>
      <c r="G47" s="36">
        <v>0</v>
      </c>
      <c r="H47" s="36">
        <v>0</v>
      </c>
      <c r="I47" s="30">
        <f>SUM(I45:I46)</f>
        <v>0</v>
      </c>
      <c r="J47" s="36">
        <v>0</v>
      </c>
      <c r="K47" s="36">
        <v>0</v>
      </c>
      <c r="L47" s="36">
        <v>0</v>
      </c>
      <c r="M47" s="36">
        <v>0</v>
      </c>
      <c r="N47" s="36">
        <v>0</v>
      </c>
      <c r="O47" s="36">
        <v>0</v>
      </c>
      <c r="P47" s="36">
        <v>0</v>
      </c>
      <c r="Q47" s="36">
        <v>0</v>
      </c>
      <c r="R47" s="36">
        <v>0</v>
      </c>
      <c r="S47" s="36">
        <v>0</v>
      </c>
      <c r="T47" s="36">
        <v>0</v>
      </c>
      <c r="U47" s="36">
        <v>0</v>
      </c>
      <c r="V47" s="36">
        <v>0</v>
      </c>
      <c r="W47" s="36">
        <v>0</v>
      </c>
      <c r="X47" s="33"/>
      <c r="Y47" s="33"/>
      <c r="Z47" s="33"/>
      <c r="AA47" s="33"/>
      <c r="AB47" s="33"/>
      <c r="AC47" s="33"/>
      <c r="AD47" s="33"/>
      <c r="AE47" s="33"/>
      <c r="AF47" s="33"/>
      <c r="AG47" s="33"/>
      <c r="AH47" s="33"/>
      <c r="AI47" s="33"/>
    </row>
    <row r="48" spans="1:35" s="37" customFormat="1">
      <c r="A48" s="35"/>
      <c r="B48" s="35" t="s">
        <v>270</v>
      </c>
      <c r="C48" s="36"/>
      <c r="D48" s="36"/>
      <c r="E48" s="36"/>
      <c r="F48" s="36"/>
      <c r="G48" s="36"/>
      <c r="H48" s="36"/>
      <c r="I48" s="30"/>
      <c r="J48" s="36">
        <f>J40+J43+J47</f>
        <v>0</v>
      </c>
      <c r="K48" s="36">
        <f t="shared" ref="K48" si="7">K40+K43+K47</f>
        <v>0</v>
      </c>
      <c r="L48" s="36">
        <f>FH!L48</f>
        <v>7.5783000000000005</v>
      </c>
      <c r="M48" s="36">
        <f>FH!M48</f>
        <v>382.35352899999998</v>
      </c>
      <c r="N48" s="36">
        <f>FH!N48</f>
        <v>78.99260000000001</v>
      </c>
      <c r="O48" s="36">
        <f>FH!O48</f>
        <v>55.997599999999998</v>
      </c>
      <c r="P48" s="36">
        <f>FH!P48</f>
        <v>44.826599999999999</v>
      </c>
      <c r="Q48" s="36">
        <f>FH!Q48</f>
        <v>0</v>
      </c>
      <c r="R48" s="36">
        <f>FH!R48</f>
        <v>0</v>
      </c>
      <c r="S48" s="36">
        <f>FH!S48</f>
        <v>0</v>
      </c>
      <c r="T48" s="36">
        <f>FH!T48</f>
        <v>0</v>
      </c>
      <c r="U48" s="36">
        <f>FH!U48</f>
        <v>0</v>
      </c>
      <c r="V48" s="36">
        <f>FH!V48</f>
        <v>0</v>
      </c>
      <c r="W48" s="36">
        <f>FH!W48</f>
        <v>0</v>
      </c>
      <c r="X48" s="33"/>
      <c r="Y48" s="33"/>
      <c r="Z48" s="33"/>
      <c r="AA48" s="33"/>
      <c r="AB48" s="33"/>
      <c r="AC48" s="33"/>
      <c r="AD48" s="33"/>
      <c r="AE48" s="33"/>
      <c r="AF48" s="33"/>
      <c r="AG48" s="33"/>
      <c r="AH48" s="33"/>
      <c r="AI48" s="33"/>
    </row>
    <row r="49" spans="1:35" s="37" customFormat="1" hidden="1">
      <c r="A49" s="35"/>
      <c r="B49" s="35" t="s">
        <v>278</v>
      </c>
      <c r="C49" s="36"/>
      <c r="D49" s="36"/>
      <c r="E49" s="36"/>
      <c r="F49" s="36"/>
      <c r="G49" s="36"/>
      <c r="H49" s="36"/>
      <c r="I49" s="30"/>
      <c r="J49" s="36">
        <f>J36-J48</f>
        <v>0</v>
      </c>
      <c r="K49" s="36">
        <f t="shared" ref="K49:L49" si="8">K36-K48</f>
        <v>0</v>
      </c>
      <c r="L49" s="36">
        <f t="shared" si="8"/>
        <v>-7.5783000000000005</v>
      </c>
      <c r="M49" s="36">
        <f t="shared" ref="M49:U49" si="9">M36-M48</f>
        <v>-382.05988500000001</v>
      </c>
      <c r="N49" s="36">
        <f t="shared" si="9"/>
        <v>-78.739571000000012</v>
      </c>
      <c r="O49" s="36">
        <f t="shared" si="9"/>
        <v>-55.543346</v>
      </c>
      <c r="P49" s="36">
        <f t="shared" si="9"/>
        <v>-44.826599999999999</v>
      </c>
      <c r="Q49" s="36">
        <f t="shared" si="9"/>
        <v>0</v>
      </c>
      <c r="R49" s="36">
        <f t="shared" si="9"/>
        <v>0</v>
      </c>
      <c r="S49" s="36">
        <f t="shared" si="9"/>
        <v>0</v>
      </c>
      <c r="T49" s="36">
        <f t="shared" si="9"/>
        <v>0</v>
      </c>
      <c r="U49" s="36">
        <f t="shared" si="9"/>
        <v>0</v>
      </c>
      <c r="V49" s="36">
        <f t="shared" ref="V49:W49" si="10">V36-V48</f>
        <v>0</v>
      </c>
      <c r="W49" s="36">
        <f t="shared" si="10"/>
        <v>0</v>
      </c>
      <c r="X49" s="33"/>
      <c r="Y49" s="33"/>
      <c r="Z49" s="33"/>
      <c r="AA49" s="33"/>
      <c r="AB49" s="33"/>
      <c r="AC49" s="33"/>
      <c r="AD49" s="33"/>
      <c r="AE49" s="33"/>
      <c r="AF49" s="33"/>
      <c r="AG49" s="33"/>
      <c r="AH49" s="33"/>
      <c r="AI49" s="33"/>
    </row>
    <row r="50" spans="1:35" s="37" customFormat="1" hidden="1">
      <c r="A50" s="3" t="s">
        <v>109</v>
      </c>
      <c r="B50" s="3" t="s">
        <v>109</v>
      </c>
      <c r="C50" s="36"/>
      <c r="D50" s="36"/>
      <c r="E50" s="36"/>
      <c r="F50" s="36"/>
      <c r="G50" s="36"/>
      <c r="H50" s="36"/>
      <c r="I50" s="30">
        <f t="shared" si="0"/>
        <v>0</v>
      </c>
      <c r="J50" s="36">
        <v>0</v>
      </c>
      <c r="K50" s="36">
        <v>0</v>
      </c>
      <c r="L50" s="36">
        <v>0</v>
      </c>
      <c r="M50" s="36">
        <v>0</v>
      </c>
      <c r="N50" s="36">
        <v>0</v>
      </c>
      <c r="O50" s="36">
        <v>0</v>
      </c>
      <c r="P50" s="36">
        <v>0</v>
      </c>
      <c r="Q50" s="36">
        <v>0</v>
      </c>
      <c r="R50" s="36">
        <v>0</v>
      </c>
      <c r="S50" s="36">
        <v>0</v>
      </c>
      <c r="T50" s="36">
        <v>0</v>
      </c>
      <c r="U50" s="36">
        <v>0</v>
      </c>
      <c r="V50" s="36">
        <v>0</v>
      </c>
      <c r="W50" s="36">
        <v>0</v>
      </c>
      <c r="X50" s="33"/>
      <c r="Y50" s="33"/>
      <c r="Z50" s="33"/>
      <c r="AA50" s="33"/>
      <c r="AB50" s="33"/>
      <c r="AC50" s="33"/>
      <c r="AD50" s="33"/>
      <c r="AE50" s="33"/>
      <c r="AF50" s="33"/>
      <c r="AG50" s="33"/>
      <c r="AH50" s="33"/>
      <c r="AI50" s="33"/>
    </row>
    <row r="51" spans="1:35" hidden="1">
      <c r="A51" s="6">
        <v>7103</v>
      </c>
      <c r="B51" s="31" t="s">
        <v>95</v>
      </c>
      <c r="C51" s="30">
        <v>0</v>
      </c>
      <c r="D51" s="30">
        <v>0</v>
      </c>
      <c r="E51" s="30">
        <v>0</v>
      </c>
      <c r="F51" s="30">
        <v>0</v>
      </c>
      <c r="G51" s="30">
        <v>0</v>
      </c>
      <c r="H51" s="30">
        <v>0</v>
      </c>
      <c r="I51" s="30">
        <f t="shared" si="0"/>
        <v>3.9999999999999996</v>
      </c>
      <c r="J51" s="30">
        <v>0</v>
      </c>
      <c r="K51" s="30">
        <v>0</v>
      </c>
      <c r="L51" s="30">
        <v>0.4</v>
      </c>
      <c r="M51" s="30">
        <v>0.4</v>
      </c>
      <c r="N51" s="30">
        <v>0.4</v>
      </c>
      <c r="O51" s="30">
        <v>0.4</v>
      </c>
      <c r="P51" s="30">
        <v>0.4</v>
      </c>
      <c r="Q51" s="30">
        <v>0.4</v>
      </c>
      <c r="R51" s="30">
        <v>0.4</v>
      </c>
      <c r="S51" s="30">
        <v>0.4</v>
      </c>
      <c r="T51" s="30">
        <v>0.4</v>
      </c>
      <c r="U51" s="30">
        <v>0.4</v>
      </c>
      <c r="V51" s="30">
        <v>0.4</v>
      </c>
      <c r="W51" s="30">
        <v>0.4</v>
      </c>
      <c r="X51" s="33"/>
      <c r="Y51" s="33"/>
      <c r="Z51" s="33"/>
      <c r="AA51" s="33"/>
      <c r="AB51" s="33"/>
      <c r="AC51" s="33"/>
      <c r="AD51" s="33"/>
      <c r="AE51" s="33"/>
      <c r="AF51" s="33"/>
      <c r="AG51" s="33"/>
      <c r="AH51" s="33"/>
      <c r="AI51" s="33"/>
    </row>
    <row r="52" spans="1:35" hidden="1">
      <c r="A52" s="6">
        <v>7104</v>
      </c>
      <c r="B52" s="31" t="s">
        <v>181</v>
      </c>
      <c r="C52" s="30">
        <v>0</v>
      </c>
      <c r="D52" s="30">
        <v>0</v>
      </c>
      <c r="E52" s="30">
        <v>53051000</v>
      </c>
      <c r="F52" s="30">
        <v>0</v>
      </c>
      <c r="G52" s="30">
        <v>0</v>
      </c>
      <c r="H52" s="30">
        <v>0</v>
      </c>
      <c r="I52" s="30">
        <f t="shared" si="0"/>
        <v>0</v>
      </c>
      <c r="J52" s="30">
        <v>0</v>
      </c>
      <c r="K52" s="30">
        <v>0</v>
      </c>
      <c r="L52" s="30">
        <v>0</v>
      </c>
      <c r="M52" s="30">
        <v>0</v>
      </c>
      <c r="N52" s="30">
        <v>0</v>
      </c>
      <c r="O52" s="30">
        <v>0</v>
      </c>
      <c r="P52" s="30">
        <v>0</v>
      </c>
      <c r="Q52" s="30">
        <v>0</v>
      </c>
      <c r="R52" s="30">
        <v>0</v>
      </c>
      <c r="S52" s="30">
        <v>0</v>
      </c>
      <c r="T52" s="30">
        <v>0</v>
      </c>
      <c r="U52" s="30">
        <v>0</v>
      </c>
      <c r="V52" s="30">
        <v>0</v>
      </c>
      <c r="W52" s="30">
        <v>0</v>
      </c>
      <c r="X52" s="33"/>
      <c r="Y52" s="33"/>
      <c r="Z52" s="33"/>
      <c r="AA52" s="33"/>
      <c r="AB52" s="33"/>
      <c r="AC52" s="33"/>
      <c r="AD52" s="33"/>
      <c r="AE52" s="33"/>
      <c r="AF52" s="33"/>
      <c r="AG52" s="33"/>
      <c r="AH52" s="33"/>
      <c r="AI52" s="33"/>
    </row>
    <row r="53" spans="1:35" s="37" customFormat="1">
      <c r="A53" s="35" t="s">
        <v>240</v>
      </c>
      <c r="B53" s="35" t="s">
        <v>240</v>
      </c>
      <c r="C53" s="36">
        <v>36706500</v>
      </c>
      <c r="D53" s="36">
        <v>0</v>
      </c>
      <c r="E53" s="36">
        <v>53051000</v>
      </c>
      <c r="F53" s="36">
        <v>0</v>
      </c>
      <c r="G53" s="36">
        <v>0</v>
      </c>
      <c r="H53" s="36">
        <v>0</v>
      </c>
      <c r="I53" s="30">
        <f t="shared" si="0"/>
        <v>146.24895900000001</v>
      </c>
      <c r="J53" s="36">
        <v>0</v>
      </c>
      <c r="K53" s="36">
        <v>0</v>
      </c>
      <c r="L53" s="36">
        <f>FH!L53</f>
        <v>14.153337000000001</v>
      </c>
      <c r="M53" s="36">
        <f>FH!M53</f>
        <v>22.642531999999999</v>
      </c>
      <c r="N53" s="36">
        <f>FH!N53</f>
        <v>11.19</v>
      </c>
      <c r="O53" s="36">
        <f>FH!O53</f>
        <v>20.76</v>
      </c>
      <c r="P53" s="36">
        <f>FH!P53</f>
        <v>77.50309</v>
      </c>
      <c r="Q53" s="36">
        <f>FH!Q53</f>
        <v>0</v>
      </c>
      <c r="R53" s="36">
        <f>FH!R53</f>
        <v>0</v>
      </c>
      <c r="S53" s="36">
        <f>FH!S53</f>
        <v>0</v>
      </c>
      <c r="T53" s="36">
        <f>FH!T53</f>
        <v>0</v>
      </c>
      <c r="U53" s="36">
        <f>FH!U53</f>
        <v>0</v>
      </c>
      <c r="V53" s="36">
        <f>FH!V53</f>
        <v>0</v>
      </c>
      <c r="W53" s="36">
        <f>FH!W53</f>
        <v>0</v>
      </c>
      <c r="X53" s="33"/>
      <c r="Y53" s="33"/>
      <c r="Z53" s="33"/>
      <c r="AA53" s="33"/>
      <c r="AB53" s="33"/>
      <c r="AC53" s="33"/>
      <c r="AD53" s="33"/>
      <c r="AE53" s="33"/>
      <c r="AF53" s="33"/>
      <c r="AG53" s="33"/>
      <c r="AH53" s="33"/>
      <c r="AI53" s="33"/>
    </row>
    <row r="54" spans="1:35" s="37" customFormat="1">
      <c r="A54" s="35" t="s">
        <v>226</v>
      </c>
      <c r="B54" s="35" t="s">
        <v>279</v>
      </c>
      <c r="C54" s="38">
        <v>36706500</v>
      </c>
      <c r="D54" s="38">
        <v>0</v>
      </c>
      <c r="E54" s="38">
        <v>129443000</v>
      </c>
      <c r="F54" s="38">
        <v>34188650</v>
      </c>
      <c r="G54" s="38">
        <v>1525000</v>
      </c>
      <c r="H54" s="38">
        <v>52453270</v>
      </c>
      <c r="I54" s="30">
        <f t="shared" si="0"/>
        <v>2298.290947</v>
      </c>
      <c r="J54" s="38">
        <f>J35+J49-J53</f>
        <v>-136.55000000000001</v>
      </c>
      <c r="K54" s="38">
        <f t="shared" ref="K54" si="11">K35+K49-K53</f>
        <v>-704.09680000000003</v>
      </c>
      <c r="L54" s="38">
        <f>L7-L19-L31+L36-L48-L53</f>
        <v>-58.76063400000001</v>
      </c>
      <c r="M54" s="38">
        <f t="shared" ref="M54:U54" si="12">M7-M19-M31+M36-M48-M53</f>
        <v>-16.202453000000087</v>
      </c>
      <c r="N54" s="38">
        <f t="shared" si="12"/>
        <v>117.66414299999997</v>
      </c>
      <c r="O54" s="38">
        <f t="shared" si="12"/>
        <v>1194.932519</v>
      </c>
      <c r="P54" s="38">
        <f t="shared" si="12"/>
        <v>1901.3041720000001</v>
      </c>
      <c r="Q54" s="38">
        <f t="shared" si="12"/>
        <v>0</v>
      </c>
      <c r="R54" s="38">
        <f t="shared" si="12"/>
        <v>0</v>
      </c>
      <c r="S54" s="38">
        <f t="shared" si="12"/>
        <v>0</v>
      </c>
      <c r="T54" s="38">
        <f t="shared" si="12"/>
        <v>0</v>
      </c>
      <c r="U54" s="38">
        <f t="shared" si="12"/>
        <v>0</v>
      </c>
      <c r="V54" s="38">
        <f t="shared" ref="V54:W54" si="13">V7-V19-V31+V36-V48-V53</f>
        <v>0</v>
      </c>
      <c r="W54" s="38">
        <f t="shared" si="13"/>
        <v>0</v>
      </c>
      <c r="X54" s="33"/>
      <c r="Y54" s="33"/>
      <c r="Z54" s="33"/>
      <c r="AA54" s="33"/>
      <c r="AB54" s="33"/>
      <c r="AC54" s="33"/>
      <c r="AD54" s="33"/>
      <c r="AE54" s="33"/>
      <c r="AF54" s="33"/>
      <c r="AG54" s="33"/>
      <c r="AH54" s="33"/>
      <c r="AI54" s="3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COA</vt:lpstr>
      <vt:lpstr>WS</vt:lpstr>
      <vt:lpstr>JU</vt:lpstr>
      <vt:lpstr>Control Utang</vt:lpstr>
      <vt:lpstr>Forecasting</vt:lpstr>
      <vt:lpstr>GL</vt:lpstr>
      <vt:lpstr>Data Rumah</vt:lpstr>
      <vt:lpstr>FH</vt:lpstr>
      <vt:lpstr>PL</vt:lpstr>
      <vt:lpstr>BS</vt:lpstr>
      <vt:lpstr>Data</vt:lpstr>
      <vt:lpstr>BS MR</vt:lpstr>
      <vt:lpstr>Diagram</vt:lpstr>
      <vt:lpstr>BS!Print_Area</vt:lpstr>
      <vt:lpstr>'BS MR'!Print_Area</vt:lpstr>
      <vt:lpstr>GL!Print_Area</vt:lpstr>
      <vt:lpstr>JU!Print_Area</vt:lpstr>
      <vt:lpstr>PL!Print_Area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 Vivobook 14</cp:lastModifiedBy>
  <dcterms:created xsi:type="dcterms:W3CDTF">2025-10-20T16:36:08Z</dcterms:created>
  <dcterms:modified xsi:type="dcterms:W3CDTF">2026-05-31T13:24:53Z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bb1802b863af4053826f69f4f1352587</vt:lpwstr>
  </property>
</Properties>
</file>