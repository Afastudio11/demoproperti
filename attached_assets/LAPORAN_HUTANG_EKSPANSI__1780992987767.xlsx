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UA PROJECT" sheetId="1" r:id="rId5"/>
  </sheets>
  <definedNames/>
  <calcPr/>
</workbook>
</file>

<file path=xl/sharedStrings.xml><?xml version="1.0" encoding="utf-8"?>
<sst xmlns="http://schemas.openxmlformats.org/spreadsheetml/2006/main" count="98" uniqueCount="70">
  <si>
    <t>NAMA PROJECT</t>
  </si>
  <si>
    <t>TAHAP PEMBEBASAN LAHAN</t>
  </si>
  <si>
    <t>NAMA PEMILIK</t>
  </si>
  <si>
    <t>NILAI AWAL</t>
  </si>
  <si>
    <t>NILAI TERBAYAR</t>
  </si>
  <si>
    <t>SISA KEWAJIBAN</t>
  </si>
  <si>
    <t>LUAS TANAH M3</t>
  </si>
  <si>
    <t>ESTIMASI NILAI SATUAN</t>
  </si>
  <si>
    <t>ESTIMASI HARGA SELURUHNYA</t>
  </si>
  <si>
    <t>SISA EKSPANSI</t>
  </si>
  <si>
    <t>KETERANGAN</t>
  </si>
  <si>
    <t>POSISI LUAS TANAH PEMBEBASAN</t>
  </si>
  <si>
    <t>SN 3</t>
  </si>
  <si>
    <t>TAHAP 1</t>
  </si>
  <si>
    <t xml:space="preserve">H. ANI </t>
  </si>
  <si>
    <t>TAHAP 2</t>
  </si>
  <si>
    <t xml:space="preserve">PAK ANAS </t>
  </si>
  <si>
    <t>TAHAP 3 DAN 4</t>
  </si>
  <si>
    <t>DG JUA</t>
  </si>
  <si>
    <t>TAHAP 5</t>
  </si>
  <si>
    <t>DG ARI</t>
  </si>
  <si>
    <t>BU SUZAN</t>
  </si>
  <si>
    <t>TUKAR RUMAH</t>
  </si>
  <si>
    <t>DG RAMANG</t>
  </si>
  <si>
    <t>PAK RAMLI</t>
  </si>
  <si>
    <t>SAMPING OM WAWI</t>
  </si>
  <si>
    <t>SAMPING PAK RAMLI</t>
  </si>
  <si>
    <t>TAHAP 6</t>
  </si>
  <si>
    <t>DG MARE</t>
  </si>
  <si>
    <t>TAHAP 7</t>
  </si>
  <si>
    <t>MAS AGUS</t>
  </si>
  <si>
    <t>H MIMA</t>
  </si>
  <si>
    <t>TAHAP 8</t>
  </si>
  <si>
    <t>DG FIAN</t>
  </si>
  <si>
    <t>TAHAP 9</t>
  </si>
  <si>
    <t>DG SORI</t>
  </si>
  <si>
    <t>TAHAP 10</t>
  </si>
  <si>
    <t>DG HARDI</t>
  </si>
  <si>
    <t>TAHAP 11</t>
  </si>
  <si>
    <t>KR ACCE</t>
  </si>
  <si>
    <t>TAHAP 12</t>
  </si>
  <si>
    <t>SN HILLS MANGARABBE</t>
  </si>
  <si>
    <t>JALAN</t>
  </si>
  <si>
    <t>DG IWAN</t>
  </si>
  <si>
    <t>DG NIO</t>
  </si>
  <si>
    <t>KAK DIAN</t>
  </si>
  <si>
    <t>DG RIPING</t>
  </si>
  <si>
    <t>IBU DIKALIMANTAN</t>
  </si>
  <si>
    <t>DG (OM NYA OM AKBAR)</t>
  </si>
  <si>
    <t>TUKAR RUKO 1 UNIT + 15 JT</t>
  </si>
  <si>
    <t>TAHAP 3</t>
  </si>
  <si>
    <t>BAPAKNYA ANTO</t>
  </si>
  <si>
    <t>TUNGGU SITEPLAN BARU DIPETAKAN KEMBALI SISANYA</t>
  </si>
  <si>
    <t>BARRU</t>
  </si>
  <si>
    <t>PAK KEPALA</t>
  </si>
  <si>
    <t>LINDA</t>
  </si>
  <si>
    <t>H. RAHIM</t>
  </si>
  <si>
    <t>MASSINAI</t>
  </si>
  <si>
    <t>MAKSUM/HALWIATI</t>
  </si>
  <si>
    <t>MUH TAHIR SAPA</t>
  </si>
  <si>
    <t>NENI</t>
  </si>
  <si>
    <t>TUNGGU SITEPLAN BARU DIPETAKAN KEMBALI SIANYA</t>
  </si>
  <si>
    <t>RUMAH BERNYANYI</t>
  </si>
  <si>
    <t>KR IKA</t>
  </si>
  <si>
    <t xml:space="preserve">BANGUNAN 595 M3 </t>
  </si>
  <si>
    <t>SINOA</t>
  </si>
  <si>
    <t>OM AKBAR</t>
  </si>
  <si>
    <t>RUMAH LANNYING</t>
  </si>
  <si>
    <t>IBU INTAN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</si>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</sst>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(#,##0)"/>
    <numFmt numFmtId="165" formatCode="[$Rp]#,##0.00"/>
  </numFmts>
  <fonts count="6">
    <font>
      <sz val="10.0"/>
      <color rgb="FF000000"/>
      <name val="Arial"/>
      <scheme val="minor"/>
    </font>
    <font>
      <color theme="1"/>
      <name val="Arial"/>
    </font>
    <font>
      <b/>
      <color rgb="FFFFFFFF"/>
      <name val="Roboto"/>
    </font>
    <font>
      <color rgb="FFFFFFFF"/>
      <name val="Roboto"/>
    </font>
    <font>
      <b/>
      <color rgb="FF434343"/>
      <name val="Roboto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2" fontId="2" numFmtId="49" xfId="0" applyAlignment="1" applyBorder="1" applyFont="1" applyNumberForma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readingOrder="0" shrinkToFit="0" vertical="center" wrapText="0"/>
    </xf>
    <xf borderId="2" fillId="2" fontId="3" numFmtId="49" xfId="0" applyAlignment="1" applyBorder="1" applyFont="1" applyNumberFormat="1">
      <alignment horizontal="center" readingOrder="0" shrinkToFit="0" vertical="center" wrapText="0"/>
    </xf>
    <xf borderId="3" fillId="2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3" fontId="5" numFmtId="165" xfId="0" applyAlignment="1" applyBorder="1" applyFont="1" applyNumberFormat="1">
      <alignment horizontal="right" shrinkToFit="0" vertical="center" wrapText="0"/>
    </xf>
    <xf borderId="4" fillId="3" fontId="5" numFmtId="165" xfId="0" applyAlignment="1" applyBorder="1" applyFont="1" applyNumberFormat="1">
      <alignment horizontal="right" shrinkToFit="0" vertical="center" wrapText="0"/>
    </xf>
    <xf borderId="4" fillId="3" fontId="5" numFmtId="3" xfId="0" applyAlignment="1" applyBorder="1" applyFont="1" applyNumberFormat="1">
      <alignment horizontal="right" shrinkToFit="0" vertical="center" wrapText="0"/>
    </xf>
    <xf borderId="4" fillId="3" fontId="1" numFmtId="165" xfId="0" applyAlignment="1" applyBorder="1" applyFont="1" applyNumberFormat="1">
      <alignment shrinkToFit="0" vertical="center" wrapText="0"/>
    </xf>
    <xf borderId="4" fillId="3" fontId="1" numFmtId="0" xfId="0" applyAlignment="1" applyBorder="1" applyFont="1">
      <alignment shrinkToFit="0" vertical="center" wrapText="0"/>
    </xf>
    <xf borderId="5" fillId="5" fontId="1" numFmtId="0" xfId="0" applyAlignment="1" applyBorder="1" applyFill="1" applyFont="1">
      <alignment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4" fillId="5" fontId="5" numFmtId="3" xfId="0" applyAlignment="1" applyBorder="1" applyFont="1" applyNumberFormat="1">
      <alignment horizontal="right" shrinkToFit="0" vertical="center" wrapText="0"/>
    </xf>
    <xf borderId="4" fillId="5" fontId="1" numFmtId="165" xfId="0" applyAlignment="1" applyBorder="1" applyFont="1" applyNumberFormat="1">
      <alignment shrinkToFit="0" vertical="center" wrapText="0"/>
    </xf>
    <xf borderId="4" fillId="5" fontId="1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4" fillId="5" fontId="1" numFmtId="165" xfId="0" applyAlignment="1" applyBorder="1" applyFont="1" applyNumberFormat="1">
      <alignment shrinkToFit="0" vertical="center" wrapText="0"/>
    </xf>
    <xf borderId="4" fillId="3" fontId="1" numFmtId="165" xfId="0" applyAlignment="1" applyBorder="1" applyFont="1" applyNumberFormat="1">
      <alignment shrinkToFit="0" vertical="center" wrapText="0"/>
    </xf>
    <xf borderId="4" fillId="5" fontId="1" numFmtId="165" xfId="0" applyAlignment="1" applyBorder="1" applyFont="1" applyNumberFormat="1">
      <alignment readingOrder="0" shrinkToFit="0" vertical="center" wrapText="0"/>
    </xf>
    <xf borderId="4" fillId="5" fontId="1" numFmtId="165" xfId="0" applyAlignment="1" applyBorder="1" applyFont="1" applyNumberFormat="1">
      <alignment readingOrder="0" shrinkToFit="0" vertical="center" wrapText="0"/>
    </xf>
    <xf borderId="4" fillId="3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4" fillId="5" fontId="4" numFmtId="165" xfId="0" applyAlignment="1" applyBorder="1" applyFont="1" applyNumberFormat="1">
      <alignment horizontal="right" shrinkToFit="0" vertical="center" wrapText="0"/>
    </xf>
    <xf borderId="4" fillId="5" fontId="4" numFmtId="3" xfId="0" applyAlignment="1" applyBorder="1" applyFont="1" applyNumberFormat="1">
      <alignment horizontal="right" shrinkToFit="0" vertical="center" wrapText="0"/>
    </xf>
    <xf borderId="4" fillId="3" fontId="1" numFmtId="3" xfId="0" applyAlignment="1" applyBorder="1" applyFont="1" applyNumberFormat="1">
      <alignment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6" fillId="5" fontId="1" numFmtId="0" xfId="0" applyAlignment="1" applyBorder="1" applyFont="1">
      <alignment shrinkToFit="0" vertical="center" wrapText="0"/>
    </xf>
    <xf borderId="4" fillId="3" fontId="4" numFmtId="165" xfId="0" applyAlignment="1" applyBorder="1" applyFont="1" applyNumberFormat="1">
      <alignment horizontal="right" shrinkToFit="0" vertical="center" wrapText="0"/>
    </xf>
    <xf borderId="4" fillId="3" fontId="4" numFmtId="3" xfId="0" applyAlignment="1" applyBorder="1" applyFont="1" applyNumberFormat="1">
      <alignment horizontal="right" shrinkToFit="0" vertical="center" wrapText="0"/>
    </xf>
    <xf borderId="4" fillId="5" fontId="1" numFmtId="3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MUA PROJE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M51" displayName="Table1" name="Table1" id="1">
  <tableColumns count="12">
    <tableColumn name="NAMA PROJECT" id="1"/>
    <tableColumn name="TAHAP PEMBEBASAN LAHAN" id="2"/>
    <tableColumn name="NAMA PEMILIK" id="3"/>
    <tableColumn name="NILAI AWAL" id="4"/>
    <tableColumn name="NILAI TERBAYAR" id="5"/>
    <tableColumn name="SISA KEWAJIBAN" id="6"/>
    <tableColumn name="LUAS TANAH M3" id="7"/>
    <tableColumn name="ESTIMASI NILAI SATUAN" id="8"/>
    <tableColumn name="ESTIMASI HARGA SELURUHNYA" id="9"/>
    <tableColumn name="SISA EKSPANSI" id="10"/>
    <tableColumn name="KETERANGAN" id="11"/>
    <tableColumn name="POSISI LUAS TANAH PEMBEBASAN" id="12"/>
  </tableColumns>
  <tableStyleInfo name="SEMUA 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4" max="4" width="21.13"/>
    <col customWidth="1" min="6" max="6" width="18.13"/>
    <col customWidth="1" min="7" max="7" width="18.63"/>
    <col customWidth="1" min="8" max="8" width="21.5"/>
  </cols>
  <sheetData>
    <row r="1" ht="22.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5" t="s">
        <v>10</v>
      </c>
      <c r="M1" s="7" t="s">
        <v>11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22.5" customHeight="1">
      <c r="A2" s="8"/>
      <c r="B2" s="9" t="s">
        <v>12</v>
      </c>
      <c r="C2" s="10" t="s">
        <v>13</v>
      </c>
      <c r="D2" s="11" t="s">
        <v>14</v>
      </c>
      <c r="E2" s="12">
        <v>2.7E9</v>
      </c>
      <c r="F2" s="13">
        <v>2.7E9</v>
      </c>
      <c r="G2" s="12">
        <f t="shared" ref="G2:G8" si="1">E2-F2</f>
        <v>0</v>
      </c>
      <c r="H2" s="14">
        <v>9176.0</v>
      </c>
      <c r="I2" s="12">
        <f t="shared" ref="I2:I4" si="2">J2/H2</f>
        <v>294245.8588</v>
      </c>
      <c r="J2" s="12">
        <v>2.7E9</v>
      </c>
      <c r="K2" s="15"/>
      <c r="L2" s="16"/>
      <c r="M2" s="1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22.5" customHeight="1">
      <c r="A3" s="8"/>
      <c r="B3" s="17"/>
      <c r="C3" s="18" t="s">
        <v>15</v>
      </c>
      <c r="D3" s="11" t="s">
        <v>16</v>
      </c>
      <c r="E3" s="19">
        <v>5.5E8</v>
      </c>
      <c r="F3" s="20">
        <v>5.5E8</v>
      </c>
      <c r="G3" s="19">
        <f t="shared" si="1"/>
        <v>0</v>
      </c>
      <c r="H3" s="21">
        <v>2900.0</v>
      </c>
      <c r="I3" s="19">
        <f t="shared" si="2"/>
        <v>189655.1724</v>
      </c>
      <c r="J3" s="19">
        <v>5.5E8</v>
      </c>
      <c r="K3" s="22"/>
      <c r="L3" s="23"/>
      <c r="M3" s="2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22.5" customHeight="1">
      <c r="A4" s="8"/>
      <c r="B4" s="16"/>
      <c r="C4" s="10" t="s">
        <v>17</v>
      </c>
      <c r="D4" s="11" t="s">
        <v>18</v>
      </c>
      <c r="E4" s="12">
        <v>1.5E9</v>
      </c>
      <c r="F4" s="13">
        <v>9.5E8</v>
      </c>
      <c r="G4" s="12">
        <f t="shared" si="1"/>
        <v>550000000</v>
      </c>
      <c r="H4" s="14">
        <v>7600.0</v>
      </c>
      <c r="I4" s="12">
        <f t="shared" si="2"/>
        <v>197368.4211</v>
      </c>
      <c r="J4" s="12">
        <v>1.5E9</v>
      </c>
      <c r="K4" s="15"/>
      <c r="L4" s="16"/>
      <c r="M4" s="1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22.5" customHeight="1">
      <c r="A5" s="8"/>
      <c r="B5" s="23"/>
      <c r="C5" s="18" t="s">
        <v>19</v>
      </c>
      <c r="D5" s="11" t="s">
        <v>20</v>
      </c>
      <c r="E5" s="19">
        <v>6.82275E8</v>
      </c>
      <c r="F5" s="20">
        <v>3.411375E8</v>
      </c>
      <c r="G5" s="19">
        <f t="shared" si="1"/>
        <v>341137500</v>
      </c>
      <c r="H5" s="21">
        <v>4138.0</v>
      </c>
      <c r="I5" s="19">
        <v>165000.0</v>
      </c>
      <c r="J5" s="19">
        <f>H5*I5</f>
        <v>682770000</v>
      </c>
      <c r="K5" s="22"/>
      <c r="L5" s="23"/>
      <c r="M5" s="2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22.5" customHeight="1">
      <c r="A6" s="8"/>
      <c r="B6" s="16"/>
      <c r="C6" s="10" t="s">
        <v>19</v>
      </c>
      <c r="D6" s="11" t="s">
        <v>21</v>
      </c>
      <c r="E6" s="12">
        <v>1.89E8</v>
      </c>
      <c r="F6" s="12">
        <v>1.89E8</v>
      </c>
      <c r="G6" s="12">
        <f t="shared" si="1"/>
        <v>0</v>
      </c>
      <c r="H6" s="14">
        <v>435.0</v>
      </c>
      <c r="I6" s="12">
        <f t="shared" ref="I6:I10" si="3">J6/H6</f>
        <v>434482.7586</v>
      </c>
      <c r="J6" s="12">
        <v>1.89E8</v>
      </c>
      <c r="K6" s="15"/>
      <c r="L6" s="24" t="s">
        <v>22</v>
      </c>
      <c r="M6" s="1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22.5" customHeight="1">
      <c r="A7" s="8"/>
      <c r="B7" s="23"/>
      <c r="C7" s="18" t="s">
        <v>19</v>
      </c>
      <c r="D7" s="11" t="s">
        <v>23</v>
      </c>
      <c r="E7" s="19">
        <v>9.5E7</v>
      </c>
      <c r="F7" s="19">
        <v>9.5E7</v>
      </c>
      <c r="G7" s="19">
        <f t="shared" si="1"/>
        <v>0</v>
      </c>
      <c r="H7" s="21">
        <v>499.0</v>
      </c>
      <c r="I7" s="19">
        <f t="shared" si="3"/>
        <v>190380.7615</v>
      </c>
      <c r="J7" s="19">
        <v>9.5E7</v>
      </c>
      <c r="K7" s="22"/>
      <c r="L7" s="23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22.5" customHeight="1">
      <c r="A8" s="8"/>
      <c r="B8" s="16"/>
      <c r="C8" s="10" t="s">
        <v>19</v>
      </c>
      <c r="D8" s="11" t="s">
        <v>24</v>
      </c>
      <c r="E8" s="12">
        <v>4.97E7</v>
      </c>
      <c r="F8" s="12">
        <v>4.97E7</v>
      </c>
      <c r="G8" s="12">
        <f t="shared" si="1"/>
        <v>0</v>
      </c>
      <c r="H8" s="14">
        <v>150.0</v>
      </c>
      <c r="I8" s="12">
        <f t="shared" si="3"/>
        <v>331333.3333</v>
      </c>
      <c r="J8" s="12">
        <v>4.97E7</v>
      </c>
      <c r="K8" s="15"/>
      <c r="L8" s="16"/>
      <c r="M8" s="14">
        <f>SUM(H2:H8)</f>
        <v>24898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22.5" customHeight="1">
      <c r="A9" s="8"/>
      <c r="B9" s="23"/>
      <c r="C9" s="18" t="s">
        <v>19</v>
      </c>
      <c r="D9" s="18" t="s">
        <v>25</v>
      </c>
      <c r="E9" s="22"/>
      <c r="F9" s="25"/>
      <c r="G9" s="23"/>
      <c r="H9" s="21">
        <v>150.0</v>
      </c>
      <c r="I9" s="19">
        <f t="shared" si="3"/>
        <v>333333.3333</v>
      </c>
      <c r="J9" s="19">
        <v>5.0E7</v>
      </c>
      <c r="K9" s="19">
        <f t="shared" ref="K9:K18" si="4">J9</f>
        <v>50000000</v>
      </c>
      <c r="L9" s="23"/>
      <c r="M9" s="2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22.5" customHeight="1">
      <c r="A10" s="8"/>
      <c r="B10" s="16"/>
      <c r="C10" s="10" t="s">
        <v>19</v>
      </c>
      <c r="D10" s="10" t="s">
        <v>26</v>
      </c>
      <c r="E10" s="15"/>
      <c r="F10" s="26"/>
      <c r="G10" s="16"/>
      <c r="H10" s="14">
        <v>150.0</v>
      </c>
      <c r="I10" s="12">
        <f t="shared" si="3"/>
        <v>333333.3333</v>
      </c>
      <c r="J10" s="12">
        <v>5.0E7</v>
      </c>
      <c r="K10" s="12">
        <f t="shared" si="4"/>
        <v>50000000</v>
      </c>
      <c r="L10" s="16"/>
      <c r="M10" s="1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22.5" customHeight="1">
      <c r="A11" s="8"/>
      <c r="B11" s="23"/>
      <c r="C11" s="18" t="s">
        <v>27</v>
      </c>
      <c r="D11" s="18" t="s">
        <v>28</v>
      </c>
      <c r="E11" s="27">
        <v>7.75E8</v>
      </c>
      <c r="F11" s="28">
        <v>1.0E7</v>
      </c>
      <c r="G11" s="22">
        <f>E11-F11</f>
        <v>765000000</v>
      </c>
      <c r="H11" s="21">
        <v>4700.0</v>
      </c>
      <c r="I11" s="19">
        <v>165000.0</v>
      </c>
      <c r="J11" s="19">
        <f t="shared" ref="J11:J18" si="5">H11*I11</f>
        <v>775500000</v>
      </c>
      <c r="K11" s="19">
        <f t="shared" si="4"/>
        <v>775500000</v>
      </c>
      <c r="L11" s="23"/>
      <c r="M11" s="23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22.5" customHeight="1">
      <c r="A12" s="8"/>
      <c r="B12" s="16"/>
      <c r="C12" s="10" t="s">
        <v>29</v>
      </c>
      <c r="D12" s="29" t="s">
        <v>30</v>
      </c>
      <c r="E12" s="15"/>
      <c r="F12" s="26"/>
      <c r="G12" s="16"/>
      <c r="H12" s="14">
        <v>2389.0</v>
      </c>
      <c r="I12" s="12">
        <v>165000.0</v>
      </c>
      <c r="J12" s="12">
        <f t="shared" si="5"/>
        <v>394185000</v>
      </c>
      <c r="K12" s="12">
        <f t="shared" si="4"/>
        <v>394185000</v>
      </c>
      <c r="L12" s="16"/>
      <c r="M12" s="1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22.5" customHeight="1">
      <c r="A13" s="8"/>
      <c r="B13" s="23"/>
      <c r="C13" s="18" t="s">
        <v>29</v>
      </c>
      <c r="D13" s="30" t="s">
        <v>31</v>
      </c>
      <c r="E13" s="22"/>
      <c r="F13" s="25"/>
      <c r="G13" s="23"/>
      <c r="H13" s="21">
        <v>3496.0</v>
      </c>
      <c r="I13" s="19">
        <v>165000.0</v>
      </c>
      <c r="J13" s="19">
        <f t="shared" si="5"/>
        <v>576840000</v>
      </c>
      <c r="K13" s="19">
        <f t="shared" si="4"/>
        <v>576840000</v>
      </c>
      <c r="L13" s="23"/>
      <c r="M13" s="23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22.5" customHeight="1">
      <c r="A14" s="8"/>
      <c r="B14" s="16"/>
      <c r="C14" s="10" t="s">
        <v>32</v>
      </c>
      <c r="D14" s="29" t="s">
        <v>33</v>
      </c>
      <c r="E14" s="15"/>
      <c r="F14" s="26"/>
      <c r="G14" s="16"/>
      <c r="H14" s="14">
        <v>4337.0</v>
      </c>
      <c r="I14" s="12">
        <v>165000.0</v>
      </c>
      <c r="J14" s="12">
        <f t="shared" si="5"/>
        <v>715605000</v>
      </c>
      <c r="K14" s="12">
        <f t="shared" si="4"/>
        <v>715605000</v>
      </c>
      <c r="L14" s="16"/>
      <c r="M14" s="1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22.5" customHeight="1">
      <c r="A15" s="8"/>
      <c r="B15" s="23"/>
      <c r="C15" s="18" t="s">
        <v>34</v>
      </c>
      <c r="D15" s="30" t="s">
        <v>35</v>
      </c>
      <c r="E15" s="22"/>
      <c r="F15" s="25"/>
      <c r="G15" s="23"/>
      <c r="H15" s="21">
        <v>2845.0</v>
      </c>
      <c r="I15" s="19">
        <v>165000.0</v>
      </c>
      <c r="J15" s="19">
        <f t="shared" si="5"/>
        <v>469425000</v>
      </c>
      <c r="K15" s="19">
        <f t="shared" si="4"/>
        <v>469425000</v>
      </c>
      <c r="L15" s="23"/>
      <c r="M15" s="2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22.5" customHeight="1">
      <c r="A16" s="8"/>
      <c r="B16" s="16"/>
      <c r="C16" s="10" t="s">
        <v>36</v>
      </c>
      <c r="D16" s="29" t="s">
        <v>37</v>
      </c>
      <c r="E16" s="15"/>
      <c r="F16" s="26"/>
      <c r="G16" s="16"/>
      <c r="H16" s="14">
        <v>6494.0</v>
      </c>
      <c r="I16" s="12">
        <v>165000.0</v>
      </c>
      <c r="J16" s="12">
        <f t="shared" si="5"/>
        <v>1071510000</v>
      </c>
      <c r="K16" s="12">
        <f t="shared" si="4"/>
        <v>1071510000</v>
      </c>
      <c r="L16" s="16"/>
      <c r="M16" s="1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22.5" customHeight="1">
      <c r="A17" s="8"/>
      <c r="B17" s="23"/>
      <c r="C17" s="18" t="s">
        <v>38</v>
      </c>
      <c r="D17" s="18" t="s">
        <v>39</v>
      </c>
      <c r="E17" s="22"/>
      <c r="F17" s="25"/>
      <c r="G17" s="23"/>
      <c r="H17" s="21">
        <v>2031.0</v>
      </c>
      <c r="I17" s="19">
        <v>165000.0</v>
      </c>
      <c r="J17" s="19">
        <f t="shared" si="5"/>
        <v>335115000</v>
      </c>
      <c r="K17" s="19">
        <f t="shared" si="4"/>
        <v>335115000</v>
      </c>
      <c r="L17" s="23"/>
      <c r="M17" s="2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2.5" customHeight="1">
      <c r="A18" s="8"/>
      <c r="B18" s="16"/>
      <c r="C18" s="10" t="s">
        <v>40</v>
      </c>
      <c r="D18" s="10" t="s">
        <v>39</v>
      </c>
      <c r="E18" s="15"/>
      <c r="F18" s="26"/>
      <c r="G18" s="16"/>
      <c r="H18" s="14">
        <v>2047.0</v>
      </c>
      <c r="I18" s="12">
        <v>165000.0</v>
      </c>
      <c r="J18" s="12">
        <f t="shared" si="5"/>
        <v>337755000</v>
      </c>
      <c r="K18" s="12">
        <f t="shared" si="4"/>
        <v>337755000</v>
      </c>
      <c r="L18" s="16"/>
      <c r="M18" s="1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22.5" customHeight="1">
      <c r="A19" s="8"/>
      <c r="B19" s="23"/>
      <c r="C19" s="23"/>
      <c r="D19" s="23"/>
      <c r="E19" s="31">
        <f t="shared" ref="E19:G19" si="6">SUM(E2:E18)</f>
        <v>6540975000</v>
      </c>
      <c r="F19" s="31">
        <f t="shared" si="6"/>
        <v>4884837500</v>
      </c>
      <c r="G19" s="31">
        <f t="shared" si="6"/>
        <v>1656137500</v>
      </c>
      <c r="H19" s="32">
        <f>SUM(H3:H18)</f>
        <v>44361</v>
      </c>
      <c r="I19" s="22"/>
      <c r="J19" s="31">
        <f>SUM(J2:J18)</f>
        <v>10542405000</v>
      </c>
      <c r="K19" s="31">
        <f>SUM(K9:K18)</f>
        <v>4775935000</v>
      </c>
      <c r="L19" s="23"/>
      <c r="M19" s="23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22.5" customHeight="1">
      <c r="A20" s="8"/>
      <c r="B20" s="16"/>
      <c r="C20" s="16"/>
      <c r="D20" s="16"/>
      <c r="E20" s="15"/>
      <c r="F20" s="15"/>
      <c r="G20" s="15"/>
      <c r="H20" s="33"/>
      <c r="I20" s="15"/>
      <c r="J20" s="15"/>
      <c r="K20" s="15"/>
      <c r="L20" s="16"/>
      <c r="M20" s="1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22.5" customHeight="1">
      <c r="A21" s="8"/>
      <c r="B21" s="34" t="s">
        <v>41</v>
      </c>
      <c r="C21" s="18" t="s">
        <v>42</v>
      </c>
      <c r="D21" s="11" t="s">
        <v>43</v>
      </c>
      <c r="E21" s="12">
        <v>9.0E7</v>
      </c>
      <c r="F21" s="12">
        <v>9.0E7</v>
      </c>
      <c r="G21" s="19">
        <f t="shared" ref="G21:G30" si="7">E21-F21</f>
        <v>0</v>
      </c>
      <c r="H21" s="21">
        <v>88.0</v>
      </c>
      <c r="I21" s="19">
        <f t="shared" ref="I21:I26" si="8">J21/H21</f>
        <v>1022727.273</v>
      </c>
      <c r="J21" s="12">
        <v>9.0E7</v>
      </c>
      <c r="K21" s="22"/>
      <c r="L21" s="23"/>
      <c r="M21" s="23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22.5" customHeight="1">
      <c r="A22" s="8"/>
      <c r="B22" s="16"/>
      <c r="C22" s="10" t="s">
        <v>13</v>
      </c>
      <c r="D22" s="11" t="s">
        <v>44</v>
      </c>
      <c r="E22" s="12">
        <v>3.0E8</v>
      </c>
      <c r="F22" s="13">
        <v>1.5E8</v>
      </c>
      <c r="G22" s="12">
        <f t="shared" si="7"/>
        <v>150000000</v>
      </c>
      <c r="H22" s="14">
        <v>1981.0</v>
      </c>
      <c r="I22" s="12">
        <f t="shared" si="8"/>
        <v>151438.6673</v>
      </c>
      <c r="J22" s="12">
        <v>3.0E8</v>
      </c>
      <c r="K22" s="15"/>
      <c r="L22" s="16"/>
      <c r="M22" s="1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22.5" customHeight="1">
      <c r="A23" s="8"/>
      <c r="B23" s="23"/>
      <c r="C23" s="18" t="s">
        <v>13</v>
      </c>
      <c r="D23" s="11" t="s">
        <v>45</v>
      </c>
      <c r="E23" s="19">
        <v>6.5E8</v>
      </c>
      <c r="F23" s="20">
        <v>3.75E8</v>
      </c>
      <c r="G23" s="19">
        <f t="shared" si="7"/>
        <v>275000000</v>
      </c>
      <c r="H23" s="21">
        <v>7567.0</v>
      </c>
      <c r="I23" s="19">
        <f t="shared" si="8"/>
        <v>85899.29959</v>
      </c>
      <c r="J23" s="19">
        <v>6.5E8</v>
      </c>
      <c r="K23" s="22"/>
      <c r="L23" s="23"/>
      <c r="M23" s="23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22.5" customHeight="1">
      <c r="A24" s="8"/>
      <c r="B24" s="16"/>
      <c r="C24" s="10" t="s">
        <v>15</v>
      </c>
      <c r="D24" s="11" t="s">
        <v>46</v>
      </c>
      <c r="E24" s="12">
        <v>1.5E8</v>
      </c>
      <c r="F24" s="13">
        <v>2.0E7</v>
      </c>
      <c r="G24" s="12">
        <f t="shared" si="7"/>
        <v>130000000</v>
      </c>
      <c r="H24" s="14">
        <v>2056.0</v>
      </c>
      <c r="I24" s="12">
        <f t="shared" si="8"/>
        <v>72957.19844</v>
      </c>
      <c r="J24" s="12">
        <v>1.5E8</v>
      </c>
      <c r="K24" s="15"/>
      <c r="L24" s="16"/>
      <c r="M24" s="1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22.5" customHeight="1">
      <c r="A25" s="8"/>
      <c r="B25" s="23"/>
      <c r="C25" s="18" t="s">
        <v>15</v>
      </c>
      <c r="D25" s="11" t="s">
        <v>47</v>
      </c>
      <c r="E25" s="19">
        <v>1.28E8</v>
      </c>
      <c r="F25" s="25"/>
      <c r="G25" s="19">
        <f t="shared" si="7"/>
        <v>128000000</v>
      </c>
      <c r="H25" s="21">
        <v>1784.0</v>
      </c>
      <c r="I25" s="19">
        <f t="shared" si="8"/>
        <v>71748.87892</v>
      </c>
      <c r="J25" s="19">
        <v>1.28E8</v>
      </c>
      <c r="K25" s="22"/>
      <c r="L25" s="23"/>
      <c r="M25" s="2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22.5" customHeight="1">
      <c r="A26" s="8"/>
      <c r="B26" s="16"/>
      <c r="C26" s="10" t="s">
        <v>15</v>
      </c>
      <c r="D26" s="11" t="s">
        <v>48</v>
      </c>
      <c r="E26" s="12">
        <v>3.0E8</v>
      </c>
      <c r="F26" s="12">
        <v>2.86E8</v>
      </c>
      <c r="G26" s="12">
        <f t="shared" si="7"/>
        <v>14000000</v>
      </c>
      <c r="H26" s="14">
        <v>4232.0</v>
      </c>
      <c r="I26" s="12">
        <f t="shared" si="8"/>
        <v>70888.46881</v>
      </c>
      <c r="J26" s="12">
        <v>3.0E8</v>
      </c>
      <c r="K26" s="15"/>
      <c r="L26" s="24" t="s">
        <v>49</v>
      </c>
      <c r="M26" s="14">
        <f>SUM(H21:H26)</f>
        <v>17708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22.5" customHeight="1">
      <c r="A27" s="8"/>
      <c r="B27" s="23"/>
      <c r="C27" s="18" t="s">
        <v>50</v>
      </c>
      <c r="D27" s="18" t="s">
        <v>51</v>
      </c>
      <c r="E27" s="22"/>
      <c r="F27" s="25"/>
      <c r="G27" s="19">
        <f t="shared" si="7"/>
        <v>0</v>
      </c>
      <c r="H27" s="21">
        <v>2616.0</v>
      </c>
      <c r="I27" s="19">
        <v>60000.0</v>
      </c>
      <c r="J27" s="19">
        <f t="shared" ref="J27:J30" si="9">H27*I27</f>
        <v>156960000</v>
      </c>
      <c r="K27" s="19">
        <f t="shared" ref="K27:K30" si="10">J27</f>
        <v>156960000</v>
      </c>
      <c r="L27" s="23"/>
      <c r="M27" s="2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22.5" customHeight="1">
      <c r="A28" s="8"/>
      <c r="B28" s="16"/>
      <c r="C28" s="10" t="s">
        <v>50</v>
      </c>
      <c r="D28" s="10" t="s">
        <v>51</v>
      </c>
      <c r="E28" s="15"/>
      <c r="F28" s="26"/>
      <c r="G28" s="12">
        <f t="shared" si="7"/>
        <v>0</v>
      </c>
      <c r="H28" s="14">
        <v>5563.0</v>
      </c>
      <c r="I28" s="12">
        <v>60000.0</v>
      </c>
      <c r="J28" s="12">
        <f t="shared" si="9"/>
        <v>333780000</v>
      </c>
      <c r="K28" s="12">
        <f t="shared" si="10"/>
        <v>333780000</v>
      </c>
      <c r="L28" s="16"/>
      <c r="M28" s="1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22.5" customHeight="1">
      <c r="A29" s="8"/>
      <c r="B29" s="23"/>
      <c r="C29" s="18" t="s">
        <v>50</v>
      </c>
      <c r="D29" s="18" t="s">
        <v>51</v>
      </c>
      <c r="E29" s="22"/>
      <c r="F29" s="25"/>
      <c r="G29" s="19">
        <f t="shared" si="7"/>
        <v>0</v>
      </c>
      <c r="H29" s="21">
        <v>8940.0</v>
      </c>
      <c r="I29" s="19">
        <v>60000.0</v>
      </c>
      <c r="J29" s="19">
        <f t="shared" si="9"/>
        <v>536400000</v>
      </c>
      <c r="K29" s="19">
        <f t="shared" si="10"/>
        <v>536400000</v>
      </c>
      <c r="L29" s="23"/>
      <c r="M29" s="2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22.5" customHeight="1">
      <c r="A30" s="8"/>
      <c r="B30" s="16"/>
      <c r="C30" s="10" t="s">
        <v>50</v>
      </c>
      <c r="D30" s="10" t="s">
        <v>51</v>
      </c>
      <c r="E30" s="15"/>
      <c r="F30" s="26"/>
      <c r="G30" s="12">
        <f t="shared" si="7"/>
        <v>0</v>
      </c>
      <c r="H30" s="14">
        <v>2683.0</v>
      </c>
      <c r="I30" s="12">
        <v>60000.0</v>
      </c>
      <c r="J30" s="12">
        <f t="shared" si="9"/>
        <v>160980000</v>
      </c>
      <c r="K30" s="12">
        <f t="shared" si="10"/>
        <v>160980000</v>
      </c>
      <c r="L30" s="16"/>
      <c r="M30" s="1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22.5" customHeight="1">
      <c r="A31" s="8"/>
      <c r="B31" s="23"/>
      <c r="C31" s="34" t="s">
        <v>52</v>
      </c>
      <c r="D31" s="23"/>
      <c r="E31" s="31">
        <f t="shared" ref="E31:K31" si="11">SUM(E21:E30)</f>
        <v>1618000000</v>
      </c>
      <c r="F31" s="31">
        <f t="shared" si="11"/>
        <v>921000000</v>
      </c>
      <c r="G31" s="31">
        <f t="shared" si="11"/>
        <v>697000000</v>
      </c>
      <c r="H31" s="32">
        <f t="shared" si="11"/>
        <v>37510</v>
      </c>
      <c r="I31" s="31">
        <f t="shared" si="11"/>
        <v>1715659.786</v>
      </c>
      <c r="J31" s="31">
        <f t="shared" si="11"/>
        <v>2806120000</v>
      </c>
      <c r="K31" s="31">
        <f t="shared" si="11"/>
        <v>1188120000</v>
      </c>
      <c r="L31" s="23"/>
      <c r="M31" s="2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22.5" customHeight="1">
      <c r="A32" s="8"/>
      <c r="B32" s="16"/>
      <c r="C32" s="16"/>
      <c r="D32" s="16"/>
      <c r="E32" s="15"/>
      <c r="F32" s="26"/>
      <c r="G32" s="16"/>
      <c r="H32" s="33"/>
      <c r="I32" s="15"/>
      <c r="J32" s="15"/>
      <c r="K32" s="15"/>
      <c r="L32" s="16"/>
      <c r="M32" s="1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22.5" customHeight="1">
      <c r="A33" s="8"/>
      <c r="B33" s="34" t="s">
        <v>53</v>
      </c>
      <c r="C33" s="18" t="s">
        <v>42</v>
      </c>
      <c r="D33" s="11" t="s">
        <v>54</v>
      </c>
      <c r="E33" s="19">
        <v>6.3E8</v>
      </c>
      <c r="F33" s="28">
        <v>1.0E8</v>
      </c>
      <c r="G33" s="35"/>
      <c r="H33" s="21">
        <v>600.0</v>
      </c>
      <c r="I33" s="19">
        <f>J33/H33</f>
        <v>1050000</v>
      </c>
      <c r="J33" s="19">
        <f>E33</f>
        <v>630000000</v>
      </c>
      <c r="K33" s="22"/>
      <c r="L33" s="23"/>
      <c r="M33" s="2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22.5" customHeight="1">
      <c r="A34" s="8"/>
      <c r="B34" s="16"/>
      <c r="C34" s="10" t="s">
        <v>13</v>
      </c>
      <c r="D34" s="11" t="s">
        <v>55</v>
      </c>
      <c r="E34" s="12">
        <v>3.1374E8</v>
      </c>
      <c r="F34" s="12">
        <v>3.1374E8</v>
      </c>
      <c r="G34" s="12">
        <f t="shared" ref="G34:G39" si="12">E34-F34</f>
        <v>0</v>
      </c>
      <c r="H34" s="14">
        <v>2324.0</v>
      </c>
      <c r="I34" s="12">
        <v>135000.0</v>
      </c>
      <c r="J34" s="12">
        <f t="shared" ref="J34:J39" si="13">H34*I34</f>
        <v>313740000</v>
      </c>
      <c r="K34" s="15"/>
      <c r="L34" s="16"/>
      <c r="M34" s="1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22.5" customHeight="1">
      <c r="A35" s="8"/>
      <c r="B35" s="23"/>
      <c r="C35" s="18" t="s">
        <v>13</v>
      </c>
      <c r="D35" s="11" t="s">
        <v>56</v>
      </c>
      <c r="E35" s="19">
        <v>3.93525E8</v>
      </c>
      <c r="F35" s="28">
        <v>1.2E8</v>
      </c>
      <c r="G35" s="19">
        <f t="shared" si="12"/>
        <v>273525000</v>
      </c>
      <c r="H35" s="21">
        <v>2915.0</v>
      </c>
      <c r="I35" s="19">
        <v>135000.0</v>
      </c>
      <c r="J35" s="19">
        <f t="shared" si="13"/>
        <v>393525000</v>
      </c>
      <c r="K35" s="22"/>
      <c r="L35" s="23"/>
      <c r="M35" s="21">
        <f>SUM(H33:H35)</f>
        <v>5839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22.5" customHeight="1">
      <c r="A36" s="8"/>
      <c r="B36" s="16"/>
      <c r="C36" s="10" t="s">
        <v>15</v>
      </c>
      <c r="D36" s="10" t="s">
        <v>57</v>
      </c>
      <c r="E36" s="15">
        <f t="shared" ref="E36:E39" si="14">K36</f>
        <v>491130000</v>
      </c>
      <c r="F36" s="26"/>
      <c r="G36" s="12">
        <f t="shared" si="12"/>
        <v>491130000</v>
      </c>
      <c r="H36" s="14">
        <v>3638.0</v>
      </c>
      <c r="I36" s="12">
        <v>135000.0</v>
      </c>
      <c r="J36" s="12">
        <f t="shared" si="13"/>
        <v>491130000</v>
      </c>
      <c r="K36" s="12">
        <f t="shared" ref="K36:K39" si="15">J36</f>
        <v>491130000</v>
      </c>
      <c r="L36" s="16"/>
      <c r="M36" s="1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22.5" customHeight="1">
      <c r="A37" s="8"/>
      <c r="B37" s="23"/>
      <c r="C37" s="18" t="s">
        <v>15</v>
      </c>
      <c r="D37" s="18" t="s">
        <v>58</v>
      </c>
      <c r="E37" s="15">
        <f t="shared" si="14"/>
        <v>162405000</v>
      </c>
      <c r="F37" s="25"/>
      <c r="G37" s="19">
        <f t="shared" si="12"/>
        <v>162405000</v>
      </c>
      <c r="H37" s="21">
        <v>1203.0</v>
      </c>
      <c r="I37" s="19">
        <v>135000.0</v>
      </c>
      <c r="J37" s="19">
        <f t="shared" si="13"/>
        <v>162405000</v>
      </c>
      <c r="K37" s="19">
        <f t="shared" si="15"/>
        <v>162405000</v>
      </c>
      <c r="L37" s="23"/>
      <c r="M37" s="23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22.5" customHeight="1">
      <c r="A38" s="8"/>
      <c r="B38" s="16"/>
      <c r="C38" s="10" t="s">
        <v>15</v>
      </c>
      <c r="D38" s="10" t="s">
        <v>59</v>
      </c>
      <c r="E38" s="15">
        <f t="shared" si="14"/>
        <v>70740000</v>
      </c>
      <c r="F38" s="26"/>
      <c r="G38" s="12">
        <f t="shared" si="12"/>
        <v>70740000</v>
      </c>
      <c r="H38" s="14">
        <v>524.0</v>
      </c>
      <c r="I38" s="12">
        <v>135000.0</v>
      </c>
      <c r="J38" s="12">
        <f t="shared" si="13"/>
        <v>70740000</v>
      </c>
      <c r="K38" s="12">
        <f t="shared" si="15"/>
        <v>70740000</v>
      </c>
      <c r="L38" s="16"/>
      <c r="M38" s="1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22.5" customHeight="1">
      <c r="A39" s="8"/>
      <c r="B39" s="23"/>
      <c r="C39" s="18" t="s">
        <v>15</v>
      </c>
      <c r="D39" s="18" t="s">
        <v>60</v>
      </c>
      <c r="E39" s="15">
        <f t="shared" si="14"/>
        <v>201825000</v>
      </c>
      <c r="F39" s="25"/>
      <c r="G39" s="19">
        <f t="shared" si="12"/>
        <v>201825000</v>
      </c>
      <c r="H39" s="21">
        <v>1495.0</v>
      </c>
      <c r="I39" s="19">
        <v>135000.0</v>
      </c>
      <c r="J39" s="19">
        <f t="shared" si="13"/>
        <v>201825000</v>
      </c>
      <c r="K39" s="19">
        <f t="shared" si="15"/>
        <v>201825000</v>
      </c>
      <c r="L39" s="23"/>
      <c r="M39" s="23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22.5" customHeight="1">
      <c r="A40" s="8"/>
      <c r="B40" s="16"/>
      <c r="C40" s="9" t="s">
        <v>61</v>
      </c>
      <c r="D40" s="16"/>
      <c r="E40" s="36">
        <f t="shared" ref="E40:K40" si="16">SUM(E33:E39)</f>
        <v>2263365000</v>
      </c>
      <c r="F40" s="36">
        <f t="shared" si="16"/>
        <v>533740000</v>
      </c>
      <c r="G40" s="36">
        <f t="shared" si="16"/>
        <v>1199625000</v>
      </c>
      <c r="H40" s="37">
        <f t="shared" si="16"/>
        <v>12699</v>
      </c>
      <c r="I40" s="36">
        <f t="shared" si="16"/>
        <v>1860000</v>
      </c>
      <c r="J40" s="36">
        <f t="shared" si="16"/>
        <v>2263365000</v>
      </c>
      <c r="K40" s="36">
        <f t="shared" si="16"/>
        <v>926100000</v>
      </c>
      <c r="L40" s="16"/>
      <c r="M40" s="1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22.5" customHeight="1">
      <c r="A41" s="8"/>
      <c r="B41" s="23"/>
      <c r="C41" s="23"/>
      <c r="D41" s="23"/>
      <c r="E41" s="22"/>
      <c r="F41" s="25"/>
      <c r="G41" s="23"/>
      <c r="H41" s="38"/>
      <c r="I41" s="22"/>
      <c r="J41" s="22"/>
      <c r="K41" s="22"/>
      <c r="L41" s="23"/>
      <c r="M41" s="23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22.5" customHeight="1">
      <c r="A42" s="8"/>
      <c r="B42" s="9" t="s">
        <v>62</v>
      </c>
      <c r="C42" s="10" t="s">
        <v>63</v>
      </c>
      <c r="D42" s="10" t="s">
        <v>63</v>
      </c>
      <c r="E42" s="12">
        <v>5.77E8</v>
      </c>
      <c r="F42" s="13">
        <v>4.77E8</v>
      </c>
      <c r="G42" s="12">
        <f>E42-F42</f>
        <v>100000000</v>
      </c>
      <c r="H42" s="14">
        <v>359.0</v>
      </c>
      <c r="I42" s="12">
        <f>J42/H42</f>
        <v>1607242.34</v>
      </c>
      <c r="J42" s="12">
        <v>5.77E8</v>
      </c>
      <c r="K42" s="15"/>
      <c r="L42" s="24" t="s">
        <v>64</v>
      </c>
      <c r="M42" s="1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22.5" customHeight="1">
      <c r="A43" s="8"/>
      <c r="B43" s="23"/>
      <c r="C43" s="23"/>
      <c r="D43" s="23"/>
      <c r="E43" s="31">
        <f t="shared" ref="E43:J43" si="17">SUM(E42)</f>
        <v>577000000</v>
      </c>
      <c r="F43" s="31">
        <f t="shared" si="17"/>
        <v>477000000</v>
      </c>
      <c r="G43" s="31">
        <f t="shared" si="17"/>
        <v>100000000</v>
      </c>
      <c r="H43" s="32">
        <f t="shared" si="17"/>
        <v>359</v>
      </c>
      <c r="I43" s="31">
        <f t="shared" si="17"/>
        <v>1607242.34</v>
      </c>
      <c r="J43" s="31">
        <f t="shared" si="17"/>
        <v>577000000</v>
      </c>
      <c r="K43" s="22"/>
      <c r="L43" s="23"/>
      <c r="M43" s="23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22.5" customHeight="1">
      <c r="A44" s="8"/>
      <c r="B44" s="16"/>
      <c r="C44" s="16"/>
      <c r="D44" s="16"/>
      <c r="E44" s="15"/>
      <c r="F44" s="26"/>
      <c r="G44" s="16"/>
      <c r="H44" s="33"/>
      <c r="I44" s="15"/>
      <c r="J44" s="15"/>
      <c r="K44" s="15"/>
      <c r="L44" s="16"/>
      <c r="M44" s="1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22.5" customHeight="1">
      <c r="A45" s="8"/>
      <c r="B45" s="34" t="s">
        <v>65</v>
      </c>
      <c r="C45" s="18" t="s">
        <v>66</v>
      </c>
      <c r="D45" s="18" t="s">
        <v>66</v>
      </c>
      <c r="E45" s="19">
        <v>2.2E8</v>
      </c>
      <c r="F45" s="20">
        <v>2.0E7</v>
      </c>
      <c r="G45" s="19">
        <f>E45-F45</f>
        <v>200000000</v>
      </c>
      <c r="H45" s="21">
        <v>2600.0</v>
      </c>
      <c r="I45" s="19">
        <f>J45/H45</f>
        <v>84615.38462</v>
      </c>
      <c r="J45" s="19">
        <v>2.2E8</v>
      </c>
      <c r="K45" s="22"/>
      <c r="L45" s="23"/>
      <c r="M45" s="23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22.5" customHeight="1">
      <c r="A46" s="8"/>
      <c r="B46" s="16"/>
      <c r="C46" s="16"/>
      <c r="D46" s="16"/>
      <c r="E46" s="36">
        <f t="shared" ref="E46:J46" si="18">SUM(E45)</f>
        <v>220000000</v>
      </c>
      <c r="F46" s="36">
        <f t="shared" si="18"/>
        <v>20000000</v>
      </c>
      <c r="G46" s="36">
        <f t="shared" si="18"/>
        <v>200000000</v>
      </c>
      <c r="H46" s="37">
        <f t="shared" si="18"/>
        <v>2600</v>
      </c>
      <c r="I46" s="36">
        <f t="shared" si="18"/>
        <v>84615.38462</v>
      </c>
      <c r="J46" s="36">
        <f t="shared" si="18"/>
        <v>220000000</v>
      </c>
      <c r="K46" s="15"/>
      <c r="L46" s="16"/>
      <c r="M46" s="1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22.5" customHeight="1">
      <c r="A47" s="8"/>
      <c r="B47" s="23"/>
      <c r="C47" s="23"/>
      <c r="D47" s="23"/>
      <c r="E47" s="22"/>
      <c r="F47" s="25"/>
      <c r="G47" s="23"/>
      <c r="H47" s="38"/>
      <c r="I47" s="22"/>
      <c r="J47" s="22"/>
      <c r="K47" s="22"/>
      <c r="L47" s="23"/>
      <c r="M47" s="23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22.5" customHeight="1">
      <c r="A48" s="8"/>
      <c r="B48" s="9" t="s">
        <v>67</v>
      </c>
      <c r="C48" s="10" t="s">
        <v>68</v>
      </c>
      <c r="D48" s="10" t="s">
        <v>68</v>
      </c>
      <c r="E48" s="12">
        <v>1.89E8</v>
      </c>
      <c r="F48" s="12">
        <v>1.89E8</v>
      </c>
      <c r="G48" s="12">
        <f>E48-F48</f>
        <v>0</v>
      </c>
      <c r="H48" s="14">
        <v>292.0</v>
      </c>
      <c r="I48" s="12">
        <f>J48/H48</f>
        <v>647260.274</v>
      </c>
      <c r="J48" s="12">
        <v>1.89E8</v>
      </c>
      <c r="K48" s="15"/>
      <c r="L48" s="16"/>
      <c r="M48" s="1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22.5" customHeight="1">
      <c r="A49" s="8"/>
      <c r="B49" s="23"/>
      <c r="C49" s="23"/>
      <c r="D49" s="23"/>
      <c r="E49" s="31">
        <f t="shared" ref="E49:J49" si="19">SUM(E48)</f>
        <v>189000000</v>
      </c>
      <c r="F49" s="31">
        <f t="shared" si="19"/>
        <v>189000000</v>
      </c>
      <c r="G49" s="31">
        <f t="shared" si="19"/>
        <v>0</v>
      </c>
      <c r="H49" s="32">
        <f t="shared" si="19"/>
        <v>292</v>
      </c>
      <c r="I49" s="31">
        <f t="shared" si="19"/>
        <v>647260.274</v>
      </c>
      <c r="J49" s="31">
        <f t="shared" si="19"/>
        <v>189000000</v>
      </c>
      <c r="K49" s="22"/>
      <c r="L49" s="23"/>
      <c r="M49" s="23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22.5" customHeight="1">
      <c r="A50" s="8"/>
      <c r="B50" s="16"/>
      <c r="C50" s="16"/>
      <c r="D50" s="16"/>
      <c r="E50" s="15"/>
      <c r="F50" s="26"/>
      <c r="G50" s="16"/>
      <c r="H50" s="33"/>
      <c r="I50" s="15"/>
      <c r="J50" s="15"/>
      <c r="K50" s="15"/>
      <c r="L50" s="16"/>
      <c r="M50" s="1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22.5" customHeight="1">
      <c r="A51" s="8"/>
      <c r="B51" s="23"/>
      <c r="C51" s="23"/>
      <c r="D51" s="34" t="s">
        <v>69</v>
      </c>
      <c r="E51" s="31">
        <f t="shared" ref="E51:K51" si="20">E19+E31+E40+E43+E46+E49</f>
        <v>11408340000</v>
      </c>
      <c r="F51" s="31">
        <f t="shared" si="20"/>
        <v>7025577500</v>
      </c>
      <c r="G51" s="31">
        <f t="shared" si="20"/>
        <v>3852762500</v>
      </c>
      <c r="H51" s="32">
        <f t="shared" si="20"/>
        <v>97821</v>
      </c>
      <c r="I51" s="31">
        <f t="shared" si="20"/>
        <v>5914777.784</v>
      </c>
      <c r="J51" s="31">
        <f t="shared" si="20"/>
        <v>16597890000</v>
      </c>
      <c r="K51" s="31">
        <f t="shared" si="20"/>
        <v>6890155000</v>
      </c>
      <c r="L51" s="23"/>
      <c r="M51" s="23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</sheetData>
  <dataValidations>
    <dataValidation type="custom" allowBlank="1" showDropDown="1" sqref="E2:E51 H2:K5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